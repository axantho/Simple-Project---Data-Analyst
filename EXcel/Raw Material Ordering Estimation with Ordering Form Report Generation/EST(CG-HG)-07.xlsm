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omments1.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F:\all PPIC TOOLS\"/>
    </mc:Choice>
  </mc:AlternateContent>
  <xr:revisionPtr revIDLastSave="0" documentId="13_ncr:1_{6855E0C8-69F2-4DD7-AF9C-5726361B300B}" xr6:coauthVersionLast="47" xr6:coauthVersionMax="47" xr10:uidLastSave="{00000000-0000-0000-0000-000000000000}"/>
  <bookViews>
    <workbookView xWindow="-110" yWindow="-110" windowWidth="19420" windowHeight="10300" activeTab="2" xr2:uid="{C008B6E3-4F47-4DFC-B234-39552B084A22}"/>
  </bookViews>
  <sheets>
    <sheet name="Chart1" sheetId="10" r:id="rId1"/>
    <sheet name="CG - MAIN" sheetId="6" r:id="rId2"/>
    <sheet name="SALES" sheetId="8" r:id="rId3"/>
    <sheet name="FORM ORDER" sheetId="9" r:id="rId4"/>
    <sheet name="WIP - CG" sheetId="2" r:id="rId5"/>
    <sheet name="HG - Main" sheetId="3" r:id="rId6"/>
    <sheet name="WIP - HG" sheetId="4" r:id="rId7"/>
    <sheet name="YIELD-CG" sheetId="7" r:id="rId8"/>
    <sheet name="Items Consolidate" sheetId="5" r:id="rId9"/>
  </sheets>
  <externalReferences>
    <externalReference r:id="rId10"/>
  </externalReferences>
  <definedNames>
    <definedName name="_xlnm._FilterDatabase" localSheetId="1" hidden="1">'CG - MAIN'!$Q$16:$AE$300</definedName>
    <definedName name="_xlnm._FilterDatabase" localSheetId="5" hidden="1">'HG - Main'!$N$7:$X$74</definedName>
    <definedName name="_xlnm._FilterDatabase" localSheetId="8" hidden="1">'Items Consolidate'!$A$3:$B$162</definedName>
    <definedName name="_xlnm._FilterDatabase" localSheetId="2" hidden="1">SALES!$A$9:$M$213</definedName>
    <definedName name="_xlnm.Print_Area" localSheetId="3">'FORM ORDER'!$A$1:$G$112</definedName>
    <definedName name="Slicer_Item_Code">#N/A</definedName>
    <definedName name="Slicer_Item_Name">#N/A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900" i="6" l="1"/>
  <c r="H2899" i="6"/>
  <c r="H2851" i="6"/>
  <c r="H2850" i="6"/>
  <c r="H2819" i="6"/>
  <c r="H2818" i="6"/>
  <c r="H2787" i="6"/>
  <c r="H2786" i="6"/>
  <c r="H2677" i="6" l="1"/>
  <c r="H2676" i="6"/>
  <c r="H2673" i="6"/>
  <c r="H2672" i="6"/>
  <c r="H2670" i="6"/>
  <c r="H2669" i="6"/>
  <c r="H2668" i="6"/>
  <c r="H2666" i="6"/>
  <c r="H2665" i="6"/>
  <c r="H2662" i="6"/>
  <c r="H2661" i="6"/>
  <c r="H2660" i="6"/>
  <c r="H2659" i="6"/>
  <c r="H2657" i="6"/>
  <c r="H2656" i="6"/>
  <c r="H2654" i="6"/>
  <c r="H2652" i="6"/>
  <c r="H2651" i="6"/>
  <c r="H2650" i="6"/>
  <c r="H2649" i="6"/>
  <c r="H2648" i="6"/>
  <c r="H2647" i="6"/>
  <c r="H2646" i="6"/>
  <c r="H2644" i="6"/>
  <c r="H2643" i="6"/>
  <c r="H2640" i="6"/>
  <c r="H2639" i="6"/>
  <c r="H2638" i="6"/>
  <c r="H2635" i="6"/>
  <c r="H2634" i="6"/>
  <c r="H2633" i="6"/>
  <c r="H2632" i="6"/>
  <c r="H2631" i="6"/>
  <c r="H2630" i="6"/>
  <c r="H2628" i="6"/>
  <c r="H2627" i="6"/>
  <c r="H2626" i="6"/>
  <c r="M1162" i="6"/>
  <c r="N1162" i="6"/>
  <c r="O1162" i="6"/>
  <c r="M1163" i="6"/>
  <c r="N1163" i="6"/>
  <c r="O1163" i="6"/>
  <c r="M1164" i="6"/>
  <c r="N1164" i="6"/>
  <c r="O1164" i="6"/>
  <c r="M1165" i="6"/>
  <c r="N1165" i="6"/>
  <c r="O1165" i="6"/>
  <c r="M1166" i="6"/>
  <c r="N1166" i="6"/>
  <c r="O1166" i="6"/>
  <c r="M1167" i="6"/>
  <c r="N1167" i="6"/>
  <c r="O1167" i="6"/>
  <c r="M1168" i="6"/>
  <c r="N1168" i="6"/>
  <c r="O1168" i="6"/>
  <c r="M1169" i="6"/>
  <c r="N1169" i="6"/>
  <c r="O1169" i="6"/>
  <c r="M1170" i="6"/>
  <c r="N1170" i="6"/>
  <c r="O1170" i="6"/>
  <c r="M1161" i="6"/>
  <c r="N1161" i="6"/>
  <c r="O1161" i="6"/>
  <c r="M1106" i="6"/>
  <c r="N1106" i="6"/>
  <c r="O1106" i="6"/>
  <c r="M1107" i="6"/>
  <c r="N1107" i="6"/>
  <c r="O1107" i="6"/>
  <c r="M1108" i="6"/>
  <c r="N1108" i="6"/>
  <c r="O1108" i="6"/>
  <c r="M1109" i="6"/>
  <c r="N1109" i="6"/>
  <c r="O1109" i="6"/>
  <c r="M1110" i="6"/>
  <c r="N1110" i="6"/>
  <c r="O1110" i="6"/>
  <c r="M1111" i="6"/>
  <c r="N1111" i="6"/>
  <c r="O1111" i="6"/>
  <c r="M1112" i="6"/>
  <c r="N1112" i="6"/>
  <c r="O1112" i="6"/>
  <c r="M1105" i="6"/>
  <c r="N1105" i="6"/>
  <c r="O1105" i="6"/>
  <c r="M1113" i="6"/>
  <c r="N1113" i="6"/>
  <c r="O1113" i="6"/>
  <c r="M1114" i="6"/>
  <c r="N1114" i="6"/>
  <c r="O1114" i="6"/>
  <c r="M1095" i="6"/>
  <c r="N1095" i="6"/>
  <c r="O1095" i="6"/>
  <c r="M1096" i="6"/>
  <c r="N1096" i="6"/>
  <c r="O1096" i="6"/>
  <c r="M1097" i="6"/>
  <c r="N1097" i="6"/>
  <c r="O1097" i="6"/>
  <c r="M1098" i="6"/>
  <c r="N1098" i="6"/>
  <c r="O1098" i="6"/>
  <c r="M1099" i="6"/>
  <c r="N1099" i="6"/>
  <c r="O1099" i="6"/>
  <c r="M1094" i="6"/>
  <c r="N1094" i="6"/>
  <c r="O1094" i="6"/>
  <c r="M1100" i="6"/>
  <c r="N1100" i="6"/>
  <c r="O1100" i="6"/>
  <c r="M1101" i="6"/>
  <c r="N1101" i="6"/>
  <c r="O1101" i="6"/>
  <c r="M1102" i="6"/>
  <c r="N1102" i="6"/>
  <c r="O1102" i="6"/>
  <c r="M1093" i="6"/>
  <c r="N1093" i="6"/>
  <c r="O1093" i="6"/>
  <c r="M1103" i="6"/>
  <c r="N1103" i="6"/>
  <c r="O1103" i="6"/>
  <c r="M1119" i="6"/>
  <c r="N1119" i="6"/>
  <c r="O1119" i="6"/>
  <c r="M1115" i="6"/>
  <c r="N1115" i="6"/>
  <c r="O1115" i="6"/>
  <c r="M1116" i="6"/>
  <c r="N1116" i="6"/>
  <c r="O1116" i="6"/>
  <c r="M1117" i="6"/>
  <c r="N1117" i="6"/>
  <c r="O1117" i="6"/>
  <c r="M1118" i="6"/>
  <c r="N1118" i="6"/>
  <c r="O1118" i="6"/>
  <c r="M1120" i="6"/>
  <c r="N1120" i="6"/>
  <c r="O1120" i="6"/>
  <c r="M1104" i="6"/>
  <c r="N1104" i="6"/>
  <c r="O1104" i="6"/>
  <c r="M1122" i="6"/>
  <c r="N1122" i="6"/>
  <c r="O1122" i="6"/>
  <c r="M1123" i="6"/>
  <c r="N1123" i="6"/>
  <c r="O1123" i="6"/>
  <c r="M1124" i="6"/>
  <c r="N1124" i="6"/>
  <c r="O1124" i="6"/>
  <c r="M1125" i="6"/>
  <c r="N1125" i="6"/>
  <c r="O1125" i="6"/>
  <c r="M1126" i="6"/>
  <c r="N1126" i="6"/>
  <c r="O1126" i="6"/>
  <c r="M1127" i="6"/>
  <c r="N1127" i="6"/>
  <c r="O1127" i="6"/>
  <c r="M1128" i="6"/>
  <c r="N1128" i="6"/>
  <c r="O1128" i="6"/>
  <c r="M1121" i="6"/>
  <c r="N1121" i="6"/>
  <c r="O1121" i="6"/>
  <c r="M1151" i="6"/>
  <c r="N1151" i="6"/>
  <c r="O1151" i="6"/>
  <c r="M1152" i="6"/>
  <c r="N1152" i="6"/>
  <c r="O1152" i="6"/>
  <c r="M1153" i="6"/>
  <c r="N1153" i="6"/>
  <c r="O1153" i="6"/>
  <c r="M1154" i="6"/>
  <c r="N1154" i="6"/>
  <c r="O1154" i="6"/>
  <c r="M1155" i="6"/>
  <c r="N1155" i="6"/>
  <c r="O1155" i="6"/>
  <c r="M1156" i="6"/>
  <c r="N1156" i="6"/>
  <c r="O1156" i="6"/>
  <c r="M1157" i="6"/>
  <c r="N1157" i="6"/>
  <c r="O1157" i="6"/>
  <c r="M1158" i="6"/>
  <c r="N1158" i="6"/>
  <c r="O1158" i="6"/>
  <c r="M1159" i="6"/>
  <c r="N1159" i="6"/>
  <c r="O1159" i="6"/>
  <c r="M1160" i="6"/>
  <c r="N1160" i="6"/>
  <c r="O1160" i="6"/>
  <c r="M1181" i="6"/>
  <c r="N1181" i="6"/>
  <c r="O1181" i="6"/>
  <c r="M1182" i="6"/>
  <c r="N1182" i="6"/>
  <c r="O1182" i="6"/>
  <c r="M1183" i="6"/>
  <c r="N1183" i="6"/>
  <c r="O1183" i="6"/>
  <c r="M1184" i="6"/>
  <c r="N1184" i="6"/>
  <c r="O1184" i="6"/>
  <c r="M1185" i="6"/>
  <c r="N1185" i="6"/>
  <c r="O1185" i="6"/>
  <c r="M1180" i="6"/>
  <c r="N1180" i="6"/>
  <c r="O1180" i="6"/>
  <c r="M1179" i="6"/>
  <c r="N1179" i="6"/>
  <c r="O1179" i="6"/>
  <c r="M1178" i="6"/>
  <c r="N1178" i="6"/>
  <c r="O1178" i="6"/>
  <c r="M1177" i="6"/>
  <c r="N1177" i="6"/>
  <c r="O1177" i="6"/>
  <c r="M1031" i="6"/>
  <c r="N1031" i="6"/>
  <c r="O1031" i="6"/>
  <c r="M1032" i="6"/>
  <c r="N1032" i="6"/>
  <c r="O1032" i="6"/>
  <c r="M1033" i="6"/>
  <c r="N1033" i="6"/>
  <c r="O1033" i="6"/>
  <c r="M1030" i="6"/>
  <c r="N1030" i="6"/>
  <c r="O1030" i="6"/>
  <c r="M1029" i="6"/>
  <c r="N1029" i="6"/>
  <c r="O1029" i="6"/>
  <c r="M1034" i="6"/>
  <c r="N1034" i="6"/>
  <c r="O1034" i="6"/>
  <c r="M1074" i="6"/>
  <c r="N1074" i="6"/>
  <c r="O1074" i="6"/>
  <c r="M1073" i="6"/>
  <c r="N1073" i="6"/>
  <c r="O1073" i="6"/>
  <c r="M1075" i="6"/>
  <c r="N1075" i="6"/>
  <c r="O1075" i="6"/>
  <c r="M1076" i="6"/>
  <c r="N1076" i="6"/>
  <c r="O1076" i="6"/>
  <c r="M1077" i="6"/>
  <c r="N1077" i="6"/>
  <c r="O1077" i="6"/>
  <c r="V140" i="6"/>
  <c r="Z140" i="6" s="1"/>
  <c r="V141" i="6"/>
  <c r="V142" i="6"/>
  <c r="V143" i="6"/>
  <c r="V144" i="6"/>
  <c r="V145" i="6"/>
  <c r="V146" i="6"/>
  <c r="V147" i="6"/>
  <c r="V148" i="6"/>
  <c r="V149" i="6"/>
  <c r="V150" i="6"/>
  <c r="V151" i="6"/>
  <c r="V152" i="6"/>
  <c r="V153" i="6"/>
  <c r="V154" i="6"/>
  <c r="V155" i="6"/>
  <c r="V156" i="6"/>
  <c r="V157" i="6"/>
  <c r="V158" i="6"/>
  <c r="V159" i="6"/>
  <c r="V160" i="6"/>
  <c r="V161" i="6"/>
  <c r="V162" i="6"/>
  <c r="V163" i="6"/>
  <c r="V164" i="6"/>
  <c r="V165" i="6"/>
  <c r="V166" i="6"/>
  <c r="V167" i="6"/>
  <c r="V168" i="6"/>
  <c r="V169" i="6"/>
  <c r="V170" i="6"/>
  <c r="V171" i="6"/>
  <c r="V172" i="6"/>
  <c r="V173" i="6"/>
  <c r="V174" i="6"/>
  <c r="V175" i="6"/>
  <c r="V176" i="6"/>
  <c r="V177" i="6"/>
  <c r="V178" i="6"/>
  <c r="V179" i="6"/>
  <c r="V180" i="6"/>
  <c r="V181" i="6"/>
  <c r="V182" i="6"/>
  <c r="V183" i="6"/>
  <c r="V184" i="6"/>
  <c r="V185" i="6"/>
  <c r="V186" i="6"/>
  <c r="V187" i="6"/>
  <c r="V188" i="6"/>
  <c r="V189" i="6"/>
  <c r="V190" i="6"/>
  <c r="V191" i="6"/>
  <c r="V192" i="6"/>
  <c r="V193" i="6"/>
  <c r="V194" i="6"/>
  <c r="V195" i="6"/>
  <c r="V196" i="6"/>
  <c r="V197" i="6"/>
  <c r="V198" i="6"/>
  <c r="V199" i="6"/>
  <c r="V200" i="6"/>
  <c r="V201" i="6"/>
  <c r="V202" i="6"/>
  <c r="V203" i="6"/>
  <c r="V204" i="6"/>
  <c r="V205" i="6"/>
  <c r="V206" i="6"/>
  <c r="V207" i="6"/>
  <c r="V208" i="6"/>
  <c r="V209" i="6"/>
  <c r="V210" i="6"/>
  <c r="V211" i="6"/>
  <c r="V212" i="6"/>
  <c r="V213" i="6"/>
  <c r="V214" i="6"/>
  <c r="V215" i="6"/>
  <c r="V216" i="6"/>
  <c r="V217" i="6"/>
  <c r="V218" i="6"/>
  <c r="V219" i="6"/>
  <c r="V220" i="6"/>
  <c r="V221" i="6"/>
  <c r="V222" i="6"/>
  <c r="V223" i="6"/>
  <c r="V224" i="6"/>
  <c r="V225" i="6"/>
  <c r="V226" i="6"/>
  <c r="V227" i="6"/>
  <c r="V228" i="6"/>
  <c r="V229" i="6"/>
  <c r="V230" i="6"/>
  <c r="V231" i="6"/>
  <c r="V232" i="6"/>
  <c r="V233" i="6"/>
  <c r="V234" i="6"/>
  <c r="V235" i="6"/>
  <c r="V236" i="6"/>
  <c r="V237" i="6"/>
  <c r="V238" i="6"/>
  <c r="V239" i="6"/>
  <c r="V240" i="6"/>
  <c r="V241" i="6"/>
  <c r="V242" i="6"/>
  <c r="V243" i="6"/>
  <c r="V244" i="6"/>
  <c r="V245" i="6"/>
  <c r="V246" i="6"/>
  <c r="V247" i="6"/>
  <c r="V248" i="6"/>
  <c r="V249" i="6"/>
  <c r="V250" i="6"/>
  <c r="V251" i="6"/>
  <c r="V252" i="6"/>
  <c r="V253" i="6"/>
  <c r="V254" i="6"/>
  <c r="V255" i="6"/>
  <c r="V256" i="6"/>
  <c r="V257" i="6"/>
  <c r="V258" i="6"/>
  <c r="V259" i="6"/>
  <c r="V260" i="6"/>
  <c r="V261" i="6"/>
  <c r="V262" i="6"/>
  <c r="V263" i="6"/>
  <c r="V264" i="6"/>
  <c r="V265" i="6"/>
  <c r="V266" i="6"/>
  <c r="V267" i="6"/>
  <c r="V268" i="6"/>
  <c r="V269" i="6"/>
  <c r="V270" i="6"/>
  <c r="V271" i="6"/>
  <c r="V272" i="6"/>
  <c r="V273" i="6"/>
  <c r="V274" i="6"/>
  <c r="V275" i="6"/>
  <c r="V276" i="6"/>
  <c r="V277" i="6"/>
  <c r="V278" i="6"/>
  <c r="V279" i="6"/>
  <c r="V280" i="6"/>
  <c r="V281" i="6"/>
  <c r="V282" i="6"/>
  <c r="V283" i="6"/>
  <c r="V284" i="6"/>
  <c r="V285" i="6"/>
  <c r="V286" i="6"/>
  <c r="V287" i="6"/>
  <c r="V288" i="6"/>
  <c r="V289" i="6"/>
  <c r="V290" i="6"/>
  <c r="V291" i="6"/>
  <c r="V292" i="6"/>
  <c r="V293" i="6"/>
  <c r="V294" i="6"/>
  <c r="V295" i="6"/>
  <c r="V296" i="6"/>
  <c r="V297" i="6"/>
  <c r="V298" i="6"/>
  <c r="V299" i="6"/>
  <c r="V300" i="6"/>
  <c r="U140" i="6"/>
  <c r="U141" i="6"/>
  <c r="U142" i="6"/>
  <c r="U143" i="6"/>
  <c r="U144" i="6"/>
  <c r="U145" i="6"/>
  <c r="U146" i="6"/>
  <c r="U147" i="6"/>
  <c r="U148" i="6"/>
  <c r="U149" i="6"/>
  <c r="U150" i="6"/>
  <c r="U151" i="6"/>
  <c r="U152" i="6"/>
  <c r="U153" i="6"/>
  <c r="U154" i="6"/>
  <c r="U155" i="6"/>
  <c r="U156" i="6"/>
  <c r="U157" i="6"/>
  <c r="U158" i="6"/>
  <c r="U159" i="6"/>
  <c r="U160" i="6"/>
  <c r="U161" i="6"/>
  <c r="U162" i="6"/>
  <c r="U163" i="6"/>
  <c r="U164" i="6"/>
  <c r="U165" i="6"/>
  <c r="U166" i="6"/>
  <c r="U167" i="6"/>
  <c r="U168" i="6"/>
  <c r="U169" i="6"/>
  <c r="U170" i="6"/>
  <c r="U171" i="6"/>
  <c r="U172" i="6"/>
  <c r="U173" i="6"/>
  <c r="U174" i="6"/>
  <c r="U175" i="6"/>
  <c r="U176" i="6"/>
  <c r="U177" i="6"/>
  <c r="U178" i="6"/>
  <c r="U179" i="6"/>
  <c r="U180" i="6"/>
  <c r="U181" i="6"/>
  <c r="U182" i="6"/>
  <c r="U183" i="6"/>
  <c r="U184" i="6"/>
  <c r="U185" i="6"/>
  <c r="U186" i="6"/>
  <c r="U187" i="6"/>
  <c r="U188" i="6"/>
  <c r="U189" i="6"/>
  <c r="U190" i="6"/>
  <c r="U191" i="6"/>
  <c r="U192" i="6"/>
  <c r="U193" i="6"/>
  <c r="U194" i="6"/>
  <c r="U195" i="6"/>
  <c r="U196" i="6"/>
  <c r="U197" i="6"/>
  <c r="U198" i="6"/>
  <c r="U199" i="6"/>
  <c r="U200" i="6"/>
  <c r="U201" i="6"/>
  <c r="U202" i="6"/>
  <c r="U203" i="6"/>
  <c r="U204" i="6"/>
  <c r="U205" i="6"/>
  <c r="U206" i="6"/>
  <c r="U207" i="6"/>
  <c r="U208" i="6"/>
  <c r="U209" i="6"/>
  <c r="U210" i="6"/>
  <c r="U211" i="6"/>
  <c r="U212" i="6"/>
  <c r="U213" i="6"/>
  <c r="U214" i="6"/>
  <c r="U215" i="6"/>
  <c r="U216" i="6"/>
  <c r="U217" i="6"/>
  <c r="U218" i="6"/>
  <c r="U219" i="6"/>
  <c r="U220" i="6"/>
  <c r="U221" i="6"/>
  <c r="U222" i="6"/>
  <c r="U223" i="6"/>
  <c r="U224" i="6"/>
  <c r="U225" i="6"/>
  <c r="U226" i="6"/>
  <c r="U227" i="6"/>
  <c r="U228" i="6"/>
  <c r="U229" i="6"/>
  <c r="U230" i="6"/>
  <c r="U231" i="6"/>
  <c r="U232" i="6"/>
  <c r="U233" i="6"/>
  <c r="U234" i="6"/>
  <c r="U235" i="6"/>
  <c r="U236" i="6"/>
  <c r="U237" i="6"/>
  <c r="U238" i="6"/>
  <c r="U239" i="6"/>
  <c r="U240" i="6"/>
  <c r="U241" i="6"/>
  <c r="U242" i="6"/>
  <c r="U243" i="6"/>
  <c r="U244" i="6"/>
  <c r="U245" i="6"/>
  <c r="U246" i="6"/>
  <c r="U247" i="6"/>
  <c r="U248" i="6"/>
  <c r="U249" i="6"/>
  <c r="U250" i="6"/>
  <c r="U251" i="6"/>
  <c r="U252" i="6"/>
  <c r="U253" i="6"/>
  <c r="U254" i="6"/>
  <c r="U255" i="6"/>
  <c r="U256" i="6"/>
  <c r="U257" i="6"/>
  <c r="U258" i="6"/>
  <c r="U259" i="6"/>
  <c r="U260" i="6"/>
  <c r="U261" i="6"/>
  <c r="U262" i="6"/>
  <c r="U263" i="6"/>
  <c r="U264" i="6"/>
  <c r="U265" i="6"/>
  <c r="U266" i="6"/>
  <c r="U267" i="6"/>
  <c r="U268" i="6"/>
  <c r="U269" i="6"/>
  <c r="U270" i="6"/>
  <c r="U271" i="6"/>
  <c r="U272" i="6"/>
  <c r="U273" i="6"/>
  <c r="U274" i="6"/>
  <c r="U275" i="6"/>
  <c r="U276" i="6"/>
  <c r="U277" i="6"/>
  <c r="U278" i="6"/>
  <c r="U279" i="6"/>
  <c r="U280" i="6"/>
  <c r="U281" i="6"/>
  <c r="U282" i="6"/>
  <c r="U283" i="6"/>
  <c r="U284" i="6"/>
  <c r="U285" i="6"/>
  <c r="U286" i="6"/>
  <c r="U287" i="6"/>
  <c r="U288" i="6"/>
  <c r="U289" i="6"/>
  <c r="U290" i="6"/>
  <c r="U291" i="6"/>
  <c r="U292" i="6"/>
  <c r="U293" i="6"/>
  <c r="U294" i="6"/>
  <c r="U295" i="6"/>
  <c r="U296" i="6"/>
  <c r="U297" i="6"/>
  <c r="U298" i="6"/>
  <c r="U299" i="6"/>
  <c r="U300" i="6"/>
  <c r="G28" i="7"/>
  <c r="H1089" i="6" l="1"/>
  <c r="H1088" i="6"/>
  <c r="M1173" i="6"/>
  <c r="N1173" i="6"/>
  <c r="O1173" i="6"/>
  <c r="M1172" i="6"/>
  <c r="N1172" i="6"/>
  <c r="O1172" i="6"/>
  <c r="M1088" i="6"/>
  <c r="N1088" i="6"/>
  <c r="O1088" i="6"/>
  <c r="M1089" i="6"/>
  <c r="N1089" i="6"/>
  <c r="O1089" i="6"/>
  <c r="M1087" i="6"/>
  <c r="N1087" i="6"/>
  <c r="O1087" i="6"/>
  <c r="M1091" i="6"/>
  <c r="N1091" i="6"/>
  <c r="O1091" i="6"/>
  <c r="M1090" i="6"/>
  <c r="N1090" i="6"/>
  <c r="O1090" i="6"/>
  <c r="M1092" i="6"/>
  <c r="N1092" i="6"/>
  <c r="O1092" i="6"/>
  <c r="M1086" i="6"/>
  <c r="N1086" i="6"/>
  <c r="O1086" i="6"/>
  <c r="H1040" i="6"/>
  <c r="H1039" i="6"/>
  <c r="M1040" i="6" l="1"/>
  <c r="N1040" i="6"/>
  <c r="O1040" i="6"/>
  <c r="M1038" i="6"/>
  <c r="N1038" i="6"/>
  <c r="O1038" i="6"/>
  <c r="M1039" i="6"/>
  <c r="N1039" i="6"/>
  <c r="O1039" i="6"/>
  <c r="M1037" i="6"/>
  <c r="N1037" i="6"/>
  <c r="O1037" i="6"/>
  <c r="M1041" i="6"/>
  <c r="N1041" i="6"/>
  <c r="O1041" i="6"/>
  <c r="M1175" i="6"/>
  <c r="N1175" i="6"/>
  <c r="O1175" i="6"/>
  <c r="M1174" i="6"/>
  <c r="N1174" i="6"/>
  <c r="O1174" i="6"/>
  <c r="M1171" i="6"/>
  <c r="N1171" i="6"/>
  <c r="O1171" i="6"/>
  <c r="M1176" i="6"/>
  <c r="N1176" i="6"/>
  <c r="O1176" i="6"/>
  <c r="B205" i="9"/>
  <c r="B204" i="9"/>
  <c r="B203" i="9"/>
  <c r="B202" i="9"/>
  <c r="B201" i="9"/>
  <c r="B200" i="9"/>
  <c r="B199" i="9"/>
  <c r="B198" i="9"/>
  <c r="B197" i="9"/>
  <c r="B196" i="9"/>
  <c r="B195" i="9"/>
  <c r="B194" i="9"/>
  <c r="H123" i="3" l="1"/>
  <c r="H137" i="3"/>
  <c r="H138" i="3"/>
  <c r="H139" i="3"/>
  <c r="H140" i="3"/>
  <c r="H141" i="3"/>
  <c r="H142" i="3"/>
  <c r="H143" i="3"/>
  <c r="H136" i="3"/>
  <c r="H131" i="3"/>
  <c r="H132" i="3"/>
  <c r="H133" i="3"/>
  <c r="H134" i="3"/>
  <c r="H130" i="3"/>
  <c r="H122" i="3"/>
  <c r="H124" i="3"/>
  <c r="H125" i="3"/>
  <c r="H126" i="3"/>
  <c r="H127" i="3"/>
  <c r="H128" i="3"/>
  <c r="H121" i="3"/>
  <c r="H255" i="3" l="1"/>
  <c r="H256" i="3"/>
  <c r="H257" i="3"/>
  <c r="H258" i="3"/>
  <c r="H259" i="3"/>
  <c r="H260" i="3"/>
  <c r="H261" i="3"/>
  <c r="H262" i="3"/>
  <c r="H263" i="3"/>
  <c r="H264" i="3"/>
  <c r="H265" i="3"/>
  <c r="H254" i="3"/>
  <c r="H267" i="3"/>
  <c r="H268" i="3"/>
  <c r="H282" i="3"/>
  <c r="H283" i="3"/>
  <c r="H284" i="3"/>
  <c r="H285" i="3"/>
  <c r="H286" i="3"/>
  <c r="H287" i="3"/>
  <c r="H288" i="3"/>
  <c r="H289" i="3"/>
  <c r="H290" i="3"/>
  <c r="H291" i="3"/>
  <c r="H292" i="3"/>
  <c r="H281" i="3"/>
  <c r="H295" i="3"/>
  <c r="H294" i="3"/>
  <c r="H278" i="3"/>
  <c r="H279" i="3"/>
  <c r="H277" i="3"/>
  <c r="H307" i="3"/>
  <c r="H308" i="3"/>
  <c r="H309" i="3"/>
  <c r="H310" i="3"/>
  <c r="H311" i="3"/>
  <c r="H312" i="3"/>
  <c r="H313" i="3"/>
  <c r="H306" i="3"/>
  <c r="H316" i="3"/>
  <c r="H317" i="3"/>
  <c r="H318" i="3"/>
  <c r="H319" i="3"/>
  <c r="H315" i="3"/>
  <c r="H324" i="3"/>
  <c r="H325" i="3"/>
  <c r="H326" i="3"/>
  <c r="H327" i="3"/>
  <c r="H328" i="3"/>
  <c r="H329" i="3"/>
  <c r="H330" i="3"/>
  <c r="H323" i="3"/>
  <c r="H341" i="3"/>
  <c r="H333" i="3"/>
  <c r="H334" i="3"/>
  <c r="H335" i="3"/>
  <c r="H336" i="3"/>
  <c r="H337" i="3"/>
  <c r="H338" i="3"/>
  <c r="H332" i="3"/>
  <c r="H251" i="3" l="1"/>
  <c r="H252" i="3"/>
  <c r="H250" i="3"/>
  <c r="Q8" i="3" a="1"/>
  <c r="T17" i="6" a="1"/>
  <c r="O8" i="3" a="1"/>
  <c r="R17" i="6" a="1"/>
  <c r="H218" i="3"/>
  <c r="H219" i="3"/>
  <c r="H217" i="3"/>
  <c r="H213" i="3"/>
  <c r="H214" i="3"/>
  <c r="H215" i="3"/>
  <c r="H212" i="3"/>
  <c r="H207" i="3"/>
  <c r="H208" i="3"/>
  <c r="H209" i="3"/>
  <c r="H210" i="3"/>
  <c r="H206" i="3"/>
  <c r="H348" i="3"/>
  <c r="H347" i="3"/>
  <c r="H346" i="3"/>
  <c r="H344" i="3"/>
  <c r="H343" i="3"/>
  <c r="H360" i="3"/>
  <c r="H359" i="3"/>
  <c r="H364" i="3"/>
  <c r="H363" i="3"/>
  <c r="H362" i="3"/>
  <c r="H366" i="3"/>
  <c r="H367" i="3"/>
  <c r="H368" i="3"/>
  <c r="H371" i="3"/>
  <c r="H372" i="3"/>
  <c r="H373" i="3"/>
  <c r="H374" i="3"/>
  <c r="H375" i="3"/>
  <c r="H376" i="3"/>
  <c r="H377" i="3"/>
  <c r="H370" i="3"/>
  <c r="H392" i="3"/>
  <c r="H393" i="3"/>
  <c r="H394" i="3"/>
  <c r="H395" i="3"/>
  <c r="H396" i="3"/>
  <c r="H397" i="3"/>
  <c r="H391" i="3"/>
  <c r="H400" i="3"/>
  <c r="H399" i="3"/>
  <c r="H405" i="3"/>
  <c r="H406" i="3"/>
  <c r="H407" i="3"/>
  <c r="H408" i="3"/>
  <c r="H409" i="3"/>
  <c r="H410" i="3"/>
  <c r="H411" i="3"/>
  <c r="H404" i="3"/>
  <c r="H414" i="3"/>
  <c r="H415" i="3"/>
  <c r="H416" i="3"/>
  <c r="H417" i="3"/>
  <c r="H413" i="3"/>
  <c r="H420" i="3"/>
  <c r="H421" i="3"/>
  <c r="H422" i="3"/>
  <c r="H423" i="3"/>
  <c r="H424" i="3"/>
  <c r="H425" i="3"/>
  <c r="H426" i="3"/>
  <c r="H419" i="3"/>
  <c r="H437" i="3"/>
  <c r="H438" i="3"/>
  <c r="H439" i="3"/>
  <c r="H440" i="3"/>
  <c r="H441" i="3"/>
  <c r="H442" i="3"/>
  <c r="H436" i="3"/>
  <c r="H445" i="3"/>
  <c r="H444" i="3"/>
  <c r="H450" i="3"/>
  <c r="H451" i="3"/>
  <c r="H452" i="3"/>
  <c r="H453" i="3"/>
  <c r="H454" i="3"/>
  <c r="H455" i="3"/>
  <c r="H456" i="3"/>
  <c r="H449" i="3"/>
  <c r="H459" i="3"/>
  <c r="H460" i="3"/>
  <c r="H461" i="3"/>
  <c r="H462" i="3"/>
  <c r="H458" i="3"/>
  <c r="H465" i="3"/>
  <c r="H466" i="3"/>
  <c r="H467" i="3"/>
  <c r="H468" i="3"/>
  <c r="H469" i="3"/>
  <c r="H470" i="3"/>
  <c r="H471" i="3"/>
  <c r="H464" i="3"/>
  <c r="H477" i="3"/>
  <c r="H478" i="3"/>
  <c r="H479" i="3"/>
  <c r="H480" i="3"/>
  <c r="H481" i="3"/>
  <c r="H482" i="3"/>
  <c r="H483" i="3"/>
  <c r="H476" i="3"/>
  <c r="H191" i="3"/>
  <c r="H192" i="3"/>
  <c r="H193" i="3"/>
  <c r="H194" i="3"/>
  <c r="H190" i="3"/>
  <c r="H162" i="3"/>
  <c r="H163" i="3"/>
  <c r="H164" i="3"/>
  <c r="H161" i="3"/>
  <c r="H156" i="3"/>
  <c r="H157" i="3"/>
  <c r="H158" i="3"/>
  <c r="H159" i="3"/>
  <c r="H155" i="3"/>
  <c r="H101" i="3"/>
  <c r="H102" i="3"/>
  <c r="H100" i="3"/>
  <c r="H92" i="3"/>
  <c r="H93" i="3"/>
  <c r="H94" i="3"/>
  <c r="H95" i="3"/>
  <c r="H96" i="3"/>
  <c r="H97" i="3"/>
  <c r="H98" i="3"/>
  <c r="H91" i="3"/>
  <c r="H87" i="3"/>
  <c r="H88" i="3"/>
  <c r="H89" i="3"/>
  <c r="H86" i="3"/>
  <c r="H81" i="3"/>
  <c r="H82" i="3"/>
  <c r="H83" i="3"/>
  <c r="H84" i="3"/>
  <c r="H80" i="3"/>
  <c r="H68" i="3"/>
  <c r="H67" i="3"/>
  <c r="H66" i="3"/>
  <c r="H58" i="3"/>
  <c r="H59" i="3"/>
  <c r="H60" i="3"/>
  <c r="H61" i="3"/>
  <c r="H62" i="3"/>
  <c r="H63" i="3"/>
  <c r="H64" i="3"/>
  <c r="H57" i="3"/>
  <c r="H53" i="3"/>
  <c r="H54" i="3"/>
  <c r="H55" i="3"/>
  <c r="H52" i="3"/>
  <c r="H47" i="3"/>
  <c r="H48" i="3"/>
  <c r="H49" i="3"/>
  <c r="H50" i="3"/>
  <c r="H46" i="3"/>
  <c r="H32" i="3"/>
  <c r="H33" i="3"/>
  <c r="H34" i="3"/>
  <c r="H35" i="3"/>
  <c r="H36" i="3"/>
  <c r="H37" i="3"/>
  <c r="H38" i="3"/>
  <c r="H31" i="3"/>
  <c r="H26" i="3"/>
  <c r="H27" i="3"/>
  <c r="H28" i="3"/>
  <c r="H29" i="3"/>
  <c r="H25" i="3"/>
  <c r="H21" i="3"/>
  <c r="H22" i="3"/>
  <c r="H23" i="3"/>
  <c r="H20" i="3"/>
  <c r="H15" i="3"/>
  <c r="H16" i="3"/>
  <c r="H17" i="3"/>
  <c r="H18" i="3"/>
  <c r="H14" i="3"/>
  <c r="H493" i="3"/>
  <c r="H494" i="3"/>
  <c r="H495" i="3"/>
  <c r="H496" i="3"/>
  <c r="H497" i="3"/>
  <c r="H498" i="3"/>
  <c r="H499" i="3"/>
  <c r="H492" i="3"/>
  <c r="H588" i="3"/>
  <c r="H587" i="3"/>
  <c r="H585" i="3"/>
  <c r="H573" i="3"/>
  <c r="H574" i="3"/>
  <c r="H575" i="3"/>
  <c r="H576" i="3"/>
  <c r="H577" i="3"/>
  <c r="H578" i="3"/>
  <c r="H579" i="3"/>
  <c r="H580" i="3"/>
  <c r="H581" i="3"/>
  <c r="H582" i="3"/>
  <c r="H583" i="3"/>
  <c r="H584" i="3"/>
  <c r="H572" i="3"/>
  <c r="H570" i="3"/>
  <c r="H569" i="3"/>
  <c r="H558" i="3"/>
  <c r="H559" i="3"/>
  <c r="H560" i="3"/>
  <c r="H561" i="3"/>
  <c r="H557" i="3"/>
  <c r="H545" i="3"/>
  <c r="H544" i="3"/>
  <c r="H542" i="3"/>
  <c r="H530" i="3"/>
  <c r="H531" i="3"/>
  <c r="H532" i="3"/>
  <c r="H533" i="3"/>
  <c r="H534" i="3"/>
  <c r="H535" i="3"/>
  <c r="H536" i="3"/>
  <c r="H537" i="3"/>
  <c r="H538" i="3"/>
  <c r="H539" i="3"/>
  <c r="H540" i="3"/>
  <c r="H541" i="3"/>
  <c r="H529" i="3"/>
  <c r="H527" i="3"/>
  <c r="H526" i="3"/>
  <c r="H515" i="3"/>
  <c r="H516" i="3"/>
  <c r="H517" i="3"/>
  <c r="H518" i="3"/>
  <c r="H514" i="3"/>
  <c r="H111" i="3"/>
  <c r="H112" i="3"/>
  <c r="H113" i="3"/>
  <c r="H114" i="3"/>
  <c r="H110" i="3"/>
  <c r="H117" i="3"/>
  <c r="H118" i="3"/>
  <c r="H119" i="3"/>
  <c r="H116" i="3"/>
  <c r="H146" i="3"/>
  <c r="H147" i="3"/>
  <c r="H145" i="3"/>
  <c r="S134" i="6" l="1"/>
  <c r="S136" i="6"/>
  <c r="S137" i="6"/>
  <c r="S138" i="6"/>
  <c r="S139" i="6"/>
  <c r="S135" i="6"/>
  <c r="V139" i="6"/>
  <c r="Z139" i="6" s="1"/>
  <c r="U139" i="6"/>
  <c r="V138" i="6"/>
  <c r="Z138" i="6" s="1"/>
  <c r="U138" i="6"/>
  <c r="U137" i="6"/>
  <c r="V137" i="6"/>
  <c r="Z137" i="6" s="1"/>
  <c r="V136" i="6"/>
  <c r="Z136" i="6" s="1"/>
  <c r="U136" i="6"/>
  <c r="U135" i="6"/>
  <c r="V135" i="6"/>
  <c r="Z135" i="6" s="1"/>
  <c r="S130" i="6"/>
  <c r="S131" i="6"/>
  <c r="S132" i="6"/>
  <c r="S133" i="6"/>
  <c r="U134" i="6"/>
  <c r="V134" i="6"/>
  <c r="Z134" i="6" s="1"/>
  <c r="V133" i="6"/>
  <c r="Z133" i="6" s="1"/>
  <c r="U133" i="6"/>
  <c r="V132" i="6"/>
  <c r="Z132" i="6" s="1"/>
  <c r="U132" i="6"/>
  <c r="V131" i="6"/>
  <c r="Z131" i="6" s="1"/>
  <c r="U131" i="6"/>
  <c r="V130" i="6"/>
  <c r="Z130" i="6" s="1"/>
  <c r="U130" i="6"/>
  <c r="S127" i="6"/>
  <c r="S128" i="6"/>
  <c r="S129" i="6"/>
  <c r="V129" i="6"/>
  <c r="Z129" i="6" s="1"/>
  <c r="U129" i="6"/>
  <c r="V128" i="6"/>
  <c r="Z128" i="6" s="1"/>
  <c r="U128" i="6"/>
  <c r="S121" i="6"/>
  <c r="S122" i="6"/>
  <c r="S123" i="6"/>
  <c r="S124" i="6"/>
  <c r="S125" i="6"/>
  <c r="S126" i="6"/>
  <c r="V127" i="6"/>
  <c r="Z127" i="6" s="1"/>
  <c r="U127" i="6"/>
  <c r="U126" i="6"/>
  <c r="V126" i="6"/>
  <c r="Z126" i="6" s="1"/>
  <c r="U125" i="6"/>
  <c r="U124" i="6"/>
  <c r="S120" i="6"/>
  <c r="S119" i="6"/>
  <c r="S118" i="6"/>
  <c r="S115" i="6"/>
  <c r="S117" i="6"/>
  <c r="S116" i="6"/>
  <c r="S113" i="6"/>
  <c r="S114" i="6"/>
  <c r="U123" i="6"/>
  <c r="U122" i="6"/>
  <c r="U121" i="6"/>
  <c r="S108" i="6"/>
  <c r="S109" i="6"/>
  <c r="S110" i="6"/>
  <c r="S111" i="6"/>
  <c r="S112" i="6"/>
  <c r="U119" i="6"/>
  <c r="U120" i="6"/>
  <c r="S105" i="6"/>
  <c r="S106" i="6"/>
  <c r="S107" i="6"/>
  <c r="S102" i="6"/>
  <c r="S103" i="6"/>
  <c r="S104" i="6"/>
  <c r="S100" i="6"/>
  <c r="S21" i="6"/>
  <c r="S101" i="6"/>
  <c r="S22" i="6"/>
  <c r="T17" i="6"/>
  <c r="U17" i="6" s="1"/>
  <c r="U49" i="6"/>
  <c r="P27" i="3"/>
  <c r="P28" i="3"/>
  <c r="P26" i="3"/>
  <c r="R77" i="3"/>
  <c r="R78" i="3"/>
  <c r="P9" i="3"/>
  <c r="P24" i="3"/>
  <c r="P25" i="3"/>
  <c r="R76" i="3"/>
  <c r="R75" i="3"/>
  <c r="U18" i="6"/>
  <c r="R17" i="6"/>
  <c r="S55" i="6"/>
  <c r="S99" i="6"/>
  <c r="R74" i="3"/>
  <c r="S57" i="3"/>
  <c r="S59" i="3"/>
  <c r="P17" i="3"/>
  <c r="O8" i="3"/>
  <c r="P21" i="3"/>
  <c r="P16" i="3"/>
  <c r="P15" i="3"/>
  <c r="P23" i="3"/>
  <c r="P14" i="3"/>
  <c r="P22" i="3"/>
  <c r="P13" i="3"/>
  <c r="P20" i="3"/>
  <c r="P12" i="3"/>
  <c r="P19" i="3"/>
  <c r="P11" i="3"/>
  <c r="P18" i="3"/>
  <c r="P10" i="3"/>
  <c r="Q8" i="3"/>
  <c r="R8" i="3" s="1"/>
  <c r="R73" i="3"/>
  <c r="R64" i="3"/>
  <c r="R72" i="3"/>
  <c r="R57" i="3"/>
  <c r="R58" i="3"/>
  <c r="R66" i="3"/>
  <c r="R67" i="3"/>
  <c r="R60" i="3"/>
  <c r="R69" i="3"/>
  <c r="R62" i="3"/>
  <c r="R63" i="3"/>
  <c r="R65" i="3"/>
  <c r="R59" i="3"/>
  <c r="R68" i="3"/>
  <c r="R61" i="3"/>
  <c r="R70" i="3"/>
  <c r="R71" i="3"/>
  <c r="R52" i="3"/>
  <c r="R44" i="3"/>
  <c r="R36" i="3"/>
  <c r="R28" i="3"/>
  <c r="R20" i="3"/>
  <c r="R12" i="3"/>
  <c r="R51" i="3"/>
  <c r="R43" i="3"/>
  <c r="R35" i="3"/>
  <c r="R27" i="3"/>
  <c r="R19" i="3"/>
  <c r="R11" i="3"/>
  <c r="R10" i="3"/>
  <c r="R56" i="3"/>
  <c r="R48" i="3"/>
  <c r="R40" i="3"/>
  <c r="R32" i="3"/>
  <c r="R24" i="3"/>
  <c r="R16" i="3"/>
  <c r="S52" i="3"/>
  <c r="R55" i="3"/>
  <c r="R47" i="3"/>
  <c r="R39" i="3"/>
  <c r="R31" i="3"/>
  <c r="R23" i="3"/>
  <c r="R15" i="3"/>
  <c r="S50" i="3"/>
  <c r="R54" i="3"/>
  <c r="R46" i="3"/>
  <c r="R38" i="3"/>
  <c r="R30" i="3"/>
  <c r="R22" i="3"/>
  <c r="R14" i="3"/>
  <c r="S49" i="3"/>
  <c r="R53" i="3"/>
  <c r="R45" i="3"/>
  <c r="R37" i="3"/>
  <c r="R29" i="3"/>
  <c r="R21" i="3"/>
  <c r="R13" i="3"/>
  <c r="R50" i="3"/>
  <c r="R42" i="3"/>
  <c r="R34" i="3"/>
  <c r="R26" i="3"/>
  <c r="R18" i="3"/>
  <c r="R49" i="3"/>
  <c r="R41" i="3"/>
  <c r="R33" i="3"/>
  <c r="R25" i="3"/>
  <c r="R17" i="3"/>
  <c r="R9" i="3"/>
  <c r="A2939" i="6" l="1"/>
  <c r="A2937" i="6"/>
  <c r="A2935" i="6"/>
  <c r="A2933" i="6"/>
  <c r="A2943" i="6"/>
  <c r="A2941" i="6"/>
  <c r="A2931" i="6"/>
  <c r="A2929" i="6"/>
  <c r="A2927" i="6"/>
  <c r="A2925" i="6"/>
  <c r="A2923" i="6"/>
  <c r="A2921" i="6"/>
  <c r="A2919" i="6"/>
  <c r="A2870" i="6"/>
  <c r="A2821" i="6"/>
  <c r="A2789" i="6"/>
  <c r="A2757" i="6"/>
  <c r="A2679" i="6"/>
  <c r="A2673" i="6"/>
  <c r="A2656" i="6"/>
  <c r="A2652" i="6"/>
  <c r="A2629" i="6"/>
  <c r="A2626" i="6"/>
  <c r="A2621" i="6"/>
  <c r="A2667" i="6"/>
  <c r="A2622" i="6"/>
  <c r="A2647" i="6"/>
  <c r="A2666" i="6"/>
  <c r="A2662" i="6"/>
  <c r="A2655" i="6"/>
  <c r="A2649" i="6"/>
  <c r="A2643" i="6"/>
  <c r="A2639" i="6"/>
  <c r="A2635" i="6"/>
  <c r="A2632" i="6"/>
  <c r="A2625" i="6"/>
  <c r="A2665" i="6"/>
  <c r="A2631" i="6"/>
  <c r="A2664" i="6"/>
  <c r="A2637" i="6"/>
  <c r="A2675" i="6"/>
  <c r="A2677" i="6"/>
  <c r="A2669" i="6"/>
  <c r="A2659" i="6"/>
  <c r="A2646" i="6"/>
  <c r="A2642" i="6"/>
  <c r="A2624" i="6"/>
  <c r="A2620" i="6"/>
  <c r="A2671" i="6"/>
  <c r="A2661" i="6"/>
  <c r="A2654" i="6"/>
  <c r="A2648" i="6"/>
  <c r="A2638" i="6"/>
  <c r="A2623" i="6"/>
  <c r="A2676" i="6"/>
  <c r="A2657" i="6"/>
  <c r="A2663" i="6"/>
  <c r="A2644" i="6"/>
  <c r="A2636" i="6"/>
  <c r="A2670" i="6"/>
  <c r="A2630" i="6"/>
  <c r="A2672" i="6"/>
  <c r="A2658" i="6"/>
  <c r="A2651" i="6"/>
  <c r="A2645" i="6"/>
  <c r="A2641" i="6"/>
  <c r="A2628" i="6"/>
  <c r="A1162" i="6"/>
  <c r="A2634" i="6"/>
  <c r="A1152" i="6"/>
  <c r="A2668" i="6"/>
  <c r="A2653" i="6"/>
  <c r="A2650" i="6"/>
  <c r="A2640" i="6"/>
  <c r="A2633" i="6"/>
  <c r="A2627" i="6"/>
  <c r="A2660" i="6"/>
  <c r="A1164" i="6"/>
  <c r="A1163" i="6"/>
  <c r="A1166" i="6"/>
  <c r="A1165" i="6"/>
  <c r="A1168" i="6"/>
  <c r="A1167" i="6"/>
  <c r="A1170" i="6"/>
  <c r="A1169" i="6"/>
  <c r="A1161" i="6"/>
  <c r="A1976" i="6"/>
  <c r="A1890" i="6"/>
  <c r="A1105" i="6"/>
  <c r="A1094" i="6"/>
  <c r="A1107" i="6"/>
  <c r="A1106" i="6"/>
  <c r="A1109" i="6"/>
  <c r="A1108" i="6"/>
  <c r="A1111" i="6"/>
  <c r="A1110" i="6"/>
  <c r="A1112" i="6"/>
  <c r="A1114" i="6"/>
  <c r="A1113" i="6"/>
  <c r="A1095" i="6"/>
  <c r="A1087" i="6"/>
  <c r="A1097" i="6"/>
  <c r="A1096" i="6"/>
  <c r="A1099" i="6"/>
  <c r="A1098" i="6"/>
  <c r="A1100" i="6"/>
  <c r="A1102" i="6"/>
  <c r="A1101" i="6"/>
  <c r="A1103" i="6"/>
  <c r="A1093" i="6"/>
  <c r="A1115" i="6"/>
  <c r="A1119" i="6"/>
  <c r="A1117" i="6"/>
  <c r="A1116" i="6"/>
  <c r="A1120" i="6"/>
  <c r="A1118" i="6"/>
  <c r="A1104" i="6"/>
  <c r="A1122" i="6"/>
  <c r="A1123" i="6"/>
  <c r="A1125" i="6"/>
  <c r="A1124" i="6"/>
  <c r="A1127" i="6"/>
  <c r="A1126" i="6"/>
  <c r="A1121" i="6"/>
  <c r="A1128" i="6"/>
  <c r="A1151" i="6"/>
  <c r="A1144" i="6"/>
  <c r="A1153" i="6"/>
  <c r="A1155" i="6"/>
  <c r="A1154" i="6"/>
  <c r="A1157" i="6"/>
  <c r="A1156" i="6"/>
  <c r="A1159" i="6"/>
  <c r="A1158" i="6"/>
  <c r="A1160" i="6"/>
  <c r="A1178" i="6"/>
  <c r="A1174" i="6"/>
  <c r="A1182" i="6"/>
  <c r="A1181" i="6"/>
  <c r="A1184" i="6"/>
  <c r="A1183" i="6"/>
  <c r="A1180" i="6"/>
  <c r="A1185" i="6"/>
  <c r="A1179" i="6"/>
  <c r="A1177" i="6"/>
  <c r="A1030" i="6"/>
  <c r="A1013" i="6"/>
  <c r="A1032" i="6"/>
  <c r="A1031" i="6"/>
  <c r="A1033" i="6"/>
  <c r="A1034" i="6"/>
  <c r="A1029" i="6"/>
  <c r="A2542" i="6"/>
  <c r="A2464" i="6"/>
  <c r="A2373" i="6"/>
  <c r="A2302" i="6"/>
  <c r="A2231" i="6"/>
  <c r="A1074" i="6"/>
  <c r="A1067" i="6"/>
  <c r="A1073" i="6"/>
  <c r="A1076" i="6"/>
  <c r="A1075" i="6"/>
  <c r="A1077" i="6"/>
  <c r="A2089" i="6"/>
  <c r="A2160" i="6"/>
  <c r="A2023" i="6"/>
  <c r="A1173" i="6"/>
  <c r="A1172" i="6"/>
  <c r="K1172" i="6" s="1"/>
  <c r="A1088" i="6"/>
  <c r="A1085" i="6"/>
  <c r="K1085" i="6" s="1"/>
  <c r="A1089" i="6"/>
  <c r="A1090" i="6"/>
  <c r="A1091" i="6"/>
  <c r="A1086" i="6"/>
  <c r="A1092" i="6"/>
  <c r="A1040" i="6"/>
  <c r="A1036" i="6"/>
  <c r="A1038" i="6"/>
  <c r="A1322" i="6"/>
  <c r="A1142" i="6"/>
  <c r="A1079" i="6"/>
  <c r="A919" i="6"/>
  <c r="A793" i="6"/>
  <c r="A417" i="6"/>
  <c r="A239" i="6"/>
  <c r="A1140" i="6"/>
  <c r="A908" i="6"/>
  <c r="A782" i="6"/>
  <c r="A359" i="6"/>
  <c r="A198" i="6"/>
  <c r="A1274" i="6"/>
  <c r="A1138" i="6"/>
  <c r="A1059" i="6"/>
  <c r="A1006" i="6"/>
  <c r="A898" i="6"/>
  <c r="A772" i="6"/>
  <c r="A301" i="6"/>
  <c r="A154" i="6"/>
  <c r="A1231" i="6"/>
  <c r="A1136" i="6"/>
  <c r="A1057" i="6"/>
  <c r="A1000" i="6"/>
  <c r="A887" i="6"/>
  <c r="A714" i="6"/>
  <c r="A297" i="6"/>
  <c r="A110" i="6"/>
  <c r="A1190" i="6"/>
  <c r="A1130" i="6"/>
  <c r="A1055" i="6"/>
  <c r="A977" i="6"/>
  <c r="A870" i="6"/>
  <c r="A655" i="6"/>
  <c r="A293" i="6"/>
  <c r="A61" i="6"/>
  <c r="A1187" i="6"/>
  <c r="A1053" i="6"/>
  <c r="A965" i="6"/>
  <c r="A858" i="6"/>
  <c r="A597" i="6"/>
  <c r="A286" i="6"/>
  <c r="A17" i="6"/>
  <c r="A1302" i="6"/>
  <c r="A1083" i="6"/>
  <c r="A1051" i="6"/>
  <c r="A950" i="6"/>
  <c r="A833" i="6"/>
  <c r="A533" i="6"/>
  <c r="A281" i="6"/>
  <c r="A1081" i="6"/>
  <c r="A1043" i="6"/>
  <c r="A930" i="6"/>
  <c r="A809" i="6"/>
  <c r="A467" i="6"/>
  <c r="A260" i="6"/>
  <c r="A1039" i="6"/>
  <c r="A1041" i="6"/>
  <c r="A1037" i="6"/>
  <c r="A1175" i="6"/>
  <c r="A1176" i="6"/>
  <c r="A1171" i="6"/>
  <c r="AD17" i="6" a="1"/>
  <c r="AD17" i="6" s="1"/>
  <c r="AE17" i="6" s="1" a="1"/>
  <c r="AE17" i="6" s="1"/>
  <c r="A1954" i="6"/>
  <c r="S17" i="6"/>
  <c r="A647" i="3"/>
  <c r="A626" i="3"/>
  <c r="A610" i="3"/>
  <c r="A636" i="3"/>
  <c r="A590" i="3"/>
  <c r="A547" i="3"/>
  <c r="K552" i="3" s="1"/>
  <c r="A1945" i="6"/>
  <c r="A383" i="3"/>
  <c r="K388" i="3" s="1"/>
  <c r="A70" i="3"/>
  <c r="A350" i="3"/>
  <c r="K366" i="3" s="1"/>
  <c r="A40" i="3"/>
  <c r="A297" i="3"/>
  <c r="K347" i="3" s="1"/>
  <c r="A8" i="3"/>
  <c r="A270" i="3"/>
  <c r="K287" i="3" s="1"/>
  <c r="A505" i="3"/>
  <c r="K537" i="3" s="1"/>
  <c r="A245" i="3"/>
  <c r="A489" i="3"/>
  <c r="K497" i="3" s="1"/>
  <c r="A196" i="3"/>
  <c r="K237" i="3" s="1"/>
  <c r="P8" i="3"/>
  <c r="A473" i="3"/>
  <c r="K480" i="3" s="1"/>
  <c r="A149" i="3"/>
  <c r="K187" i="3" s="1"/>
  <c r="A428" i="3"/>
  <c r="K459" i="3" s="1"/>
  <c r="A104" i="3"/>
  <c r="K146" i="3" s="1"/>
  <c r="K2909" i="6" l="1"/>
  <c r="K2860" i="6"/>
  <c r="K2731" i="6"/>
  <c r="K2728" i="6"/>
  <c r="K2727" i="6"/>
  <c r="K2730" i="6"/>
  <c r="K2677" i="6"/>
  <c r="K2669" i="6"/>
  <c r="K2659" i="6"/>
  <c r="K2646" i="6"/>
  <c r="K2627" i="6"/>
  <c r="K2670" i="6"/>
  <c r="K2660" i="6"/>
  <c r="K2630" i="6"/>
  <c r="K2622" i="6"/>
  <c r="K2656" i="6"/>
  <c r="K2621" i="6"/>
  <c r="K2672" i="6"/>
  <c r="K2651" i="6"/>
  <c r="K2628" i="6"/>
  <c r="K2620" i="6"/>
  <c r="K2647" i="6"/>
  <c r="K2662" i="6"/>
  <c r="K2649" i="6"/>
  <c r="K2643" i="6"/>
  <c r="K2639" i="6"/>
  <c r="K2632" i="6"/>
  <c r="K2665" i="6"/>
  <c r="K2661" i="6"/>
  <c r="K2654" i="6"/>
  <c r="K2648" i="6"/>
  <c r="K2638" i="6"/>
  <c r="K2634" i="6"/>
  <c r="K2631" i="6"/>
  <c r="K2650" i="6"/>
  <c r="K2644" i="6"/>
  <c r="K2640" i="6"/>
  <c r="K2652" i="6"/>
  <c r="K2676" i="6"/>
  <c r="K2668" i="6"/>
  <c r="K2623" i="6"/>
  <c r="K2666" i="6"/>
  <c r="K2635" i="6"/>
  <c r="K2594" i="6"/>
  <c r="K2593" i="6"/>
  <c r="K2591" i="6"/>
  <c r="K2590" i="6"/>
  <c r="K2516" i="6"/>
  <c r="K2515" i="6"/>
  <c r="K2513" i="6"/>
  <c r="K2512" i="6"/>
  <c r="K2457" i="6"/>
  <c r="K2456" i="6"/>
  <c r="K2454" i="6"/>
  <c r="K2453" i="6"/>
  <c r="K2421" i="6"/>
  <c r="K2425" i="6"/>
  <c r="K2424" i="6"/>
  <c r="K2422" i="6"/>
  <c r="K2354" i="6"/>
  <c r="K2353" i="6"/>
  <c r="K2351" i="6"/>
  <c r="K2350" i="6"/>
  <c r="K2279" i="6"/>
  <c r="K2283" i="6"/>
  <c r="K2282" i="6"/>
  <c r="K2280" i="6"/>
  <c r="K2212" i="6"/>
  <c r="K2211" i="6"/>
  <c r="K2209" i="6"/>
  <c r="K2208" i="6"/>
  <c r="K2137" i="6"/>
  <c r="K2141" i="6"/>
  <c r="K2140" i="6"/>
  <c r="K2138" i="6"/>
  <c r="K1092" i="6"/>
  <c r="K1088" i="6"/>
  <c r="K1091" i="6"/>
  <c r="K1089" i="6"/>
  <c r="K1090" i="6"/>
  <c r="K1041" i="6"/>
  <c r="K1040" i="6"/>
  <c r="K1175" i="6"/>
  <c r="K1176" i="6"/>
  <c r="K1174" i="6"/>
  <c r="K2044" i="6"/>
  <c r="K631" i="3"/>
  <c r="K654" i="3"/>
  <c r="K646" i="3"/>
  <c r="K644" i="3"/>
  <c r="K634" i="3"/>
  <c r="K632" i="3"/>
  <c r="K638" i="3"/>
  <c r="K636" i="3"/>
  <c r="S77" i="3" s="1"/>
  <c r="K627" i="3"/>
  <c r="K655" i="3"/>
  <c r="K630" i="3"/>
  <c r="K628" i="3"/>
  <c r="K649" i="3"/>
  <c r="K647" i="3"/>
  <c r="S78" i="3" s="1"/>
  <c r="K653" i="3"/>
  <c r="K651" i="3"/>
  <c r="K641" i="3"/>
  <c r="K639" i="3"/>
  <c r="K645" i="3"/>
  <c r="K643" i="3"/>
  <c r="K633" i="3"/>
  <c r="K637" i="3"/>
  <c r="K635" i="3"/>
  <c r="K656" i="3"/>
  <c r="K629" i="3"/>
  <c r="K650" i="3"/>
  <c r="K648" i="3"/>
  <c r="K652" i="3"/>
  <c r="K642" i="3"/>
  <c r="K640" i="3"/>
  <c r="K594" i="3"/>
  <c r="K602" i="3"/>
  <c r="K595" i="3"/>
  <c r="K603" i="3"/>
  <c r="K596" i="3"/>
  <c r="K604" i="3"/>
  <c r="K597" i="3"/>
  <c r="K605" i="3"/>
  <c r="K598" i="3"/>
  <c r="K606" i="3"/>
  <c r="K591" i="3"/>
  <c r="K599" i="3"/>
  <c r="K607" i="3"/>
  <c r="K592" i="3"/>
  <c r="K600" i="3"/>
  <c r="K608" i="3"/>
  <c r="K593" i="3"/>
  <c r="K601" i="3"/>
  <c r="K590" i="3"/>
  <c r="K611" i="3"/>
  <c r="K619" i="3"/>
  <c r="K612" i="3"/>
  <c r="K621" i="3"/>
  <c r="K613" i="3"/>
  <c r="K623" i="3"/>
  <c r="K614" i="3"/>
  <c r="K624" i="3"/>
  <c r="K615" i="3"/>
  <c r="K610" i="3"/>
  <c r="K616" i="3"/>
  <c r="K617" i="3"/>
  <c r="K618" i="3"/>
  <c r="K239" i="3"/>
  <c r="K406" i="3"/>
  <c r="K425" i="3"/>
  <c r="K407" i="3"/>
  <c r="K496" i="3"/>
  <c r="K477" i="3"/>
  <c r="K241" i="3"/>
  <c r="K516" i="3"/>
  <c r="K240" i="3"/>
  <c r="K515" i="3"/>
  <c r="K476" i="3"/>
  <c r="K405" i="3"/>
  <c r="K242" i="3"/>
  <c r="K385" i="3"/>
  <c r="K495" i="3"/>
  <c r="K494" i="3"/>
  <c r="K424" i="3"/>
  <c r="K423" i="3"/>
  <c r="K395" i="3"/>
  <c r="K503" i="3"/>
  <c r="K492" i="3"/>
  <c r="K182" i="3"/>
  <c r="K416" i="3"/>
  <c r="K394" i="3"/>
  <c r="K502" i="3"/>
  <c r="K490" i="3"/>
  <c r="K438" i="3"/>
  <c r="K396" i="3"/>
  <c r="K493" i="3"/>
  <c r="K415" i="3"/>
  <c r="K387" i="3"/>
  <c r="K501" i="3"/>
  <c r="K545" i="3"/>
  <c r="K414" i="3"/>
  <c r="K386" i="3"/>
  <c r="K499" i="3"/>
  <c r="K487" i="3"/>
  <c r="K573" i="3"/>
  <c r="K238" i="3"/>
  <c r="K437" i="3"/>
  <c r="K436" i="3"/>
  <c r="K575" i="3"/>
  <c r="K574" i="3"/>
  <c r="K486" i="3"/>
  <c r="K466" i="3"/>
  <c r="K485" i="3"/>
  <c r="K564" i="3"/>
  <c r="K188" i="3"/>
  <c r="K465" i="3"/>
  <c r="K479" i="3"/>
  <c r="K498" i="3"/>
  <c r="K478" i="3"/>
  <c r="K141" i="3"/>
  <c r="K142" i="3"/>
  <c r="K143" i="3"/>
  <c r="K145" i="3"/>
  <c r="K509" i="3"/>
  <c r="K518" i="3"/>
  <c r="K530" i="3"/>
  <c r="K538" i="3"/>
  <c r="K510" i="3"/>
  <c r="K520" i="3"/>
  <c r="K531" i="3"/>
  <c r="K539" i="3"/>
  <c r="K511" i="3"/>
  <c r="K521" i="3"/>
  <c r="K532" i="3"/>
  <c r="K540" i="3"/>
  <c r="K512" i="3"/>
  <c r="K522" i="3"/>
  <c r="K533" i="3"/>
  <c r="K541" i="3"/>
  <c r="K514" i="3"/>
  <c r="K524" i="3"/>
  <c r="K534" i="3"/>
  <c r="K544" i="3"/>
  <c r="K140" i="3"/>
  <c r="K536" i="3"/>
  <c r="K508" i="3"/>
  <c r="K430" i="3"/>
  <c r="K439" i="3"/>
  <c r="K451" i="3"/>
  <c r="K460" i="3"/>
  <c r="K468" i="3"/>
  <c r="K431" i="3"/>
  <c r="K440" i="3"/>
  <c r="K452" i="3"/>
  <c r="K461" i="3"/>
  <c r="K469" i="3"/>
  <c r="K432" i="3"/>
  <c r="K441" i="3"/>
  <c r="K453" i="3"/>
  <c r="K462" i="3"/>
  <c r="K470" i="3"/>
  <c r="K433" i="3"/>
  <c r="K442" i="3"/>
  <c r="K454" i="3"/>
  <c r="K463" i="3"/>
  <c r="K428" i="3"/>
  <c r="K434" i="3"/>
  <c r="K445" i="3"/>
  <c r="K455" i="3"/>
  <c r="K464" i="3"/>
  <c r="K139" i="3"/>
  <c r="K458" i="3"/>
  <c r="K429" i="3"/>
  <c r="K535" i="3"/>
  <c r="K507" i="3"/>
  <c r="K183" i="3"/>
  <c r="K191" i="3"/>
  <c r="K184" i="3"/>
  <c r="K192" i="3"/>
  <c r="K185" i="3"/>
  <c r="K193" i="3"/>
  <c r="K186" i="3"/>
  <c r="K194" i="3"/>
  <c r="K555" i="3"/>
  <c r="K565" i="3"/>
  <c r="K576" i="3"/>
  <c r="K584" i="3"/>
  <c r="K548" i="3"/>
  <c r="K557" i="3"/>
  <c r="K567" i="3"/>
  <c r="K577" i="3"/>
  <c r="K585" i="3"/>
  <c r="K549" i="3"/>
  <c r="K558" i="3"/>
  <c r="K569" i="3"/>
  <c r="K578" i="3"/>
  <c r="K587" i="3"/>
  <c r="K550" i="3"/>
  <c r="K559" i="3"/>
  <c r="K570" i="3"/>
  <c r="K579" i="3"/>
  <c r="K588" i="3"/>
  <c r="K551" i="3"/>
  <c r="K560" i="3"/>
  <c r="K572" i="3"/>
  <c r="K580" i="3"/>
  <c r="S73" i="3" s="1"/>
  <c r="K547" i="3"/>
  <c r="K138" i="3"/>
  <c r="K456" i="3"/>
  <c r="K529" i="3"/>
  <c r="K506" i="3"/>
  <c r="K563" i="3"/>
  <c r="K137" i="3"/>
  <c r="K450" i="3"/>
  <c r="K527" i="3"/>
  <c r="K583" i="3"/>
  <c r="K561" i="3"/>
  <c r="K190" i="3"/>
  <c r="K449" i="3"/>
  <c r="K526" i="3"/>
  <c r="K582" i="3"/>
  <c r="K554" i="3"/>
  <c r="S74" i="3" s="1"/>
  <c r="K189" i="3"/>
  <c r="K467" i="3"/>
  <c r="K447" i="3"/>
  <c r="K505" i="3"/>
  <c r="K517" i="3"/>
  <c r="K581" i="3"/>
  <c r="K553" i="3"/>
  <c r="K422" i="3"/>
  <c r="K413" i="3"/>
  <c r="K404" i="3"/>
  <c r="K393" i="3"/>
  <c r="K421" i="3"/>
  <c r="K411" i="3"/>
  <c r="K402" i="3"/>
  <c r="K392" i="3"/>
  <c r="K483" i="3"/>
  <c r="K474" i="3"/>
  <c r="K420" i="3"/>
  <c r="K410" i="3"/>
  <c r="K400" i="3"/>
  <c r="K391" i="3"/>
  <c r="K482" i="3"/>
  <c r="K419" i="3"/>
  <c r="K409" i="3"/>
  <c r="K399" i="3"/>
  <c r="K389" i="3"/>
  <c r="K481" i="3"/>
  <c r="K384" i="3"/>
  <c r="K383" i="3"/>
  <c r="K417" i="3"/>
  <c r="K408" i="3"/>
  <c r="K397" i="3"/>
  <c r="H381" i="3"/>
  <c r="H380" i="3"/>
  <c r="H2047" i="6"/>
  <c r="H2048" i="6"/>
  <c r="H2049" i="6"/>
  <c r="H2046" i="6"/>
  <c r="H2077" i="6"/>
  <c r="H2076" i="6"/>
  <c r="H2069" i="6"/>
  <c r="H2072" i="6"/>
  <c r="H2071" i="6"/>
  <c r="H2074" i="6"/>
  <c r="H2075" i="6"/>
  <c r="H2064" i="6"/>
  <c r="H2065" i="6"/>
  <c r="H2066" i="6"/>
  <c r="H2067" i="6"/>
  <c r="H2063" i="6"/>
  <c r="H2061" i="6"/>
  <c r="H2060" i="6"/>
  <c r="H2052" i="6"/>
  <c r="H2053" i="6"/>
  <c r="H2054" i="6"/>
  <c r="H2056" i="6"/>
  <c r="H2057" i="6"/>
  <c r="H2058" i="6"/>
  <c r="H2051" i="6"/>
  <c r="H2080" i="6"/>
  <c r="H2081" i="6"/>
  <c r="H2082" i="6"/>
  <c r="H2083" i="6"/>
  <c r="H2084" i="6"/>
  <c r="H2085" i="6"/>
  <c r="H2086" i="6"/>
  <c r="H2087" i="6"/>
  <c r="H2079" i="6"/>
  <c r="K2077" i="6" l="1"/>
  <c r="K2083" i="6"/>
  <c r="K2054" i="6"/>
  <c r="K2065" i="6"/>
  <c r="K2030" i="6"/>
  <c r="K2041" i="6"/>
  <c r="K2082" i="6"/>
  <c r="K2053" i="6"/>
  <c r="K2064" i="6"/>
  <c r="K2046" i="6"/>
  <c r="K2027" i="6"/>
  <c r="K2033" i="6"/>
  <c r="K2081" i="6"/>
  <c r="K2052" i="6"/>
  <c r="K2075" i="6"/>
  <c r="K2049" i="6"/>
  <c r="K2028" i="6"/>
  <c r="K2025" i="6"/>
  <c r="K2079" i="6"/>
  <c r="K2080" i="6"/>
  <c r="K2060" i="6"/>
  <c r="K2074" i="6"/>
  <c r="K2048" i="6"/>
  <c r="K2023" i="6"/>
  <c r="K2036" i="6"/>
  <c r="K2087" i="6"/>
  <c r="K2051" i="6"/>
  <c r="K2061" i="6"/>
  <c r="K2071" i="6"/>
  <c r="K2039" i="6"/>
  <c r="K2029" i="6"/>
  <c r="K2086" i="6"/>
  <c r="K2058" i="6"/>
  <c r="K2063" i="6"/>
  <c r="V123" i="6" s="1"/>
  <c r="Z123" i="6" s="1"/>
  <c r="K2024" i="6"/>
  <c r="K2042" i="6"/>
  <c r="K2085" i="6"/>
  <c r="K2057" i="6"/>
  <c r="K2067" i="6"/>
  <c r="K2069" i="6"/>
  <c r="K2026" i="6"/>
  <c r="K2034" i="6"/>
  <c r="K2084" i="6"/>
  <c r="K2056" i="6"/>
  <c r="K2066" i="6"/>
  <c r="K2076" i="6"/>
  <c r="K2037" i="6"/>
  <c r="S76" i="3"/>
  <c r="S75" i="3"/>
  <c r="S64" i="3"/>
  <c r="S62" i="3"/>
  <c r="S71" i="3"/>
  <c r="S65" i="3"/>
  <c r="S72" i="3"/>
  <c r="S69" i="3"/>
  <c r="S66" i="3"/>
  <c r="S70" i="3"/>
  <c r="S61" i="3"/>
  <c r="S67" i="3"/>
  <c r="S68" i="3"/>
  <c r="S63" i="3"/>
  <c r="H1772" i="6"/>
  <c r="H1773" i="6"/>
  <c r="H1776" i="6"/>
  <c r="H1775" i="6"/>
  <c r="H1774" i="6"/>
  <c r="H1770" i="6"/>
  <c r="H1768" i="6"/>
  <c r="H1767" i="6"/>
  <c r="H1766" i="6"/>
  <c r="H1765" i="6"/>
  <c r="H1764" i="6"/>
  <c r="H1758" i="6"/>
  <c r="H1759" i="6"/>
  <c r="H1760" i="6"/>
  <c r="H1761" i="6"/>
  <c r="H1762" i="6"/>
  <c r="H1757" i="6"/>
  <c r="H1822" i="6"/>
  <c r="H1821" i="6"/>
  <c r="H1820" i="6"/>
  <c r="H1819" i="6"/>
  <c r="H1818" i="6"/>
  <c r="H1816" i="6"/>
  <c r="H1814" i="6"/>
  <c r="H1813" i="6"/>
  <c r="H1812" i="6"/>
  <c r="H1811" i="6"/>
  <c r="H1810" i="6"/>
  <c r="H1804" i="6"/>
  <c r="H1805" i="6"/>
  <c r="H1806" i="6"/>
  <c r="H1807" i="6"/>
  <c r="H1808" i="6"/>
  <c r="H1803" i="6"/>
  <c r="H1876" i="6"/>
  <c r="H1875" i="6"/>
  <c r="H1874" i="6"/>
  <c r="H1873" i="6"/>
  <c r="H1872" i="6"/>
  <c r="H1870" i="6"/>
  <c r="H1868" i="6"/>
  <c r="H1867" i="6"/>
  <c r="H1866" i="6"/>
  <c r="H1865" i="6"/>
  <c r="H1864" i="6"/>
  <c r="H1857" i="6"/>
  <c r="H1858" i="6"/>
  <c r="H1859" i="6"/>
  <c r="H1860" i="6"/>
  <c r="H1861" i="6"/>
  <c r="H1862" i="6"/>
  <c r="H1931" i="6"/>
  <c r="H1930" i="6"/>
  <c r="H1929" i="6"/>
  <c r="H1928" i="6"/>
  <c r="H1927" i="6"/>
  <c r="H1925" i="6"/>
  <c r="H1923" i="6"/>
  <c r="H1922" i="6"/>
  <c r="H1921" i="6"/>
  <c r="H1920" i="6"/>
  <c r="H1919" i="6"/>
  <c r="H1917" i="6"/>
  <c r="H1916" i="6"/>
  <c r="H1915" i="6"/>
  <c r="H1914" i="6"/>
  <c r="H1913" i="6"/>
  <c r="H1912" i="6"/>
  <c r="H1266" i="6"/>
  <c r="H1265" i="6"/>
  <c r="H1263" i="6"/>
  <c r="H1262" i="6"/>
  <c r="H1260" i="6"/>
  <c r="K351" i="3" l="1"/>
  <c r="K352" i="3"/>
  <c r="K353" i="3"/>
  <c r="K354" i="3"/>
  <c r="K355" i="3"/>
  <c r="K356" i="3"/>
  <c r="K357" i="3"/>
  <c r="K359" i="3"/>
  <c r="K360" i="3"/>
  <c r="K362" i="3"/>
  <c r="K363" i="3"/>
  <c r="K368" i="3"/>
  <c r="K370" i="3"/>
  <c r="K371" i="3"/>
  <c r="K372" i="3"/>
  <c r="K373" i="3"/>
  <c r="K374" i="3"/>
  <c r="K375" i="3"/>
  <c r="K376" i="3"/>
  <c r="K377" i="3"/>
  <c r="K350" i="3"/>
  <c r="K298" i="3"/>
  <c r="K299" i="3"/>
  <c r="K300" i="3"/>
  <c r="K301" i="3"/>
  <c r="K302" i="3"/>
  <c r="K303" i="3"/>
  <c r="K304" i="3"/>
  <c r="K306" i="3"/>
  <c r="K307" i="3"/>
  <c r="K308" i="3"/>
  <c r="K309" i="3"/>
  <c r="K310" i="3"/>
  <c r="K311" i="3"/>
  <c r="K312" i="3"/>
  <c r="K313" i="3"/>
  <c r="K315" i="3"/>
  <c r="K316" i="3"/>
  <c r="K317" i="3"/>
  <c r="K318" i="3"/>
  <c r="K319" i="3"/>
  <c r="K321" i="3"/>
  <c r="S48" i="3" s="1"/>
  <c r="K323" i="3"/>
  <c r="K324" i="3"/>
  <c r="K325" i="3"/>
  <c r="S53" i="3" s="1"/>
  <c r="K326" i="3"/>
  <c r="S54" i="3" s="1"/>
  <c r="K327" i="3"/>
  <c r="S55" i="3" s="1"/>
  <c r="K328" i="3"/>
  <c r="S56" i="3" s="1"/>
  <c r="K329" i="3"/>
  <c r="K330" i="3"/>
  <c r="K332" i="3"/>
  <c r="K333" i="3"/>
  <c r="K334" i="3"/>
  <c r="K335" i="3"/>
  <c r="K336" i="3"/>
  <c r="K337" i="3"/>
  <c r="K338" i="3"/>
  <c r="S58" i="3" s="1"/>
  <c r="K341" i="3"/>
  <c r="K343" i="3"/>
  <c r="K344" i="3"/>
  <c r="K346" i="3"/>
  <c r="K297" i="3"/>
  <c r="K271" i="3"/>
  <c r="K272" i="3"/>
  <c r="K273" i="3"/>
  <c r="K274" i="3"/>
  <c r="K276" i="3"/>
  <c r="K277" i="3"/>
  <c r="K278" i="3"/>
  <c r="K279" i="3"/>
  <c r="K281" i="3"/>
  <c r="K282" i="3"/>
  <c r="K283" i="3"/>
  <c r="K284" i="3"/>
  <c r="K285" i="3"/>
  <c r="K286" i="3"/>
  <c r="K288" i="3"/>
  <c r="K289" i="3"/>
  <c r="K290" i="3"/>
  <c r="K292" i="3"/>
  <c r="K295" i="3"/>
  <c r="K270" i="3"/>
  <c r="K246" i="3"/>
  <c r="K247" i="3"/>
  <c r="K249" i="3"/>
  <c r="K250" i="3"/>
  <c r="K251" i="3"/>
  <c r="K252" i="3"/>
  <c r="K254" i="3"/>
  <c r="K255" i="3"/>
  <c r="K256" i="3"/>
  <c r="K257" i="3"/>
  <c r="K258" i="3"/>
  <c r="K259" i="3"/>
  <c r="K260" i="3"/>
  <c r="K261" i="3"/>
  <c r="K262" i="3"/>
  <c r="K263" i="3"/>
  <c r="K265" i="3"/>
  <c r="K268" i="3"/>
  <c r="K245" i="3"/>
  <c r="K197" i="3"/>
  <c r="K198" i="3"/>
  <c r="K199" i="3"/>
  <c r="K200" i="3"/>
  <c r="K201" i="3"/>
  <c r="K202" i="3"/>
  <c r="K203" i="3"/>
  <c r="K204" i="3"/>
  <c r="K206" i="3"/>
  <c r="K207" i="3"/>
  <c r="K208" i="3"/>
  <c r="K209" i="3"/>
  <c r="K210" i="3"/>
  <c r="K212" i="3"/>
  <c r="K213" i="3"/>
  <c r="K214" i="3"/>
  <c r="K215" i="3"/>
  <c r="K217" i="3"/>
  <c r="K218" i="3"/>
  <c r="K221" i="3"/>
  <c r="K222" i="3"/>
  <c r="K223" i="3"/>
  <c r="K224" i="3"/>
  <c r="K225" i="3"/>
  <c r="K226" i="3"/>
  <c r="K227" i="3"/>
  <c r="K228" i="3"/>
  <c r="S37" i="3" s="1"/>
  <c r="K230" i="3"/>
  <c r="K231" i="3"/>
  <c r="K232" i="3"/>
  <c r="K233" i="3"/>
  <c r="K234" i="3"/>
  <c r="K236" i="3"/>
  <c r="K196" i="3"/>
  <c r="K150" i="3"/>
  <c r="K151" i="3"/>
  <c r="K152" i="3"/>
  <c r="K153" i="3"/>
  <c r="K155" i="3"/>
  <c r="K156" i="3"/>
  <c r="K157" i="3"/>
  <c r="K158" i="3"/>
  <c r="K159" i="3"/>
  <c r="K161" i="3"/>
  <c r="K162" i="3"/>
  <c r="K163" i="3"/>
  <c r="K164" i="3"/>
  <c r="K166" i="3"/>
  <c r="K167" i="3"/>
  <c r="K168" i="3"/>
  <c r="K169" i="3"/>
  <c r="K170" i="3"/>
  <c r="K171" i="3"/>
  <c r="K172" i="3"/>
  <c r="K173" i="3"/>
  <c r="K175" i="3"/>
  <c r="K176" i="3"/>
  <c r="K177" i="3"/>
  <c r="K178" i="3"/>
  <c r="K179" i="3"/>
  <c r="K181" i="3"/>
  <c r="K149" i="3"/>
  <c r="K105" i="3"/>
  <c r="K106" i="3"/>
  <c r="K107" i="3"/>
  <c r="K108" i="3"/>
  <c r="K110" i="3"/>
  <c r="K111" i="3"/>
  <c r="K112" i="3"/>
  <c r="K113" i="3"/>
  <c r="K114" i="3"/>
  <c r="K116" i="3"/>
  <c r="K117" i="3"/>
  <c r="K118" i="3"/>
  <c r="K119" i="3"/>
  <c r="K121" i="3"/>
  <c r="K122" i="3"/>
  <c r="K123" i="3"/>
  <c r="K124" i="3"/>
  <c r="K125" i="3"/>
  <c r="K126" i="3"/>
  <c r="K127" i="3"/>
  <c r="K128" i="3"/>
  <c r="K130" i="3"/>
  <c r="K131" i="3"/>
  <c r="K132" i="3"/>
  <c r="K133" i="3"/>
  <c r="K134" i="3"/>
  <c r="K136" i="3"/>
  <c r="K147" i="3"/>
  <c r="K104" i="3"/>
  <c r="K71" i="3"/>
  <c r="K72" i="3"/>
  <c r="K73" i="3"/>
  <c r="K74" i="3"/>
  <c r="K75" i="3"/>
  <c r="K76" i="3"/>
  <c r="K77" i="3"/>
  <c r="K78" i="3"/>
  <c r="K80" i="3"/>
  <c r="K81" i="3"/>
  <c r="K82" i="3"/>
  <c r="K83" i="3"/>
  <c r="K84" i="3"/>
  <c r="K86" i="3"/>
  <c r="K87" i="3"/>
  <c r="K88" i="3"/>
  <c r="K89" i="3"/>
  <c r="K91" i="3"/>
  <c r="K92" i="3"/>
  <c r="K93" i="3"/>
  <c r="K94" i="3"/>
  <c r="K95" i="3"/>
  <c r="K96" i="3"/>
  <c r="K97" i="3"/>
  <c r="K99" i="3"/>
  <c r="K100" i="3"/>
  <c r="K101" i="3"/>
  <c r="K70" i="3"/>
  <c r="K41" i="3"/>
  <c r="K42" i="3"/>
  <c r="K43" i="3"/>
  <c r="K44" i="3"/>
  <c r="K46" i="3"/>
  <c r="K47" i="3"/>
  <c r="K48" i="3"/>
  <c r="K49" i="3"/>
  <c r="K50" i="3"/>
  <c r="K52" i="3"/>
  <c r="K53" i="3"/>
  <c r="K54" i="3"/>
  <c r="K55" i="3"/>
  <c r="K57" i="3"/>
  <c r="K58" i="3"/>
  <c r="K59" i="3"/>
  <c r="K60" i="3"/>
  <c r="K61" i="3"/>
  <c r="K62" i="3"/>
  <c r="K63" i="3"/>
  <c r="K66" i="3"/>
  <c r="S28" i="3" s="1"/>
  <c r="K67" i="3"/>
  <c r="K68" i="3"/>
  <c r="K40" i="3"/>
  <c r="K9" i="3"/>
  <c r="K10" i="3"/>
  <c r="K11" i="3"/>
  <c r="K12" i="3"/>
  <c r="K14" i="3"/>
  <c r="K15" i="3"/>
  <c r="K16" i="3"/>
  <c r="K17" i="3"/>
  <c r="K18" i="3"/>
  <c r="K20" i="3"/>
  <c r="K21" i="3"/>
  <c r="K22" i="3"/>
  <c r="K23" i="3"/>
  <c r="K25" i="3"/>
  <c r="K26" i="3"/>
  <c r="K27" i="3"/>
  <c r="K28" i="3"/>
  <c r="K29" i="3"/>
  <c r="S22" i="3" s="1"/>
  <c r="K31" i="3"/>
  <c r="K32" i="3"/>
  <c r="K33" i="3"/>
  <c r="K34" i="3"/>
  <c r="K35" i="3"/>
  <c r="K36" i="3"/>
  <c r="K37" i="3"/>
  <c r="K8" i="3"/>
  <c r="H1223" i="6"/>
  <c r="H1272" i="6"/>
  <c r="H1271" i="6"/>
  <c r="H1269" i="6"/>
  <c r="H1268" i="6"/>
  <c r="H1881" i="6"/>
  <c r="H1880" i="6"/>
  <c r="H1878" i="6"/>
  <c r="H1824" i="6"/>
  <c r="H1826" i="6"/>
  <c r="H1827" i="6"/>
  <c r="H1778" i="6"/>
  <c r="H1781" i="6"/>
  <c r="H1780" i="6"/>
  <c r="H1788" i="6"/>
  <c r="H1787" i="6"/>
  <c r="H1786" i="6"/>
  <c r="H1784" i="6"/>
  <c r="H1783" i="6"/>
  <c r="H1832" i="6"/>
  <c r="H1833" i="6"/>
  <c r="H1834" i="6"/>
  <c r="H1829" i="6"/>
  <c r="H1830" i="6"/>
  <c r="H1888" i="6"/>
  <c r="H1887" i="6"/>
  <c r="H1886" i="6"/>
  <c r="H1884" i="6"/>
  <c r="H1883" i="6"/>
  <c r="H1850" i="6"/>
  <c r="H1851" i="6"/>
  <c r="H1852" i="6"/>
  <c r="H1853" i="6"/>
  <c r="H1854" i="6"/>
  <c r="H1855" i="6"/>
  <c r="H1849" i="6"/>
  <c r="H1845" i="6"/>
  <c r="H1846" i="6"/>
  <c r="H1844" i="6"/>
  <c r="H1799" i="6"/>
  <c r="H1800" i="6"/>
  <c r="H1798" i="6"/>
  <c r="H1754" i="6"/>
  <c r="H1753" i="6"/>
  <c r="H1752" i="6"/>
  <c r="H636" i="6"/>
  <c r="H637" i="6"/>
  <c r="H633" i="6"/>
  <c r="H634" i="6"/>
  <c r="H631" i="6"/>
  <c r="H638" i="6"/>
  <c r="H639" i="6"/>
  <c r="H576" i="6"/>
  <c r="H575" i="6"/>
  <c r="H568" i="6"/>
  <c r="H571" i="6"/>
  <c r="H570" i="6"/>
  <c r="H574" i="6"/>
  <c r="H573" i="6"/>
  <c r="S60" i="3" l="1"/>
  <c r="S21" i="3"/>
  <c r="S29" i="3"/>
  <c r="S46" i="3"/>
  <c r="S51" i="3"/>
  <c r="S47" i="3"/>
  <c r="S30" i="3"/>
  <c r="S39" i="3"/>
  <c r="S38" i="3"/>
  <c r="S45" i="3"/>
  <c r="S14" i="3"/>
  <c r="S43" i="3"/>
  <c r="S27" i="3"/>
  <c r="S44" i="3"/>
  <c r="S9" i="3"/>
  <c r="S34" i="3"/>
  <c r="S20" i="3"/>
  <c r="S26" i="3"/>
  <c r="S13" i="3"/>
  <c r="S18" i="3"/>
  <c r="S12" i="3"/>
  <c r="S33" i="3"/>
  <c r="S36" i="3"/>
  <c r="S40" i="3"/>
  <c r="S16" i="3"/>
  <c r="S32" i="3"/>
  <c r="S42" i="3"/>
  <c r="S25" i="3"/>
  <c r="S19" i="3"/>
  <c r="S17" i="3"/>
  <c r="S23" i="3"/>
  <c r="S11" i="3"/>
  <c r="S35" i="3"/>
  <c r="S8" i="3"/>
  <c r="S15" i="3"/>
  <c r="S10" i="3"/>
  <c r="S31" i="3"/>
  <c r="S41" i="3"/>
  <c r="S24" i="3"/>
  <c r="H510" i="6"/>
  <c r="H509" i="6"/>
  <c r="H502" i="6"/>
  <c r="H505" i="6"/>
  <c r="H504" i="6"/>
  <c r="H507" i="6"/>
  <c r="H508" i="6"/>
  <c r="H448" i="6"/>
  <c r="H447" i="6"/>
  <c r="H440" i="6"/>
  <c r="H443" i="6"/>
  <c r="H442" i="6"/>
  <c r="H446" i="6"/>
  <c r="H445" i="6"/>
  <c r="H402" i="6"/>
  <c r="H401" i="6"/>
  <c r="H394" i="6"/>
  <c r="H396" i="6"/>
  <c r="H397" i="6"/>
  <c r="H399" i="6"/>
  <c r="H400" i="6"/>
  <c r="H343" i="6"/>
  <c r="H342" i="6"/>
  <c r="H335" i="6"/>
  <c r="H338" i="6"/>
  <c r="H337" i="6"/>
  <c r="H341" i="6"/>
  <c r="H340" i="6"/>
  <c r="H308" i="6"/>
  <c r="H320" i="6"/>
  <c r="H321" i="6"/>
  <c r="H319" i="6"/>
  <c r="H330" i="6"/>
  <c r="H331" i="6"/>
  <c r="H332" i="6"/>
  <c r="H333" i="6"/>
  <c r="H329" i="6"/>
  <c r="H325" i="6"/>
  <c r="H324" i="6"/>
  <c r="H328" i="6"/>
  <c r="H327" i="6"/>
  <c r="H389" i="6"/>
  <c r="H390" i="6"/>
  <c r="H391" i="6"/>
  <c r="H392" i="6"/>
  <c r="H388" i="6"/>
  <c r="H384" i="6"/>
  <c r="H383" i="6"/>
  <c r="H386" i="6"/>
  <c r="H387" i="6"/>
  <c r="H497" i="6"/>
  <c r="H498" i="6"/>
  <c r="H499" i="6"/>
  <c r="H500" i="6"/>
  <c r="H496" i="6"/>
  <c r="H492" i="6"/>
  <c r="H491" i="6"/>
  <c r="H495" i="6"/>
  <c r="H494" i="6"/>
  <c r="H563" i="6"/>
  <c r="H564" i="6"/>
  <c r="H565" i="6"/>
  <c r="H566" i="6"/>
  <c r="H562" i="6"/>
  <c r="H558" i="6"/>
  <c r="H557" i="6"/>
  <c r="H560" i="6"/>
  <c r="H561" i="6"/>
  <c r="H626" i="6"/>
  <c r="H627" i="6"/>
  <c r="H628" i="6"/>
  <c r="H629" i="6"/>
  <c r="H625" i="6"/>
  <c r="H621" i="6"/>
  <c r="H620" i="6"/>
  <c r="H624" i="6"/>
  <c r="H623" i="6"/>
  <c r="H670" i="6"/>
  <c r="H669" i="6"/>
  <c r="H665" i="6"/>
  <c r="H666" i="6"/>
  <c r="H667" i="6"/>
  <c r="H668" i="6"/>
  <c r="H663" i="6"/>
  <c r="H662" i="6"/>
  <c r="H661" i="6"/>
  <c r="H612" i="6"/>
  <c r="H611" i="6"/>
  <c r="H610" i="6"/>
  <c r="H609" i="6"/>
  <c r="H608" i="6"/>
  <c r="H607" i="6"/>
  <c r="H605" i="6"/>
  <c r="H604" i="6"/>
  <c r="H603" i="6"/>
  <c r="H549" i="6"/>
  <c r="H548" i="6"/>
  <c r="H544" i="6"/>
  <c r="H545" i="6"/>
  <c r="H546" i="6"/>
  <c r="H547" i="6"/>
  <c r="H540" i="6"/>
  <c r="H541" i="6"/>
  <c r="H542" i="6"/>
  <c r="H483" i="6"/>
  <c r="H482" i="6"/>
  <c r="H481" i="6"/>
  <c r="H480" i="6"/>
  <c r="H479" i="6"/>
  <c r="H478" i="6"/>
  <c r="H476" i="6"/>
  <c r="H475" i="6"/>
  <c r="H474" i="6"/>
  <c r="H433" i="6"/>
  <c r="H432" i="6"/>
  <c r="H428" i="6"/>
  <c r="H429" i="6"/>
  <c r="H430" i="6"/>
  <c r="H431" i="6"/>
  <c r="H424" i="6"/>
  <c r="H425" i="6"/>
  <c r="H426" i="6"/>
  <c r="H375" i="6"/>
  <c r="H374" i="6"/>
  <c r="H373" i="6"/>
  <c r="H372" i="6"/>
  <c r="H371" i="6"/>
  <c r="H378" i="6"/>
  <c r="H379" i="6"/>
  <c r="H370" i="6"/>
  <c r="H368" i="6"/>
  <c r="H367" i="6"/>
  <c r="H366" i="6"/>
  <c r="H316" i="6"/>
  <c r="H315" i="6"/>
  <c r="H311" i="6"/>
  <c r="H312" i="6"/>
  <c r="H313" i="6"/>
  <c r="H314" i="6"/>
  <c r="H307" i="6"/>
  <c r="H309" i="6"/>
  <c r="H725" i="6" l="1"/>
  <c r="H721" i="6"/>
  <c r="H743" i="6"/>
  <c r="H679" i="6" l="1"/>
  <c r="H678" i="6"/>
  <c r="H684" i="6"/>
  <c r="H685" i="6"/>
  <c r="H686" i="6"/>
  <c r="H687" i="6"/>
  <c r="H683" i="6"/>
  <c r="H681" i="6"/>
  <c r="H682" i="6"/>
  <c r="H691" i="6"/>
  <c r="H692" i="6"/>
  <c r="H689" i="6"/>
  <c r="H697" i="6"/>
  <c r="H696" i="6"/>
  <c r="H694" i="6"/>
  <c r="H695" i="6"/>
  <c r="H722" i="6"/>
  <c r="H727" i="6"/>
  <c r="H726" i="6"/>
  <c r="H724" i="6"/>
  <c r="H729" i="6"/>
  <c r="H728" i="6"/>
  <c r="H720" i="6"/>
  <c r="H744" i="6"/>
  <c r="H745" i="6"/>
  <c r="H746" i="6"/>
  <c r="H742" i="6"/>
  <c r="H738" i="6"/>
  <c r="H737" i="6"/>
  <c r="H741" i="6"/>
  <c r="H740" i="6"/>
  <c r="H756" i="6"/>
  <c r="H755" i="6"/>
  <c r="H748" i="6"/>
  <c r="H751" i="6"/>
  <c r="H750" i="6"/>
  <c r="H754" i="6"/>
  <c r="H753" i="6"/>
  <c r="H760" i="6"/>
  <c r="H759" i="6"/>
  <c r="H764" i="6"/>
  <c r="H762" i="6"/>
  <c r="H763" i="6"/>
  <c r="H704" i="6"/>
  <c r="H703" i="6"/>
  <c r="H705" i="6"/>
  <c r="H701" i="6"/>
  <c r="H700" i="6"/>
  <c r="H645" i="6"/>
  <c r="H646" i="6"/>
  <c r="H643" i="6"/>
  <c r="H642" i="6"/>
  <c r="H647" i="6"/>
  <c r="H583" i="6"/>
  <c r="H582" i="6"/>
  <c r="H580" i="6"/>
  <c r="H579" i="6"/>
  <c r="H584" i="6"/>
  <c r="H516" i="6"/>
  <c r="H517" i="6"/>
  <c r="H514" i="6"/>
  <c r="H513" i="6"/>
  <c r="H518" i="6"/>
  <c r="H452" i="6"/>
  <c r="H451" i="6"/>
  <c r="H456" i="6"/>
  <c r="H455" i="6"/>
  <c r="H454" i="6"/>
  <c r="H406" i="6"/>
  <c r="H405" i="6"/>
  <c r="H410" i="6"/>
  <c r="H408" i="6"/>
  <c r="H409" i="6"/>
  <c r="H347" i="6"/>
  <c r="H346" i="6"/>
  <c r="H351" i="6"/>
  <c r="H350" i="6"/>
  <c r="H349" i="6"/>
  <c r="H413" i="6"/>
  <c r="H414" i="6"/>
  <c r="H415" i="6"/>
  <c r="H464" i="6"/>
  <c r="H465" i="6"/>
  <c r="H463" i="6"/>
  <c r="H460" i="6"/>
  <c r="H459" i="6"/>
  <c r="H461" i="6"/>
  <c r="H526" i="6"/>
  <c r="H527" i="6"/>
  <c r="H528" i="6"/>
  <c r="H525" i="6"/>
  <c r="H530" i="6"/>
  <c r="H531" i="6"/>
  <c r="H521" i="6"/>
  <c r="H522" i="6"/>
  <c r="H523" i="6"/>
  <c r="H592" i="6"/>
  <c r="H593" i="6"/>
  <c r="H594" i="6"/>
  <c r="H595" i="6"/>
  <c r="H591" i="6"/>
  <c r="H588" i="6"/>
  <c r="H587" i="6"/>
  <c r="H589" i="6"/>
  <c r="H650" i="6"/>
  <c r="H651" i="6"/>
  <c r="H652" i="6"/>
  <c r="H709" i="6"/>
  <c r="H708" i="6"/>
  <c r="H710" i="6"/>
  <c r="H767" i="6"/>
  <c r="H768" i="6"/>
  <c r="H769" i="6"/>
  <c r="H733" i="6"/>
  <c r="H734" i="6"/>
  <c r="H732" i="6"/>
  <c r="H673" i="6"/>
  <c r="H674" i="6"/>
  <c r="H675" i="6"/>
  <c r="H616" i="6"/>
  <c r="H617" i="6"/>
  <c r="H615" i="6"/>
  <c r="H553" i="6"/>
  <c r="H554" i="6"/>
  <c r="H552" i="6"/>
  <c r="H487" i="6"/>
  <c r="H488" i="6"/>
  <c r="H486" i="6"/>
  <c r="H437" i="6"/>
  <c r="H438" i="6"/>
  <c r="H436" i="6"/>
  <c r="H380" i="6"/>
  <c r="H1933" i="6"/>
  <c r="H1935" i="6"/>
  <c r="H1936" i="6"/>
  <c r="H1938" i="6"/>
  <c r="H1939" i="6"/>
  <c r="H1941" i="6"/>
  <c r="H1942" i="6"/>
  <c r="H1943" i="6"/>
  <c r="H1254" i="6" l="1"/>
  <c r="H1255" i="6"/>
  <c r="H1258" i="6"/>
  <c r="H1257" i="6"/>
  <c r="H1248" i="6"/>
  <c r="H1247" i="6"/>
  <c r="H1252" i="6"/>
  <c r="H1250" i="6"/>
  <c r="H1251" i="6"/>
  <c r="H1242" i="6"/>
  <c r="H1243" i="6"/>
  <c r="H1244" i="6"/>
  <c r="H1238" i="6"/>
  <c r="H1239" i="6"/>
  <c r="H1237" i="6"/>
  <c r="H1287" i="6"/>
  <c r="H1286" i="6"/>
  <c r="H1285" i="6"/>
  <c r="H1284" i="6"/>
  <c r="H1282" i="6"/>
  <c r="H1281" i="6"/>
  <c r="H1280" i="6"/>
  <c r="H1291" i="6"/>
  <c r="H1290" i="6"/>
  <c r="H1295" i="6"/>
  <c r="H1293" i="6"/>
  <c r="H1294" i="6"/>
  <c r="H1300" i="6"/>
  <c r="H1298" i="6"/>
  <c r="H1299" i="6"/>
  <c r="H1226" i="6"/>
  <c r="H1225" i="6"/>
  <c r="H1229" i="6"/>
  <c r="H1228" i="6"/>
  <c r="H1220" i="6"/>
  <c r="H1218" i="6"/>
  <c r="H1217" i="6"/>
  <c r="H1221" i="6"/>
  <c r="H1215" i="6"/>
  <c r="H1211" i="6"/>
  <c r="H1210" i="6"/>
  <c r="H1214" i="6"/>
  <c r="H1213" i="6"/>
  <c r="H1206" i="6"/>
  <c r="H1207" i="6"/>
  <c r="H1205" i="6"/>
  <c r="H1197" i="6" l="1"/>
  <c r="H1198" i="6"/>
  <c r="H1196" i="6"/>
  <c r="H1201" i="6"/>
  <c r="H1202" i="6"/>
  <c r="H1200" i="6"/>
  <c r="H354" i="6"/>
  <c r="H353" i="6"/>
  <c r="H357" i="6"/>
  <c r="H356" i="6"/>
  <c r="H1503" i="6"/>
  <c r="H1504" i="6"/>
  <c r="H1505" i="6"/>
  <c r="H1506" i="6"/>
  <c r="H1507" i="6"/>
  <c r="H1508" i="6"/>
  <c r="H1509" i="6"/>
  <c r="H1510" i="6"/>
  <c r="H1511" i="6"/>
  <c r="H1512" i="6"/>
  <c r="H1502" i="6"/>
  <c r="H1515" i="6"/>
  <c r="H1514" i="6"/>
  <c r="H1729" i="6"/>
  <c r="H1730" i="6"/>
  <c r="H1733" i="6"/>
  <c r="H1732" i="6"/>
  <c r="H1688" i="6"/>
  <c r="H1687" i="6"/>
  <c r="H1691" i="6"/>
  <c r="H1690" i="6"/>
  <c r="H1652" i="6"/>
  <c r="H1651" i="6"/>
  <c r="H1648" i="6"/>
  <c r="H1649" i="6"/>
  <c r="H1613" i="6"/>
  <c r="H1612" i="6"/>
  <c r="H1610" i="6"/>
  <c r="H1609" i="6"/>
  <c r="H1581" i="6"/>
  <c r="H1582" i="6"/>
  <c r="H1583" i="6"/>
  <c r="H1584" i="6"/>
  <c r="H1577" i="6"/>
  <c r="H1578" i="6"/>
  <c r="H1579" i="6"/>
  <c r="H1576" i="6"/>
  <c r="H1616" i="6"/>
  <c r="H1617" i="6"/>
  <c r="H1618" i="6"/>
  <c r="H1619" i="6"/>
  <c r="H1620" i="6"/>
  <c r="H1621" i="6"/>
  <c r="H1622" i="6"/>
  <c r="H1623" i="6"/>
  <c r="H1615" i="6"/>
  <c r="H1602" i="6"/>
  <c r="H1606" i="6"/>
  <c r="H1603" i="6"/>
  <c r="H1604" i="6"/>
  <c r="H1605" i="6"/>
  <c r="H1655" i="6"/>
  <c r="H1656" i="6"/>
  <c r="H1657" i="6"/>
  <c r="H1658" i="6"/>
  <c r="H1659" i="6"/>
  <c r="H1660" i="6"/>
  <c r="H1661" i="6"/>
  <c r="H1662" i="6"/>
  <c r="H1654" i="6"/>
  <c r="H1642" i="6"/>
  <c r="H1643" i="6"/>
  <c r="H1644" i="6"/>
  <c r="H1645" i="6"/>
  <c r="H1641" i="6"/>
  <c r="H1694" i="6"/>
  <c r="H1695" i="6"/>
  <c r="H1696" i="6"/>
  <c r="H1697" i="6"/>
  <c r="H1698" i="6"/>
  <c r="H1699" i="6"/>
  <c r="H1700" i="6"/>
  <c r="H1701" i="6"/>
  <c r="H1693" i="6"/>
  <c r="H1681" i="6"/>
  <c r="H1682" i="6"/>
  <c r="H1683" i="6"/>
  <c r="H1684" i="6"/>
  <c r="H1680" i="6"/>
  <c r="H1723" i="6"/>
  <c r="H1724" i="6"/>
  <c r="H1725" i="6"/>
  <c r="H1726" i="6"/>
  <c r="H1722" i="6"/>
  <c r="H1719" i="6"/>
  <c r="H1720" i="6"/>
  <c r="H1717" i="6"/>
  <c r="H1739" i="6"/>
  <c r="H1677" i="6"/>
  <c r="H1678" i="6"/>
  <c r="H1675" i="6"/>
  <c r="H1636" i="6"/>
  <c r="H1639" i="6"/>
  <c r="H1638" i="6"/>
  <c r="H1599" i="6"/>
  <c r="H1600" i="6"/>
  <c r="H1597" i="6"/>
  <c r="H1571" i="6"/>
  <c r="H1574" i="6"/>
  <c r="H1573" i="6"/>
  <c r="H1552" i="6"/>
  <c r="H1553" i="6"/>
  <c r="H1551" i="6"/>
  <c r="H1537" i="6"/>
  <c r="H1538" i="6"/>
  <c r="H1536" i="6"/>
  <c r="H1518" i="6"/>
  <c r="H1519" i="6"/>
  <c r="H1517" i="6"/>
  <c r="H1476" i="6"/>
  <c r="H1477" i="6"/>
  <c r="H1478" i="6"/>
  <c r="H1479" i="6"/>
  <c r="H1480" i="6"/>
  <c r="H1481" i="6"/>
  <c r="H1482" i="6"/>
  <c r="H1483" i="6"/>
  <c r="H1484" i="6"/>
  <c r="H1485" i="6"/>
  <c r="H1475" i="6"/>
  <c r="H1488" i="6"/>
  <c r="H1487" i="6"/>
  <c r="H1491" i="6"/>
  <c r="H1492" i="6"/>
  <c r="H1490" i="6"/>
  <c r="H1049" i="6"/>
  <c r="H1048" i="6"/>
  <c r="H1046" i="6"/>
  <c r="H1045" i="6"/>
  <c r="H1028" i="6"/>
  <c r="H1027" i="6"/>
  <c r="H1025" i="6"/>
  <c r="H1024" i="6"/>
  <c r="H1018" i="6"/>
  <c r="H1019" i="6"/>
  <c r="H1020" i="6"/>
  <c r="H1021" i="6"/>
  <c r="H1017" i="6"/>
  <c r="H1002" i="6"/>
  <c r="H1003" i="6"/>
  <c r="H1001" i="6"/>
  <c r="H984" i="6"/>
  <c r="H985" i="6"/>
  <c r="H983" i="6"/>
  <c r="H974" i="6"/>
  <c r="H975" i="6"/>
  <c r="H973" i="6"/>
  <c r="H995" i="6"/>
  <c r="H996" i="6"/>
  <c r="H997" i="6"/>
  <c r="H994" i="6"/>
  <c r="H1009" i="6"/>
  <c r="H1010" i="6"/>
  <c r="H1011" i="6"/>
  <c r="H1008" i="6"/>
  <c r="H988" i="6"/>
  <c r="H989" i="6"/>
  <c r="H990" i="6"/>
  <c r="H987" i="6"/>
  <c r="H969" i="6"/>
  <c r="H970" i="6"/>
  <c r="H971" i="6"/>
  <c r="H968" i="6"/>
  <c r="H961" i="6"/>
  <c r="H962" i="6"/>
  <c r="H963" i="6"/>
  <c r="H960" i="6"/>
  <c r="H957" i="6"/>
  <c r="H958" i="6"/>
  <c r="H956" i="6"/>
  <c r="H947" i="6"/>
  <c r="H948" i="6"/>
  <c r="H946" i="6"/>
  <c r="H941" i="6"/>
  <c r="H942" i="6"/>
  <c r="H943" i="6"/>
  <c r="H944" i="6"/>
  <c r="H940" i="6"/>
  <c r="H938" i="6"/>
  <c r="H937" i="6"/>
  <c r="H1453" i="6"/>
  <c r="H1454" i="6"/>
  <c r="H1455" i="6"/>
  <c r="H1456" i="6"/>
  <c r="H1457" i="6"/>
  <c r="H1458" i="6"/>
  <c r="H1459" i="6"/>
  <c r="H1460" i="6"/>
  <c r="H1461" i="6"/>
  <c r="H1462" i="6"/>
  <c r="H1452" i="6"/>
  <c r="H1465" i="6"/>
  <c r="H1464" i="6"/>
  <c r="H1439" i="6"/>
  <c r="H1438" i="6"/>
  <c r="H1436" i="6"/>
  <c r="H1435" i="6"/>
  <c r="H1736" i="6"/>
  <c r="H1737" i="6"/>
  <c r="H1738" i="6"/>
  <c r="H1740" i="6"/>
  <c r="H1741" i="6"/>
  <c r="H1742" i="6"/>
  <c r="H1743" i="6"/>
  <c r="H1735" i="6"/>
  <c r="H1713" i="6"/>
  <c r="H1714" i="6"/>
  <c r="H1715" i="6"/>
  <c r="H1673" i="6"/>
  <c r="H1672" i="6"/>
  <c r="H1671" i="6"/>
  <c r="H1634" i="6"/>
  <c r="H1633" i="6"/>
  <c r="H1632" i="6"/>
  <c r="H1595" i="6"/>
  <c r="H1594" i="6"/>
  <c r="H1593" i="6"/>
  <c r="H1569" i="6"/>
  <c r="H1568" i="6"/>
  <c r="H1567" i="6"/>
  <c r="H1557" i="6"/>
  <c r="H1556" i="6"/>
  <c r="H1555" i="6"/>
  <c r="H1523" i="6"/>
  <c r="H1522" i="6"/>
  <c r="H1521" i="6"/>
  <c r="H1448" i="6"/>
  <c r="H1450" i="6"/>
  <c r="H1449" i="6"/>
  <c r="H1432" i="6"/>
  <c r="H1431" i="6"/>
  <c r="H1430" i="6"/>
  <c r="H1418" i="6"/>
  <c r="H1417" i="6"/>
  <c r="H1416" i="6"/>
  <c r="H1409" i="6"/>
  <c r="H1408" i="6"/>
  <c r="H1406" i="6"/>
  <c r="H1405" i="6"/>
  <c r="H1402" i="6"/>
  <c r="H1401" i="6"/>
  <c r="H1400" i="6"/>
  <c r="H1386" i="6"/>
  <c r="H1385" i="6"/>
  <c r="H1384" i="6"/>
  <c r="H1383" i="6"/>
  <c r="H1377" i="6"/>
  <c r="H1380" i="6"/>
  <c r="H1379" i="6"/>
  <c r="H1360" i="6"/>
  <c r="H1363" i="6"/>
  <c r="H1362" i="6"/>
  <c r="H1358" i="6"/>
  <c r="H1357" i="6"/>
  <c r="H1355" i="6"/>
  <c r="H1354" i="6"/>
  <c r="H1351" i="6"/>
  <c r="H1350" i="6"/>
  <c r="H1349" i="6"/>
  <c r="H1333" i="6"/>
  <c r="H1336" i="6"/>
  <c r="H1335" i="6"/>
  <c r="H1317" i="6"/>
  <c r="H1320" i="6"/>
  <c r="H1319" i="6"/>
  <c r="H1312" i="6"/>
  <c r="H1315" i="6"/>
  <c r="H1314" i="6"/>
  <c r="H1069" i="6"/>
  <c r="H1068" i="6"/>
  <c r="H1072" i="6"/>
  <c r="H1071" i="6"/>
  <c r="H1062" i="6"/>
  <c r="H1061" i="6"/>
  <c r="H1060" i="6"/>
  <c r="H1065" i="6"/>
  <c r="H1064" i="6"/>
  <c r="H1146" i="6"/>
  <c r="H1145" i="6"/>
  <c r="H1150" i="6"/>
  <c r="K1150" i="6" s="1"/>
  <c r="H1149" i="6"/>
  <c r="H1148" i="6"/>
  <c r="H1134" i="6"/>
  <c r="H1133" i="6"/>
  <c r="H1132" i="6"/>
  <c r="H1131" i="6"/>
  <c r="H928" i="6"/>
  <c r="H927" i="6"/>
  <c r="H917" i="6"/>
  <c r="H916" i="6"/>
  <c r="H906" i="6"/>
  <c r="H905" i="6"/>
  <c r="H856" i="6" l="1"/>
  <c r="H855" i="6"/>
  <c r="H854" i="6"/>
  <c r="H853" i="6"/>
  <c r="H851" i="6"/>
  <c r="H850" i="6"/>
  <c r="H849" i="6"/>
  <c r="H848" i="6"/>
  <c r="H831" i="6"/>
  <c r="H830" i="6"/>
  <c r="H829" i="6"/>
  <c r="H828" i="6"/>
  <c r="H826" i="6"/>
  <c r="H825" i="6"/>
  <c r="H824" i="6"/>
  <c r="H823" i="6"/>
  <c r="H227" i="6"/>
  <c r="H230" i="6"/>
  <c r="H229" i="6"/>
  <c r="H220" i="6"/>
  <c r="H219" i="6"/>
  <c r="H218" i="6"/>
  <c r="H216" i="6"/>
  <c r="H210" i="6"/>
  <c r="H209" i="6"/>
  <c r="H208" i="6"/>
  <c r="H213" i="6"/>
  <c r="H212" i="6"/>
  <c r="H276" i="6"/>
  <c r="H279" i="6"/>
  <c r="H278" i="6"/>
  <c r="H192" i="6"/>
  <c r="H195" i="6"/>
  <c r="H194" i="6"/>
  <c r="H190" i="6"/>
  <c r="H189" i="6"/>
  <c r="H188" i="6"/>
  <c r="H186" i="6"/>
  <c r="H180" i="6"/>
  <c r="H179" i="6"/>
  <c r="H178" i="6"/>
  <c r="H183" i="6"/>
  <c r="H182" i="6"/>
  <c r="H161" i="6"/>
  <c r="H162" i="6"/>
  <c r="H164" i="6"/>
  <c r="H165" i="6"/>
  <c r="H148" i="6"/>
  <c r="H151" i="6"/>
  <c r="H150" i="6"/>
  <c r="H146" i="6"/>
  <c r="H145" i="6"/>
  <c r="H144" i="6"/>
  <c r="H142" i="6"/>
  <c r="H136" i="6"/>
  <c r="H135" i="6"/>
  <c r="H134" i="6"/>
  <c r="H139" i="6"/>
  <c r="H138" i="6"/>
  <c r="H121" i="6"/>
  <c r="H120" i="6"/>
  <c r="H118" i="6"/>
  <c r="H117" i="6"/>
  <c r="H203" i="6"/>
  <c r="H202" i="6"/>
  <c r="H201" i="6"/>
  <c r="H200" i="6"/>
  <c r="H199" i="6"/>
  <c r="H101" i="6"/>
  <c r="H102" i="6"/>
  <c r="H99" i="6"/>
  <c r="H98" i="6"/>
  <c r="H104" i="6"/>
  <c r="H107" i="6"/>
  <c r="H106" i="6"/>
  <c r="H92" i="6"/>
  <c r="H91" i="6"/>
  <c r="H90" i="6"/>
  <c r="H95" i="6"/>
  <c r="H94" i="6"/>
  <c r="H68" i="6"/>
  <c r="H69" i="6"/>
  <c r="H72" i="6"/>
  <c r="H71" i="6"/>
  <c r="H53" i="6"/>
  <c r="H52" i="6"/>
  <c r="H51" i="6"/>
  <c r="H50" i="6"/>
  <c r="H49" i="6"/>
  <c r="H223" i="6"/>
  <c r="H224" i="6"/>
  <c r="H225" i="6"/>
  <c r="H222" i="6"/>
  <c r="H174" i="6"/>
  <c r="H175" i="6"/>
  <c r="H176" i="6"/>
  <c r="H173" i="6"/>
  <c r="H130" i="6"/>
  <c r="H131" i="6"/>
  <c r="H132" i="6"/>
  <c r="H129" i="6"/>
  <c r="H124" i="6"/>
  <c r="H125" i="6"/>
  <c r="H126" i="6"/>
  <c r="H127" i="6"/>
  <c r="H123" i="6"/>
  <c r="H86" i="6"/>
  <c r="H87" i="6"/>
  <c r="H88" i="6"/>
  <c r="H85" i="6"/>
  <c r="H80" i="6"/>
  <c r="H81" i="6"/>
  <c r="H82" i="6"/>
  <c r="H83" i="6"/>
  <c r="H79" i="6"/>
  <c r="H76" i="6"/>
  <c r="H77" i="6"/>
  <c r="H75" i="6"/>
  <c r="H258" i="6"/>
  <c r="H255" i="6"/>
  <c r="H257" i="6"/>
  <c r="H55" i="6"/>
  <c r="H57" i="6"/>
  <c r="H58" i="6"/>
  <c r="H45" i="6"/>
  <c r="H46" i="6"/>
  <c r="H43" i="6"/>
  <c r="H42" i="6"/>
  <c r="H41" i="6"/>
  <c r="H1901" i="6"/>
  <c r="H1900" i="6"/>
  <c r="H1899" i="6"/>
  <c r="H1905" i="6"/>
  <c r="H1906" i="6"/>
  <c r="H1907" i="6"/>
  <c r="H1908" i="6"/>
  <c r="H1909" i="6"/>
  <c r="H1910" i="6"/>
  <c r="H1904" i="6"/>
  <c r="AR17" i="6" a="1"/>
  <c r="AR17" i="6" s="1"/>
  <c r="AQ18" i="6"/>
  <c r="AQ19" i="6"/>
  <c r="AQ20" i="6"/>
  <c r="AQ21" i="6"/>
  <c r="AQ22" i="6"/>
  <c r="AQ23" i="6"/>
  <c r="AQ24" i="6"/>
  <c r="AQ25" i="6"/>
  <c r="AQ26" i="6"/>
  <c r="AQ27" i="6"/>
  <c r="AQ28" i="6"/>
  <c r="AQ29" i="6"/>
  <c r="AQ30" i="6"/>
  <c r="AQ31" i="6"/>
  <c r="AQ32" i="6"/>
  <c r="AQ33" i="6"/>
  <c r="AQ34" i="6"/>
  <c r="AQ17" i="6"/>
  <c r="AP18" i="6"/>
  <c r="AP19" i="6"/>
  <c r="AP20" i="6"/>
  <c r="AP21" i="6"/>
  <c r="AP22" i="6"/>
  <c r="AP23" i="6"/>
  <c r="AP24" i="6"/>
  <c r="AP25" i="6"/>
  <c r="AP26" i="6"/>
  <c r="AP27" i="6"/>
  <c r="AP28" i="6"/>
  <c r="AP29" i="6"/>
  <c r="AP30" i="6"/>
  <c r="AP31" i="6"/>
  <c r="AP32" i="6"/>
  <c r="AP33" i="6"/>
  <c r="AP34" i="6"/>
  <c r="AP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856" i="6"/>
  <c r="O856" i="6"/>
  <c r="M855" i="6"/>
  <c r="O855" i="6"/>
  <c r="M854" i="6"/>
  <c r="O854" i="6"/>
  <c r="M853" i="6"/>
  <c r="O853" i="6"/>
  <c r="M852" i="6"/>
  <c r="O852" i="6"/>
  <c r="M851" i="6"/>
  <c r="O851" i="6"/>
  <c r="M831" i="6"/>
  <c r="O831" i="6"/>
  <c r="M830" i="6"/>
  <c r="O830" i="6"/>
  <c r="M829" i="6"/>
  <c r="O829" i="6"/>
  <c r="M828" i="6"/>
  <c r="O828" i="6"/>
  <c r="M827" i="6"/>
  <c r="O827" i="6"/>
  <c r="M826" i="6"/>
  <c r="O826" i="6"/>
  <c r="G11" i="6" l="1"/>
  <c r="H11" i="6" s="1"/>
  <c r="G13" i="6"/>
  <c r="H13" i="6" s="1"/>
  <c r="G12" i="6"/>
  <c r="H12" i="6" s="1"/>
  <c r="G14" i="6"/>
  <c r="H14" i="6" s="1"/>
  <c r="G10" i="6"/>
  <c r="H10" i="6" s="1"/>
  <c r="G8" i="6"/>
  <c r="H8" i="6" s="1"/>
  <c r="G4" i="6"/>
  <c r="H4" i="6" s="1"/>
  <c r="G5" i="6"/>
  <c r="H5" i="6" s="1"/>
  <c r="G6" i="6"/>
  <c r="H6" i="6" s="1"/>
  <c r="G7" i="6"/>
  <c r="H7" i="6" s="1"/>
  <c r="AO18" i="6" l="1"/>
  <c r="AO19" i="6"/>
  <c r="AO20" i="6"/>
  <c r="AO21" i="6"/>
  <c r="AO22" i="6"/>
  <c r="AO23" i="6"/>
  <c r="AO24" i="6"/>
  <c r="AO25" i="6"/>
  <c r="AO26" i="6"/>
  <c r="AO27" i="6"/>
  <c r="AO28" i="6"/>
  <c r="AO29" i="6"/>
  <c r="AO30" i="6"/>
  <c r="AO31" i="6"/>
  <c r="AO32" i="6"/>
  <c r="AO33" i="6"/>
  <c r="AO34" i="6"/>
  <c r="AO17" i="6"/>
  <c r="O123" i="6"/>
  <c r="O126" i="6"/>
  <c r="O127" i="6"/>
  <c r="O128" i="6"/>
  <c r="O129" i="6"/>
  <c r="O130" i="6"/>
  <c r="O131" i="6"/>
  <c r="O132" i="6"/>
  <c r="O133" i="6"/>
  <c r="O134" i="6"/>
  <c r="O135" i="6"/>
  <c r="O136" i="6"/>
  <c r="O137" i="6"/>
  <c r="O138" i="6"/>
  <c r="O139" i="6"/>
  <c r="O140" i="6"/>
  <c r="O141" i="6"/>
  <c r="O142" i="6"/>
  <c r="O143" i="6"/>
  <c r="O144" i="6"/>
  <c r="O145" i="6"/>
  <c r="O146" i="6"/>
  <c r="O147" i="6"/>
  <c r="O148" i="6"/>
  <c r="O149" i="6"/>
  <c r="O150" i="6"/>
  <c r="O151" i="6"/>
  <c r="O152" i="6"/>
  <c r="O153" i="6"/>
  <c r="O154" i="6"/>
  <c r="O155" i="6"/>
  <c r="O156" i="6"/>
  <c r="O157" i="6"/>
  <c r="O158" i="6"/>
  <c r="O159" i="6"/>
  <c r="O160" i="6"/>
  <c r="O161" i="6"/>
  <c r="O162" i="6"/>
  <c r="O163" i="6"/>
  <c r="O164" i="6"/>
  <c r="O165" i="6"/>
  <c r="O166" i="6"/>
  <c r="O167" i="6"/>
  <c r="O168" i="6"/>
  <c r="O169" i="6"/>
  <c r="O170" i="6"/>
  <c r="O171" i="6"/>
  <c r="O172" i="6"/>
  <c r="O173" i="6"/>
  <c r="O174" i="6"/>
  <c r="O175" i="6"/>
  <c r="O176" i="6"/>
  <c r="O177" i="6"/>
  <c r="O178" i="6"/>
  <c r="O179" i="6"/>
  <c r="O180" i="6"/>
  <c r="O181" i="6"/>
  <c r="O182" i="6"/>
  <c r="O183" i="6"/>
  <c r="O184" i="6"/>
  <c r="O185" i="6"/>
  <c r="O186" i="6"/>
  <c r="O187" i="6"/>
  <c r="O188" i="6"/>
  <c r="O189" i="6"/>
  <c r="O190" i="6"/>
  <c r="O191" i="6"/>
  <c r="O192" i="6"/>
  <c r="O193" i="6"/>
  <c r="O194" i="6"/>
  <c r="O195" i="6"/>
  <c r="O196" i="6"/>
  <c r="O197" i="6"/>
  <c r="O198" i="6"/>
  <c r="O199" i="6"/>
  <c r="O200" i="6"/>
  <c r="O201" i="6"/>
  <c r="O202" i="6"/>
  <c r="O203" i="6"/>
  <c r="O204" i="6"/>
  <c r="O205" i="6"/>
  <c r="O206" i="6"/>
  <c r="O207" i="6"/>
  <c r="O208" i="6"/>
  <c r="O209" i="6"/>
  <c r="O210" i="6"/>
  <c r="O211" i="6"/>
  <c r="O212" i="6"/>
  <c r="O213" i="6"/>
  <c r="O214" i="6"/>
  <c r="O215" i="6"/>
  <c r="O216" i="6"/>
  <c r="O217" i="6"/>
  <c r="O218" i="6"/>
  <c r="O219" i="6"/>
  <c r="O220" i="6"/>
  <c r="O221" i="6"/>
  <c r="O222" i="6"/>
  <c r="O223" i="6"/>
  <c r="O224" i="6"/>
  <c r="O225" i="6"/>
  <c r="O226" i="6"/>
  <c r="O227" i="6"/>
  <c r="O228" i="6"/>
  <c r="O229" i="6"/>
  <c r="O230" i="6"/>
  <c r="O231" i="6"/>
  <c r="O232" i="6"/>
  <c r="O233" i="6"/>
  <c r="O234" i="6"/>
  <c r="O235" i="6"/>
  <c r="O236" i="6"/>
  <c r="O237" i="6"/>
  <c r="O238" i="6"/>
  <c r="O239" i="6"/>
  <c r="O240" i="6"/>
  <c r="O241" i="6"/>
  <c r="O242" i="6"/>
  <c r="O243" i="6"/>
  <c r="O244" i="6"/>
  <c r="O245" i="6"/>
  <c r="O246" i="6"/>
  <c r="O247" i="6"/>
  <c r="O248" i="6"/>
  <c r="O249" i="6"/>
  <c r="O250" i="6"/>
  <c r="O251" i="6"/>
  <c r="O252" i="6"/>
  <c r="O253" i="6"/>
  <c r="O254" i="6"/>
  <c r="O255" i="6"/>
  <c r="O256" i="6"/>
  <c r="O257" i="6"/>
  <c r="O258" i="6"/>
  <c r="O259" i="6"/>
  <c r="O260" i="6"/>
  <c r="O261" i="6"/>
  <c r="O262" i="6"/>
  <c r="O263" i="6"/>
  <c r="O264" i="6"/>
  <c r="O265" i="6"/>
  <c r="O266" i="6"/>
  <c r="O267" i="6"/>
  <c r="O268" i="6"/>
  <c r="O269" i="6"/>
  <c r="O270" i="6"/>
  <c r="O271" i="6"/>
  <c r="O272" i="6"/>
  <c r="O273" i="6"/>
  <c r="O274" i="6"/>
  <c r="O275" i="6"/>
  <c r="O276" i="6"/>
  <c r="O277" i="6"/>
  <c r="O278" i="6"/>
  <c r="O279" i="6"/>
  <c r="O280" i="6"/>
  <c r="O281" i="6"/>
  <c r="O282" i="6"/>
  <c r="O283" i="6"/>
  <c r="O284" i="6"/>
  <c r="O285" i="6"/>
  <c r="O286" i="6"/>
  <c r="O287" i="6"/>
  <c r="O288" i="6"/>
  <c r="O289" i="6"/>
  <c r="O290" i="6"/>
  <c r="O291" i="6"/>
  <c r="O292" i="6"/>
  <c r="O293" i="6"/>
  <c r="O294" i="6"/>
  <c r="O295" i="6"/>
  <c r="O296" i="6"/>
  <c r="O297" i="6"/>
  <c r="O298" i="6"/>
  <c r="O299" i="6"/>
  <c r="O300" i="6"/>
  <c r="O301" i="6"/>
  <c r="O302" i="6"/>
  <c r="O303" i="6"/>
  <c r="O304" i="6"/>
  <c r="O305" i="6"/>
  <c r="O306" i="6"/>
  <c r="O307" i="6"/>
  <c r="O308" i="6"/>
  <c r="O309" i="6"/>
  <c r="O310" i="6"/>
  <c r="O311" i="6"/>
  <c r="O312" i="6"/>
  <c r="O313" i="6"/>
  <c r="O314" i="6"/>
  <c r="O315" i="6"/>
  <c r="O316" i="6"/>
  <c r="O317" i="6"/>
  <c r="O318" i="6"/>
  <c r="O319" i="6"/>
  <c r="O320" i="6"/>
  <c r="O321" i="6"/>
  <c r="O322" i="6"/>
  <c r="O323" i="6"/>
  <c r="O324" i="6"/>
  <c r="O325" i="6"/>
  <c r="O326" i="6"/>
  <c r="O327" i="6"/>
  <c r="O328" i="6"/>
  <c r="O329" i="6"/>
  <c r="O330" i="6"/>
  <c r="O331" i="6"/>
  <c r="O332" i="6"/>
  <c r="O333" i="6"/>
  <c r="O334" i="6"/>
  <c r="O335" i="6"/>
  <c r="O336" i="6"/>
  <c r="O337" i="6"/>
  <c r="O338" i="6"/>
  <c r="O339" i="6"/>
  <c r="O340" i="6"/>
  <c r="O341" i="6"/>
  <c r="O342" i="6"/>
  <c r="O343" i="6"/>
  <c r="O344" i="6"/>
  <c r="O345" i="6"/>
  <c r="O346" i="6"/>
  <c r="O347" i="6"/>
  <c r="O348" i="6"/>
  <c r="O349" i="6"/>
  <c r="O350" i="6"/>
  <c r="O351" i="6"/>
  <c r="O352" i="6"/>
  <c r="O353" i="6"/>
  <c r="O354" i="6"/>
  <c r="O355" i="6"/>
  <c r="O356" i="6"/>
  <c r="O357" i="6"/>
  <c r="O358" i="6"/>
  <c r="O359" i="6"/>
  <c r="O360" i="6"/>
  <c r="O361" i="6"/>
  <c r="O362" i="6"/>
  <c r="O363" i="6"/>
  <c r="O364" i="6"/>
  <c r="O365" i="6"/>
  <c r="O366" i="6"/>
  <c r="O367" i="6"/>
  <c r="O368" i="6"/>
  <c r="O369" i="6"/>
  <c r="O370" i="6"/>
  <c r="O371" i="6"/>
  <c r="O372" i="6"/>
  <c r="O373" i="6"/>
  <c r="O374" i="6"/>
  <c r="O375" i="6"/>
  <c r="O376" i="6"/>
  <c r="O377" i="6"/>
  <c r="O378" i="6"/>
  <c r="O379" i="6"/>
  <c r="O380" i="6"/>
  <c r="O381" i="6"/>
  <c r="O382" i="6"/>
  <c r="O383" i="6"/>
  <c r="O384" i="6"/>
  <c r="O385" i="6"/>
  <c r="O386" i="6"/>
  <c r="O387" i="6"/>
  <c r="O388" i="6"/>
  <c r="O389" i="6"/>
  <c r="O390" i="6"/>
  <c r="O391" i="6"/>
  <c r="O392" i="6"/>
  <c r="O393" i="6"/>
  <c r="O394" i="6"/>
  <c r="O395" i="6"/>
  <c r="O396" i="6"/>
  <c r="O397" i="6"/>
  <c r="O398" i="6"/>
  <c r="O399" i="6"/>
  <c r="O400" i="6"/>
  <c r="O401" i="6"/>
  <c r="O402" i="6"/>
  <c r="O403" i="6"/>
  <c r="O404" i="6"/>
  <c r="O405" i="6"/>
  <c r="O406" i="6"/>
  <c r="O407" i="6"/>
  <c r="O408" i="6"/>
  <c r="O409" i="6"/>
  <c r="O410" i="6"/>
  <c r="O411" i="6"/>
  <c r="O412" i="6"/>
  <c r="O413" i="6"/>
  <c r="O414" i="6"/>
  <c r="O415" i="6"/>
  <c r="O416" i="6"/>
  <c r="O417" i="6"/>
  <c r="O418" i="6"/>
  <c r="O419" i="6"/>
  <c r="O420" i="6"/>
  <c r="O421" i="6"/>
  <c r="O422" i="6"/>
  <c r="O423" i="6"/>
  <c r="O424" i="6"/>
  <c r="O425" i="6"/>
  <c r="O426" i="6"/>
  <c r="O427" i="6"/>
  <c r="O428" i="6"/>
  <c r="O429" i="6"/>
  <c r="O430" i="6"/>
  <c r="O431" i="6"/>
  <c r="O432" i="6"/>
  <c r="O433" i="6"/>
  <c r="O434" i="6"/>
  <c r="O435" i="6"/>
  <c r="O436" i="6"/>
  <c r="O437" i="6"/>
  <c r="O438" i="6"/>
  <c r="O439" i="6"/>
  <c r="O440" i="6"/>
  <c r="O441" i="6"/>
  <c r="O442" i="6"/>
  <c r="O443" i="6"/>
  <c r="O444" i="6"/>
  <c r="O445" i="6"/>
  <c r="O446" i="6"/>
  <c r="O447" i="6"/>
  <c r="O448" i="6"/>
  <c r="O449" i="6"/>
  <c r="O450" i="6"/>
  <c r="O451" i="6"/>
  <c r="O452" i="6"/>
  <c r="O453" i="6"/>
  <c r="O454" i="6"/>
  <c r="O455" i="6"/>
  <c r="O456" i="6"/>
  <c r="O457" i="6"/>
  <c r="O458" i="6"/>
  <c r="O459" i="6"/>
  <c r="O460" i="6"/>
  <c r="O461" i="6"/>
  <c r="O462" i="6"/>
  <c r="O463" i="6"/>
  <c r="O464" i="6"/>
  <c r="O465" i="6"/>
  <c r="O466" i="6"/>
  <c r="O467" i="6"/>
  <c r="O468" i="6"/>
  <c r="O469" i="6"/>
  <c r="O470" i="6"/>
  <c r="O471" i="6"/>
  <c r="O472" i="6"/>
  <c r="O473" i="6"/>
  <c r="O474" i="6"/>
  <c r="O475" i="6"/>
  <c r="O476" i="6"/>
  <c r="O477" i="6"/>
  <c r="O478" i="6"/>
  <c r="O479" i="6"/>
  <c r="O480" i="6"/>
  <c r="O481" i="6"/>
  <c r="O482" i="6"/>
  <c r="O483" i="6"/>
  <c r="O484" i="6"/>
  <c r="O485" i="6"/>
  <c r="O486" i="6"/>
  <c r="O487" i="6"/>
  <c r="O488" i="6"/>
  <c r="O489" i="6"/>
  <c r="O490" i="6"/>
  <c r="O491" i="6"/>
  <c r="O492" i="6"/>
  <c r="O493" i="6"/>
  <c r="O494" i="6"/>
  <c r="O495" i="6"/>
  <c r="O496" i="6"/>
  <c r="O497" i="6"/>
  <c r="O498" i="6"/>
  <c r="O499" i="6"/>
  <c r="O500" i="6"/>
  <c r="O501" i="6"/>
  <c r="O502" i="6"/>
  <c r="O503" i="6"/>
  <c r="O504" i="6"/>
  <c r="O505" i="6"/>
  <c r="O506" i="6"/>
  <c r="O507" i="6"/>
  <c r="O508" i="6"/>
  <c r="O509" i="6"/>
  <c r="O510" i="6"/>
  <c r="O511" i="6"/>
  <c r="O512" i="6"/>
  <c r="O513" i="6"/>
  <c r="O514" i="6"/>
  <c r="O515" i="6"/>
  <c r="O516" i="6"/>
  <c r="O517" i="6"/>
  <c r="O518" i="6"/>
  <c r="O519" i="6"/>
  <c r="O520" i="6"/>
  <c r="O521" i="6"/>
  <c r="O522" i="6"/>
  <c r="O523" i="6"/>
  <c r="O524" i="6"/>
  <c r="O525" i="6"/>
  <c r="O526" i="6"/>
  <c r="O527" i="6"/>
  <c r="O528" i="6"/>
  <c r="O529" i="6"/>
  <c r="O530" i="6"/>
  <c r="O531" i="6"/>
  <c r="O532" i="6"/>
  <c r="O533" i="6"/>
  <c r="O534" i="6"/>
  <c r="O535" i="6"/>
  <c r="O536" i="6"/>
  <c r="O537" i="6"/>
  <c r="O538" i="6"/>
  <c r="O539" i="6"/>
  <c r="O540" i="6"/>
  <c r="O541" i="6"/>
  <c r="O542" i="6"/>
  <c r="O543" i="6"/>
  <c r="O544" i="6"/>
  <c r="O545" i="6"/>
  <c r="O546" i="6"/>
  <c r="O547" i="6"/>
  <c r="O548" i="6"/>
  <c r="O549" i="6"/>
  <c r="O550" i="6"/>
  <c r="O551" i="6"/>
  <c r="O552" i="6"/>
  <c r="O553" i="6"/>
  <c r="O554" i="6"/>
  <c r="O555" i="6"/>
  <c r="O556" i="6"/>
  <c r="O557" i="6"/>
  <c r="O558" i="6"/>
  <c r="O559" i="6"/>
  <c r="O560" i="6"/>
  <c r="O561" i="6"/>
  <c r="O562" i="6"/>
  <c r="O563" i="6"/>
  <c r="O564" i="6"/>
  <c r="O565" i="6"/>
  <c r="O566" i="6"/>
  <c r="O567" i="6"/>
  <c r="O568" i="6"/>
  <c r="O569" i="6"/>
  <c r="O570" i="6"/>
  <c r="O571" i="6"/>
  <c r="O572" i="6"/>
  <c r="O573" i="6"/>
  <c r="O574" i="6"/>
  <c r="O575" i="6"/>
  <c r="O576" i="6"/>
  <c r="O577" i="6"/>
  <c r="O578" i="6"/>
  <c r="O579" i="6"/>
  <c r="O580" i="6"/>
  <c r="O581" i="6"/>
  <c r="O582" i="6"/>
  <c r="O583" i="6"/>
  <c r="O584" i="6"/>
  <c r="O585" i="6"/>
  <c r="O586" i="6"/>
  <c r="O587" i="6"/>
  <c r="O588" i="6"/>
  <c r="O589" i="6"/>
  <c r="O590" i="6"/>
  <c r="O591" i="6"/>
  <c r="O592" i="6"/>
  <c r="O593" i="6"/>
  <c r="O594" i="6"/>
  <c r="O595" i="6"/>
  <c r="O596" i="6"/>
  <c r="O597" i="6"/>
  <c r="O598" i="6"/>
  <c r="O599" i="6"/>
  <c r="O600" i="6"/>
  <c r="O601" i="6"/>
  <c r="O602" i="6"/>
  <c r="O603" i="6"/>
  <c r="O604" i="6"/>
  <c r="O605" i="6"/>
  <c r="O606" i="6"/>
  <c r="O607" i="6"/>
  <c r="O608" i="6"/>
  <c r="O609" i="6"/>
  <c r="O610" i="6"/>
  <c r="O611" i="6"/>
  <c r="O612" i="6"/>
  <c r="O613" i="6"/>
  <c r="O614" i="6"/>
  <c r="O615" i="6"/>
  <c r="O616" i="6"/>
  <c r="O617" i="6"/>
  <c r="O618" i="6"/>
  <c r="O619" i="6"/>
  <c r="O620" i="6"/>
  <c r="O621" i="6"/>
  <c r="O622" i="6"/>
  <c r="O623" i="6"/>
  <c r="O624" i="6"/>
  <c r="O625" i="6"/>
  <c r="O626" i="6"/>
  <c r="O627" i="6"/>
  <c r="O628" i="6"/>
  <c r="O629" i="6"/>
  <c r="O630" i="6"/>
  <c r="O631" i="6"/>
  <c r="O632" i="6"/>
  <c r="O633" i="6"/>
  <c r="O634" i="6"/>
  <c r="O635" i="6"/>
  <c r="O636" i="6"/>
  <c r="O637" i="6"/>
  <c r="O638" i="6"/>
  <c r="O639" i="6"/>
  <c r="O640" i="6"/>
  <c r="O641" i="6"/>
  <c r="O642" i="6"/>
  <c r="O643" i="6"/>
  <c r="O644" i="6"/>
  <c r="O645" i="6"/>
  <c r="O646" i="6"/>
  <c r="O647" i="6"/>
  <c r="O648" i="6"/>
  <c r="O649" i="6"/>
  <c r="O650" i="6"/>
  <c r="O651" i="6"/>
  <c r="O652" i="6"/>
  <c r="O653" i="6"/>
  <c r="O654" i="6"/>
  <c r="O655" i="6"/>
  <c r="O656" i="6"/>
  <c r="O657" i="6"/>
  <c r="O658" i="6"/>
  <c r="O659" i="6"/>
  <c r="O660" i="6"/>
  <c r="O661" i="6"/>
  <c r="O662" i="6"/>
  <c r="O663" i="6"/>
  <c r="O664" i="6"/>
  <c r="O665" i="6"/>
  <c r="O666" i="6"/>
  <c r="O667" i="6"/>
  <c r="O668" i="6"/>
  <c r="O669" i="6"/>
  <c r="O670" i="6"/>
  <c r="O671" i="6"/>
  <c r="O672" i="6"/>
  <c r="O673" i="6"/>
  <c r="O674" i="6"/>
  <c r="O675" i="6"/>
  <c r="O676" i="6"/>
  <c r="O677" i="6"/>
  <c r="O678" i="6"/>
  <c r="O679" i="6"/>
  <c r="O680" i="6"/>
  <c r="O681" i="6"/>
  <c r="O682" i="6"/>
  <c r="O683" i="6"/>
  <c r="O684" i="6"/>
  <c r="O685" i="6"/>
  <c r="O686" i="6"/>
  <c r="O687" i="6"/>
  <c r="O688" i="6"/>
  <c r="O689" i="6"/>
  <c r="O690" i="6"/>
  <c r="O691" i="6"/>
  <c r="O692" i="6"/>
  <c r="O693" i="6"/>
  <c r="O694" i="6"/>
  <c r="O695" i="6"/>
  <c r="O696" i="6"/>
  <c r="O697" i="6"/>
  <c r="O698" i="6"/>
  <c r="O699" i="6"/>
  <c r="O700" i="6"/>
  <c r="O701" i="6"/>
  <c r="O702" i="6"/>
  <c r="O703" i="6"/>
  <c r="O704" i="6"/>
  <c r="O705" i="6"/>
  <c r="O706" i="6"/>
  <c r="O707" i="6"/>
  <c r="O708" i="6"/>
  <c r="O709" i="6"/>
  <c r="O710" i="6"/>
  <c r="O711" i="6"/>
  <c r="O712" i="6"/>
  <c r="O713" i="6"/>
  <c r="O714" i="6"/>
  <c r="O715" i="6"/>
  <c r="O716" i="6"/>
  <c r="O717" i="6"/>
  <c r="O718" i="6"/>
  <c r="O719" i="6"/>
  <c r="O720" i="6"/>
  <c r="O721" i="6"/>
  <c r="O722" i="6"/>
  <c r="O723" i="6"/>
  <c r="O724" i="6"/>
  <c r="O725" i="6"/>
  <c r="O726" i="6"/>
  <c r="O727" i="6"/>
  <c r="O728" i="6"/>
  <c r="O729" i="6"/>
  <c r="O730" i="6"/>
  <c r="O731" i="6"/>
  <c r="O732" i="6"/>
  <c r="O733" i="6"/>
  <c r="O734" i="6"/>
  <c r="O735" i="6"/>
  <c r="O736" i="6"/>
  <c r="O737" i="6"/>
  <c r="O738" i="6"/>
  <c r="O739" i="6"/>
  <c r="O740" i="6"/>
  <c r="O741" i="6"/>
  <c r="O742" i="6"/>
  <c r="O743" i="6"/>
  <c r="O744" i="6"/>
  <c r="O745" i="6"/>
  <c r="O746" i="6"/>
  <c r="O747" i="6"/>
  <c r="O748" i="6"/>
  <c r="O749" i="6"/>
  <c r="O750" i="6"/>
  <c r="O751" i="6"/>
  <c r="O752" i="6"/>
  <c r="O753" i="6"/>
  <c r="O754" i="6"/>
  <c r="O755" i="6"/>
  <c r="O756" i="6"/>
  <c r="O757" i="6"/>
  <c r="O758" i="6"/>
  <c r="O759" i="6"/>
  <c r="O760" i="6"/>
  <c r="O761" i="6"/>
  <c r="O762" i="6"/>
  <c r="O763" i="6"/>
  <c r="O764" i="6"/>
  <c r="O765" i="6"/>
  <c r="O766" i="6"/>
  <c r="O767" i="6"/>
  <c r="O768" i="6"/>
  <c r="O769" i="6"/>
  <c r="O770" i="6"/>
  <c r="O771" i="6"/>
  <c r="O772" i="6"/>
  <c r="O773" i="6"/>
  <c r="O774" i="6"/>
  <c r="O775" i="6"/>
  <c r="O776" i="6"/>
  <c r="O777" i="6"/>
  <c r="O778" i="6"/>
  <c r="O779" i="6"/>
  <c r="O780" i="6"/>
  <c r="O781" i="6"/>
  <c r="O782" i="6"/>
  <c r="O783" i="6"/>
  <c r="O784" i="6"/>
  <c r="O785" i="6"/>
  <c r="O786" i="6"/>
  <c r="O787" i="6"/>
  <c r="O788" i="6"/>
  <c r="O789" i="6"/>
  <c r="O790" i="6"/>
  <c r="O791" i="6"/>
  <c r="O792" i="6"/>
  <c r="O793" i="6"/>
  <c r="O794" i="6"/>
  <c r="O795" i="6"/>
  <c r="O796" i="6"/>
  <c r="O797" i="6"/>
  <c r="O798" i="6"/>
  <c r="O799" i="6"/>
  <c r="O800" i="6"/>
  <c r="O801" i="6"/>
  <c r="O802" i="6"/>
  <c r="O803" i="6"/>
  <c r="O804" i="6"/>
  <c r="O805" i="6"/>
  <c r="O806" i="6"/>
  <c r="O807" i="6"/>
  <c r="O808" i="6"/>
  <c r="O809" i="6"/>
  <c r="O810" i="6"/>
  <c r="O811" i="6"/>
  <c r="O812" i="6"/>
  <c r="O813" i="6"/>
  <c r="O814" i="6"/>
  <c r="O815" i="6"/>
  <c r="O816" i="6"/>
  <c r="O817" i="6"/>
  <c r="O818" i="6"/>
  <c r="O819" i="6"/>
  <c r="O820" i="6"/>
  <c r="O821" i="6"/>
  <c r="O822" i="6"/>
  <c r="O823" i="6"/>
  <c r="O824" i="6"/>
  <c r="O825" i="6"/>
  <c r="O832" i="6"/>
  <c r="O833" i="6"/>
  <c r="O834" i="6"/>
  <c r="O835" i="6"/>
  <c r="O836" i="6"/>
  <c r="O837" i="6"/>
  <c r="O838" i="6"/>
  <c r="O839" i="6"/>
  <c r="O840" i="6"/>
  <c r="O841" i="6"/>
  <c r="O842" i="6"/>
  <c r="O843" i="6"/>
  <c r="O844" i="6"/>
  <c r="O845" i="6"/>
  <c r="O846" i="6"/>
  <c r="O847" i="6"/>
  <c r="O848" i="6"/>
  <c r="O849" i="6"/>
  <c r="O850" i="6"/>
  <c r="O857" i="6"/>
  <c r="O858" i="6"/>
  <c r="O859" i="6"/>
  <c r="O860" i="6"/>
  <c r="O861" i="6"/>
  <c r="O862" i="6"/>
  <c r="O863" i="6"/>
  <c r="O864" i="6"/>
  <c r="O865" i="6"/>
  <c r="O866" i="6"/>
  <c r="O867" i="6"/>
  <c r="O868" i="6"/>
  <c r="O869" i="6"/>
  <c r="O870" i="6"/>
  <c r="O871" i="6"/>
  <c r="O872" i="6"/>
  <c r="O873" i="6"/>
  <c r="O874" i="6"/>
  <c r="O875" i="6"/>
  <c r="O876" i="6"/>
  <c r="O877" i="6"/>
  <c r="O878" i="6"/>
  <c r="O879" i="6"/>
  <c r="O880" i="6"/>
  <c r="O881" i="6"/>
  <c r="O882" i="6"/>
  <c r="O883" i="6"/>
  <c r="O884" i="6"/>
  <c r="O885" i="6"/>
  <c r="O886" i="6"/>
  <c r="O887" i="6"/>
  <c r="O888" i="6"/>
  <c r="O889" i="6"/>
  <c r="O890" i="6"/>
  <c r="O891" i="6"/>
  <c r="O892" i="6"/>
  <c r="O893" i="6"/>
  <c r="O894" i="6"/>
  <c r="O895" i="6"/>
  <c r="O896" i="6"/>
  <c r="O897" i="6"/>
  <c r="O898" i="6"/>
  <c r="O899" i="6"/>
  <c r="O900" i="6"/>
  <c r="O901" i="6"/>
  <c r="O902" i="6"/>
  <c r="O903" i="6"/>
  <c r="O904" i="6"/>
  <c r="O905" i="6"/>
  <c r="O906" i="6"/>
  <c r="O907" i="6"/>
  <c r="O908" i="6"/>
  <c r="O909" i="6"/>
  <c r="O910" i="6"/>
  <c r="O911" i="6"/>
  <c r="O912" i="6"/>
  <c r="O913" i="6"/>
  <c r="O914" i="6"/>
  <c r="O915" i="6"/>
  <c r="O916" i="6"/>
  <c r="O917" i="6"/>
  <c r="O918" i="6"/>
  <c r="O919" i="6"/>
  <c r="O920" i="6"/>
  <c r="O921" i="6"/>
  <c r="O922" i="6"/>
  <c r="O923" i="6"/>
  <c r="O924" i="6"/>
  <c r="O925" i="6"/>
  <c r="O926" i="6"/>
  <c r="O927" i="6"/>
  <c r="O928" i="6"/>
  <c r="O929" i="6"/>
  <c r="O930" i="6"/>
  <c r="O931" i="6"/>
  <c r="O932" i="6"/>
  <c r="O933" i="6"/>
  <c r="O934" i="6"/>
  <c r="O935" i="6"/>
  <c r="O936" i="6"/>
  <c r="O937" i="6"/>
  <c r="O938" i="6"/>
  <c r="O939" i="6"/>
  <c r="O940" i="6"/>
  <c r="O941" i="6"/>
  <c r="O942" i="6"/>
  <c r="O943" i="6"/>
  <c r="O944" i="6"/>
  <c r="O945" i="6"/>
  <c r="O946" i="6"/>
  <c r="O947" i="6"/>
  <c r="O948" i="6"/>
  <c r="O949" i="6"/>
  <c r="O950" i="6"/>
  <c r="O951" i="6"/>
  <c r="O952" i="6"/>
  <c r="O953" i="6"/>
  <c r="O954" i="6"/>
  <c r="O955" i="6"/>
  <c r="O956" i="6"/>
  <c r="O957" i="6"/>
  <c r="O958" i="6"/>
  <c r="O959" i="6"/>
  <c r="O960" i="6"/>
  <c r="O961" i="6"/>
  <c r="O962" i="6"/>
  <c r="O963" i="6"/>
  <c r="O964" i="6"/>
  <c r="O965" i="6"/>
  <c r="O966" i="6"/>
  <c r="O967" i="6"/>
  <c r="O968" i="6"/>
  <c r="O969" i="6"/>
  <c r="O970" i="6"/>
  <c r="O971" i="6"/>
  <c r="O972" i="6"/>
  <c r="O973" i="6"/>
  <c r="O974" i="6"/>
  <c r="O975" i="6"/>
  <c r="O976" i="6"/>
  <c r="O977" i="6"/>
  <c r="O978" i="6"/>
  <c r="O979" i="6"/>
  <c r="O980" i="6"/>
  <c r="O981" i="6"/>
  <c r="O982" i="6"/>
  <c r="O983" i="6"/>
  <c r="O984" i="6"/>
  <c r="O985" i="6"/>
  <c r="O986" i="6"/>
  <c r="O987" i="6"/>
  <c r="O988" i="6"/>
  <c r="O989" i="6"/>
  <c r="O990" i="6"/>
  <c r="O991" i="6"/>
  <c r="O992" i="6"/>
  <c r="O993" i="6"/>
  <c r="O994" i="6"/>
  <c r="O995" i="6"/>
  <c r="O996" i="6"/>
  <c r="O997" i="6"/>
  <c r="O998" i="6"/>
  <c r="O999" i="6"/>
  <c r="O1000" i="6"/>
  <c r="O1001" i="6"/>
  <c r="O1002" i="6"/>
  <c r="O1003" i="6"/>
  <c r="O1004" i="6"/>
  <c r="O1005" i="6"/>
  <c r="O1006" i="6"/>
  <c r="O1007" i="6"/>
  <c r="O1008" i="6"/>
  <c r="O1009" i="6"/>
  <c r="O1010" i="6"/>
  <c r="O1011" i="6"/>
  <c r="O1012" i="6"/>
  <c r="O1013" i="6"/>
  <c r="O1014" i="6"/>
  <c r="O1015" i="6"/>
  <c r="O1016" i="6"/>
  <c r="O1017" i="6"/>
  <c r="O1018" i="6"/>
  <c r="O1019" i="6"/>
  <c r="O1020" i="6"/>
  <c r="O1021" i="6"/>
  <c r="O1022" i="6"/>
  <c r="O1023" i="6"/>
  <c r="O1024" i="6"/>
  <c r="O1025" i="6"/>
  <c r="O1026" i="6"/>
  <c r="O1027" i="6"/>
  <c r="O1028" i="6"/>
  <c r="O1035" i="6"/>
  <c r="O1036" i="6"/>
  <c r="O1042" i="6"/>
  <c r="O1043" i="6"/>
  <c r="O1044" i="6"/>
  <c r="O1045" i="6"/>
  <c r="O1046" i="6"/>
  <c r="O1047" i="6"/>
  <c r="O1048" i="6"/>
  <c r="O1049" i="6"/>
  <c r="O1050" i="6"/>
  <c r="O1051" i="6"/>
  <c r="O1052" i="6"/>
  <c r="O1053" i="6"/>
  <c r="O1054" i="6"/>
  <c r="O1055" i="6"/>
  <c r="O1056" i="6"/>
  <c r="O1057" i="6"/>
  <c r="O1058" i="6"/>
  <c r="O1059" i="6"/>
  <c r="O1060" i="6"/>
  <c r="O1061" i="6"/>
  <c r="O1062" i="6"/>
  <c r="O1063" i="6"/>
  <c r="O1064" i="6"/>
  <c r="O1065" i="6"/>
  <c r="O1066" i="6"/>
  <c r="O1067" i="6"/>
  <c r="O1068" i="6"/>
  <c r="O1069" i="6"/>
  <c r="O1070" i="6"/>
  <c r="O1071" i="6"/>
  <c r="O1072" i="6"/>
  <c r="O1078" i="6"/>
  <c r="O1079" i="6"/>
  <c r="O1080" i="6"/>
  <c r="O1081" i="6"/>
  <c r="O1082" i="6"/>
  <c r="O1083" i="6"/>
  <c r="O1084" i="6"/>
  <c r="O1085" i="6"/>
  <c r="O1129" i="6"/>
  <c r="O1130" i="6"/>
  <c r="O1131" i="6"/>
  <c r="O1132" i="6"/>
  <c r="O1133" i="6"/>
  <c r="O1134" i="6"/>
  <c r="O1135" i="6"/>
  <c r="O1136" i="6"/>
  <c r="O1137" i="6"/>
  <c r="O1138" i="6"/>
  <c r="O1139" i="6"/>
  <c r="O1140" i="6"/>
  <c r="O1141" i="6"/>
  <c r="O1142" i="6"/>
  <c r="O1143" i="6"/>
  <c r="O1144" i="6"/>
  <c r="O1145" i="6"/>
  <c r="O1146" i="6"/>
  <c r="O1147" i="6"/>
  <c r="O1148" i="6"/>
  <c r="O1149" i="6"/>
  <c r="O1150" i="6"/>
  <c r="O1186" i="6"/>
  <c r="O1187" i="6"/>
  <c r="O1188" i="6"/>
  <c r="O1189" i="6"/>
  <c r="O1190" i="6"/>
  <c r="O1191" i="6"/>
  <c r="O1192" i="6"/>
  <c r="O1193" i="6"/>
  <c r="O1194" i="6"/>
  <c r="O1195" i="6"/>
  <c r="O1196" i="6"/>
  <c r="O1197" i="6"/>
  <c r="O1198" i="6"/>
  <c r="O1199" i="6"/>
  <c r="O1200" i="6"/>
  <c r="O1201" i="6"/>
  <c r="O1202" i="6"/>
  <c r="O1203" i="6"/>
  <c r="O1204" i="6"/>
  <c r="O1205" i="6"/>
  <c r="O1206" i="6"/>
  <c r="O1207" i="6"/>
  <c r="O1208" i="6"/>
  <c r="O1209" i="6"/>
  <c r="O1210" i="6"/>
  <c r="O1211" i="6"/>
  <c r="O1212" i="6"/>
  <c r="O1213" i="6"/>
  <c r="O1214" i="6"/>
  <c r="O1215" i="6"/>
  <c r="O1216" i="6"/>
  <c r="O1217" i="6"/>
  <c r="O1218" i="6"/>
  <c r="O1219" i="6"/>
  <c r="O1220" i="6"/>
  <c r="O1221" i="6"/>
  <c r="O1222" i="6"/>
  <c r="O1223" i="6"/>
  <c r="O1224" i="6"/>
  <c r="O1225" i="6"/>
  <c r="O1226" i="6"/>
  <c r="O1227" i="6"/>
  <c r="O1228" i="6"/>
  <c r="O1229" i="6"/>
  <c r="O1230" i="6"/>
  <c r="O1231" i="6"/>
  <c r="O1232" i="6"/>
  <c r="O1233" i="6"/>
  <c r="O1234" i="6"/>
  <c r="O1235" i="6"/>
  <c r="O1236" i="6"/>
  <c r="O1237" i="6"/>
  <c r="O1238" i="6"/>
  <c r="O1239" i="6"/>
  <c r="O1240" i="6"/>
  <c r="O1241" i="6"/>
  <c r="O1242" i="6"/>
  <c r="O1243" i="6"/>
  <c r="O1244" i="6"/>
  <c r="O1245" i="6"/>
  <c r="O1246" i="6"/>
  <c r="O1247" i="6"/>
  <c r="O1248" i="6"/>
  <c r="O1249" i="6"/>
  <c r="O1250" i="6"/>
  <c r="O1251" i="6"/>
  <c r="O1252" i="6"/>
  <c r="O1253" i="6"/>
  <c r="O1254" i="6"/>
  <c r="O1255" i="6"/>
  <c r="O1256" i="6"/>
  <c r="O1257" i="6"/>
  <c r="O1258" i="6"/>
  <c r="O1259" i="6"/>
  <c r="O1260" i="6"/>
  <c r="O1261" i="6"/>
  <c r="O1262" i="6"/>
  <c r="O1263" i="6"/>
  <c r="O1264" i="6"/>
  <c r="O1265" i="6"/>
  <c r="O1266" i="6"/>
  <c r="O1267" i="6"/>
  <c r="O1268" i="6"/>
  <c r="O1269" i="6"/>
  <c r="O1270" i="6"/>
  <c r="O1271" i="6"/>
  <c r="O1272" i="6"/>
  <c r="O1273" i="6"/>
  <c r="O1274" i="6"/>
  <c r="O1275" i="6"/>
  <c r="O1276" i="6"/>
  <c r="O1277" i="6"/>
  <c r="O1278" i="6"/>
  <c r="O1279" i="6"/>
  <c r="O1280" i="6"/>
  <c r="O1281" i="6"/>
  <c r="O1282" i="6"/>
  <c r="O1283" i="6"/>
  <c r="O1284" i="6"/>
  <c r="O1285" i="6"/>
  <c r="O1286" i="6"/>
  <c r="O1287" i="6"/>
  <c r="O1288" i="6"/>
  <c r="O1289" i="6"/>
  <c r="O1290" i="6"/>
  <c r="O1291" i="6"/>
  <c r="O1292" i="6"/>
  <c r="O1293" i="6"/>
  <c r="O1294" i="6"/>
  <c r="O1295" i="6"/>
  <c r="O1296" i="6"/>
  <c r="O1297" i="6"/>
  <c r="O1298" i="6"/>
  <c r="O1299" i="6"/>
  <c r="O1300" i="6"/>
  <c r="O1301" i="6"/>
  <c r="O1302" i="6"/>
  <c r="O1303" i="6"/>
  <c r="O1304" i="6"/>
  <c r="O1305" i="6"/>
  <c r="O1306" i="6"/>
  <c r="O1307" i="6"/>
  <c r="O1308" i="6"/>
  <c r="O1309" i="6"/>
  <c r="O1310" i="6"/>
  <c r="O1311" i="6"/>
  <c r="O1312" i="6"/>
  <c r="O1313" i="6"/>
  <c r="O1314" i="6"/>
  <c r="O1315" i="6"/>
  <c r="O1316" i="6"/>
  <c r="O1317" i="6"/>
  <c r="O1318" i="6"/>
  <c r="O1319" i="6"/>
  <c r="O1320" i="6"/>
  <c r="O1321" i="6"/>
  <c r="O1322" i="6"/>
  <c r="O1323" i="6"/>
  <c r="O1324" i="6"/>
  <c r="O1325" i="6"/>
  <c r="O1326" i="6"/>
  <c r="O1327" i="6"/>
  <c r="O1328" i="6"/>
  <c r="O1329" i="6"/>
  <c r="O1330" i="6"/>
  <c r="O1331" i="6"/>
  <c r="O1332" i="6"/>
  <c r="O1333" i="6"/>
  <c r="O1334" i="6"/>
  <c r="O1335" i="6"/>
  <c r="O1336" i="6"/>
  <c r="O1337" i="6"/>
  <c r="O1338" i="6"/>
  <c r="O1339" i="6"/>
  <c r="O1340" i="6"/>
  <c r="O1341" i="6"/>
  <c r="O1342" i="6"/>
  <c r="O1343" i="6"/>
  <c r="O1344" i="6"/>
  <c r="O1345" i="6"/>
  <c r="O1346" i="6"/>
  <c r="O1347" i="6"/>
  <c r="O1348" i="6"/>
  <c r="O1349" i="6"/>
  <c r="O1350" i="6"/>
  <c r="O1351" i="6"/>
  <c r="O1352" i="6"/>
  <c r="O1353" i="6"/>
  <c r="O1354" i="6"/>
  <c r="O1355" i="6"/>
  <c r="O1356" i="6"/>
  <c r="O1357" i="6"/>
  <c r="O1358" i="6"/>
  <c r="O1359" i="6"/>
  <c r="O1360" i="6"/>
  <c r="O1361" i="6"/>
  <c r="O1362" i="6"/>
  <c r="O1363" i="6"/>
  <c r="O1364" i="6"/>
  <c r="O1365" i="6"/>
  <c r="O1366" i="6"/>
  <c r="O1367" i="6"/>
  <c r="O1368" i="6"/>
  <c r="O1369" i="6"/>
  <c r="O1370" i="6"/>
  <c r="O1371" i="6"/>
  <c r="O1372" i="6"/>
  <c r="O1373" i="6"/>
  <c r="O1374" i="6"/>
  <c r="O1375" i="6"/>
  <c r="O1376" i="6"/>
  <c r="O1377" i="6"/>
  <c r="O1378" i="6"/>
  <c r="O1379" i="6"/>
  <c r="O1380" i="6"/>
  <c r="O1381" i="6"/>
  <c r="O1382" i="6"/>
  <c r="O1383" i="6"/>
  <c r="O1384" i="6"/>
  <c r="O1385" i="6"/>
  <c r="O1386" i="6"/>
  <c r="O1387" i="6"/>
  <c r="O1388" i="6"/>
  <c r="O1389" i="6"/>
  <c r="O1390" i="6"/>
  <c r="O1391" i="6"/>
  <c r="O1392" i="6"/>
  <c r="O1393" i="6"/>
  <c r="O1394" i="6"/>
  <c r="O1395" i="6"/>
  <c r="O1396" i="6"/>
  <c r="O1397" i="6"/>
  <c r="O1398" i="6"/>
  <c r="O1399" i="6"/>
  <c r="O1400" i="6"/>
  <c r="O1401" i="6"/>
  <c r="O1402" i="6"/>
  <c r="O1403" i="6"/>
  <c r="O1404" i="6"/>
  <c r="O1405" i="6"/>
  <c r="O1406" i="6"/>
  <c r="O1407" i="6"/>
  <c r="O1408" i="6"/>
  <c r="O1409" i="6"/>
  <c r="O1410" i="6"/>
  <c r="O1411" i="6"/>
  <c r="O1412" i="6"/>
  <c r="O1413" i="6"/>
  <c r="O1414" i="6"/>
  <c r="O1415" i="6"/>
  <c r="O1416" i="6"/>
  <c r="O1417" i="6"/>
  <c r="O1418" i="6"/>
  <c r="O1419" i="6"/>
  <c r="O1420" i="6"/>
  <c r="O1421" i="6"/>
  <c r="O1422" i="6"/>
  <c r="O1423" i="6"/>
  <c r="O1424" i="6"/>
  <c r="O1425" i="6"/>
  <c r="O1426" i="6"/>
  <c r="O1427" i="6"/>
  <c r="O1428" i="6"/>
  <c r="O1429" i="6"/>
  <c r="O1430" i="6"/>
  <c r="O1431" i="6"/>
  <c r="O1432" i="6"/>
  <c r="O1433" i="6"/>
  <c r="O1434" i="6"/>
  <c r="O1435" i="6"/>
  <c r="O1436" i="6"/>
  <c r="O1437" i="6"/>
  <c r="O1438" i="6"/>
  <c r="O1439" i="6"/>
  <c r="O1440" i="6"/>
  <c r="O1441" i="6"/>
  <c r="O1442" i="6"/>
  <c r="O1443" i="6"/>
  <c r="O1444" i="6"/>
  <c r="O1445" i="6"/>
  <c r="O1446" i="6"/>
  <c r="O1447" i="6"/>
  <c r="O1448" i="6"/>
  <c r="O1449" i="6"/>
  <c r="O1450" i="6"/>
  <c r="O1451" i="6"/>
  <c r="O1452" i="6"/>
  <c r="O1453" i="6"/>
  <c r="O1454" i="6"/>
  <c r="O1455" i="6"/>
  <c r="O1456" i="6"/>
  <c r="O1457" i="6"/>
  <c r="O1458" i="6"/>
  <c r="O1459" i="6"/>
  <c r="O1460" i="6"/>
  <c r="O1461" i="6"/>
  <c r="O1462" i="6"/>
  <c r="O1463" i="6"/>
  <c r="O1464" i="6"/>
  <c r="O1465" i="6"/>
  <c r="O1466" i="6"/>
  <c r="O1467" i="6"/>
  <c r="O1468" i="6"/>
  <c r="O1469" i="6"/>
  <c r="O1470" i="6"/>
  <c r="O1471" i="6"/>
  <c r="O1472" i="6"/>
  <c r="O1473" i="6"/>
  <c r="O1474" i="6"/>
  <c r="O1475" i="6"/>
  <c r="O1476" i="6"/>
  <c r="O1477" i="6"/>
  <c r="O1478" i="6"/>
  <c r="O1479" i="6"/>
  <c r="O1480" i="6"/>
  <c r="O1481" i="6"/>
  <c r="O1482" i="6"/>
  <c r="O1483" i="6"/>
  <c r="O1484" i="6"/>
  <c r="O1485" i="6"/>
  <c r="O1486" i="6"/>
  <c r="O1487" i="6"/>
  <c r="O1488" i="6"/>
  <c r="O1489" i="6"/>
  <c r="O1490" i="6"/>
  <c r="O1491" i="6"/>
  <c r="O1492" i="6"/>
  <c r="O1493" i="6"/>
  <c r="O1494" i="6"/>
  <c r="O1495" i="6"/>
  <c r="O1496" i="6"/>
  <c r="O1497" i="6"/>
  <c r="O1498" i="6"/>
  <c r="O1499" i="6"/>
  <c r="O1500" i="6"/>
  <c r="O1501" i="6"/>
  <c r="O1502" i="6"/>
  <c r="O1503" i="6"/>
  <c r="O1504" i="6"/>
  <c r="O1505" i="6"/>
  <c r="O1506" i="6"/>
  <c r="O1507" i="6"/>
  <c r="O1508" i="6"/>
  <c r="O1509" i="6"/>
  <c r="O1510" i="6"/>
  <c r="O1511" i="6"/>
  <c r="O1512" i="6"/>
  <c r="O1513" i="6"/>
  <c r="O1514" i="6"/>
  <c r="O1515" i="6"/>
  <c r="O1516" i="6"/>
  <c r="O1517" i="6"/>
  <c r="O1518" i="6"/>
  <c r="O1519" i="6"/>
  <c r="O1520" i="6"/>
  <c r="O1521" i="6"/>
  <c r="O1522" i="6"/>
  <c r="O1523" i="6"/>
  <c r="O1524" i="6"/>
  <c r="O1525" i="6"/>
  <c r="O1526" i="6"/>
  <c r="O1527" i="6"/>
  <c r="O1528" i="6"/>
  <c r="O1529" i="6"/>
  <c r="O1530" i="6"/>
  <c r="O1531" i="6"/>
  <c r="O1532" i="6"/>
  <c r="O1533" i="6"/>
  <c r="O1534" i="6"/>
  <c r="O1535" i="6"/>
  <c r="O1536" i="6"/>
  <c r="O1537" i="6"/>
  <c r="O1538" i="6"/>
  <c r="O1539" i="6"/>
  <c r="O1540" i="6"/>
  <c r="O1541" i="6"/>
  <c r="O1542" i="6"/>
  <c r="O1543" i="6"/>
  <c r="O1544" i="6"/>
  <c r="O1545" i="6"/>
  <c r="O1546" i="6"/>
  <c r="O1547" i="6"/>
  <c r="O1548" i="6"/>
  <c r="O1549" i="6"/>
  <c r="O1550" i="6"/>
  <c r="O1551" i="6"/>
  <c r="O1552" i="6"/>
  <c r="O1553" i="6"/>
  <c r="O1554" i="6"/>
  <c r="O1555" i="6"/>
  <c r="O1556" i="6"/>
  <c r="O1557" i="6"/>
  <c r="O1558" i="6"/>
  <c r="O1559" i="6"/>
  <c r="O1560" i="6"/>
  <c r="O1561" i="6"/>
  <c r="O1562" i="6"/>
  <c r="O1563" i="6"/>
  <c r="O1564" i="6"/>
  <c r="O1565" i="6"/>
  <c r="O1566" i="6"/>
  <c r="O1567" i="6"/>
  <c r="O1568" i="6"/>
  <c r="O1569" i="6"/>
  <c r="O1570" i="6"/>
  <c r="O1571" i="6"/>
  <c r="O1572" i="6"/>
  <c r="O1573" i="6"/>
  <c r="O1574" i="6"/>
  <c r="O1575" i="6"/>
  <c r="O1576" i="6"/>
  <c r="O1577" i="6"/>
  <c r="O1578" i="6"/>
  <c r="O1579" i="6"/>
  <c r="O1580" i="6"/>
  <c r="O1581" i="6"/>
  <c r="O1582" i="6"/>
  <c r="O1583" i="6"/>
  <c r="O1584" i="6"/>
  <c r="O1585" i="6"/>
  <c r="O1586" i="6"/>
  <c r="O1587" i="6"/>
  <c r="O1588" i="6"/>
  <c r="O1589" i="6"/>
  <c r="O1590" i="6"/>
  <c r="O1591" i="6"/>
  <c r="O1592" i="6"/>
  <c r="O1593" i="6"/>
  <c r="O1594" i="6"/>
  <c r="O1595" i="6"/>
  <c r="O1596" i="6"/>
  <c r="O1597" i="6"/>
  <c r="O1598" i="6"/>
  <c r="O1599" i="6"/>
  <c r="O1600" i="6"/>
  <c r="O1601" i="6"/>
  <c r="O1602" i="6"/>
  <c r="O1603" i="6"/>
  <c r="O1604" i="6"/>
  <c r="O1605" i="6"/>
  <c r="O1606" i="6"/>
  <c r="O1607" i="6"/>
  <c r="O1608" i="6"/>
  <c r="O1609" i="6"/>
  <c r="O1610" i="6"/>
  <c r="O1611" i="6"/>
  <c r="O1612" i="6"/>
  <c r="O1613" i="6"/>
  <c r="O1614" i="6"/>
  <c r="O1615" i="6"/>
  <c r="O1616" i="6"/>
  <c r="O1617" i="6"/>
  <c r="O1618" i="6"/>
  <c r="O1619" i="6"/>
  <c r="O1620" i="6"/>
  <c r="O1621" i="6"/>
  <c r="O1622" i="6"/>
  <c r="O1623" i="6"/>
  <c r="O1624" i="6"/>
  <c r="O1625" i="6"/>
  <c r="O1626" i="6"/>
  <c r="O1627" i="6"/>
  <c r="O1628" i="6"/>
  <c r="O1629" i="6"/>
  <c r="O1630" i="6"/>
  <c r="O1631" i="6"/>
  <c r="O1632" i="6"/>
  <c r="O1633" i="6"/>
  <c r="O1634" i="6"/>
  <c r="O1635" i="6"/>
  <c r="O1636" i="6"/>
  <c r="O1637" i="6"/>
  <c r="O1638" i="6"/>
  <c r="O1639" i="6"/>
  <c r="O1640" i="6"/>
  <c r="O1641" i="6"/>
  <c r="O1642" i="6"/>
  <c r="O1643" i="6"/>
  <c r="O1644" i="6"/>
  <c r="O1645" i="6"/>
  <c r="O1646" i="6"/>
  <c r="O1647" i="6"/>
  <c r="O1648" i="6"/>
  <c r="O1649" i="6"/>
  <c r="O1650" i="6"/>
  <c r="O1651" i="6"/>
  <c r="O1652" i="6"/>
  <c r="O1653" i="6"/>
  <c r="O1654" i="6"/>
  <c r="O1655" i="6"/>
  <c r="O1656" i="6"/>
  <c r="O1657" i="6"/>
  <c r="O1658" i="6"/>
  <c r="O1659" i="6"/>
  <c r="O1660" i="6"/>
  <c r="O1661" i="6"/>
  <c r="O1662" i="6"/>
  <c r="O1663" i="6"/>
  <c r="O1664" i="6"/>
  <c r="O1665" i="6"/>
  <c r="O1666" i="6"/>
  <c r="O1667" i="6"/>
  <c r="O1668" i="6"/>
  <c r="O1669" i="6"/>
  <c r="O1670" i="6"/>
  <c r="O1671" i="6"/>
  <c r="O1672" i="6"/>
  <c r="O1673" i="6"/>
  <c r="O1674" i="6"/>
  <c r="O1675" i="6"/>
  <c r="O1676" i="6"/>
  <c r="O1677" i="6"/>
  <c r="O1678" i="6"/>
  <c r="O1679" i="6"/>
  <c r="O1680" i="6"/>
  <c r="O1681" i="6"/>
  <c r="O1682" i="6"/>
  <c r="O1683" i="6"/>
  <c r="O1684" i="6"/>
  <c r="O1685" i="6"/>
  <c r="O1686" i="6"/>
  <c r="O1687" i="6"/>
  <c r="O1688" i="6"/>
  <c r="O1689" i="6"/>
  <c r="O1690" i="6"/>
  <c r="O1691" i="6"/>
  <c r="O1692" i="6"/>
  <c r="O1693" i="6"/>
  <c r="O1694" i="6"/>
  <c r="O1695" i="6"/>
  <c r="O1696" i="6"/>
  <c r="O1697" i="6"/>
  <c r="O1698" i="6"/>
  <c r="O1699" i="6"/>
  <c r="O1700" i="6"/>
  <c r="O1701" i="6"/>
  <c r="O1702" i="6"/>
  <c r="O1703" i="6"/>
  <c r="O1704" i="6"/>
  <c r="O1705" i="6"/>
  <c r="O1706" i="6"/>
  <c r="O1707" i="6"/>
  <c r="O1708" i="6"/>
  <c r="O1709" i="6"/>
  <c r="O1710" i="6"/>
  <c r="O1711" i="6"/>
  <c r="O1712" i="6"/>
  <c r="O1713" i="6"/>
  <c r="O1714" i="6"/>
  <c r="O1715" i="6"/>
  <c r="O1716" i="6"/>
  <c r="O1717" i="6"/>
  <c r="O1718" i="6"/>
  <c r="O1719" i="6"/>
  <c r="O1720" i="6"/>
  <c r="O1721" i="6"/>
  <c r="O1722" i="6"/>
  <c r="O1723" i="6"/>
  <c r="O1724" i="6"/>
  <c r="O1725" i="6"/>
  <c r="O1726" i="6"/>
  <c r="O1727" i="6"/>
  <c r="O1728" i="6"/>
  <c r="O1729" i="6"/>
  <c r="O1730" i="6"/>
  <c r="O1731" i="6"/>
  <c r="O1732" i="6"/>
  <c r="O1733" i="6"/>
  <c r="O1734" i="6"/>
  <c r="O1735" i="6"/>
  <c r="O1736" i="6"/>
  <c r="O1737" i="6"/>
  <c r="O1738" i="6"/>
  <c r="O1739" i="6"/>
  <c r="O1740" i="6"/>
  <c r="O1741" i="6"/>
  <c r="O1742" i="6"/>
  <c r="O1743" i="6"/>
  <c r="O1744" i="6"/>
  <c r="O1745" i="6"/>
  <c r="O1746" i="6"/>
  <c r="O1747" i="6"/>
  <c r="O1748" i="6"/>
  <c r="O1749" i="6"/>
  <c r="O1750" i="6"/>
  <c r="O1751" i="6"/>
  <c r="O1752" i="6"/>
  <c r="O1753" i="6"/>
  <c r="O1754" i="6"/>
  <c r="O1755" i="6"/>
  <c r="O1756" i="6"/>
  <c r="O1757" i="6"/>
  <c r="O1758" i="6"/>
  <c r="O1759" i="6"/>
  <c r="O1760" i="6"/>
  <c r="O1761" i="6"/>
  <c r="O1762" i="6"/>
  <c r="O1763" i="6"/>
  <c r="O1764" i="6"/>
  <c r="O1765" i="6"/>
  <c r="O1766" i="6"/>
  <c r="O1767" i="6"/>
  <c r="O1768" i="6"/>
  <c r="O1769" i="6"/>
  <c r="O1770" i="6"/>
  <c r="O1771" i="6"/>
  <c r="O1772" i="6"/>
  <c r="O1773" i="6"/>
  <c r="O1774" i="6"/>
  <c r="O1775" i="6"/>
  <c r="O1776" i="6"/>
  <c r="O1777" i="6"/>
  <c r="O1778" i="6"/>
  <c r="O1779" i="6"/>
  <c r="O1780" i="6"/>
  <c r="O1781" i="6"/>
  <c r="O1782" i="6"/>
  <c r="O1783" i="6"/>
  <c r="O1784" i="6"/>
  <c r="O1785" i="6"/>
  <c r="O1786" i="6"/>
  <c r="O1787" i="6"/>
  <c r="O1788" i="6"/>
  <c r="O1789" i="6"/>
  <c r="O1790" i="6"/>
  <c r="O1791" i="6"/>
  <c r="O1792" i="6"/>
  <c r="O1793" i="6"/>
  <c r="O1794" i="6"/>
  <c r="O1795" i="6"/>
  <c r="O1796" i="6"/>
  <c r="O1797" i="6"/>
  <c r="O1798" i="6"/>
  <c r="O1799" i="6"/>
  <c r="O1800" i="6"/>
  <c r="O1801" i="6"/>
  <c r="O1802" i="6"/>
  <c r="O1803" i="6"/>
  <c r="O1804" i="6"/>
  <c r="O1805" i="6"/>
  <c r="O1806" i="6"/>
  <c r="O1807" i="6"/>
  <c r="O1808" i="6"/>
  <c r="O1809" i="6"/>
  <c r="O1810" i="6"/>
  <c r="O1811" i="6"/>
  <c r="O1812" i="6"/>
  <c r="O1813" i="6"/>
  <c r="O1814" i="6"/>
  <c r="O1815" i="6"/>
  <c r="O1816" i="6"/>
  <c r="O1817" i="6"/>
  <c r="O1818" i="6"/>
  <c r="O1819" i="6"/>
  <c r="O1820" i="6"/>
  <c r="O1821" i="6"/>
  <c r="O1822" i="6"/>
  <c r="O1823" i="6"/>
  <c r="O1824" i="6"/>
  <c r="O1825" i="6"/>
  <c r="O1826" i="6"/>
  <c r="O1827" i="6"/>
  <c r="O1828" i="6"/>
  <c r="O1829" i="6"/>
  <c r="O1830" i="6"/>
  <c r="O1831" i="6"/>
  <c r="O1832" i="6"/>
  <c r="O1833" i="6"/>
  <c r="O1834" i="6"/>
  <c r="O1835" i="6"/>
  <c r="O1836" i="6"/>
  <c r="O1837" i="6"/>
  <c r="O1838" i="6"/>
  <c r="O1839" i="6"/>
  <c r="O1840" i="6"/>
  <c r="O1841" i="6"/>
  <c r="O1842" i="6"/>
  <c r="O1843" i="6"/>
  <c r="O1844" i="6"/>
  <c r="O1845" i="6"/>
  <c r="O1846" i="6"/>
  <c r="O1847" i="6"/>
  <c r="O1848" i="6"/>
  <c r="O1849" i="6"/>
  <c r="O1850" i="6"/>
  <c r="O1851" i="6"/>
  <c r="O1852" i="6"/>
  <c r="O1853" i="6"/>
  <c r="O1854" i="6"/>
  <c r="O1855" i="6"/>
  <c r="O1856" i="6"/>
  <c r="O1857" i="6"/>
  <c r="O1858" i="6"/>
  <c r="O1859" i="6"/>
  <c r="O1860" i="6"/>
  <c r="O1861" i="6"/>
  <c r="O1862" i="6"/>
  <c r="O1863" i="6"/>
  <c r="O1864" i="6"/>
  <c r="O1865" i="6"/>
  <c r="O1866" i="6"/>
  <c r="O1867" i="6"/>
  <c r="O1868" i="6"/>
  <c r="O1869" i="6"/>
  <c r="O1870" i="6"/>
  <c r="O1871" i="6"/>
  <c r="O1872" i="6"/>
  <c r="O1873" i="6"/>
  <c r="O1874" i="6"/>
  <c r="O1875" i="6"/>
  <c r="O1876" i="6"/>
  <c r="O1877" i="6"/>
  <c r="O1878" i="6"/>
  <c r="O1879" i="6"/>
  <c r="O1880" i="6"/>
  <c r="O1881" i="6"/>
  <c r="O1882" i="6"/>
  <c r="O1883" i="6"/>
  <c r="O1884" i="6"/>
  <c r="O1885" i="6"/>
  <c r="O1886" i="6"/>
  <c r="O1887" i="6"/>
  <c r="O1888" i="6"/>
  <c r="O1889" i="6"/>
  <c r="O1890" i="6"/>
  <c r="O1891" i="6"/>
  <c r="O1892" i="6"/>
  <c r="O1893" i="6"/>
  <c r="O1894" i="6"/>
  <c r="O1895" i="6"/>
  <c r="O1896" i="6"/>
  <c r="O1897" i="6"/>
  <c r="O1898" i="6"/>
  <c r="O1899" i="6"/>
  <c r="O1900" i="6"/>
  <c r="O1901" i="6"/>
  <c r="O1902" i="6"/>
  <c r="O1903" i="6"/>
  <c r="O1904" i="6"/>
  <c r="O1905" i="6"/>
  <c r="O1906" i="6"/>
  <c r="O1907" i="6"/>
  <c r="O1908" i="6"/>
  <c r="O1909" i="6"/>
  <c r="O1910" i="6"/>
  <c r="O1911" i="6"/>
  <c r="O1912" i="6"/>
  <c r="O1913" i="6"/>
  <c r="O1914" i="6"/>
  <c r="O1915" i="6"/>
  <c r="O1916" i="6"/>
  <c r="O1917" i="6"/>
  <c r="O1918" i="6"/>
  <c r="O1919" i="6"/>
  <c r="O1920" i="6"/>
  <c r="O1921" i="6"/>
  <c r="O1922" i="6"/>
  <c r="O1923" i="6"/>
  <c r="O1924" i="6"/>
  <c r="O1925" i="6"/>
  <c r="O1926" i="6"/>
  <c r="O1927" i="6"/>
  <c r="O1928" i="6"/>
  <c r="O1929" i="6"/>
  <c r="O1930" i="6"/>
  <c r="O1931" i="6"/>
  <c r="O1932" i="6"/>
  <c r="O1933" i="6"/>
  <c r="O1934" i="6"/>
  <c r="O1935" i="6"/>
  <c r="O1936" i="6"/>
  <c r="O1937" i="6"/>
  <c r="O1938" i="6"/>
  <c r="O1939" i="6"/>
  <c r="O1940" i="6"/>
  <c r="O1941" i="6"/>
  <c r="O1942" i="6"/>
  <c r="O1943"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456" i="6"/>
  <c r="M457" i="6"/>
  <c r="M458" i="6"/>
  <c r="M459" i="6"/>
  <c r="M460" i="6"/>
  <c r="M461" i="6"/>
  <c r="M462" i="6"/>
  <c r="M463" i="6"/>
  <c r="M464" i="6"/>
  <c r="M465" i="6"/>
  <c r="M466" i="6"/>
  <c r="M467" i="6"/>
  <c r="M468" i="6"/>
  <c r="M469" i="6"/>
  <c r="M470" i="6"/>
  <c r="M471" i="6"/>
  <c r="M472" i="6"/>
  <c r="M473" i="6"/>
  <c r="M474" i="6"/>
  <c r="M475" i="6"/>
  <c r="M476" i="6"/>
  <c r="M477" i="6"/>
  <c r="M478" i="6"/>
  <c r="M479" i="6"/>
  <c r="M480" i="6"/>
  <c r="M481" i="6"/>
  <c r="M482" i="6"/>
  <c r="M483" i="6"/>
  <c r="M484" i="6"/>
  <c r="M485" i="6"/>
  <c r="M486" i="6"/>
  <c r="M487" i="6"/>
  <c r="M488" i="6"/>
  <c r="M489" i="6"/>
  <c r="M490" i="6"/>
  <c r="M491" i="6"/>
  <c r="M492" i="6"/>
  <c r="M493" i="6"/>
  <c r="M494" i="6"/>
  <c r="M495" i="6"/>
  <c r="M496" i="6"/>
  <c r="M497" i="6"/>
  <c r="M498" i="6"/>
  <c r="M499" i="6"/>
  <c r="M500" i="6"/>
  <c r="M501" i="6"/>
  <c r="M502" i="6"/>
  <c r="M503" i="6"/>
  <c r="M504" i="6"/>
  <c r="M505" i="6"/>
  <c r="M506" i="6"/>
  <c r="M507" i="6"/>
  <c r="M508" i="6"/>
  <c r="M509" i="6"/>
  <c r="M510" i="6"/>
  <c r="M511" i="6"/>
  <c r="M512" i="6"/>
  <c r="M513" i="6"/>
  <c r="M514" i="6"/>
  <c r="M515" i="6"/>
  <c r="M516" i="6"/>
  <c r="M517" i="6"/>
  <c r="M518" i="6"/>
  <c r="M519" i="6"/>
  <c r="M520" i="6"/>
  <c r="M521" i="6"/>
  <c r="M522" i="6"/>
  <c r="M523" i="6"/>
  <c r="M524" i="6"/>
  <c r="M525" i="6"/>
  <c r="M526" i="6"/>
  <c r="M527" i="6"/>
  <c r="M528" i="6"/>
  <c r="M529" i="6"/>
  <c r="M530" i="6"/>
  <c r="M531" i="6"/>
  <c r="M532" i="6"/>
  <c r="M533" i="6"/>
  <c r="M534" i="6"/>
  <c r="M535" i="6"/>
  <c r="M536" i="6"/>
  <c r="M537" i="6"/>
  <c r="M538" i="6"/>
  <c r="M539" i="6"/>
  <c r="M540" i="6"/>
  <c r="M541" i="6"/>
  <c r="M542" i="6"/>
  <c r="M543" i="6"/>
  <c r="M544" i="6"/>
  <c r="M545" i="6"/>
  <c r="M546" i="6"/>
  <c r="M547" i="6"/>
  <c r="M548" i="6"/>
  <c r="M549" i="6"/>
  <c r="M550" i="6"/>
  <c r="M551" i="6"/>
  <c r="M552" i="6"/>
  <c r="M553" i="6"/>
  <c r="M554" i="6"/>
  <c r="M555" i="6"/>
  <c r="M556" i="6"/>
  <c r="M557" i="6"/>
  <c r="M558" i="6"/>
  <c r="M559" i="6"/>
  <c r="M560" i="6"/>
  <c r="M561" i="6"/>
  <c r="M562" i="6"/>
  <c r="M563" i="6"/>
  <c r="M564" i="6"/>
  <c r="M565" i="6"/>
  <c r="M566" i="6"/>
  <c r="M567" i="6"/>
  <c r="M568" i="6"/>
  <c r="M569" i="6"/>
  <c r="M570" i="6"/>
  <c r="M571" i="6"/>
  <c r="M572" i="6"/>
  <c r="M573" i="6"/>
  <c r="M574" i="6"/>
  <c r="M575" i="6"/>
  <c r="M576" i="6"/>
  <c r="M577" i="6"/>
  <c r="M578" i="6"/>
  <c r="M579" i="6"/>
  <c r="M580" i="6"/>
  <c r="M581" i="6"/>
  <c r="M582" i="6"/>
  <c r="M583" i="6"/>
  <c r="M584" i="6"/>
  <c r="M585" i="6"/>
  <c r="M586" i="6"/>
  <c r="M587" i="6"/>
  <c r="M588" i="6"/>
  <c r="M589" i="6"/>
  <c r="M590" i="6"/>
  <c r="M591" i="6"/>
  <c r="M592" i="6"/>
  <c r="M593" i="6"/>
  <c r="M594" i="6"/>
  <c r="M595" i="6"/>
  <c r="M596" i="6"/>
  <c r="M597" i="6"/>
  <c r="M598" i="6"/>
  <c r="M599" i="6"/>
  <c r="M600" i="6"/>
  <c r="M601" i="6"/>
  <c r="M602" i="6"/>
  <c r="M603" i="6"/>
  <c r="M604" i="6"/>
  <c r="M605" i="6"/>
  <c r="M606" i="6"/>
  <c r="M607" i="6"/>
  <c r="M608" i="6"/>
  <c r="M609" i="6"/>
  <c r="M610" i="6"/>
  <c r="M611" i="6"/>
  <c r="M612" i="6"/>
  <c r="M613" i="6"/>
  <c r="M614" i="6"/>
  <c r="M615" i="6"/>
  <c r="M616" i="6"/>
  <c r="M617" i="6"/>
  <c r="M618" i="6"/>
  <c r="M619" i="6"/>
  <c r="M620" i="6"/>
  <c r="M621" i="6"/>
  <c r="M622" i="6"/>
  <c r="M623" i="6"/>
  <c r="M624" i="6"/>
  <c r="M625" i="6"/>
  <c r="M626" i="6"/>
  <c r="M627" i="6"/>
  <c r="M628" i="6"/>
  <c r="M629" i="6"/>
  <c r="M630" i="6"/>
  <c r="M631" i="6"/>
  <c r="M632" i="6"/>
  <c r="M633" i="6"/>
  <c r="M634" i="6"/>
  <c r="M635" i="6"/>
  <c r="M636" i="6"/>
  <c r="M637" i="6"/>
  <c r="M638" i="6"/>
  <c r="M639" i="6"/>
  <c r="M640" i="6"/>
  <c r="M641" i="6"/>
  <c r="M642" i="6"/>
  <c r="M643" i="6"/>
  <c r="M644" i="6"/>
  <c r="M645" i="6"/>
  <c r="M646" i="6"/>
  <c r="M647" i="6"/>
  <c r="M648" i="6"/>
  <c r="M649" i="6"/>
  <c r="M650" i="6"/>
  <c r="M651" i="6"/>
  <c r="M652" i="6"/>
  <c r="M653" i="6"/>
  <c r="M654" i="6"/>
  <c r="M655" i="6"/>
  <c r="M656" i="6"/>
  <c r="M657" i="6"/>
  <c r="M658" i="6"/>
  <c r="M659" i="6"/>
  <c r="M660" i="6"/>
  <c r="M661" i="6"/>
  <c r="M662" i="6"/>
  <c r="M663" i="6"/>
  <c r="M664" i="6"/>
  <c r="M665" i="6"/>
  <c r="M666" i="6"/>
  <c r="M667" i="6"/>
  <c r="M668" i="6"/>
  <c r="M669" i="6"/>
  <c r="M670" i="6"/>
  <c r="M671" i="6"/>
  <c r="M672" i="6"/>
  <c r="M673" i="6"/>
  <c r="M674" i="6"/>
  <c r="M675" i="6"/>
  <c r="M676" i="6"/>
  <c r="M677" i="6"/>
  <c r="M678" i="6"/>
  <c r="M679" i="6"/>
  <c r="M680" i="6"/>
  <c r="M681" i="6"/>
  <c r="M682" i="6"/>
  <c r="M683" i="6"/>
  <c r="M684" i="6"/>
  <c r="M685" i="6"/>
  <c r="M686" i="6"/>
  <c r="M687" i="6"/>
  <c r="M688" i="6"/>
  <c r="M689" i="6"/>
  <c r="M690" i="6"/>
  <c r="M691" i="6"/>
  <c r="M692" i="6"/>
  <c r="M693" i="6"/>
  <c r="M694" i="6"/>
  <c r="M695" i="6"/>
  <c r="M696" i="6"/>
  <c r="M697" i="6"/>
  <c r="M698" i="6"/>
  <c r="M699" i="6"/>
  <c r="M700" i="6"/>
  <c r="M701" i="6"/>
  <c r="M702" i="6"/>
  <c r="M703" i="6"/>
  <c r="M704" i="6"/>
  <c r="M705" i="6"/>
  <c r="M706" i="6"/>
  <c r="M707" i="6"/>
  <c r="M708" i="6"/>
  <c r="M709" i="6"/>
  <c r="M710" i="6"/>
  <c r="M711" i="6"/>
  <c r="M712" i="6"/>
  <c r="M713" i="6"/>
  <c r="M714" i="6"/>
  <c r="M715" i="6"/>
  <c r="M716" i="6"/>
  <c r="M717" i="6"/>
  <c r="M718" i="6"/>
  <c r="M719" i="6"/>
  <c r="M720" i="6"/>
  <c r="M721" i="6"/>
  <c r="M722" i="6"/>
  <c r="M723" i="6"/>
  <c r="M724" i="6"/>
  <c r="M725" i="6"/>
  <c r="M726" i="6"/>
  <c r="M727" i="6"/>
  <c r="M728" i="6"/>
  <c r="M729" i="6"/>
  <c r="M730" i="6"/>
  <c r="M731" i="6"/>
  <c r="M732" i="6"/>
  <c r="M733" i="6"/>
  <c r="M734" i="6"/>
  <c r="M735" i="6"/>
  <c r="M736" i="6"/>
  <c r="M737" i="6"/>
  <c r="M738" i="6"/>
  <c r="M739" i="6"/>
  <c r="M740" i="6"/>
  <c r="M741" i="6"/>
  <c r="M742" i="6"/>
  <c r="M743" i="6"/>
  <c r="M744" i="6"/>
  <c r="M745" i="6"/>
  <c r="M746" i="6"/>
  <c r="M747" i="6"/>
  <c r="M748" i="6"/>
  <c r="M749" i="6"/>
  <c r="M750" i="6"/>
  <c r="M751" i="6"/>
  <c r="M752" i="6"/>
  <c r="M753" i="6"/>
  <c r="M754" i="6"/>
  <c r="M755" i="6"/>
  <c r="M756" i="6"/>
  <c r="M757" i="6"/>
  <c r="M758" i="6"/>
  <c r="M759" i="6"/>
  <c r="M760" i="6"/>
  <c r="M761" i="6"/>
  <c r="M762" i="6"/>
  <c r="M763" i="6"/>
  <c r="M764" i="6"/>
  <c r="M765" i="6"/>
  <c r="M766" i="6"/>
  <c r="M767" i="6"/>
  <c r="M768" i="6"/>
  <c r="M769" i="6"/>
  <c r="M770" i="6"/>
  <c r="M771" i="6"/>
  <c r="M772" i="6"/>
  <c r="M773" i="6"/>
  <c r="M774" i="6"/>
  <c r="M775" i="6"/>
  <c r="M776" i="6"/>
  <c r="M777" i="6"/>
  <c r="M778" i="6"/>
  <c r="M779" i="6"/>
  <c r="M780" i="6"/>
  <c r="M781" i="6"/>
  <c r="M782" i="6"/>
  <c r="M783" i="6"/>
  <c r="M784" i="6"/>
  <c r="M785" i="6"/>
  <c r="M786" i="6"/>
  <c r="M787" i="6"/>
  <c r="M788" i="6"/>
  <c r="M789" i="6"/>
  <c r="M790" i="6"/>
  <c r="M791" i="6"/>
  <c r="M792" i="6"/>
  <c r="M793" i="6"/>
  <c r="M794" i="6"/>
  <c r="M795" i="6"/>
  <c r="M796" i="6"/>
  <c r="M797" i="6"/>
  <c r="M798" i="6"/>
  <c r="M799" i="6"/>
  <c r="M800" i="6"/>
  <c r="M801" i="6"/>
  <c r="M802" i="6"/>
  <c r="M803" i="6"/>
  <c r="M804" i="6"/>
  <c r="M805" i="6"/>
  <c r="M806" i="6"/>
  <c r="M807" i="6"/>
  <c r="M808" i="6"/>
  <c r="M809" i="6"/>
  <c r="M810" i="6"/>
  <c r="M811" i="6"/>
  <c r="M812" i="6"/>
  <c r="M813" i="6"/>
  <c r="M814" i="6"/>
  <c r="M815" i="6"/>
  <c r="M816" i="6"/>
  <c r="M817" i="6"/>
  <c r="M818" i="6"/>
  <c r="M819" i="6"/>
  <c r="M820" i="6"/>
  <c r="M821" i="6"/>
  <c r="M822" i="6"/>
  <c r="M823" i="6"/>
  <c r="M824" i="6"/>
  <c r="M825" i="6"/>
  <c r="M832" i="6"/>
  <c r="M833" i="6"/>
  <c r="M834" i="6"/>
  <c r="M835" i="6"/>
  <c r="M836" i="6"/>
  <c r="M837" i="6"/>
  <c r="M838" i="6"/>
  <c r="M839" i="6"/>
  <c r="M840" i="6"/>
  <c r="M841" i="6"/>
  <c r="M842" i="6"/>
  <c r="M843" i="6"/>
  <c r="M844" i="6"/>
  <c r="M845" i="6"/>
  <c r="M846" i="6"/>
  <c r="M847" i="6"/>
  <c r="M848" i="6"/>
  <c r="M849" i="6"/>
  <c r="M850" i="6"/>
  <c r="M857" i="6"/>
  <c r="M858" i="6"/>
  <c r="M859" i="6"/>
  <c r="M860" i="6"/>
  <c r="M861" i="6"/>
  <c r="M862" i="6"/>
  <c r="M863" i="6"/>
  <c r="M864" i="6"/>
  <c r="M865" i="6"/>
  <c r="M866" i="6"/>
  <c r="M867" i="6"/>
  <c r="M868" i="6"/>
  <c r="M869" i="6"/>
  <c r="M870" i="6"/>
  <c r="M871" i="6"/>
  <c r="M872" i="6"/>
  <c r="M873" i="6"/>
  <c r="M874" i="6"/>
  <c r="M875" i="6"/>
  <c r="M876" i="6"/>
  <c r="M877" i="6"/>
  <c r="M878" i="6"/>
  <c r="M879" i="6"/>
  <c r="M880" i="6"/>
  <c r="M881" i="6"/>
  <c r="M882" i="6"/>
  <c r="M883" i="6"/>
  <c r="M884" i="6"/>
  <c r="M885" i="6"/>
  <c r="M886" i="6"/>
  <c r="M887" i="6"/>
  <c r="M888" i="6"/>
  <c r="M889" i="6"/>
  <c r="M890" i="6"/>
  <c r="M891" i="6"/>
  <c r="M892" i="6"/>
  <c r="M893" i="6"/>
  <c r="M894" i="6"/>
  <c r="M895" i="6"/>
  <c r="M896" i="6"/>
  <c r="M897" i="6"/>
  <c r="M898" i="6"/>
  <c r="M899" i="6"/>
  <c r="M900" i="6"/>
  <c r="M901" i="6"/>
  <c r="M902" i="6"/>
  <c r="M903" i="6"/>
  <c r="M904" i="6"/>
  <c r="M905" i="6"/>
  <c r="M906" i="6"/>
  <c r="M907" i="6"/>
  <c r="M908" i="6"/>
  <c r="M909" i="6"/>
  <c r="M910" i="6"/>
  <c r="M911" i="6"/>
  <c r="M912" i="6"/>
  <c r="M913" i="6"/>
  <c r="M914" i="6"/>
  <c r="M915" i="6"/>
  <c r="M916" i="6"/>
  <c r="M917" i="6"/>
  <c r="M918" i="6"/>
  <c r="M919" i="6"/>
  <c r="M920" i="6"/>
  <c r="M921" i="6"/>
  <c r="M922" i="6"/>
  <c r="M923" i="6"/>
  <c r="M924" i="6"/>
  <c r="M925" i="6"/>
  <c r="M926" i="6"/>
  <c r="M927" i="6"/>
  <c r="M928" i="6"/>
  <c r="M929" i="6"/>
  <c r="M930" i="6"/>
  <c r="M931" i="6"/>
  <c r="M932" i="6"/>
  <c r="M933" i="6"/>
  <c r="M934" i="6"/>
  <c r="M935" i="6"/>
  <c r="M936" i="6"/>
  <c r="M937" i="6"/>
  <c r="M938" i="6"/>
  <c r="M939" i="6"/>
  <c r="M940" i="6"/>
  <c r="M941" i="6"/>
  <c r="M942" i="6"/>
  <c r="M943" i="6"/>
  <c r="M944" i="6"/>
  <c r="M945" i="6"/>
  <c r="M946" i="6"/>
  <c r="M947" i="6"/>
  <c r="M948" i="6"/>
  <c r="M949" i="6"/>
  <c r="M950" i="6"/>
  <c r="M951" i="6"/>
  <c r="M952" i="6"/>
  <c r="M953" i="6"/>
  <c r="M954" i="6"/>
  <c r="M955" i="6"/>
  <c r="M956" i="6"/>
  <c r="M957" i="6"/>
  <c r="M958" i="6"/>
  <c r="M959" i="6"/>
  <c r="M960" i="6"/>
  <c r="M961" i="6"/>
  <c r="M962" i="6"/>
  <c r="M963" i="6"/>
  <c r="M964" i="6"/>
  <c r="M965" i="6"/>
  <c r="M966" i="6"/>
  <c r="M967" i="6"/>
  <c r="M968" i="6"/>
  <c r="M969" i="6"/>
  <c r="M970" i="6"/>
  <c r="M971" i="6"/>
  <c r="M972" i="6"/>
  <c r="M973" i="6"/>
  <c r="M974" i="6"/>
  <c r="M975" i="6"/>
  <c r="M976" i="6"/>
  <c r="M977" i="6"/>
  <c r="M978" i="6"/>
  <c r="M979" i="6"/>
  <c r="M980" i="6"/>
  <c r="M981" i="6"/>
  <c r="M982" i="6"/>
  <c r="M983" i="6"/>
  <c r="M984" i="6"/>
  <c r="M985" i="6"/>
  <c r="M986" i="6"/>
  <c r="M987" i="6"/>
  <c r="M988" i="6"/>
  <c r="M989" i="6"/>
  <c r="M990" i="6"/>
  <c r="M991" i="6"/>
  <c r="M992" i="6"/>
  <c r="M993" i="6"/>
  <c r="M994" i="6"/>
  <c r="M995" i="6"/>
  <c r="M996" i="6"/>
  <c r="M997" i="6"/>
  <c r="M998" i="6"/>
  <c r="M999" i="6"/>
  <c r="M1000" i="6"/>
  <c r="M1001" i="6"/>
  <c r="M1002" i="6"/>
  <c r="M1003" i="6"/>
  <c r="M1004" i="6"/>
  <c r="M1005" i="6"/>
  <c r="M1006" i="6"/>
  <c r="M1007" i="6"/>
  <c r="M1008" i="6"/>
  <c r="M1009" i="6"/>
  <c r="M1010" i="6"/>
  <c r="M1011" i="6"/>
  <c r="M1012" i="6"/>
  <c r="M1013" i="6"/>
  <c r="M1014" i="6"/>
  <c r="M1015" i="6"/>
  <c r="M1016" i="6"/>
  <c r="M1017" i="6"/>
  <c r="M1018" i="6"/>
  <c r="M1019" i="6"/>
  <c r="M1020" i="6"/>
  <c r="M1021" i="6"/>
  <c r="M1022" i="6"/>
  <c r="M1023" i="6"/>
  <c r="M1024" i="6"/>
  <c r="M1025" i="6"/>
  <c r="M1026" i="6"/>
  <c r="M1027" i="6"/>
  <c r="M1028" i="6"/>
  <c r="M1035" i="6"/>
  <c r="M1036" i="6"/>
  <c r="M1042" i="6"/>
  <c r="M1043" i="6"/>
  <c r="M1044" i="6"/>
  <c r="M1045" i="6"/>
  <c r="M1046" i="6"/>
  <c r="M1047" i="6"/>
  <c r="M1048" i="6"/>
  <c r="M1049" i="6"/>
  <c r="M1050" i="6"/>
  <c r="M1051" i="6"/>
  <c r="M1052" i="6"/>
  <c r="M1053" i="6"/>
  <c r="M1054" i="6"/>
  <c r="M1055" i="6"/>
  <c r="M1056" i="6"/>
  <c r="M1057" i="6"/>
  <c r="M1058" i="6"/>
  <c r="M1059" i="6"/>
  <c r="M1060" i="6"/>
  <c r="M1061" i="6"/>
  <c r="M1062" i="6"/>
  <c r="M1063" i="6"/>
  <c r="M1064" i="6"/>
  <c r="M1065" i="6"/>
  <c r="M1066" i="6"/>
  <c r="M1067" i="6"/>
  <c r="M1068" i="6"/>
  <c r="M1069" i="6"/>
  <c r="M1070" i="6"/>
  <c r="M1071" i="6"/>
  <c r="M1072" i="6"/>
  <c r="M1078" i="6"/>
  <c r="M1079" i="6"/>
  <c r="M1080" i="6"/>
  <c r="M1081" i="6"/>
  <c r="M1082" i="6"/>
  <c r="M1083" i="6"/>
  <c r="M1084" i="6"/>
  <c r="M1085" i="6"/>
  <c r="M1129" i="6"/>
  <c r="M1130" i="6"/>
  <c r="M1131" i="6"/>
  <c r="M1132" i="6"/>
  <c r="M1133" i="6"/>
  <c r="M1134" i="6"/>
  <c r="M1135" i="6"/>
  <c r="M1136" i="6"/>
  <c r="M1137" i="6"/>
  <c r="M1138" i="6"/>
  <c r="M1139" i="6"/>
  <c r="M1140" i="6"/>
  <c r="M1141" i="6"/>
  <c r="M1142" i="6"/>
  <c r="M1143" i="6"/>
  <c r="M1144" i="6"/>
  <c r="M1145" i="6"/>
  <c r="M1146" i="6"/>
  <c r="M1147" i="6"/>
  <c r="M1148" i="6"/>
  <c r="M1149" i="6"/>
  <c r="M1150" i="6"/>
  <c r="M1186" i="6"/>
  <c r="M1187" i="6"/>
  <c r="M1188" i="6"/>
  <c r="M1189" i="6"/>
  <c r="M1190" i="6"/>
  <c r="M1191" i="6"/>
  <c r="M1192" i="6"/>
  <c r="M1193" i="6"/>
  <c r="M1194" i="6"/>
  <c r="M1195" i="6"/>
  <c r="M1196" i="6"/>
  <c r="M1197" i="6"/>
  <c r="M1198" i="6"/>
  <c r="M1199" i="6"/>
  <c r="M1200" i="6"/>
  <c r="M1201" i="6"/>
  <c r="M1202" i="6"/>
  <c r="M1203" i="6"/>
  <c r="M1204" i="6"/>
  <c r="M1205" i="6"/>
  <c r="M1206" i="6"/>
  <c r="M1207" i="6"/>
  <c r="M1208" i="6"/>
  <c r="M1209" i="6"/>
  <c r="M1210" i="6"/>
  <c r="M1211" i="6"/>
  <c r="M1212" i="6"/>
  <c r="M1213" i="6"/>
  <c r="M1214" i="6"/>
  <c r="M1215" i="6"/>
  <c r="M1216" i="6"/>
  <c r="M1217" i="6"/>
  <c r="M1218" i="6"/>
  <c r="M1219" i="6"/>
  <c r="M1220" i="6"/>
  <c r="M1221" i="6"/>
  <c r="M1222" i="6"/>
  <c r="M1223" i="6"/>
  <c r="M1224" i="6"/>
  <c r="M1225" i="6"/>
  <c r="M1226" i="6"/>
  <c r="M1227" i="6"/>
  <c r="M1228" i="6"/>
  <c r="M1229" i="6"/>
  <c r="M1230" i="6"/>
  <c r="M1231" i="6"/>
  <c r="M1232" i="6"/>
  <c r="M1233" i="6"/>
  <c r="M1234" i="6"/>
  <c r="M1235" i="6"/>
  <c r="M1236" i="6"/>
  <c r="M1237" i="6"/>
  <c r="M1238" i="6"/>
  <c r="M1239" i="6"/>
  <c r="M1240" i="6"/>
  <c r="M1241" i="6"/>
  <c r="M1242" i="6"/>
  <c r="M1243" i="6"/>
  <c r="M1244" i="6"/>
  <c r="M1245" i="6"/>
  <c r="M1246" i="6"/>
  <c r="M1247" i="6"/>
  <c r="M1248" i="6"/>
  <c r="M1249" i="6"/>
  <c r="M1250" i="6"/>
  <c r="M1251" i="6"/>
  <c r="M1252" i="6"/>
  <c r="M1253" i="6"/>
  <c r="M1254" i="6"/>
  <c r="M1255" i="6"/>
  <c r="M1256" i="6"/>
  <c r="M1257" i="6"/>
  <c r="M1258" i="6"/>
  <c r="M1259" i="6"/>
  <c r="M1260" i="6"/>
  <c r="M1261" i="6"/>
  <c r="M1262" i="6"/>
  <c r="M1263" i="6"/>
  <c r="M1264" i="6"/>
  <c r="M1265" i="6"/>
  <c r="M1266" i="6"/>
  <c r="M1267" i="6"/>
  <c r="M1268" i="6"/>
  <c r="M1269" i="6"/>
  <c r="M1270" i="6"/>
  <c r="M1271" i="6"/>
  <c r="M1272" i="6"/>
  <c r="M1273" i="6"/>
  <c r="M1274" i="6"/>
  <c r="M1275" i="6"/>
  <c r="M1276" i="6"/>
  <c r="M1277" i="6"/>
  <c r="M1278" i="6"/>
  <c r="M1279" i="6"/>
  <c r="M1280" i="6"/>
  <c r="M1281" i="6"/>
  <c r="M1282" i="6"/>
  <c r="M1283" i="6"/>
  <c r="M1284" i="6"/>
  <c r="M1285" i="6"/>
  <c r="M1286" i="6"/>
  <c r="M1287" i="6"/>
  <c r="M1288" i="6"/>
  <c r="M1289" i="6"/>
  <c r="M1290" i="6"/>
  <c r="M1291" i="6"/>
  <c r="M1292" i="6"/>
  <c r="M1293" i="6"/>
  <c r="M1294" i="6"/>
  <c r="M1295" i="6"/>
  <c r="M1296" i="6"/>
  <c r="M1297" i="6"/>
  <c r="M1298" i="6"/>
  <c r="M1299" i="6"/>
  <c r="M1300" i="6"/>
  <c r="M1301" i="6"/>
  <c r="M1302" i="6"/>
  <c r="M1303" i="6"/>
  <c r="M1304" i="6"/>
  <c r="M1305" i="6"/>
  <c r="M1306" i="6"/>
  <c r="M1307" i="6"/>
  <c r="M1308" i="6"/>
  <c r="M1309" i="6"/>
  <c r="M1310" i="6"/>
  <c r="M1311" i="6"/>
  <c r="M1312" i="6"/>
  <c r="M1313" i="6"/>
  <c r="M1314" i="6"/>
  <c r="M1315" i="6"/>
  <c r="M1316" i="6"/>
  <c r="M1317" i="6"/>
  <c r="M1318" i="6"/>
  <c r="M1319" i="6"/>
  <c r="M1320" i="6"/>
  <c r="M1321" i="6"/>
  <c r="M1322" i="6"/>
  <c r="M1323" i="6"/>
  <c r="M1324" i="6"/>
  <c r="M1325" i="6"/>
  <c r="M1326" i="6"/>
  <c r="M1327" i="6"/>
  <c r="M1328" i="6"/>
  <c r="M1329" i="6"/>
  <c r="M1330" i="6"/>
  <c r="M1331" i="6"/>
  <c r="M1332" i="6"/>
  <c r="M1333" i="6"/>
  <c r="M1334" i="6"/>
  <c r="M1335" i="6"/>
  <c r="M1336" i="6"/>
  <c r="M1337" i="6"/>
  <c r="M1338" i="6"/>
  <c r="M1339" i="6"/>
  <c r="M1340" i="6"/>
  <c r="M1341" i="6"/>
  <c r="M1342" i="6"/>
  <c r="M1343" i="6"/>
  <c r="M1344" i="6"/>
  <c r="M1345" i="6"/>
  <c r="M1346" i="6"/>
  <c r="M1347" i="6"/>
  <c r="M1348" i="6"/>
  <c r="M1349" i="6"/>
  <c r="M1350" i="6"/>
  <c r="M1351" i="6"/>
  <c r="M1352" i="6"/>
  <c r="M1353" i="6"/>
  <c r="M1354" i="6"/>
  <c r="M1355" i="6"/>
  <c r="M1356" i="6"/>
  <c r="M1357" i="6"/>
  <c r="M1358" i="6"/>
  <c r="M1359" i="6"/>
  <c r="M1360" i="6"/>
  <c r="M1361" i="6"/>
  <c r="M1362" i="6"/>
  <c r="M1363" i="6"/>
  <c r="M1364" i="6"/>
  <c r="M1365" i="6"/>
  <c r="M1366" i="6"/>
  <c r="M1367" i="6"/>
  <c r="M1368" i="6"/>
  <c r="M1369" i="6"/>
  <c r="M1370" i="6"/>
  <c r="M1371" i="6"/>
  <c r="M1372" i="6"/>
  <c r="M1373" i="6"/>
  <c r="M1374" i="6"/>
  <c r="M1375" i="6"/>
  <c r="M1376" i="6"/>
  <c r="M1377" i="6"/>
  <c r="M1378" i="6"/>
  <c r="M1379" i="6"/>
  <c r="M1380" i="6"/>
  <c r="M1381" i="6"/>
  <c r="M1382" i="6"/>
  <c r="M1383" i="6"/>
  <c r="M1384" i="6"/>
  <c r="M1385" i="6"/>
  <c r="M1386" i="6"/>
  <c r="M1387" i="6"/>
  <c r="M1388" i="6"/>
  <c r="M1389" i="6"/>
  <c r="M1390" i="6"/>
  <c r="M1391" i="6"/>
  <c r="M1392" i="6"/>
  <c r="M1393" i="6"/>
  <c r="M1394" i="6"/>
  <c r="M1395" i="6"/>
  <c r="M1396" i="6"/>
  <c r="M1397" i="6"/>
  <c r="M1398" i="6"/>
  <c r="M1399" i="6"/>
  <c r="M1400" i="6"/>
  <c r="M1401" i="6"/>
  <c r="M1402" i="6"/>
  <c r="M1403" i="6"/>
  <c r="M1404" i="6"/>
  <c r="M1405" i="6"/>
  <c r="M1406" i="6"/>
  <c r="M1407" i="6"/>
  <c r="M1408" i="6"/>
  <c r="M1409" i="6"/>
  <c r="M1410" i="6"/>
  <c r="M1411" i="6"/>
  <c r="M1412" i="6"/>
  <c r="M1413" i="6"/>
  <c r="M1414" i="6"/>
  <c r="M1415" i="6"/>
  <c r="M1416" i="6"/>
  <c r="M1417" i="6"/>
  <c r="M1418" i="6"/>
  <c r="M1419" i="6"/>
  <c r="M1420" i="6"/>
  <c r="M1421" i="6"/>
  <c r="M1422" i="6"/>
  <c r="M1423" i="6"/>
  <c r="M1424" i="6"/>
  <c r="M1425" i="6"/>
  <c r="M1426" i="6"/>
  <c r="M1427" i="6"/>
  <c r="M1428" i="6"/>
  <c r="M1429" i="6"/>
  <c r="M1430" i="6"/>
  <c r="M1431" i="6"/>
  <c r="M1432" i="6"/>
  <c r="M1433" i="6"/>
  <c r="M1434" i="6"/>
  <c r="M1435" i="6"/>
  <c r="M1436" i="6"/>
  <c r="M1437" i="6"/>
  <c r="M1438" i="6"/>
  <c r="M1439" i="6"/>
  <c r="M1440" i="6"/>
  <c r="M1441" i="6"/>
  <c r="M1442" i="6"/>
  <c r="M1443" i="6"/>
  <c r="M1444" i="6"/>
  <c r="M1445" i="6"/>
  <c r="M1446" i="6"/>
  <c r="M1447" i="6"/>
  <c r="M1448" i="6"/>
  <c r="M1449" i="6"/>
  <c r="M1450" i="6"/>
  <c r="M1451" i="6"/>
  <c r="M1452" i="6"/>
  <c r="M1453" i="6"/>
  <c r="M1454" i="6"/>
  <c r="M1455" i="6"/>
  <c r="M1456" i="6"/>
  <c r="M1457" i="6"/>
  <c r="M1458" i="6"/>
  <c r="M1459" i="6"/>
  <c r="M1460" i="6"/>
  <c r="M1461" i="6"/>
  <c r="M1462" i="6"/>
  <c r="M1463" i="6"/>
  <c r="M1464" i="6"/>
  <c r="M1465" i="6"/>
  <c r="M1466" i="6"/>
  <c r="M1467" i="6"/>
  <c r="M1468" i="6"/>
  <c r="M1469" i="6"/>
  <c r="M1470" i="6"/>
  <c r="M1471" i="6"/>
  <c r="M1472" i="6"/>
  <c r="M1473" i="6"/>
  <c r="M1474" i="6"/>
  <c r="M1475" i="6"/>
  <c r="M1476" i="6"/>
  <c r="M1477" i="6"/>
  <c r="M1478" i="6"/>
  <c r="M1479" i="6"/>
  <c r="M1480" i="6"/>
  <c r="M1481" i="6"/>
  <c r="M1482" i="6"/>
  <c r="M1483" i="6"/>
  <c r="M1484" i="6"/>
  <c r="M1485" i="6"/>
  <c r="M1486" i="6"/>
  <c r="M1487" i="6"/>
  <c r="M1488" i="6"/>
  <c r="M1489" i="6"/>
  <c r="M1490" i="6"/>
  <c r="M1491" i="6"/>
  <c r="M1492" i="6"/>
  <c r="M1493" i="6"/>
  <c r="M1494" i="6"/>
  <c r="M1495" i="6"/>
  <c r="M1496" i="6"/>
  <c r="M1497" i="6"/>
  <c r="M1498" i="6"/>
  <c r="M1499" i="6"/>
  <c r="M1500" i="6"/>
  <c r="M1501" i="6"/>
  <c r="M1502" i="6"/>
  <c r="M1503" i="6"/>
  <c r="M1504" i="6"/>
  <c r="M1505" i="6"/>
  <c r="M1506" i="6"/>
  <c r="M1507" i="6"/>
  <c r="M1508" i="6"/>
  <c r="M1509" i="6"/>
  <c r="M1510" i="6"/>
  <c r="M1511" i="6"/>
  <c r="M1512" i="6"/>
  <c r="M1513" i="6"/>
  <c r="M1514" i="6"/>
  <c r="M1515" i="6"/>
  <c r="M1516" i="6"/>
  <c r="M1517" i="6"/>
  <c r="M1518" i="6"/>
  <c r="M1519" i="6"/>
  <c r="M1520" i="6"/>
  <c r="M1521" i="6"/>
  <c r="M1522" i="6"/>
  <c r="M1523" i="6"/>
  <c r="M1524" i="6"/>
  <c r="M1525" i="6"/>
  <c r="M1526" i="6"/>
  <c r="M1527" i="6"/>
  <c r="M1528" i="6"/>
  <c r="M1529" i="6"/>
  <c r="M1530" i="6"/>
  <c r="M1531" i="6"/>
  <c r="M1532" i="6"/>
  <c r="M1533" i="6"/>
  <c r="M1534" i="6"/>
  <c r="M1535" i="6"/>
  <c r="M1536" i="6"/>
  <c r="M1537" i="6"/>
  <c r="M1538" i="6"/>
  <c r="M1539" i="6"/>
  <c r="M1540" i="6"/>
  <c r="M1541" i="6"/>
  <c r="M1542" i="6"/>
  <c r="M1543" i="6"/>
  <c r="M1544" i="6"/>
  <c r="M1545" i="6"/>
  <c r="M1546" i="6"/>
  <c r="M1547" i="6"/>
  <c r="M1548" i="6"/>
  <c r="M1549" i="6"/>
  <c r="M1550" i="6"/>
  <c r="M1551" i="6"/>
  <c r="M1552" i="6"/>
  <c r="M1553" i="6"/>
  <c r="M1554" i="6"/>
  <c r="M1555" i="6"/>
  <c r="M1556" i="6"/>
  <c r="M1557" i="6"/>
  <c r="M1558" i="6"/>
  <c r="M1559" i="6"/>
  <c r="M1560" i="6"/>
  <c r="M1561" i="6"/>
  <c r="M1562" i="6"/>
  <c r="M1563" i="6"/>
  <c r="M1564" i="6"/>
  <c r="M1565" i="6"/>
  <c r="M1566" i="6"/>
  <c r="M1567" i="6"/>
  <c r="M1568" i="6"/>
  <c r="M1569" i="6"/>
  <c r="M1570" i="6"/>
  <c r="M1571" i="6"/>
  <c r="M1572" i="6"/>
  <c r="M1573" i="6"/>
  <c r="M1574" i="6"/>
  <c r="M1575" i="6"/>
  <c r="M1576" i="6"/>
  <c r="M1577" i="6"/>
  <c r="M1578" i="6"/>
  <c r="M1579" i="6"/>
  <c r="M1580" i="6"/>
  <c r="M1581" i="6"/>
  <c r="M1582" i="6"/>
  <c r="M1583" i="6"/>
  <c r="M1584" i="6"/>
  <c r="M1585" i="6"/>
  <c r="M1586" i="6"/>
  <c r="M1587" i="6"/>
  <c r="M1588" i="6"/>
  <c r="M1589" i="6"/>
  <c r="M1590" i="6"/>
  <c r="M1591" i="6"/>
  <c r="M1592" i="6"/>
  <c r="M1593" i="6"/>
  <c r="M1594" i="6"/>
  <c r="M1595" i="6"/>
  <c r="M1596" i="6"/>
  <c r="M1597" i="6"/>
  <c r="M1598" i="6"/>
  <c r="M1599" i="6"/>
  <c r="M1600" i="6"/>
  <c r="M1601" i="6"/>
  <c r="M1602" i="6"/>
  <c r="M1603" i="6"/>
  <c r="M1604" i="6"/>
  <c r="M1605" i="6"/>
  <c r="M1606" i="6"/>
  <c r="M1607" i="6"/>
  <c r="M1608" i="6"/>
  <c r="M1609" i="6"/>
  <c r="M1610" i="6"/>
  <c r="M1611" i="6"/>
  <c r="M1612" i="6"/>
  <c r="M1613" i="6"/>
  <c r="M1614" i="6"/>
  <c r="M1615" i="6"/>
  <c r="M1616" i="6"/>
  <c r="M1617" i="6"/>
  <c r="M1618" i="6"/>
  <c r="M1619" i="6"/>
  <c r="M1620" i="6"/>
  <c r="M1621" i="6"/>
  <c r="M1622" i="6"/>
  <c r="M1623" i="6"/>
  <c r="M1624" i="6"/>
  <c r="M1625" i="6"/>
  <c r="M1626" i="6"/>
  <c r="M1627" i="6"/>
  <c r="M1628" i="6"/>
  <c r="M1629" i="6"/>
  <c r="M1630" i="6"/>
  <c r="M1631" i="6"/>
  <c r="M1632" i="6"/>
  <c r="M1633" i="6"/>
  <c r="M1634" i="6"/>
  <c r="M1635" i="6"/>
  <c r="M1636" i="6"/>
  <c r="M1637" i="6"/>
  <c r="M1638" i="6"/>
  <c r="M1639" i="6"/>
  <c r="M1640" i="6"/>
  <c r="M1641" i="6"/>
  <c r="M1642" i="6"/>
  <c r="M1643" i="6"/>
  <c r="M1644" i="6"/>
  <c r="M1645" i="6"/>
  <c r="M1646" i="6"/>
  <c r="M1647" i="6"/>
  <c r="M1648" i="6"/>
  <c r="M1649" i="6"/>
  <c r="M1650" i="6"/>
  <c r="M1651" i="6"/>
  <c r="M1652" i="6"/>
  <c r="M1653" i="6"/>
  <c r="M1654" i="6"/>
  <c r="M1655" i="6"/>
  <c r="M1656" i="6"/>
  <c r="M1657" i="6"/>
  <c r="M1658" i="6"/>
  <c r="M1659" i="6"/>
  <c r="M1660" i="6"/>
  <c r="M1661" i="6"/>
  <c r="M1662" i="6"/>
  <c r="M1663" i="6"/>
  <c r="M1664" i="6"/>
  <c r="M1665" i="6"/>
  <c r="M1666" i="6"/>
  <c r="M1667" i="6"/>
  <c r="M1668" i="6"/>
  <c r="M1669" i="6"/>
  <c r="M1670" i="6"/>
  <c r="M1671" i="6"/>
  <c r="M1672" i="6"/>
  <c r="M1673" i="6"/>
  <c r="M1674" i="6"/>
  <c r="M1675" i="6"/>
  <c r="M1676" i="6"/>
  <c r="M1677" i="6"/>
  <c r="M1678" i="6"/>
  <c r="M1679" i="6"/>
  <c r="M1680" i="6"/>
  <c r="M1681" i="6"/>
  <c r="M1682" i="6"/>
  <c r="M1683" i="6"/>
  <c r="M1684" i="6"/>
  <c r="M1685" i="6"/>
  <c r="M1686" i="6"/>
  <c r="M1687" i="6"/>
  <c r="M1688" i="6"/>
  <c r="M1689" i="6"/>
  <c r="M1690" i="6"/>
  <c r="M1691" i="6"/>
  <c r="M1692" i="6"/>
  <c r="M1693" i="6"/>
  <c r="M1694" i="6"/>
  <c r="M1695" i="6"/>
  <c r="M1696" i="6"/>
  <c r="M1697" i="6"/>
  <c r="M1698" i="6"/>
  <c r="M1699" i="6"/>
  <c r="M1700" i="6"/>
  <c r="M1701" i="6"/>
  <c r="M1702" i="6"/>
  <c r="M1703" i="6"/>
  <c r="M1704" i="6"/>
  <c r="M1705" i="6"/>
  <c r="M1706" i="6"/>
  <c r="M1707" i="6"/>
  <c r="M1708" i="6"/>
  <c r="M1709" i="6"/>
  <c r="M1710" i="6"/>
  <c r="M1711" i="6"/>
  <c r="M1712" i="6"/>
  <c r="M1713" i="6"/>
  <c r="M1714" i="6"/>
  <c r="M1715" i="6"/>
  <c r="M1716" i="6"/>
  <c r="M1717" i="6"/>
  <c r="M1718" i="6"/>
  <c r="M1719" i="6"/>
  <c r="M1720" i="6"/>
  <c r="M1721" i="6"/>
  <c r="M1722" i="6"/>
  <c r="M1723" i="6"/>
  <c r="M1724" i="6"/>
  <c r="M1725" i="6"/>
  <c r="M1726" i="6"/>
  <c r="M1727" i="6"/>
  <c r="M1728" i="6"/>
  <c r="M1729" i="6"/>
  <c r="M1730" i="6"/>
  <c r="M1731" i="6"/>
  <c r="M1732" i="6"/>
  <c r="M1733" i="6"/>
  <c r="M1734" i="6"/>
  <c r="M1735" i="6"/>
  <c r="M1736" i="6"/>
  <c r="M1737" i="6"/>
  <c r="M1738" i="6"/>
  <c r="M1739" i="6"/>
  <c r="M1740" i="6"/>
  <c r="M1741" i="6"/>
  <c r="M1742" i="6"/>
  <c r="M1743" i="6"/>
  <c r="M1744" i="6"/>
  <c r="M1745" i="6"/>
  <c r="M1746" i="6"/>
  <c r="M1747" i="6"/>
  <c r="M1748" i="6"/>
  <c r="M1749" i="6"/>
  <c r="M1750" i="6"/>
  <c r="M1751" i="6"/>
  <c r="M1752" i="6"/>
  <c r="M1753" i="6"/>
  <c r="M1754" i="6"/>
  <c r="M1755" i="6"/>
  <c r="M1756" i="6"/>
  <c r="M1757" i="6"/>
  <c r="M1758" i="6"/>
  <c r="M1759" i="6"/>
  <c r="M1760" i="6"/>
  <c r="M1761" i="6"/>
  <c r="M1762" i="6"/>
  <c r="M1763" i="6"/>
  <c r="M1764" i="6"/>
  <c r="M1765" i="6"/>
  <c r="M1766" i="6"/>
  <c r="M1767" i="6"/>
  <c r="M1768" i="6"/>
  <c r="M1769" i="6"/>
  <c r="M1770" i="6"/>
  <c r="M1771" i="6"/>
  <c r="M1772" i="6"/>
  <c r="M1773" i="6"/>
  <c r="M1774" i="6"/>
  <c r="M1775" i="6"/>
  <c r="M1776" i="6"/>
  <c r="M1777" i="6"/>
  <c r="M1778" i="6"/>
  <c r="M1779" i="6"/>
  <c r="M1780" i="6"/>
  <c r="M1781" i="6"/>
  <c r="M1782" i="6"/>
  <c r="M1783" i="6"/>
  <c r="M1784" i="6"/>
  <c r="M1785" i="6"/>
  <c r="M1786" i="6"/>
  <c r="M1787" i="6"/>
  <c r="M1788" i="6"/>
  <c r="M1789" i="6"/>
  <c r="M1790" i="6"/>
  <c r="M1791" i="6"/>
  <c r="M1792" i="6"/>
  <c r="M1793" i="6"/>
  <c r="M1794" i="6"/>
  <c r="M1795" i="6"/>
  <c r="M1796" i="6"/>
  <c r="M1797" i="6"/>
  <c r="M1798" i="6"/>
  <c r="M1799" i="6"/>
  <c r="M1800" i="6"/>
  <c r="M1801" i="6"/>
  <c r="M1802" i="6"/>
  <c r="M1803" i="6"/>
  <c r="M1804" i="6"/>
  <c r="M1805" i="6"/>
  <c r="M1806" i="6"/>
  <c r="M1807" i="6"/>
  <c r="M1808" i="6"/>
  <c r="M1809" i="6"/>
  <c r="M1810" i="6"/>
  <c r="M1811" i="6"/>
  <c r="M1812" i="6"/>
  <c r="M1813" i="6"/>
  <c r="M1814" i="6"/>
  <c r="M1815" i="6"/>
  <c r="M1816" i="6"/>
  <c r="M1817" i="6"/>
  <c r="M1818" i="6"/>
  <c r="M1819" i="6"/>
  <c r="M1820" i="6"/>
  <c r="M1821" i="6"/>
  <c r="M1822" i="6"/>
  <c r="M1823" i="6"/>
  <c r="M1824" i="6"/>
  <c r="M1825" i="6"/>
  <c r="M1826" i="6"/>
  <c r="M1827" i="6"/>
  <c r="M1828" i="6"/>
  <c r="M1829" i="6"/>
  <c r="M1830" i="6"/>
  <c r="M1831" i="6"/>
  <c r="M1832" i="6"/>
  <c r="M1833" i="6"/>
  <c r="M1834" i="6"/>
  <c r="M1835" i="6"/>
  <c r="M1836" i="6"/>
  <c r="M1837" i="6"/>
  <c r="M1838" i="6"/>
  <c r="M1839" i="6"/>
  <c r="M1840" i="6"/>
  <c r="M1841" i="6"/>
  <c r="M1842" i="6"/>
  <c r="M1843" i="6"/>
  <c r="M1844" i="6"/>
  <c r="M1845" i="6"/>
  <c r="M1846" i="6"/>
  <c r="M1847" i="6"/>
  <c r="M1848" i="6"/>
  <c r="M1849" i="6"/>
  <c r="M1850" i="6"/>
  <c r="M1851" i="6"/>
  <c r="M1852" i="6"/>
  <c r="M1853" i="6"/>
  <c r="M1854" i="6"/>
  <c r="M1855" i="6"/>
  <c r="M1856" i="6"/>
  <c r="M1857" i="6"/>
  <c r="M1858" i="6"/>
  <c r="M1859" i="6"/>
  <c r="M1860" i="6"/>
  <c r="M1861" i="6"/>
  <c r="M1862" i="6"/>
  <c r="M1863" i="6"/>
  <c r="M1864" i="6"/>
  <c r="M1865" i="6"/>
  <c r="M1866" i="6"/>
  <c r="M1867" i="6"/>
  <c r="M1868" i="6"/>
  <c r="M1869" i="6"/>
  <c r="M1870" i="6"/>
  <c r="M1871" i="6"/>
  <c r="M1872" i="6"/>
  <c r="M1873" i="6"/>
  <c r="M1874" i="6"/>
  <c r="M1875" i="6"/>
  <c r="M1876" i="6"/>
  <c r="M1877" i="6"/>
  <c r="M1878" i="6"/>
  <c r="M1879" i="6"/>
  <c r="M1880" i="6"/>
  <c r="M1881" i="6"/>
  <c r="M1882" i="6"/>
  <c r="M1883" i="6"/>
  <c r="M1884" i="6"/>
  <c r="M1885" i="6"/>
  <c r="M1886" i="6"/>
  <c r="M1887" i="6"/>
  <c r="M1888" i="6"/>
  <c r="M1889" i="6"/>
  <c r="M1890" i="6"/>
  <c r="M1891" i="6"/>
  <c r="M1892" i="6"/>
  <c r="M1893" i="6"/>
  <c r="M1894" i="6"/>
  <c r="M1895" i="6"/>
  <c r="M1896" i="6"/>
  <c r="M1897" i="6"/>
  <c r="M1898" i="6"/>
  <c r="M1899" i="6"/>
  <c r="M1900" i="6"/>
  <c r="M1901" i="6"/>
  <c r="M1902" i="6"/>
  <c r="M1903" i="6"/>
  <c r="M1904" i="6"/>
  <c r="M1905" i="6"/>
  <c r="M1906" i="6"/>
  <c r="M1907" i="6"/>
  <c r="M1908" i="6"/>
  <c r="M1909" i="6"/>
  <c r="M1910" i="6"/>
  <c r="M1911" i="6"/>
  <c r="M1912" i="6"/>
  <c r="M1913" i="6"/>
  <c r="M1914" i="6"/>
  <c r="M1915" i="6"/>
  <c r="M1916" i="6"/>
  <c r="M1917" i="6"/>
  <c r="M1918" i="6"/>
  <c r="M1919" i="6"/>
  <c r="M1920" i="6"/>
  <c r="M1921" i="6"/>
  <c r="M1922" i="6"/>
  <c r="M1923" i="6"/>
  <c r="M1924" i="6"/>
  <c r="M1925" i="6"/>
  <c r="M1926" i="6"/>
  <c r="M1927" i="6"/>
  <c r="M1928" i="6"/>
  <c r="M1929" i="6"/>
  <c r="M1930" i="6"/>
  <c r="M1931" i="6"/>
  <c r="M1932" i="6"/>
  <c r="M1933" i="6"/>
  <c r="M1934" i="6"/>
  <c r="M1935" i="6"/>
  <c r="M1936" i="6"/>
  <c r="M1937" i="6"/>
  <c r="M1938" i="6"/>
  <c r="M1939" i="6"/>
  <c r="M1940" i="6"/>
  <c r="M1941" i="6"/>
  <c r="M1942" i="6"/>
  <c r="M1943" i="6"/>
  <c r="H24" i="6" l="1"/>
  <c r="H25" i="6"/>
  <c r="H27" i="6"/>
  <c r="J27" i="6"/>
  <c r="H28" i="6"/>
  <c r="J28" i="6"/>
  <c r="H30" i="6"/>
  <c r="H31" i="6"/>
  <c r="H32" i="6"/>
  <c r="H33" i="6"/>
  <c r="H34" i="6"/>
  <c r="H36" i="6"/>
  <c r="H38" i="6"/>
  <c r="H39" i="6"/>
  <c r="H167" i="6"/>
  <c r="H168" i="6"/>
  <c r="H169" i="6"/>
  <c r="H170" i="6"/>
  <c r="H171" i="6"/>
  <c r="H232" i="6"/>
  <c r="H233" i="6"/>
  <c r="H234" i="6"/>
  <c r="H235" i="6"/>
  <c r="H236" i="6"/>
  <c r="H249" i="6"/>
  <c r="H250" i="6"/>
  <c r="H251" i="6"/>
  <c r="H252" i="6"/>
  <c r="H253" i="6"/>
  <c r="H270" i="6"/>
  <c r="H271" i="6"/>
  <c r="H272" i="6"/>
  <c r="H273" i="6"/>
  <c r="H274" i="6"/>
  <c r="S96" i="6" l="1"/>
  <c r="S98" i="6"/>
  <c r="S97" i="6"/>
  <c r="U118" i="6"/>
  <c r="U115" i="6"/>
  <c r="U116" i="6"/>
  <c r="U117" i="6"/>
  <c r="S94" i="6"/>
  <c r="S95" i="6"/>
  <c r="U114" i="6"/>
  <c r="S93" i="6"/>
  <c r="S91" i="6"/>
  <c r="S92" i="6"/>
  <c r="U112" i="6"/>
  <c r="U111" i="6"/>
  <c r="U113" i="6"/>
  <c r="S88" i="6"/>
  <c r="S89" i="6"/>
  <c r="S90" i="6"/>
  <c r="U108" i="6"/>
  <c r="U110" i="6"/>
  <c r="U109" i="6"/>
  <c r="S76" i="6"/>
  <c r="S81" i="6"/>
  <c r="S82" i="6"/>
  <c r="S83" i="6"/>
  <c r="S84" i="6"/>
  <c r="S77" i="6"/>
  <c r="S78" i="6"/>
  <c r="S79" i="6"/>
  <c r="S80" i="6"/>
  <c r="S87" i="6"/>
  <c r="S85" i="6"/>
  <c r="S86" i="6"/>
  <c r="U105" i="6"/>
  <c r="U106" i="6"/>
  <c r="U107" i="6"/>
  <c r="U103" i="6"/>
  <c r="U104" i="6"/>
  <c r="U97" i="6"/>
  <c r="U99" i="6"/>
  <c r="U100" i="6"/>
  <c r="U101" i="6"/>
  <c r="U102" i="6"/>
  <c r="U98" i="6"/>
  <c r="S69" i="6"/>
  <c r="S70" i="6"/>
  <c r="S71" i="6"/>
  <c r="S72" i="6"/>
  <c r="S65" i="6"/>
  <c r="S73" i="6"/>
  <c r="S66" i="6"/>
  <c r="S74" i="6"/>
  <c r="S67" i="6"/>
  <c r="S75" i="6"/>
  <c r="S68" i="6"/>
  <c r="S58" i="6"/>
  <c r="S59" i="6"/>
  <c r="S60" i="6"/>
  <c r="S61" i="6"/>
  <c r="S62" i="6"/>
  <c r="S63" i="6"/>
  <c r="S64" i="6"/>
  <c r="S56" i="6"/>
  <c r="S57" i="6"/>
  <c r="S54" i="6"/>
  <c r="S52" i="6"/>
  <c r="S53" i="6"/>
  <c r="U93" i="6"/>
  <c r="U94" i="6"/>
  <c r="U95" i="6"/>
  <c r="U96" i="6"/>
  <c r="S47" i="6"/>
  <c r="S48" i="6"/>
  <c r="S49" i="6"/>
  <c r="S50" i="6"/>
  <c r="S51" i="6"/>
  <c r="U91" i="6"/>
  <c r="U92" i="6"/>
  <c r="U90" i="6"/>
  <c r="S44" i="6"/>
  <c r="S45" i="6"/>
  <c r="S46" i="6"/>
  <c r="U89" i="6"/>
  <c r="S36" i="6"/>
  <c r="S28" i="6"/>
  <c r="S20" i="6"/>
  <c r="S43" i="6"/>
  <c r="S35" i="6"/>
  <c r="S27" i="6"/>
  <c r="S19" i="6"/>
  <c r="S42" i="6"/>
  <c r="S34" i="6"/>
  <c r="S26" i="6"/>
  <c r="S18" i="6"/>
  <c r="S41" i="6"/>
  <c r="S33" i="6"/>
  <c r="S25" i="6"/>
  <c r="S40" i="6"/>
  <c r="S32" i="6"/>
  <c r="S24" i="6"/>
  <c r="S37" i="6"/>
  <c r="S29" i="6"/>
  <c r="S39" i="6"/>
  <c r="S31" i="6"/>
  <c r="S23" i="6"/>
  <c r="S38" i="6"/>
  <c r="S30" i="6"/>
  <c r="U88" i="6"/>
  <c r="U87" i="6"/>
  <c r="U86" i="6"/>
  <c r="U85" i="6"/>
  <c r="U80" i="6"/>
  <c r="U64" i="6"/>
  <c r="U56" i="6"/>
  <c r="U40" i="6"/>
  <c r="U32" i="6"/>
  <c r="U77" i="6"/>
  <c r="U69" i="6"/>
  <c r="U61" i="6"/>
  <c r="U53" i="6"/>
  <c r="U45" i="6"/>
  <c r="U37" i="6"/>
  <c r="U29" i="6"/>
  <c r="U21" i="6"/>
  <c r="U84" i="6"/>
  <c r="U76" i="6"/>
  <c r="U68" i="6"/>
  <c r="U60" i="6"/>
  <c r="U52" i="6"/>
  <c r="U44" i="6"/>
  <c r="U36" i="6"/>
  <c r="U28" i="6"/>
  <c r="U20" i="6"/>
  <c r="U83" i="6"/>
  <c r="U75" i="6"/>
  <c r="U67" i="6"/>
  <c r="U59" i="6"/>
  <c r="U51" i="6"/>
  <c r="U43" i="6"/>
  <c r="U35" i="6"/>
  <c r="U27" i="6"/>
  <c r="U19" i="6"/>
  <c r="U82" i="6"/>
  <c r="U74" i="6"/>
  <c r="U66" i="6"/>
  <c r="U58" i="6"/>
  <c r="U50" i="6"/>
  <c r="U42" i="6"/>
  <c r="U34" i="6"/>
  <c r="U26" i="6"/>
  <c r="U81" i="6"/>
  <c r="U73" i="6"/>
  <c r="U65" i="6"/>
  <c r="U57" i="6"/>
  <c r="U41" i="6"/>
  <c r="U33" i="6"/>
  <c r="U25" i="6"/>
  <c r="U72" i="6"/>
  <c r="U48" i="6"/>
  <c r="U24" i="6"/>
  <c r="U79" i="6"/>
  <c r="U71" i="6"/>
  <c r="U63" i="6"/>
  <c r="U55" i="6"/>
  <c r="U47" i="6"/>
  <c r="U39" i="6"/>
  <c r="U31" i="6"/>
  <c r="U23" i="6"/>
  <c r="U78" i="6"/>
  <c r="U70" i="6"/>
  <c r="U62" i="6"/>
  <c r="U54" i="6"/>
  <c r="U46" i="6"/>
  <c r="U38" i="6"/>
  <c r="U30" i="6"/>
  <c r="U22" i="6"/>
  <c r="A856" i="6" l="1"/>
  <c r="A854" i="6"/>
  <c r="A855" i="6"/>
  <c r="A852" i="6"/>
  <c r="A853" i="6"/>
  <c r="A851" i="6"/>
  <c r="A830" i="6"/>
  <c r="A831" i="6"/>
  <c r="A828" i="6"/>
  <c r="A829" i="6"/>
  <c r="A826" i="6"/>
  <c r="A827" i="6"/>
  <c r="A1060" i="6"/>
  <c r="A1836" i="6"/>
  <c r="A1065" i="6"/>
  <c r="A1061" i="6"/>
  <c r="A1064" i="6"/>
  <c r="A1062" i="6"/>
  <c r="A1063" i="6"/>
  <c r="A773" i="6"/>
  <c r="A1848" i="6"/>
  <c r="A1918" i="6"/>
  <c r="A1926" i="6"/>
  <c r="A1927" i="6"/>
  <c r="A1920" i="6"/>
  <c r="A1928" i="6"/>
  <c r="A1936" i="6"/>
  <c r="A1921" i="6"/>
  <c r="A1929" i="6"/>
  <c r="A1937" i="6"/>
  <c r="A1922" i="6"/>
  <c r="A1930" i="6"/>
  <c r="A1938" i="6"/>
  <c r="A1923" i="6"/>
  <c r="A1931" i="6"/>
  <c r="A1939" i="6"/>
  <c r="A1924" i="6"/>
  <c r="A1932" i="6"/>
  <c r="A1940" i="6"/>
  <c r="A1925" i="6"/>
  <c r="A1933" i="6"/>
  <c r="A1941" i="6"/>
  <c r="A1934" i="6"/>
  <c r="A1942" i="6"/>
  <c r="A1919" i="6"/>
  <c r="A1935" i="6"/>
  <c r="A1943" i="6"/>
  <c r="A1850" i="6"/>
  <c r="A1849" i="6"/>
  <c r="A1852" i="6"/>
  <c r="A1851" i="6"/>
  <c r="A1854" i="6"/>
  <c r="A1853" i="6"/>
  <c r="A1838" i="6"/>
  <c r="A1855" i="6"/>
  <c r="A1793" i="6"/>
  <c r="A1790" i="6"/>
  <c r="K1797" i="6" s="1"/>
  <c r="A1778" i="6"/>
  <c r="A1782" i="6"/>
  <c r="A1664" i="6"/>
  <c r="A1745" i="6"/>
  <c r="K1751" i="6" s="1"/>
  <c r="A1710" i="6"/>
  <c r="A1708" i="6"/>
  <c r="A1709" i="6"/>
  <c r="A1703" i="6"/>
  <c r="A1586" i="6"/>
  <c r="A1625" i="6"/>
  <c r="A1020" i="6"/>
  <c r="A1021" i="6"/>
  <c r="A1564" i="6"/>
  <c r="A1562" i="6"/>
  <c r="A1563" i="6"/>
  <c r="A1559" i="6"/>
  <c r="A1525" i="6"/>
  <c r="K1536" i="6" s="1"/>
  <c r="A1540" i="6"/>
  <c r="K1551" i="6" s="1"/>
  <c r="A1473" i="6"/>
  <c r="A1494" i="6"/>
  <c r="K1517" i="6" s="1"/>
  <c r="A1467" i="6"/>
  <c r="K1490" i="6" s="1"/>
  <c r="A1232" i="6"/>
  <c r="A1441" i="6"/>
  <c r="A1365" i="6"/>
  <c r="A1419" i="6"/>
  <c r="A1423" i="6"/>
  <c r="A1420" i="6"/>
  <c r="A1414" i="6"/>
  <c r="A1411" i="6"/>
  <c r="A1346" i="6"/>
  <c r="A1388" i="6"/>
  <c r="A1338" i="6"/>
  <c r="A1310" i="6"/>
  <c r="K1200" i="6"/>
  <c r="K1142" i="6"/>
  <c r="K1138" i="6"/>
  <c r="K1140" i="6"/>
  <c r="K1136" i="6"/>
  <c r="K1081" i="6"/>
  <c r="K1079" i="6"/>
  <c r="K1083" i="6"/>
  <c r="K1055" i="6"/>
  <c r="K1057" i="6"/>
  <c r="K1053" i="6"/>
  <c r="K1051" i="6"/>
  <c r="K1036" i="6"/>
  <c r="A1012" i="6"/>
  <c r="A862" i="6"/>
  <c r="A871" i="6"/>
  <c r="A861" i="6"/>
  <c r="A869" i="6"/>
  <c r="A863" i="6"/>
  <c r="A864" i="6"/>
  <c r="A872" i="6"/>
  <c r="A865" i="6"/>
  <c r="A873" i="6"/>
  <c r="A866" i="6"/>
  <c r="A859" i="6"/>
  <c r="A867" i="6"/>
  <c r="A860" i="6"/>
  <c r="A868" i="6"/>
  <c r="A888" i="6"/>
  <c r="A834" i="6"/>
  <c r="A816" i="6"/>
  <c r="A817" i="6"/>
  <c r="A813" i="6"/>
  <c r="A815" i="6"/>
  <c r="A502" i="6"/>
  <c r="A814" i="6"/>
  <c r="A556" i="6"/>
  <c r="A647" i="6"/>
  <c r="A565" i="6"/>
  <c r="A681" i="6"/>
  <c r="A548" i="6"/>
  <c r="A622" i="6"/>
  <c r="A581" i="6"/>
  <c r="A673" i="6"/>
  <c r="A524" i="6"/>
  <c r="A614" i="6"/>
  <c r="A549" i="6"/>
  <c r="A562" i="6"/>
  <c r="A592" i="6"/>
  <c r="A479" i="6"/>
  <c r="A680" i="6"/>
  <c r="A532" i="6"/>
  <c r="A672" i="6"/>
  <c r="A639" i="6"/>
  <c r="A571" i="6"/>
  <c r="A553" i="6"/>
  <c r="A512" i="6"/>
  <c r="A589" i="6"/>
  <c r="A555" i="6"/>
  <c r="A545" i="6"/>
  <c r="A504" i="6"/>
  <c r="A557" i="6"/>
  <c r="A570" i="6"/>
  <c r="A487" i="6"/>
  <c r="A508" i="6"/>
  <c r="A539" i="6"/>
  <c r="A641" i="6"/>
  <c r="A554" i="6"/>
  <c r="A664" i="6"/>
  <c r="A537" i="6"/>
  <c r="A484" i="6"/>
  <c r="A464" i="6"/>
  <c r="A631" i="6"/>
  <c r="A496" i="6"/>
  <c r="A606" i="6"/>
  <c r="A471" i="6"/>
  <c r="A501" i="6"/>
  <c r="A525" i="6"/>
  <c r="A636" i="6"/>
  <c r="A497" i="6"/>
  <c r="A658" i="6"/>
  <c r="A515" i="6"/>
  <c r="A625" i="6"/>
  <c r="A506" i="6"/>
  <c r="A616" i="6"/>
  <c r="A489" i="6"/>
  <c r="A610" i="6"/>
  <c r="A516" i="6"/>
  <c r="A576" i="6"/>
  <c r="A686" i="6"/>
  <c r="A551" i="6"/>
  <c r="A573" i="6"/>
  <c r="A590" i="6"/>
  <c r="A613" i="6"/>
  <c r="A574" i="6"/>
  <c r="A642" i="6"/>
  <c r="A617" i="6"/>
  <c r="A498" i="6"/>
  <c r="A608" i="6"/>
  <c r="A481" i="6"/>
  <c r="A587" i="6"/>
  <c r="A500" i="6"/>
  <c r="A568" i="6"/>
  <c r="A678" i="6"/>
  <c r="A543" i="6"/>
  <c r="A541" i="6"/>
  <c r="A558" i="6"/>
  <c r="A582" i="6"/>
  <c r="A470" i="6"/>
  <c r="A611" i="6"/>
  <c r="A626" i="6"/>
  <c r="A697" i="6"/>
  <c r="A609" i="6"/>
  <c r="A490" i="6"/>
  <c r="A600" i="6"/>
  <c r="A473" i="6"/>
  <c r="A563" i="6"/>
  <c r="A468" i="6"/>
  <c r="A560" i="6"/>
  <c r="A670" i="6"/>
  <c r="A535" i="6"/>
  <c r="A509" i="6"/>
  <c r="A526" i="6"/>
  <c r="A550" i="6"/>
  <c r="A653" i="6"/>
  <c r="A674" i="6"/>
  <c r="A531" i="6"/>
  <c r="A633" i="6"/>
  <c r="A514" i="6"/>
  <c r="A624" i="6"/>
  <c r="A634" i="6"/>
  <c r="A540" i="6"/>
  <c r="A584" i="6"/>
  <c r="A694" i="6"/>
  <c r="A559" i="6"/>
  <c r="A604" i="6"/>
  <c r="A621" i="6"/>
  <c r="A644" i="6"/>
  <c r="A605" i="6"/>
  <c r="A588" i="6"/>
  <c r="A618" i="6"/>
  <c r="A689" i="6"/>
  <c r="A578" i="6"/>
  <c r="A688" i="6"/>
  <c r="A561" i="6"/>
  <c r="A572" i="6"/>
  <c r="A695" i="6"/>
  <c r="A663" i="6"/>
  <c r="A520" i="6"/>
  <c r="A630" i="6"/>
  <c r="A495" i="6"/>
  <c r="A620" i="6"/>
  <c r="A612" i="6"/>
  <c r="A629" i="6"/>
  <c r="A492" i="6"/>
  <c r="A602" i="6"/>
  <c r="A499" i="6"/>
  <c r="A665" i="6"/>
  <c r="A601" i="6"/>
  <c r="A538" i="6"/>
  <c r="A474" i="6"/>
  <c r="A648" i="6"/>
  <c r="A585" i="6"/>
  <c r="A521" i="6"/>
  <c r="A643" i="6"/>
  <c r="A682" i="6"/>
  <c r="A523" i="6"/>
  <c r="A603" i="6"/>
  <c r="A687" i="6"/>
  <c r="A615" i="6"/>
  <c r="A544" i="6"/>
  <c r="A480" i="6"/>
  <c r="A654" i="6"/>
  <c r="A583" i="6"/>
  <c r="A519" i="6"/>
  <c r="A677" i="6"/>
  <c r="A675" i="6"/>
  <c r="A692" i="6"/>
  <c r="A691" i="6"/>
  <c r="A486" i="6"/>
  <c r="A485" i="6"/>
  <c r="A510" i="6"/>
  <c r="A566" i="6"/>
  <c r="A546" i="6"/>
  <c r="A482" i="6"/>
  <c r="A656" i="6"/>
  <c r="A593" i="6"/>
  <c r="A529" i="6"/>
  <c r="A465" i="6"/>
  <c r="A698" i="6"/>
  <c r="A547" i="6"/>
  <c r="A627" i="6"/>
  <c r="A703" i="6"/>
  <c r="A623" i="6"/>
  <c r="A552" i="6"/>
  <c r="A488" i="6"/>
  <c r="A662" i="6"/>
  <c r="A591" i="6"/>
  <c r="A527" i="6"/>
  <c r="A700" i="6"/>
  <c r="A477" i="6"/>
  <c r="A469" i="6"/>
  <c r="A494" i="6"/>
  <c r="A493" i="6"/>
  <c r="A518" i="6"/>
  <c r="A517" i="6"/>
  <c r="A542" i="6"/>
  <c r="A598" i="6"/>
  <c r="A476" i="6"/>
  <c r="A595" i="6"/>
  <c r="A491" i="6"/>
  <c r="A657" i="6"/>
  <c r="A594" i="6"/>
  <c r="A530" i="6"/>
  <c r="A466" i="6"/>
  <c r="A640" i="6"/>
  <c r="A577" i="6"/>
  <c r="A513" i="6"/>
  <c r="A619" i="6"/>
  <c r="A666" i="6"/>
  <c r="A507" i="6"/>
  <c r="A580" i="6"/>
  <c r="A679" i="6"/>
  <c r="A607" i="6"/>
  <c r="A536" i="6"/>
  <c r="A472" i="6"/>
  <c r="A646" i="6"/>
  <c r="A575" i="6"/>
  <c r="A511" i="6"/>
  <c r="A659" i="6"/>
  <c r="A652" i="6"/>
  <c r="A669" i="6"/>
  <c r="A668" i="6"/>
  <c r="A685" i="6"/>
  <c r="A684" i="6"/>
  <c r="A701" i="6"/>
  <c r="A478" i="6"/>
  <c r="A534" i="6"/>
  <c r="A690" i="6"/>
  <c r="A579" i="6"/>
  <c r="A483" i="6"/>
  <c r="A649" i="6"/>
  <c r="A586" i="6"/>
  <c r="A522" i="6"/>
  <c r="A696" i="6"/>
  <c r="A632" i="6"/>
  <c r="A569" i="6"/>
  <c r="A505" i="6"/>
  <c r="A596" i="6"/>
  <c r="A650" i="6"/>
  <c r="A475" i="6"/>
  <c r="A564" i="6"/>
  <c r="A671" i="6"/>
  <c r="A599" i="6"/>
  <c r="A528" i="6"/>
  <c r="A702" i="6"/>
  <c r="A638" i="6"/>
  <c r="A567" i="6"/>
  <c r="A503" i="6"/>
  <c r="A635" i="6"/>
  <c r="A628" i="6"/>
  <c r="A651" i="6"/>
  <c r="A645" i="6"/>
  <c r="A667" i="6"/>
  <c r="A661" i="6"/>
  <c r="A683" i="6"/>
  <c r="A676" i="6"/>
  <c r="A699" i="6"/>
  <c r="A637" i="6"/>
  <c r="A660" i="6"/>
  <c r="A693" i="6"/>
  <c r="A706" i="6"/>
  <c r="A722" i="6"/>
  <c r="A730" i="6"/>
  <c r="A738" i="6"/>
  <c r="A746" i="6"/>
  <c r="A754" i="6"/>
  <c r="A762" i="6"/>
  <c r="A770" i="6"/>
  <c r="A778" i="6"/>
  <c r="A786" i="6"/>
  <c r="A794" i="6"/>
  <c r="A802" i="6"/>
  <c r="A810" i="6"/>
  <c r="A823" i="6"/>
  <c r="A837" i="6"/>
  <c r="A845" i="6"/>
  <c r="A876" i="6"/>
  <c r="A884" i="6"/>
  <c r="A893" i="6"/>
  <c r="A901" i="6"/>
  <c r="A909" i="6"/>
  <c r="A917" i="6"/>
  <c r="A925" i="6"/>
  <c r="A933" i="6"/>
  <c r="A941" i="6"/>
  <c r="A949" i="6"/>
  <c r="A957" i="6"/>
  <c r="A973" i="6"/>
  <c r="A981" i="6"/>
  <c r="A989" i="6"/>
  <c r="A997" i="6"/>
  <c r="A1003" i="6"/>
  <c r="A1011" i="6"/>
  <c r="A1028" i="6"/>
  <c r="A1047" i="6"/>
  <c r="A1071" i="6"/>
  <c r="A1084" i="6"/>
  <c r="A1150" i="6"/>
  <c r="A1193" i="6"/>
  <c r="A1201" i="6"/>
  <c r="A1209" i="6"/>
  <c r="A1217" i="6"/>
  <c r="A1225" i="6"/>
  <c r="A1233" i="6"/>
  <c r="A1245" i="6"/>
  <c r="A707" i="6"/>
  <c r="A715" i="6"/>
  <c r="A723" i="6"/>
  <c r="A731" i="6"/>
  <c r="A739" i="6"/>
  <c r="A747" i="6"/>
  <c r="A755" i="6"/>
  <c r="A763" i="6"/>
  <c r="A771" i="6"/>
  <c r="A779" i="6"/>
  <c r="A787" i="6"/>
  <c r="A795" i="6"/>
  <c r="A803" i="6"/>
  <c r="A811" i="6"/>
  <c r="A824" i="6"/>
  <c r="A838" i="6"/>
  <c r="A846" i="6"/>
  <c r="A877" i="6"/>
  <c r="A885" i="6"/>
  <c r="A894" i="6"/>
  <c r="A902" i="6"/>
  <c r="A910" i="6"/>
  <c r="A918" i="6"/>
  <c r="A926" i="6"/>
  <c r="A934" i="6"/>
  <c r="A942" i="6"/>
  <c r="A958" i="6"/>
  <c r="A966" i="6"/>
  <c r="A974" i="6"/>
  <c r="A982" i="6"/>
  <c r="A990" i="6"/>
  <c r="A998" i="6"/>
  <c r="A1004" i="6"/>
  <c r="A1035" i="6"/>
  <c r="A1048" i="6"/>
  <c r="A1056" i="6"/>
  <c r="A1072" i="6"/>
  <c r="A1143" i="6"/>
  <c r="A1186" i="6"/>
  <c r="A1194" i="6"/>
  <c r="A1202" i="6"/>
  <c r="A1210" i="6"/>
  <c r="A1218" i="6"/>
  <c r="A1226" i="6"/>
  <c r="A1234" i="6"/>
  <c r="A1246" i="6"/>
  <c r="A1254" i="6"/>
  <c r="A708" i="6"/>
  <c r="A716" i="6"/>
  <c r="A724" i="6"/>
  <c r="A732" i="6"/>
  <c r="A740" i="6"/>
  <c r="A748" i="6"/>
  <c r="A756" i="6"/>
  <c r="A764" i="6"/>
  <c r="A780" i="6"/>
  <c r="A788" i="6"/>
  <c r="A796" i="6"/>
  <c r="A804" i="6"/>
  <c r="A812" i="6"/>
  <c r="A825" i="6"/>
  <c r="A839" i="6"/>
  <c r="A847" i="6"/>
  <c r="A878" i="6"/>
  <c r="A886" i="6"/>
  <c r="A895" i="6"/>
  <c r="A903" i="6"/>
  <c r="A911" i="6"/>
  <c r="A927" i="6"/>
  <c r="A935" i="6"/>
  <c r="A943" i="6"/>
  <c r="A951" i="6"/>
  <c r="A959" i="6"/>
  <c r="A967" i="6"/>
  <c r="A975" i="6"/>
  <c r="A983" i="6"/>
  <c r="A991" i="6"/>
  <c r="A1005" i="6"/>
  <c r="A1014" i="6"/>
  <c r="A1022" i="6"/>
  <c r="A1049" i="6"/>
  <c r="A1078" i="6"/>
  <c r="A1129" i="6"/>
  <c r="A1135" i="6"/>
  <c r="A1195" i="6"/>
  <c r="A1203" i="6"/>
  <c r="A1211" i="6"/>
  <c r="A1219" i="6"/>
  <c r="A1227" i="6"/>
  <c r="A1235" i="6"/>
  <c r="A1247" i="6"/>
  <c r="A1255" i="6"/>
  <c r="A713" i="6"/>
  <c r="A727" i="6"/>
  <c r="A741" i="6"/>
  <c r="A752" i="6"/>
  <c r="A766" i="6"/>
  <c r="A777" i="6"/>
  <c r="A791" i="6"/>
  <c r="A805" i="6"/>
  <c r="A821" i="6"/>
  <c r="A841" i="6"/>
  <c r="A857" i="6"/>
  <c r="A899" i="6"/>
  <c r="A913" i="6"/>
  <c r="A924" i="6"/>
  <c r="A938" i="6"/>
  <c r="A952" i="6"/>
  <c r="A963" i="6"/>
  <c r="A988" i="6"/>
  <c r="A1015" i="6"/>
  <c r="A1026" i="6"/>
  <c r="A1189" i="6"/>
  <c r="A1200" i="6"/>
  <c r="A1214" i="6"/>
  <c r="A1228" i="6"/>
  <c r="A1239" i="6"/>
  <c r="A1249" i="6"/>
  <c r="A1259" i="6"/>
  <c r="A1267" i="6"/>
  <c r="A1275" i="6"/>
  <c r="A1283" i="6"/>
  <c r="A1291" i="6"/>
  <c r="A1299" i="6"/>
  <c r="A1307" i="6"/>
  <c r="A1316" i="6"/>
  <c r="A1324" i="6"/>
  <c r="A1332" i="6"/>
  <c r="A1340" i="6"/>
  <c r="A1349" i="6"/>
  <c r="A1357" i="6"/>
  <c r="A1373" i="6"/>
  <c r="A1381" i="6"/>
  <c r="A1389" i="6"/>
  <c r="A1397" i="6"/>
  <c r="A1405" i="6"/>
  <c r="A1413" i="6"/>
  <c r="A1421" i="6"/>
  <c r="A1429" i="6"/>
  <c r="A1437" i="6"/>
  <c r="A1445" i="6"/>
  <c r="A1453" i="6"/>
  <c r="A1461" i="6"/>
  <c r="A1474" i="6"/>
  <c r="A1482" i="6"/>
  <c r="A1490" i="6"/>
  <c r="A1498" i="6"/>
  <c r="A1506" i="6"/>
  <c r="A717" i="6"/>
  <c r="A728" i="6"/>
  <c r="A742" i="6"/>
  <c r="A753" i="6"/>
  <c r="A767" i="6"/>
  <c r="A781" i="6"/>
  <c r="A792" i="6"/>
  <c r="A806" i="6"/>
  <c r="A822" i="6"/>
  <c r="A842" i="6"/>
  <c r="A874" i="6"/>
  <c r="A889" i="6"/>
  <c r="A900" i="6"/>
  <c r="A914" i="6"/>
  <c r="A928" i="6"/>
  <c r="A939" i="6"/>
  <c r="A953" i="6"/>
  <c r="A964" i="6"/>
  <c r="A978" i="6"/>
  <c r="A992" i="6"/>
  <c r="A1001" i="6"/>
  <c r="A1016" i="6"/>
  <c r="A1027" i="6"/>
  <c r="A1052" i="6"/>
  <c r="A1066" i="6"/>
  <c r="A1082" i="6"/>
  <c r="A1137" i="6"/>
  <c r="A1141" i="6"/>
  <c r="A1204" i="6"/>
  <c r="A1215" i="6"/>
  <c r="A1229" i="6"/>
  <c r="A1250" i="6"/>
  <c r="A1260" i="6"/>
  <c r="A1268" i="6"/>
  <c r="A1276" i="6"/>
  <c r="A1284" i="6"/>
  <c r="A1292" i="6"/>
  <c r="A1300" i="6"/>
  <c r="A1308" i="6"/>
  <c r="A1317" i="6"/>
  <c r="A1325" i="6"/>
  <c r="A1333" i="6"/>
  <c r="A1341" i="6"/>
  <c r="A1350" i="6"/>
  <c r="A1358" i="6"/>
  <c r="A1366" i="6"/>
  <c r="A1374" i="6"/>
  <c r="A1382" i="6"/>
  <c r="A1390" i="6"/>
  <c r="A1398" i="6"/>
  <c r="A1406" i="6"/>
  <c r="A1422" i="6"/>
  <c r="A1430" i="6"/>
  <c r="A1438" i="6"/>
  <c r="A1446" i="6"/>
  <c r="A1454" i="6"/>
  <c r="A1462" i="6"/>
  <c r="A1466" i="6"/>
  <c r="A1475" i="6"/>
  <c r="A1483" i="6"/>
  <c r="A1491" i="6"/>
  <c r="A1499" i="6"/>
  <c r="A1507" i="6"/>
  <c r="A704" i="6"/>
  <c r="A718" i="6"/>
  <c r="A729" i="6"/>
  <c r="A743" i="6"/>
  <c r="A757" i="6"/>
  <c r="A768" i="6"/>
  <c r="A807" i="6"/>
  <c r="A843" i="6"/>
  <c r="A875" i="6"/>
  <c r="A890" i="6"/>
  <c r="A904" i="6"/>
  <c r="A915" i="6"/>
  <c r="A929" i="6"/>
  <c r="A940" i="6"/>
  <c r="A954" i="6"/>
  <c r="A968" i="6"/>
  <c r="A979" i="6"/>
  <c r="A993" i="6"/>
  <c r="A1002" i="6"/>
  <c r="A1017" i="6"/>
  <c r="A1042" i="6"/>
  <c r="A1145" i="6"/>
  <c r="A1191" i="6"/>
  <c r="A1205" i="6"/>
  <c r="A1216" i="6"/>
  <c r="A1230" i="6"/>
  <c r="A1240" i="6"/>
  <c r="A1251" i="6"/>
  <c r="A1261" i="6"/>
  <c r="A1269" i="6"/>
  <c r="A1277" i="6"/>
  <c r="A1285" i="6"/>
  <c r="A1293" i="6"/>
  <c r="A1301" i="6"/>
  <c r="A1309" i="6"/>
  <c r="A1318" i="6"/>
  <c r="A1326" i="6"/>
  <c r="A1334" i="6"/>
  <c r="A1342" i="6"/>
  <c r="A1351" i="6"/>
  <c r="A1359" i="6"/>
  <c r="A1367" i="6"/>
  <c r="A1375" i="6"/>
  <c r="A1383" i="6"/>
  <c r="A1391" i="6"/>
  <c r="A1399" i="6"/>
  <c r="A1407" i="6"/>
  <c r="A1415" i="6"/>
  <c r="A1431" i="6"/>
  <c r="A1439" i="6"/>
  <c r="A1447" i="6"/>
  <c r="A1455" i="6"/>
  <c r="A1463" i="6"/>
  <c r="A1476" i="6"/>
  <c r="A1484" i="6"/>
  <c r="A1492" i="6"/>
  <c r="A1500" i="6"/>
  <c r="A1508" i="6"/>
  <c r="A1516" i="6"/>
  <c r="A711" i="6"/>
  <c r="A734" i="6"/>
  <c r="A751" i="6"/>
  <c r="A774" i="6"/>
  <c r="A797" i="6"/>
  <c r="A819" i="6"/>
  <c r="A848" i="6"/>
  <c r="A896" i="6"/>
  <c r="A916" i="6"/>
  <c r="A936" i="6"/>
  <c r="A956" i="6"/>
  <c r="A976" i="6"/>
  <c r="A996" i="6"/>
  <c r="A1018" i="6"/>
  <c r="A1046" i="6"/>
  <c r="A1069" i="6"/>
  <c r="A1134" i="6"/>
  <c r="A1148" i="6"/>
  <c r="A1206" i="6"/>
  <c r="A1223" i="6"/>
  <c r="A1242" i="6"/>
  <c r="A1258" i="6"/>
  <c r="A1272" i="6"/>
  <c r="A1286" i="6"/>
  <c r="A1297" i="6"/>
  <c r="A1312" i="6"/>
  <c r="A1323" i="6"/>
  <c r="A1337" i="6"/>
  <c r="A1352" i="6"/>
  <c r="A1363" i="6"/>
  <c r="A1377" i="6"/>
  <c r="A1402" i="6"/>
  <c r="A1416" i="6"/>
  <c r="A1427" i="6"/>
  <c r="A1452" i="6"/>
  <c r="A1477" i="6"/>
  <c r="A1488" i="6"/>
  <c r="A1502" i="6"/>
  <c r="A1513" i="6"/>
  <c r="A1522" i="6"/>
  <c r="A1530" i="6"/>
  <c r="A1538" i="6"/>
  <c r="A1546" i="6"/>
  <c r="A1554" i="6"/>
  <c r="A1565" i="6"/>
  <c r="A1573" i="6"/>
  <c r="A1584" i="6"/>
  <c r="A1592" i="6"/>
  <c r="A1600" i="6"/>
  <c r="A1607" i="6"/>
  <c r="A1615" i="6"/>
  <c r="A1623" i="6"/>
  <c r="A1631" i="6"/>
  <c r="A1639" i="6"/>
  <c r="A1646" i="6"/>
  <c r="A1654" i="6"/>
  <c r="A1662" i="6"/>
  <c r="A1670" i="6"/>
  <c r="A1678" i="6"/>
  <c r="A1685" i="6"/>
  <c r="A1693" i="6"/>
  <c r="A1701" i="6"/>
  <c r="A1712" i="6"/>
  <c r="A1720" i="6"/>
  <c r="A1727" i="6"/>
  <c r="A1735" i="6"/>
  <c r="A1743" i="6"/>
  <c r="A1751" i="6"/>
  <c r="A1759" i="6"/>
  <c r="A712" i="6"/>
  <c r="A735" i="6"/>
  <c r="A758" i="6"/>
  <c r="A775" i="6"/>
  <c r="A798" i="6"/>
  <c r="A820" i="6"/>
  <c r="A849" i="6"/>
  <c r="A879" i="6"/>
  <c r="A897" i="6"/>
  <c r="A920" i="6"/>
  <c r="A937" i="6"/>
  <c r="A960" i="6"/>
  <c r="A980" i="6"/>
  <c r="A1019" i="6"/>
  <c r="A1050" i="6"/>
  <c r="A1070" i="6"/>
  <c r="A1149" i="6"/>
  <c r="A1207" i="6"/>
  <c r="A1224" i="6"/>
  <c r="A1243" i="6"/>
  <c r="A1262" i="6"/>
  <c r="A1273" i="6"/>
  <c r="A1287" i="6"/>
  <c r="A1298" i="6"/>
  <c r="A1313" i="6"/>
  <c r="A1327" i="6"/>
  <c r="A1353" i="6"/>
  <c r="A1364" i="6"/>
  <c r="A1378" i="6"/>
  <c r="A1392" i="6"/>
  <c r="A1403" i="6"/>
  <c r="A1417" i="6"/>
  <c r="A1428" i="6"/>
  <c r="A1442" i="6"/>
  <c r="A1456" i="6"/>
  <c r="A1478" i="6"/>
  <c r="A1489" i="6"/>
  <c r="A1503" i="6"/>
  <c r="A1514" i="6"/>
  <c r="A1523" i="6"/>
  <c r="A1531" i="6"/>
  <c r="A1539" i="6"/>
  <c r="A1547" i="6"/>
  <c r="A1555" i="6"/>
  <c r="A1566" i="6"/>
  <c r="A1574" i="6"/>
  <c r="A1585" i="6"/>
  <c r="A1593" i="6"/>
  <c r="A1601" i="6"/>
  <c r="A1608" i="6"/>
  <c r="A1616" i="6"/>
  <c r="A1624" i="6"/>
  <c r="A1632" i="6"/>
  <c r="A1640" i="6"/>
  <c r="A1647" i="6"/>
  <c r="A1655" i="6"/>
  <c r="A1663" i="6"/>
  <c r="A1671" i="6"/>
  <c r="A719" i="6"/>
  <c r="A736" i="6"/>
  <c r="A759" i="6"/>
  <c r="A776" i="6"/>
  <c r="A799" i="6"/>
  <c r="A832" i="6"/>
  <c r="A850" i="6"/>
  <c r="A880" i="6"/>
  <c r="A921" i="6"/>
  <c r="A944" i="6"/>
  <c r="A961" i="6"/>
  <c r="A984" i="6"/>
  <c r="A999" i="6"/>
  <c r="A1023" i="6"/>
  <c r="A1054" i="6"/>
  <c r="A1188" i="6"/>
  <c r="A1208" i="6"/>
  <c r="A1244" i="6"/>
  <c r="A1263" i="6"/>
  <c r="A1288" i="6"/>
  <c r="A1314" i="6"/>
  <c r="A1328" i="6"/>
  <c r="A1339" i="6"/>
  <c r="A1354" i="6"/>
  <c r="A1368" i="6"/>
  <c r="A1379" i="6"/>
  <c r="A1393" i="6"/>
  <c r="A1404" i="6"/>
  <c r="A1418" i="6"/>
  <c r="A1432" i="6"/>
  <c r="A1443" i="6"/>
  <c r="A1457" i="6"/>
  <c r="A1479" i="6"/>
  <c r="A1493" i="6"/>
  <c r="A1504" i="6"/>
  <c r="A1515" i="6"/>
  <c r="A1524" i="6"/>
  <c r="A1532" i="6"/>
  <c r="A1548" i="6"/>
  <c r="A1556" i="6"/>
  <c r="A1567" i="6"/>
  <c r="A1575" i="6"/>
  <c r="A1594" i="6"/>
  <c r="A1602" i="6"/>
  <c r="A1609" i="6"/>
  <c r="A1617" i="6"/>
  <c r="A1633" i="6"/>
  <c r="A1641" i="6"/>
  <c r="A1648" i="6"/>
  <c r="A1656" i="6"/>
  <c r="A1672" i="6"/>
  <c r="A1680" i="6"/>
  <c r="A1687" i="6"/>
  <c r="A1695" i="6"/>
  <c r="A1714" i="6"/>
  <c r="A1722" i="6"/>
  <c r="A1729" i="6"/>
  <c r="A1737" i="6"/>
  <c r="A1753" i="6"/>
  <c r="A1761" i="6"/>
  <c r="A1768" i="6"/>
  <c r="A1776" i="6"/>
  <c r="A1785" i="6"/>
  <c r="A1794" i="6"/>
  <c r="A1802" i="6"/>
  <c r="A1810" i="6"/>
  <c r="A1818" i="6"/>
  <c r="A1826" i="6"/>
  <c r="A1834" i="6"/>
  <c r="A1842" i="6"/>
  <c r="A1858" i="6"/>
  <c r="A1866" i="6"/>
  <c r="A1874" i="6"/>
  <c r="A1882" i="6"/>
  <c r="A1898" i="6"/>
  <c r="A1906" i="6"/>
  <c r="A1914" i="6"/>
  <c r="A720" i="6"/>
  <c r="A737" i="6"/>
  <c r="A760" i="6"/>
  <c r="A783" i="6"/>
  <c r="A800" i="6"/>
  <c r="A881" i="6"/>
  <c r="A905" i="6"/>
  <c r="A922" i="6"/>
  <c r="A945" i="6"/>
  <c r="A962" i="6"/>
  <c r="A985" i="6"/>
  <c r="A1024" i="6"/>
  <c r="A1058" i="6"/>
  <c r="A1080" i="6"/>
  <c r="A1192" i="6"/>
  <c r="A1212" i="6"/>
  <c r="A1248" i="6"/>
  <c r="A1264" i="6"/>
  <c r="A1278" i="6"/>
  <c r="A1289" i="6"/>
  <c r="A1303" i="6"/>
  <c r="A1315" i="6"/>
  <c r="A1329" i="6"/>
  <c r="A1343" i="6"/>
  <c r="A1355" i="6"/>
  <c r="A1369" i="6"/>
  <c r="A1380" i="6"/>
  <c r="A1394" i="6"/>
  <c r="A1408" i="6"/>
  <c r="A1433" i="6"/>
  <c r="A1444" i="6"/>
  <c r="A1458" i="6"/>
  <c r="A1468" i="6"/>
  <c r="A1480" i="6"/>
  <c r="A1505" i="6"/>
  <c r="A1517" i="6"/>
  <c r="A1533" i="6"/>
  <c r="A1541" i="6"/>
  <c r="A1549" i="6"/>
  <c r="A1557" i="6"/>
  <c r="A1568" i="6"/>
  <c r="A1576" i="6"/>
  <c r="A744" i="6"/>
  <c r="A784" i="6"/>
  <c r="A705" i="6"/>
  <c r="A745" i="6"/>
  <c r="A785" i="6"/>
  <c r="A836" i="6"/>
  <c r="A883" i="6"/>
  <c r="A970" i="6"/>
  <c r="A1008" i="6"/>
  <c r="A1139" i="6"/>
  <c r="A1220" i="6"/>
  <c r="A1253" i="6"/>
  <c r="A1280" i="6"/>
  <c r="A1305" i="6"/>
  <c r="A1331" i="6"/>
  <c r="A1360" i="6"/>
  <c r="A1385" i="6"/>
  <c r="A1410" i="6"/>
  <c r="A1435" i="6"/>
  <c r="A1460" i="6"/>
  <c r="A1485" i="6"/>
  <c r="A1510" i="6"/>
  <c r="A1527" i="6"/>
  <c r="A1543" i="6"/>
  <c r="A1578" i="6"/>
  <c r="A1588" i="6"/>
  <c r="A1599" i="6"/>
  <c r="A1612" i="6"/>
  <c r="A1626" i="6"/>
  <c r="A1637" i="6"/>
  <c r="A1650" i="6"/>
  <c r="A1661" i="6"/>
  <c r="A1675" i="6"/>
  <c r="A1696" i="6"/>
  <c r="A1706" i="6"/>
  <c r="A1719" i="6"/>
  <c r="A1730" i="6"/>
  <c r="A1740" i="6"/>
  <c r="A1750" i="6"/>
  <c r="A1762" i="6"/>
  <c r="A1770" i="6"/>
  <c r="A1779" i="6"/>
  <c r="A1789" i="6"/>
  <c r="A1799" i="6"/>
  <c r="A1808" i="6"/>
  <c r="A1817" i="6"/>
  <c r="A1827" i="6"/>
  <c r="A1845" i="6"/>
  <c r="A1862" i="6"/>
  <c r="A1871" i="6"/>
  <c r="A1880" i="6"/>
  <c r="A1889" i="6"/>
  <c r="A1899" i="6"/>
  <c r="A1908" i="6"/>
  <c r="A1917" i="6"/>
  <c r="A709" i="6"/>
  <c r="A749" i="6"/>
  <c r="A789" i="6"/>
  <c r="A840" i="6"/>
  <c r="A891" i="6"/>
  <c r="A931" i="6"/>
  <c r="A971" i="6"/>
  <c r="A1009" i="6"/>
  <c r="A1146" i="6"/>
  <c r="A1221" i="6"/>
  <c r="A1256" i="6"/>
  <c r="A1281" i="6"/>
  <c r="A1306" i="6"/>
  <c r="A1335" i="6"/>
  <c r="A1361" i="6"/>
  <c r="A1386" i="6"/>
  <c r="A1436" i="6"/>
  <c r="A1464" i="6"/>
  <c r="A1486" i="6"/>
  <c r="A1511" i="6"/>
  <c r="A1528" i="6"/>
  <c r="A1544" i="6"/>
  <c r="A1560" i="6"/>
  <c r="A1579" i="6"/>
  <c r="A1589" i="6"/>
  <c r="A1603" i="6"/>
  <c r="A1613" i="6"/>
  <c r="A1627" i="6"/>
  <c r="A1638" i="6"/>
  <c r="A1651" i="6"/>
  <c r="A1665" i="6"/>
  <c r="A1676" i="6"/>
  <c r="A1686" i="6"/>
  <c r="A1697" i="6"/>
  <c r="A1707" i="6"/>
  <c r="A1721" i="6"/>
  <c r="A1731" i="6"/>
  <c r="A1741" i="6"/>
  <c r="A1752" i="6"/>
  <c r="A1771" i="6"/>
  <c r="A1780" i="6"/>
  <c r="A1800" i="6"/>
  <c r="A1809" i="6"/>
  <c r="A1819" i="6"/>
  <c r="A1828" i="6"/>
  <c r="A1837" i="6"/>
  <c r="A1846" i="6"/>
  <c r="A1863" i="6"/>
  <c r="A1872" i="6"/>
  <c r="A1881" i="6"/>
  <c r="A1891" i="6"/>
  <c r="A1900" i="6"/>
  <c r="A1909" i="6"/>
  <c r="A710" i="6"/>
  <c r="A750" i="6"/>
  <c r="A790" i="6"/>
  <c r="A844" i="6"/>
  <c r="A892" i="6"/>
  <c r="A932" i="6"/>
  <c r="A972" i="6"/>
  <c r="A1010" i="6"/>
  <c r="A1068" i="6"/>
  <c r="A1147" i="6"/>
  <c r="A1222" i="6"/>
  <c r="A1257" i="6"/>
  <c r="A1282" i="6"/>
  <c r="A1311" i="6"/>
  <c r="A1336" i="6"/>
  <c r="A1362" i="6"/>
  <c r="A1387" i="6"/>
  <c r="A1412" i="6"/>
  <c r="A1440" i="6"/>
  <c r="A1465" i="6"/>
  <c r="A1487" i="6"/>
  <c r="A1512" i="6"/>
  <c r="A1529" i="6"/>
  <c r="A1545" i="6"/>
  <c r="A1561" i="6"/>
  <c r="A1590" i="6"/>
  <c r="A1604" i="6"/>
  <c r="A1614" i="6"/>
  <c r="A1628" i="6"/>
  <c r="A1642" i="6"/>
  <c r="A1652" i="6"/>
  <c r="A1666" i="6"/>
  <c r="A1677" i="6"/>
  <c r="A1688" i="6"/>
  <c r="A1698" i="6"/>
  <c r="A1711" i="6"/>
  <c r="A761" i="6"/>
  <c r="A835" i="6"/>
  <c r="A986" i="6"/>
  <c r="A1045" i="6"/>
  <c r="A1197" i="6"/>
  <c r="A1252" i="6"/>
  <c r="A1295" i="6"/>
  <c r="A1344" i="6"/>
  <c r="A1376" i="6"/>
  <c r="A1424" i="6"/>
  <c r="A1459" i="6"/>
  <c r="A1497" i="6"/>
  <c r="A1534" i="6"/>
  <c r="A1553" i="6"/>
  <c r="A1581" i="6"/>
  <c r="A1598" i="6"/>
  <c r="A1620" i="6"/>
  <c r="A1643" i="6"/>
  <c r="A1659" i="6"/>
  <c r="A1681" i="6"/>
  <c r="A1694" i="6"/>
  <c r="A1716" i="6"/>
  <c r="A1728" i="6"/>
  <c r="A1744" i="6"/>
  <c r="A1757" i="6"/>
  <c r="A1769" i="6"/>
  <c r="A1783" i="6"/>
  <c r="A1796" i="6"/>
  <c r="A1807" i="6"/>
  <c r="A1821" i="6"/>
  <c r="A1832" i="6"/>
  <c r="A1844" i="6"/>
  <c r="A1865" i="6"/>
  <c r="A1877" i="6"/>
  <c r="A1888" i="6"/>
  <c r="A1902" i="6"/>
  <c r="A1913" i="6"/>
  <c r="A801" i="6"/>
  <c r="A947" i="6"/>
  <c r="A1132" i="6"/>
  <c r="A1271" i="6"/>
  <c r="A1356" i="6"/>
  <c r="A1448" i="6"/>
  <c r="A1519" i="6"/>
  <c r="A1571" i="6"/>
  <c r="A1610" i="6"/>
  <c r="A1649" i="6"/>
  <c r="A1689" i="6"/>
  <c r="A1724" i="6"/>
  <c r="A1749" i="6"/>
  <c r="A1775" i="6"/>
  <c r="A1803" i="6"/>
  <c r="A1825" i="6"/>
  <c r="A1859" i="6"/>
  <c r="A1884" i="6"/>
  <c r="A1907" i="6"/>
  <c r="A808" i="6"/>
  <c r="A948" i="6"/>
  <c r="A1133" i="6"/>
  <c r="A1279" i="6"/>
  <c r="A1370" i="6"/>
  <c r="A1449" i="6"/>
  <c r="A1520" i="6"/>
  <c r="A1572" i="6"/>
  <c r="A1611" i="6"/>
  <c r="A1653" i="6"/>
  <c r="A1690" i="6"/>
  <c r="A1725" i="6"/>
  <c r="A1754" i="6"/>
  <c r="A1804" i="6"/>
  <c r="A1829" i="6"/>
  <c r="A1860" i="6"/>
  <c r="A1885" i="6"/>
  <c r="A1910" i="6"/>
  <c r="A726" i="6"/>
  <c r="A906" i="6"/>
  <c r="A1238" i="6"/>
  <c r="A1409" i="6"/>
  <c r="A1495" i="6"/>
  <c r="A1551" i="6"/>
  <c r="A1596" i="6"/>
  <c r="A1635" i="6"/>
  <c r="A1674" i="6"/>
  <c r="A1713" i="6"/>
  <c r="A1739" i="6"/>
  <c r="A1766" i="6"/>
  <c r="A1792" i="6"/>
  <c r="A1816" i="6"/>
  <c r="A1841" i="6"/>
  <c r="A1875" i="6"/>
  <c r="A1897" i="6"/>
  <c r="A818" i="6"/>
  <c r="A969" i="6"/>
  <c r="A1196" i="6"/>
  <c r="A1294" i="6"/>
  <c r="A1372" i="6"/>
  <c r="A1451" i="6"/>
  <c r="A1526" i="6"/>
  <c r="A1597" i="6"/>
  <c r="A1636" i="6"/>
  <c r="A1679" i="6"/>
  <c r="A1715" i="6"/>
  <c r="A1742" i="6"/>
  <c r="A1767" i="6"/>
  <c r="A1795" i="6"/>
  <c r="A1820" i="6"/>
  <c r="A1843" i="6"/>
  <c r="A1876" i="6"/>
  <c r="A1901" i="6"/>
  <c r="A765" i="6"/>
  <c r="A912" i="6"/>
  <c r="A987" i="6"/>
  <c r="A1198" i="6"/>
  <c r="A1265" i="6"/>
  <c r="A1296" i="6"/>
  <c r="A1345" i="6"/>
  <c r="A1384" i="6"/>
  <c r="A1425" i="6"/>
  <c r="A1469" i="6"/>
  <c r="A1501" i="6"/>
  <c r="A1535" i="6"/>
  <c r="A1558" i="6"/>
  <c r="A1582" i="6"/>
  <c r="A1605" i="6"/>
  <c r="A1621" i="6"/>
  <c r="A1644" i="6"/>
  <c r="A1660" i="6"/>
  <c r="A1682" i="6"/>
  <c r="A1699" i="6"/>
  <c r="A1717" i="6"/>
  <c r="A1732" i="6"/>
  <c r="A1746" i="6"/>
  <c r="A1758" i="6"/>
  <c r="A1772" i="6"/>
  <c r="A1784" i="6"/>
  <c r="A1797" i="6"/>
  <c r="A1811" i="6"/>
  <c r="A1822" i="6"/>
  <c r="A1833" i="6"/>
  <c r="A1847" i="6"/>
  <c r="A1867" i="6"/>
  <c r="A1878" i="6"/>
  <c r="A1892" i="6"/>
  <c r="A1903" i="6"/>
  <c r="A1915" i="6"/>
  <c r="A721" i="6"/>
  <c r="A1007" i="6"/>
  <c r="A1236" i="6"/>
  <c r="A1320" i="6"/>
  <c r="A1400" i="6"/>
  <c r="A1472" i="6"/>
  <c r="A1542" i="6"/>
  <c r="A1591" i="6"/>
  <c r="A1630" i="6"/>
  <c r="A1669" i="6"/>
  <c r="A1704" i="6"/>
  <c r="A1736" i="6"/>
  <c r="A1764" i="6"/>
  <c r="A1788" i="6"/>
  <c r="A1814" i="6"/>
  <c r="A1870" i="6"/>
  <c r="A1895" i="6"/>
  <c r="A725" i="6"/>
  <c r="A882" i="6"/>
  <c r="A1025" i="6"/>
  <c r="A1237" i="6"/>
  <c r="A1321" i="6"/>
  <c r="A1401" i="6"/>
  <c r="A1481" i="6"/>
  <c r="A1550" i="6"/>
  <c r="A1595" i="6"/>
  <c r="A1634" i="6"/>
  <c r="A1673" i="6"/>
  <c r="A1705" i="6"/>
  <c r="A1738" i="6"/>
  <c r="A1765" i="6"/>
  <c r="A1791" i="6"/>
  <c r="A1815" i="6"/>
  <c r="A1840" i="6"/>
  <c r="A1873" i="6"/>
  <c r="A1896" i="6"/>
  <c r="A955" i="6"/>
  <c r="A1290" i="6"/>
  <c r="A1371" i="6"/>
  <c r="A1450" i="6"/>
  <c r="A1521" i="6"/>
  <c r="A1577" i="6"/>
  <c r="A1618" i="6"/>
  <c r="A1657" i="6"/>
  <c r="A1691" i="6"/>
  <c r="A1726" i="6"/>
  <c r="A1755" i="6"/>
  <c r="A1777" i="6"/>
  <c r="A1805" i="6"/>
  <c r="A1830" i="6"/>
  <c r="A1861" i="6"/>
  <c r="A1886" i="6"/>
  <c r="A1911" i="6"/>
  <c r="A733" i="6"/>
  <c r="A907" i="6"/>
  <c r="A1044" i="6"/>
  <c r="A1241" i="6"/>
  <c r="A1330" i="6"/>
  <c r="A1496" i="6"/>
  <c r="A1552" i="6"/>
  <c r="A1580" i="6"/>
  <c r="A1619" i="6"/>
  <c r="A1658" i="6"/>
  <c r="A1692" i="6"/>
  <c r="A1756" i="6"/>
  <c r="A1781" i="6"/>
  <c r="A1806" i="6"/>
  <c r="A1831" i="6"/>
  <c r="A1864" i="6"/>
  <c r="A1887" i="6"/>
  <c r="A1912" i="6"/>
  <c r="A769" i="6"/>
  <c r="A923" i="6"/>
  <c r="A994" i="6"/>
  <c r="A1199" i="6"/>
  <c r="A1266" i="6"/>
  <c r="A1304" i="6"/>
  <c r="A1347" i="6"/>
  <c r="A1395" i="6"/>
  <c r="A1426" i="6"/>
  <c r="A1470" i="6"/>
  <c r="A1509" i="6"/>
  <c r="A1536" i="6"/>
  <c r="A1569" i="6"/>
  <c r="A1583" i="6"/>
  <c r="A1606" i="6"/>
  <c r="A1622" i="6"/>
  <c r="A1645" i="6"/>
  <c r="A1667" i="6"/>
  <c r="A1683" i="6"/>
  <c r="A1700" i="6"/>
  <c r="A1718" i="6"/>
  <c r="A1733" i="6"/>
  <c r="A1747" i="6"/>
  <c r="A1760" i="6"/>
  <c r="A1773" i="6"/>
  <c r="A1786" i="6"/>
  <c r="A1798" i="6"/>
  <c r="A1812" i="6"/>
  <c r="A1823" i="6"/>
  <c r="A1835" i="6"/>
  <c r="A1856" i="6"/>
  <c r="A1868" i="6"/>
  <c r="A1879" i="6"/>
  <c r="A1893" i="6"/>
  <c r="A1904" i="6"/>
  <c r="A1916" i="6"/>
  <c r="A946" i="6"/>
  <c r="A995" i="6"/>
  <c r="A1131" i="6"/>
  <c r="A1213" i="6"/>
  <c r="A1270" i="6"/>
  <c r="A1319" i="6"/>
  <c r="A1348" i="6"/>
  <c r="A1396" i="6"/>
  <c r="A1434" i="6"/>
  <c r="A1471" i="6"/>
  <c r="A1518" i="6"/>
  <c r="A1537" i="6"/>
  <c r="A1570" i="6"/>
  <c r="A1587" i="6"/>
  <c r="A1629" i="6"/>
  <c r="A1668" i="6"/>
  <c r="A1684" i="6"/>
  <c r="A1702" i="6"/>
  <c r="A1723" i="6"/>
  <c r="A1734" i="6"/>
  <c r="A1748" i="6"/>
  <c r="A1763" i="6"/>
  <c r="A1774" i="6"/>
  <c r="A1787" i="6"/>
  <c r="A1801" i="6"/>
  <c r="A1813" i="6"/>
  <c r="A1824" i="6"/>
  <c r="A1839" i="6"/>
  <c r="A1857" i="6"/>
  <c r="A1869" i="6"/>
  <c r="A1883" i="6"/>
  <c r="A1894" i="6"/>
  <c r="A1905" i="6"/>
  <c r="A25" i="6"/>
  <c r="A33" i="6"/>
  <c r="A41" i="6"/>
  <c r="A49" i="6"/>
  <c r="A57" i="6"/>
  <c r="A65" i="6"/>
  <c r="A73" i="6"/>
  <c r="A81" i="6"/>
  <c r="A89" i="6"/>
  <c r="A97" i="6"/>
  <c r="A105" i="6"/>
  <c r="A113" i="6"/>
  <c r="A121" i="6"/>
  <c r="A129" i="6"/>
  <c r="A137" i="6"/>
  <c r="A145" i="6"/>
  <c r="A153" i="6"/>
  <c r="A161" i="6"/>
  <c r="A169" i="6"/>
  <c r="A177" i="6"/>
  <c r="A185" i="6"/>
  <c r="A193" i="6"/>
  <c r="A201" i="6"/>
  <c r="A209" i="6"/>
  <c r="A217" i="6"/>
  <c r="A225" i="6"/>
  <c r="A233" i="6"/>
  <c r="A241" i="6"/>
  <c r="A249" i="6"/>
  <c r="A257" i="6"/>
  <c r="A265" i="6"/>
  <c r="A273" i="6"/>
  <c r="A289" i="6"/>
  <c r="A305" i="6"/>
  <c r="A313" i="6"/>
  <c r="A321" i="6"/>
  <c r="A329" i="6"/>
  <c r="A337" i="6"/>
  <c r="A345" i="6"/>
  <c r="A353" i="6"/>
  <c r="K463" i="6"/>
  <c r="A425" i="6"/>
  <c r="A433" i="6"/>
  <c r="A441" i="6"/>
  <c r="A449" i="6"/>
  <c r="A457" i="6"/>
  <c r="A18" i="6"/>
  <c r="A26" i="6"/>
  <c r="A34" i="6"/>
  <c r="A42" i="6"/>
  <c r="A50" i="6"/>
  <c r="A58" i="6"/>
  <c r="A66" i="6"/>
  <c r="A74" i="6"/>
  <c r="A82" i="6"/>
  <c r="A90" i="6"/>
  <c r="A98" i="6"/>
  <c r="A106" i="6"/>
  <c r="A114" i="6"/>
  <c r="A122" i="6"/>
  <c r="A130" i="6"/>
  <c r="A138" i="6"/>
  <c r="A146" i="6"/>
  <c r="A162" i="6"/>
  <c r="A170" i="6"/>
  <c r="A178" i="6"/>
  <c r="A186" i="6"/>
  <c r="A194" i="6"/>
  <c r="A202" i="6"/>
  <c r="A19" i="6"/>
  <c r="A29" i="6"/>
  <c r="A39" i="6"/>
  <c r="A51" i="6"/>
  <c r="A71" i="6"/>
  <c r="A83" i="6"/>
  <c r="A93" i="6"/>
  <c r="A103" i="6"/>
  <c r="A115" i="6"/>
  <c r="A125" i="6"/>
  <c r="A135" i="6"/>
  <c r="A147" i="6"/>
  <c r="A157" i="6"/>
  <c r="A167" i="6"/>
  <c r="A179" i="6"/>
  <c r="A189" i="6"/>
  <c r="A199" i="6"/>
  <c r="A210" i="6"/>
  <c r="A219" i="6"/>
  <c r="A228" i="6"/>
  <c r="A237" i="6"/>
  <c r="A246" i="6"/>
  <c r="A255" i="6"/>
  <c r="A264" i="6"/>
  <c r="A274" i="6"/>
  <c r="A283" i="6"/>
  <c r="A292" i="6"/>
  <c r="A310" i="6"/>
  <c r="A319" i="6"/>
  <c r="A328" i="6"/>
  <c r="A338" i="6"/>
  <c r="A347" i="6"/>
  <c r="A356" i="6"/>
  <c r="A420" i="6"/>
  <c r="A429" i="6"/>
  <c r="A438" i="6"/>
  <c r="A447" i="6"/>
  <c r="A456" i="6"/>
  <c r="A31" i="6"/>
  <c r="A43" i="6"/>
  <c r="A53" i="6"/>
  <c r="A63" i="6"/>
  <c r="A75" i="6"/>
  <c r="A95" i="6"/>
  <c r="A107" i="6"/>
  <c r="A127" i="6"/>
  <c r="A139" i="6"/>
  <c r="A159" i="6"/>
  <c r="A171" i="6"/>
  <c r="A191" i="6"/>
  <c r="A212" i="6"/>
  <c r="A221" i="6"/>
  <c r="A258" i="6"/>
  <c r="A276" i="6"/>
  <c r="A285" i="6"/>
  <c r="A303" i="6"/>
  <c r="A322" i="6"/>
  <c r="A340" i="6"/>
  <c r="A358" i="6"/>
  <c r="A431" i="6"/>
  <c r="A450" i="6"/>
  <c r="A22" i="6"/>
  <c r="A32" i="6"/>
  <c r="A44" i="6"/>
  <c r="A54" i="6"/>
  <c r="A64" i="6"/>
  <c r="A76" i="6"/>
  <c r="A86" i="6"/>
  <c r="A96" i="6"/>
  <c r="A108" i="6"/>
  <c r="A118" i="6"/>
  <c r="A128" i="6"/>
  <c r="A140" i="6"/>
  <c r="A150" i="6"/>
  <c r="A160" i="6"/>
  <c r="A172" i="6"/>
  <c r="A182" i="6"/>
  <c r="A192" i="6"/>
  <c r="A204" i="6"/>
  <c r="A213" i="6"/>
  <c r="A222" i="6"/>
  <c r="A231" i="6"/>
  <c r="A240" i="6"/>
  <c r="A250" i="6"/>
  <c r="A259" i="6"/>
  <c r="A268" i="6"/>
  <c r="A277" i="6"/>
  <c r="A295" i="6"/>
  <c r="A304" i="6"/>
  <c r="A314" i="6"/>
  <c r="A323" i="6"/>
  <c r="A332" i="6"/>
  <c r="A341" i="6"/>
  <c r="A350" i="6"/>
  <c r="K396" i="6"/>
  <c r="A423" i="6"/>
  <c r="A432" i="6"/>
  <c r="A442" i="6"/>
  <c r="A451" i="6"/>
  <c r="A35" i="6"/>
  <c r="A67" i="6"/>
  <c r="A87" i="6"/>
  <c r="A109" i="6"/>
  <c r="A131" i="6"/>
  <c r="A141" i="6"/>
  <c r="A163" i="6"/>
  <c r="A183" i="6"/>
  <c r="A195" i="6"/>
  <c r="A214" i="6"/>
  <c r="A232" i="6"/>
  <c r="A242" i="6"/>
  <c r="A20" i="6"/>
  <c r="A30" i="6"/>
  <c r="A40" i="6"/>
  <c r="A52" i="6"/>
  <c r="A62" i="6"/>
  <c r="A72" i="6"/>
  <c r="A84" i="6"/>
  <c r="A94" i="6"/>
  <c r="A104" i="6"/>
  <c r="A116" i="6"/>
  <c r="A126" i="6"/>
  <c r="A136" i="6"/>
  <c r="A148" i="6"/>
  <c r="A158" i="6"/>
  <c r="A168" i="6"/>
  <c r="A180" i="6"/>
  <c r="A190" i="6"/>
  <c r="A200" i="6"/>
  <c r="A211" i="6"/>
  <c r="A220" i="6"/>
  <c r="A229" i="6"/>
  <c r="A238" i="6"/>
  <c r="A247" i="6"/>
  <c r="A256" i="6"/>
  <c r="A266" i="6"/>
  <c r="A275" i="6"/>
  <c r="A284" i="6"/>
  <c r="A302" i="6"/>
  <c r="A311" i="6"/>
  <c r="A320" i="6"/>
  <c r="A330" i="6"/>
  <c r="A339" i="6"/>
  <c r="A348" i="6"/>
  <c r="A357" i="6"/>
  <c r="A421" i="6"/>
  <c r="A430" i="6"/>
  <c r="A439" i="6"/>
  <c r="A448" i="6"/>
  <c r="A458" i="6"/>
  <c r="A21" i="6"/>
  <c r="A85" i="6"/>
  <c r="A117" i="6"/>
  <c r="A149" i="6"/>
  <c r="A181" i="6"/>
  <c r="A203" i="6"/>
  <c r="A230" i="6"/>
  <c r="A248" i="6"/>
  <c r="A267" i="6"/>
  <c r="A294" i="6"/>
  <c r="A312" i="6"/>
  <c r="A331" i="6"/>
  <c r="A349" i="6"/>
  <c r="A422" i="6"/>
  <c r="A440" i="6"/>
  <c r="A459" i="6"/>
  <c r="A460" i="6"/>
  <c r="A23" i="6"/>
  <c r="A45" i="6"/>
  <c r="A55" i="6"/>
  <c r="A77" i="6"/>
  <c r="A99" i="6"/>
  <c r="A119" i="6"/>
  <c r="A151" i="6"/>
  <c r="A173" i="6"/>
  <c r="A205" i="6"/>
  <c r="A223" i="6"/>
  <c r="A24" i="6"/>
  <c r="A48" i="6"/>
  <c r="A79" i="6"/>
  <c r="A134" i="6"/>
  <c r="A165" i="6"/>
  <c r="A196" i="6"/>
  <c r="A218" i="6"/>
  <c r="A244" i="6"/>
  <c r="A262" i="6"/>
  <c r="A280" i="6"/>
  <c r="A299" i="6"/>
  <c r="A317" i="6"/>
  <c r="A335" i="6"/>
  <c r="A354" i="6"/>
  <c r="A427" i="6"/>
  <c r="A445" i="6"/>
  <c r="A463" i="6"/>
  <c r="A27" i="6"/>
  <c r="A56" i="6"/>
  <c r="A80" i="6"/>
  <c r="A111" i="6"/>
  <c r="A142" i="6"/>
  <c r="A166" i="6"/>
  <c r="A197" i="6"/>
  <c r="A224" i="6"/>
  <c r="A245" i="6"/>
  <c r="A263" i="6"/>
  <c r="A282" i="6"/>
  <c r="A300" i="6"/>
  <c r="A318" i="6"/>
  <c r="A336" i="6"/>
  <c r="A355" i="6"/>
  <c r="A428" i="6"/>
  <c r="A446" i="6"/>
  <c r="A28" i="6"/>
  <c r="A59" i="6"/>
  <c r="A88" i="6"/>
  <c r="A112" i="6"/>
  <c r="A143" i="6"/>
  <c r="A174" i="6"/>
  <c r="K198" i="6"/>
  <c r="A226" i="6"/>
  <c r="A251" i="6"/>
  <c r="A269" i="6"/>
  <c r="A287" i="6"/>
  <c r="A306" i="6"/>
  <c r="A324" i="6"/>
  <c r="A342" i="6"/>
  <c r="A452" i="6"/>
  <c r="A60" i="6"/>
  <c r="A175" i="6"/>
  <c r="A227" i="6"/>
  <c r="A270" i="6"/>
  <c r="A307" i="6"/>
  <c r="A435" i="6"/>
  <c r="A37" i="6"/>
  <c r="A92" i="6"/>
  <c r="A123" i="6"/>
  <c r="A176" i="6"/>
  <c r="A234" i="6"/>
  <c r="A271" i="6"/>
  <c r="A308" i="6"/>
  <c r="A418" i="6"/>
  <c r="A454" i="6"/>
  <c r="A46" i="6"/>
  <c r="A70" i="6"/>
  <c r="A101" i="6"/>
  <c r="A132" i="6"/>
  <c r="A156" i="6"/>
  <c r="A187" i="6"/>
  <c r="A215" i="6"/>
  <c r="A236" i="6"/>
  <c r="A278" i="6"/>
  <c r="A296" i="6"/>
  <c r="A315" i="6"/>
  <c r="A333" i="6"/>
  <c r="A351" i="6"/>
  <c r="A424" i="6"/>
  <c r="A443" i="6"/>
  <c r="A461" i="6"/>
  <c r="A47" i="6"/>
  <c r="A78" i="6"/>
  <c r="A102" i="6"/>
  <c r="A133" i="6"/>
  <c r="A164" i="6"/>
  <c r="A188" i="6"/>
  <c r="A216" i="6"/>
  <c r="A243" i="6"/>
  <c r="A261" i="6"/>
  <c r="A279" i="6"/>
  <c r="A298" i="6"/>
  <c r="A316" i="6"/>
  <c r="A334" i="6"/>
  <c r="A352" i="6"/>
  <c r="A426" i="6"/>
  <c r="A444" i="6"/>
  <c r="A462" i="6"/>
  <c r="A434" i="6"/>
  <c r="A36" i="6"/>
  <c r="A91" i="6"/>
  <c r="A120" i="6"/>
  <c r="A144" i="6"/>
  <c r="A206" i="6"/>
  <c r="A252" i="6"/>
  <c r="A288" i="6"/>
  <c r="A325" i="6"/>
  <c r="A343" i="6"/>
  <c r="A416" i="6"/>
  <c r="A453" i="6"/>
  <c r="A68" i="6"/>
  <c r="A152" i="6"/>
  <c r="A207" i="6"/>
  <c r="A253" i="6"/>
  <c r="A290" i="6"/>
  <c r="A326" i="6"/>
  <c r="A344" i="6"/>
  <c r="A436" i="6"/>
  <c r="A38" i="6"/>
  <c r="A69" i="6"/>
  <c r="A100" i="6"/>
  <c r="A124" i="6"/>
  <c r="A155" i="6"/>
  <c r="A184" i="6"/>
  <c r="A208" i="6"/>
  <c r="A235" i="6"/>
  <c r="A254" i="6"/>
  <c r="A272" i="6"/>
  <c r="A291" i="6"/>
  <c r="A309" i="6"/>
  <c r="A327" i="6"/>
  <c r="A346" i="6"/>
  <c r="A419" i="6"/>
  <c r="A437" i="6"/>
  <c r="A455" i="6"/>
  <c r="K558" i="6" l="1"/>
  <c r="K587" i="6"/>
  <c r="K584" i="6"/>
  <c r="K599" i="6"/>
  <c r="K600" i="6"/>
  <c r="K609" i="6"/>
  <c r="K617" i="6"/>
  <c r="K625" i="6"/>
  <c r="K633" i="6"/>
  <c r="K626" i="6"/>
  <c r="K642" i="6"/>
  <c r="K650" i="6"/>
  <c r="K611" i="6"/>
  <c r="K627" i="6"/>
  <c r="K643" i="6"/>
  <c r="K604" i="6"/>
  <c r="K620" i="6"/>
  <c r="K628" i="6"/>
  <c r="K636" i="6"/>
  <c r="K652" i="6"/>
  <c r="K605" i="6"/>
  <c r="K621" i="6"/>
  <c r="K629" i="6"/>
  <c r="K637" i="6"/>
  <c r="K645" i="6"/>
  <c r="K653" i="6"/>
  <c r="K638" i="6"/>
  <c r="K646" i="6"/>
  <c r="K598" i="6"/>
  <c r="K607" i="6"/>
  <c r="K615" i="6"/>
  <c r="K623" i="6"/>
  <c r="K631" i="6"/>
  <c r="K639" i="6"/>
  <c r="K647" i="6"/>
  <c r="K597" i="6"/>
  <c r="K608" i="6"/>
  <c r="K616" i="6"/>
  <c r="K624" i="6"/>
  <c r="K612" i="6"/>
  <c r="K851" i="6"/>
  <c r="K855" i="6"/>
  <c r="K856" i="6"/>
  <c r="K853" i="6"/>
  <c r="K831" i="6"/>
  <c r="K826" i="6"/>
  <c r="K828" i="6"/>
  <c r="K830" i="6"/>
  <c r="K1865" i="6"/>
  <c r="K1855" i="6"/>
  <c r="K1838" i="6"/>
  <c r="K1870" i="6"/>
  <c r="K1859" i="6"/>
  <c r="K1876" i="6"/>
  <c r="K1874" i="6"/>
  <c r="K1849" i="6"/>
  <c r="K1860" i="6"/>
  <c r="K1837" i="6"/>
  <c r="K1842" i="6"/>
  <c r="K1888" i="6"/>
  <c r="K1862" i="6"/>
  <c r="K1839" i="6"/>
  <c r="K1850" i="6"/>
  <c r="K1845" i="6"/>
  <c r="K1843" i="6"/>
  <c r="K1840" i="6"/>
  <c r="K1883" i="6"/>
  <c r="K1880" i="6"/>
  <c r="K1853" i="6"/>
  <c r="K1878" i="6"/>
  <c r="K1887" i="6"/>
  <c r="K1852" i="6"/>
  <c r="K1857" i="6"/>
  <c r="K1872" i="6"/>
  <c r="K1868" i="6"/>
  <c r="K1873" i="6"/>
  <c r="K1864" i="6"/>
  <c r="K1836" i="6"/>
  <c r="K1858" i="6"/>
  <c r="K1861" i="6"/>
  <c r="K1841" i="6"/>
  <c r="K1884" i="6"/>
  <c r="K1881" i="6"/>
  <c r="K1867" i="6"/>
  <c r="K1866" i="6"/>
  <c r="K1875" i="6"/>
  <c r="K1854" i="6"/>
  <c r="K1846" i="6"/>
  <c r="K1851" i="6"/>
  <c r="K1928" i="6"/>
  <c r="K1910" i="6"/>
  <c r="K1891" i="6"/>
  <c r="K1917" i="6"/>
  <c r="K1897" i="6"/>
  <c r="K1901" i="6"/>
  <c r="K1906" i="6"/>
  <c r="K1914" i="6"/>
  <c r="K1912" i="6"/>
  <c r="K1892" i="6"/>
  <c r="K1894" i="6"/>
  <c r="K1922" i="6"/>
  <c r="K1913" i="6"/>
  <c r="K1927" i="6"/>
  <c r="K1904" i="6"/>
  <c r="K1921" i="6"/>
  <c r="K1939" i="6"/>
  <c r="K1908" i="6"/>
  <c r="K1896" i="6"/>
  <c r="K1907" i="6"/>
  <c r="K1930" i="6"/>
  <c r="K1898" i="6"/>
  <c r="K1923" i="6"/>
  <c r="K1938" i="6"/>
  <c r="K1895" i="6"/>
  <c r="K1890" i="6"/>
  <c r="K1929" i="6"/>
  <c r="K1909" i="6"/>
  <c r="K1942" i="6"/>
  <c r="K1905" i="6"/>
  <c r="K1935" i="6"/>
  <c r="K1925" i="6"/>
  <c r="K1933" i="6"/>
  <c r="K1936" i="6"/>
  <c r="K1919" i="6"/>
  <c r="K1900" i="6"/>
  <c r="K1920" i="6"/>
  <c r="K1943" i="6"/>
  <c r="K1916" i="6"/>
  <c r="K1915" i="6"/>
  <c r="K1931" i="6"/>
  <c r="K1893" i="6"/>
  <c r="K864" i="6"/>
  <c r="K868" i="6"/>
  <c r="K859" i="6"/>
  <c r="K858" i="6"/>
  <c r="K860" i="6"/>
  <c r="K861" i="6"/>
  <c r="K862" i="6"/>
  <c r="K863" i="6"/>
  <c r="K866" i="6"/>
  <c r="K867" i="6"/>
  <c r="K894" i="6"/>
  <c r="K896" i="6"/>
  <c r="K895" i="6"/>
  <c r="K890" i="6"/>
  <c r="K888" i="6"/>
  <c r="K887" i="6"/>
  <c r="K889" i="6"/>
  <c r="K891" i="6"/>
  <c r="K892" i="6"/>
  <c r="K1131" i="6"/>
  <c r="K1133" i="6"/>
  <c r="K1134" i="6"/>
  <c r="K1303" i="6"/>
  <c r="K1319" i="6"/>
  <c r="K1304" i="6"/>
  <c r="K1312" i="6"/>
  <c r="K1307" i="6"/>
  <c r="K1317" i="6"/>
  <c r="K1310" i="6"/>
  <c r="K1305" i="6"/>
  <c r="K1314" i="6"/>
  <c r="K1302" i="6"/>
  <c r="K1306" i="6"/>
  <c r="K1308" i="6"/>
  <c r="K1309" i="6"/>
  <c r="K1315" i="6"/>
  <c r="K1543" i="6"/>
  <c r="K1547" i="6"/>
  <c r="K1556" i="6"/>
  <c r="K1548" i="6"/>
  <c r="K1541" i="6"/>
  <c r="K1546" i="6"/>
  <c r="K1542" i="6"/>
  <c r="K1544" i="6"/>
  <c r="K1545" i="6"/>
  <c r="K1549" i="6"/>
  <c r="K1552" i="6"/>
  <c r="K1553" i="6"/>
  <c r="K1557" i="6"/>
  <c r="K1371" i="6"/>
  <c r="K1379" i="6"/>
  <c r="K1365" i="6"/>
  <c r="K1372" i="6"/>
  <c r="K1380" i="6"/>
  <c r="K1375" i="6"/>
  <c r="K1385" i="6"/>
  <c r="K1366" i="6"/>
  <c r="K1381" i="6"/>
  <c r="K1367" i="6"/>
  <c r="K1369" i="6"/>
  <c r="K1370" i="6"/>
  <c r="K1373" i="6"/>
  <c r="K1368" i="6"/>
  <c r="K1374" i="6"/>
  <c r="K1377" i="6"/>
  <c r="K1383" i="6"/>
  <c r="K1386" i="6"/>
  <c r="K1616" i="6"/>
  <c r="K1587" i="6"/>
  <c r="K1595" i="6"/>
  <c r="K1604" i="6"/>
  <c r="K1612" i="6"/>
  <c r="K1621" i="6"/>
  <c r="K1591" i="6"/>
  <c r="K1602" i="6"/>
  <c r="K1622" i="6"/>
  <c r="K1597" i="6"/>
  <c r="K1619" i="6"/>
  <c r="K1610" i="6"/>
  <c r="K1586" i="6"/>
  <c r="K1599" i="6"/>
  <c r="K1613" i="6"/>
  <c r="K1615" i="6"/>
  <c r="K1617" i="6"/>
  <c r="K1603" i="6"/>
  <c r="K1618" i="6"/>
  <c r="K1605" i="6"/>
  <c r="K1588" i="6"/>
  <c r="K1609" i="6"/>
  <c r="K1589" i="6"/>
  <c r="K1590" i="6"/>
  <c r="K1620" i="6"/>
  <c r="K1623" i="6"/>
  <c r="K1594" i="6"/>
  <c r="K817" i="6"/>
  <c r="K825" i="6"/>
  <c r="K810" i="6"/>
  <c r="K811" i="6"/>
  <c r="K821" i="6"/>
  <c r="K815" i="6"/>
  <c r="K819" i="6"/>
  <c r="K824" i="6"/>
  <c r="K812" i="6"/>
  <c r="K809" i="6"/>
  <c r="K813" i="6"/>
  <c r="K814" i="6"/>
  <c r="K816" i="6"/>
  <c r="K820" i="6"/>
  <c r="K823" i="6"/>
  <c r="K806" i="6"/>
  <c r="K798" i="6"/>
  <c r="K801" i="6"/>
  <c r="K802" i="6"/>
  <c r="K799" i="6"/>
  <c r="K797" i="6"/>
  <c r="K796" i="6"/>
  <c r="K795" i="6"/>
  <c r="K794" i="6"/>
  <c r="K793" i="6"/>
  <c r="K807" i="6"/>
  <c r="K805" i="6"/>
  <c r="K804" i="6"/>
  <c r="K803" i="6"/>
  <c r="K956" i="6"/>
  <c r="K950" i="6"/>
  <c r="K957" i="6"/>
  <c r="K952" i="6"/>
  <c r="K962" i="6"/>
  <c r="K953" i="6"/>
  <c r="K951" i="6"/>
  <c r="K954" i="6"/>
  <c r="K958" i="6"/>
  <c r="K960" i="6"/>
  <c r="K963" i="6"/>
  <c r="K1046" i="6"/>
  <c r="K1048" i="6"/>
  <c r="K1049" i="6"/>
  <c r="K1045" i="6"/>
  <c r="K1396" i="6"/>
  <c r="K1389" i="6"/>
  <c r="K1397" i="6"/>
  <c r="K1405" i="6"/>
  <c r="K1398" i="6"/>
  <c r="K1408" i="6"/>
  <c r="K1390" i="6"/>
  <c r="K1401" i="6"/>
  <c r="K1393" i="6"/>
  <c r="K1395" i="6"/>
  <c r="K1391" i="6"/>
  <c r="K1388" i="6"/>
  <c r="K1392" i="6"/>
  <c r="K1394" i="6"/>
  <c r="K1406" i="6"/>
  <c r="K1409" i="6"/>
  <c r="K1402" i="6"/>
  <c r="K1449" i="6"/>
  <c r="K1457" i="6"/>
  <c r="K1442" i="6"/>
  <c r="K1450" i="6"/>
  <c r="K1458" i="6"/>
  <c r="K1441" i="6"/>
  <c r="K1445" i="6"/>
  <c r="K1455" i="6"/>
  <c r="K1443" i="6"/>
  <c r="K1454" i="6"/>
  <c r="K1453" i="6"/>
  <c r="K1464" i="6"/>
  <c r="K1460" i="6"/>
  <c r="K1461" i="6"/>
  <c r="K1444" i="6"/>
  <c r="K1462" i="6"/>
  <c r="K1446" i="6"/>
  <c r="K1456" i="6"/>
  <c r="K1459" i="6"/>
  <c r="K1568" i="6"/>
  <c r="K1576" i="6"/>
  <c r="K1584" i="6"/>
  <c r="K1560" i="6"/>
  <c r="K1561" i="6"/>
  <c r="K1583" i="6"/>
  <c r="K1569" i="6"/>
  <c r="K1571" i="6"/>
  <c r="K1559" i="6"/>
  <c r="K1562" i="6"/>
  <c r="K1578" i="6"/>
  <c r="K1563" i="6"/>
  <c r="K1579" i="6"/>
  <c r="K1564" i="6"/>
  <c r="K1581" i="6"/>
  <c r="K1573" i="6"/>
  <c r="K1577" i="6"/>
  <c r="K1565" i="6"/>
  <c r="K1735" i="6"/>
  <c r="K1743" i="6"/>
  <c r="K1707" i="6"/>
  <c r="K1725" i="6"/>
  <c r="K1733" i="6"/>
  <c r="K1742" i="6"/>
  <c r="K1706" i="6"/>
  <c r="K1717" i="6"/>
  <c r="K1737" i="6"/>
  <c r="K1710" i="6"/>
  <c r="K1722" i="6"/>
  <c r="K1732" i="6"/>
  <c r="K1703" i="6"/>
  <c r="K1711" i="6"/>
  <c r="K1723" i="6"/>
  <c r="K1714" i="6"/>
  <c r="K1729" i="6"/>
  <c r="K1704" i="6"/>
  <c r="K1715" i="6"/>
  <c r="K1730" i="6"/>
  <c r="K1708" i="6"/>
  <c r="K1736" i="6"/>
  <c r="K1709" i="6"/>
  <c r="K1738" i="6"/>
  <c r="K1739" i="6"/>
  <c r="K1719" i="6"/>
  <c r="K1740" i="6"/>
  <c r="K1741" i="6"/>
  <c r="K1724" i="6"/>
  <c r="K1705" i="6"/>
  <c r="K1805" i="6"/>
  <c r="K1813" i="6"/>
  <c r="K1821" i="6"/>
  <c r="K1829" i="6"/>
  <c r="K1799" i="6"/>
  <c r="K1808" i="6"/>
  <c r="K1826" i="6"/>
  <c r="K1791" i="6"/>
  <c r="K1793" i="6"/>
  <c r="K1803" i="6"/>
  <c r="K1814" i="6"/>
  <c r="K1824" i="6"/>
  <c r="K1792" i="6"/>
  <c r="K1794" i="6"/>
  <c r="K1804" i="6"/>
  <c r="K1790" i="6"/>
  <c r="K1834" i="6"/>
  <c r="K1807" i="6"/>
  <c r="K1820" i="6"/>
  <c r="K1833" i="6"/>
  <c r="K1795" i="6"/>
  <c r="K1809" i="6"/>
  <c r="K1822" i="6"/>
  <c r="K1796" i="6"/>
  <c r="K1810" i="6"/>
  <c r="K1806" i="6"/>
  <c r="K1830" i="6"/>
  <c r="K1811" i="6"/>
  <c r="K1812" i="6"/>
  <c r="K1816" i="6"/>
  <c r="K1818" i="6"/>
  <c r="K1800" i="6"/>
  <c r="K1819" i="6"/>
  <c r="K1827" i="6"/>
  <c r="K938" i="6"/>
  <c r="K946" i="6"/>
  <c r="K931" i="6"/>
  <c r="K947" i="6"/>
  <c r="K940" i="6"/>
  <c r="K932" i="6"/>
  <c r="K943" i="6"/>
  <c r="K933" i="6"/>
  <c r="K937" i="6"/>
  <c r="K942" i="6"/>
  <c r="K934" i="6"/>
  <c r="K935" i="6"/>
  <c r="K944" i="6"/>
  <c r="K948" i="6"/>
  <c r="K930" i="6"/>
  <c r="K1071" i="6"/>
  <c r="K1068" i="6"/>
  <c r="K1069" i="6"/>
  <c r="K1072" i="6"/>
  <c r="K1197" i="6"/>
  <c r="K1205" i="6"/>
  <c r="K1213" i="6"/>
  <c r="K1221" i="6"/>
  <c r="K1229" i="6"/>
  <c r="K1198" i="6"/>
  <c r="K1206" i="6"/>
  <c r="K1214" i="6"/>
  <c r="K1190" i="6"/>
  <c r="K1211" i="6"/>
  <c r="K1192" i="6"/>
  <c r="K1218" i="6"/>
  <c r="K1215" i="6"/>
  <c r="K1228" i="6"/>
  <c r="K1201" i="6"/>
  <c r="K1202" i="6"/>
  <c r="K1217" i="6"/>
  <c r="K1223" i="6"/>
  <c r="K1225" i="6"/>
  <c r="K1226" i="6"/>
  <c r="K1207" i="6"/>
  <c r="K1210" i="6"/>
  <c r="K1220" i="6"/>
  <c r="K1193" i="6"/>
  <c r="K1265" i="6"/>
  <c r="K1248" i="6"/>
  <c r="K1266" i="6"/>
  <c r="K1233" i="6"/>
  <c r="K1257" i="6"/>
  <c r="K1269" i="6"/>
  <c r="K1238" i="6"/>
  <c r="K1250" i="6"/>
  <c r="K1263" i="6"/>
  <c r="K1231" i="6"/>
  <c r="K1234" i="6"/>
  <c r="K1247" i="6"/>
  <c r="K1272" i="6"/>
  <c r="K1251" i="6"/>
  <c r="K1260" i="6"/>
  <c r="K1252" i="6"/>
  <c r="K1262" i="6"/>
  <c r="K1271" i="6"/>
  <c r="K1258" i="6"/>
  <c r="K1239" i="6"/>
  <c r="K1242" i="6"/>
  <c r="K1243" i="6"/>
  <c r="K1244" i="6"/>
  <c r="K1254" i="6"/>
  <c r="K1255" i="6"/>
  <c r="K1268" i="6"/>
  <c r="K983" i="6"/>
  <c r="K991" i="6"/>
  <c r="K977" i="6"/>
  <c r="K984" i="6"/>
  <c r="K992" i="6"/>
  <c r="K981" i="6"/>
  <c r="K978" i="6"/>
  <c r="K989" i="6"/>
  <c r="K996" i="6"/>
  <c r="K990" i="6"/>
  <c r="K994" i="6"/>
  <c r="K979" i="6"/>
  <c r="K985" i="6"/>
  <c r="K987" i="6"/>
  <c r="K980" i="6"/>
  <c r="K997" i="6"/>
  <c r="K998" i="6"/>
  <c r="K1060" i="6"/>
  <c r="K1065" i="6"/>
  <c r="K1061" i="6"/>
  <c r="K1062" i="6"/>
  <c r="K1064" i="6"/>
  <c r="K1411" i="6"/>
  <c r="K1412" i="6"/>
  <c r="K966" i="6"/>
  <c r="K974" i="6"/>
  <c r="K975" i="6"/>
  <c r="K968" i="6"/>
  <c r="K970" i="6"/>
  <c r="K971" i="6"/>
  <c r="K973" i="6"/>
  <c r="K965" i="6"/>
  <c r="K1417" i="6"/>
  <c r="K1418" i="6"/>
  <c r="K1414" i="6"/>
  <c r="K1482" i="6"/>
  <c r="K1483" i="6"/>
  <c r="K1491" i="6"/>
  <c r="K1468" i="6"/>
  <c r="K1478" i="6"/>
  <c r="K1469" i="6"/>
  <c r="K1480" i="6"/>
  <c r="K1492" i="6"/>
  <c r="K1470" i="6"/>
  <c r="K1484" i="6"/>
  <c r="K1481" i="6"/>
  <c r="K1485" i="6"/>
  <c r="K1479" i="6"/>
  <c r="K1487" i="6"/>
  <c r="K1476" i="6"/>
  <c r="K1477" i="6"/>
  <c r="K1467" i="6"/>
  <c r="K1471" i="6"/>
  <c r="K1472" i="6"/>
  <c r="K1473" i="6"/>
  <c r="K1010" i="6"/>
  <c r="K1006" i="6"/>
  <c r="K1008" i="6"/>
  <c r="K1011" i="6"/>
  <c r="K925" i="6"/>
  <c r="K919" i="6"/>
  <c r="K923" i="6"/>
  <c r="K927" i="6"/>
  <c r="K928" i="6"/>
  <c r="K922" i="6"/>
  <c r="K921" i="6"/>
  <c r="K1188" i="6"/>
  <c r="K1286" i="6"/>
  <c r="K1294" i="6"/>
  <c r="K1187" i="6"/>
  <c r="K1295" i="6"/>
  <c r="K1274" i="6"/>
  <c r="K1284" i="6"/>
  <c r="K1285" i="6"/>
  <c r="K1298" i="6"/>
  <c r="K1290" i="6"/>
  <c r="K1293" i="6"/>
  <c r="K1281" i="6"/>
  <c r="K1282" i="6"/>
  <c r="K1300" i="6"/>
  <c r="K1275" i="6"/>
  <c r="K1277" i="6"/>
  <c r="K1291" i="6"/>
  <c r="K1421" i="6"/>
  <c r="K1420" i="6"/>
  <c r="K1509" i="6"/>
  <c r="K1494" i="6"/>
  <c r="K1499" i="6"/>
  <c r="K1508" i="6"/>
  <c r="K1518" i="6"/>
  <c r="K1504" i="6"/>
  <c r="K1514" i="6"/>
  <c r="K1495" i="6"/>
  <c r="K1497" i="6"/>
  <c r="K1510" i="6"/>
  <c r="K1498" i="6"/>
  <c r="K1512" i="6"/>
  <c r="K1500" i="6"/>
  <c r="K1503" i="6"/>
  <c r="K1505" i="6"/>
  <c r="K1522" i="6"/>
  <c r="K1506" i="6"/>
  <c r="K1523" i="6"/>
  <c r="K1511" i="6"/>
  <c r="K1519" i="6"/>
  <c r="K1496" i="6"/>
  <c r="K1507" i="6"/>
  <c r="K1760" i="6"/>
  <c r="K1768" i="6"/>
  <c r="K1776" i="6"/>
  <c r="K1753" i="6"/>
  <c r="K1762" i="6"/>
  <c r="K1780" i="6"/>
  <c r="K1788" i="6"/>
  <c r="K1748" i="6"/>
  <c r="K1758" i="6"/>
  <c r="K1746" i="6"/>
  <c r="K1757" i="6"/>
  <c r="K1770" i="6"/>
  <c r="K1747" i="6"/>
  <c r="K1759" i="6"/>
  <c r="K1772" i="6"/>
  <c r="K1783" i="6"/>
  <c r="K1749" i="6"/>
  <c r="K1764" i="6"/>
  <c r="K1778" i="6"/>
  <c r="K1750" i="6"/>
  <c r="K1765" i="6"/>
  <c r="K1781" i="6"/>
  <c r="K1761" i="6"/>
  <c r="K1766" i="6"/>
  <c r="K1787" i="6"/>
  <c r="K1767" i="6"/>
  <c r="K1745" i="6"/>
  <c r="K1773" i="6"/>
  <c r="K1774" i="6"/>
  <c r="K1754" i="6"/>
  <c r="K1775" i="6"/>
  <c r="K1784" i="6"/>
  <c r="K876" i="6"/>
  <c r="K884" i="6"/>
  <c r="K877" i="6"/>
  <c r="K885" i="6"/>
  <c r="K874" i="6"/>
  <c r="K870" i="6"/>
  <c r="K873" i="6"/>
  <c r="K882" i="6"/>
  <c r="K883" i="6"/>
  <c r="K871" i="6"/>
  <c r="K872" i="6"/>
  <c r="K875" i="6"/>
  <c r="K881" i="6"/>
  <c r="K879" i="6"/>
  <c r="K880" i="6"/>
  <c r="K1001" i="6"/>
  <c r="K1004" i="6"/>
  <c r="K1003" i="6"/>
  <c r="K1002" i="6"/>
  <c r="K911" i="6"/>
  <c r="K912" i="6"/>
  <c r="K916" i="6"/>
  <c r="K908" i="6"/>
  <c r="K910" i="6"/>
  <c r="K914" i="6"/>
  <c r="K917" i="6"/>
  <c r="K1329" i="6"/>
  <c r="K1322" i="6"/>
  <c r="K1330" i="6"/>
  <c r="K1331" i="6"/>
  <c r="K1325" i="6"/>
  <c r="K1328" i="6"/>
  <c r="K1324" i="6"/>
  <c r="K1326" i="6"/>
  <c r="K1327" i="6"/>
  <c r="K1335" i="6"/>
  <c r="K1323" i="6"/>
  <c r="K1333" i="6"/>
  <c r="K1424" i="6"/>
  <c r="K1432" i="6"/>
  <c r="K1423" i="6"/>
  <c r="K1425" i="6"/>
  <c r="K1426" i="6"/>
  <c r="K1438" i="6"/>
  <c r="K1431" i="6"/>
  <c r="K1435" i="6"/>
  <c r="K1439" i="6"/>
  <c r="K1427" i="6"/>
  <c r="K1428" i="6"/>
  <c r="K1436" i="6"/>
  <c r="K1672" i="6"/>
  <c r="K1680" i="6"/>
  <c r="K1687" i="6"/>
  <c r="K1695" i="6"/>
  <c r="K1664" i="6"/>
  <c r="K1688" i="6"/>
  <c r="K1697" i="6"/>
  <c r="K1675" i="6"/>
  <c r="K1694" i="6"/>
  <c r="K1698" i="6"/>
  <c r="K1699" i="6"/>
  <c r="K1667" i="6"/>
  <c r="K1682" i="6"/>
  <c r="K1696" i="6"/>
  <c r="K1668" i="6"/>
  <c r="K1683" i="6"/>
  <c r="K1700" i="6"/>
  <c r="K1669" i="6"/>
  <c r="K1701" i="6"/>
  <c r="K1681" i="6"/>
  <c r="K1690" i="6"/>
  <c r="K1666" i="6"/>
  <c r="K1691" i="6"/>
  <c r="K1673" i="6"/>
  <c r="K1693" i="6"/>
  <c r="K1677" i="6"/>
  <c r="K1665" i="6"/>
  <c r="K836" i="6"/>
  <c r="K844" i="6"/>
  <c r="K833" i="6"/>
  <c r="K837" i="6"/>
  <c r="K845" i="6"/>
  <c r="K842" i="6"/>
  <c r="K834" i="6"/>
  <c r="K848" i="6"/>
  <c r="K838" i="6"/>
  <c r="K839" i="6"/>
  <c r="K840" i="6"/>
  <c r="K849" i="6"/>
  <c r="K850" i="6"/>
  <c r="K835" i="6"/>
  <c r="K841" i="6"/>
  <c r="K846" i="6"/>
  <c r="K1018" i="6"/>
  <c r="K1025" i="6"/>
  <c r="K1019" i="6"/>
  <c r="K1027" i="6"/>
  <c r="K1017" i="6"/>
  <c r="K1013" i="6"/>
  <c r="K1024" i="6"/>
  <c r="K1028" i="6"/>
  <c r="K1014" i="6"/>
  <c r="K1015" i="6"/>
  <c r="K1020" i="6"/>
  <c r="K899" i="6"/>
  <c r="K900" i="6"/>
  <c r="K901" i="6"/>
  <c r="K903" i="6"/>
  <c r="K905" i="6"/>
  <c r="K906" i="6"/>
  <c r="K1145" i="6"/>
  <c r="K1149" i="6"/>
  <c r="K1146" i="6"/>
  <c r="K1633" i="6"/>
  <c r="K1655" i="6"/>
  <c r="K1626" i="6"/>
  <c r="K1634" i="6"/>
  <c r="K1643" i="6"/>
  <c r="K1651" i="6"/>
  <c r="K1660" i="6"/>
  <c r="K1644" i="6"/>
  <c r="K1625" i="6"/>
  <c r="K1638" i="6"/>
  <c r="K1649" i="6"/>
  <c r="K1661" i="6"/>
  <c r="K1627" i="6"/>
  <c r="K1662" i="6"/>
  <c r="K1648" i="6"/>
  <c r="K1636" i="6"/>
  <c r="K1652" i="6"/>
  <c r="K1654" i="6"/>
  <c r="K1629" i="6"/>
  <c r="K1657" i="6"/>
  <c r="K1630" i="6"/>
  <c r="K1658" i="6"/>
  <c r="K1641" i="6"/>
  <c r="K1659" i="6"/>
  <c r="K1642" i="6"/>
  <c r="K1628" i="6"/>
  <c r="K1656" i="6"/>
  <c r="K1346" i="6"/>
  <c r="K1354" i="6"/>
  <c r="K1362" i="6"/>
  <c r="K1339" i="6"/>
  <c r="K1347" i="6"/>
  <c r="K1355" i="6"/>
  <c r="K1363" i="6"/>
  <c r="K1342" i="6"/>
  <c r="K1338" i="6"/>
  <c r="K1350" i="6"/>
  <c r="K1345" i="6"/>
  <c r="K1360" i="6"/>
  <c r="K1344" i="6"/>
  <c r="K1351" i="6"/>
  <c r="K1340" i="6"/>
  <c r="K1341" i="6"/>
  <c r="K1343" i="6"/>
  <c r="K1357" i="6"/>
  <c r="K1358" i="6"/>
  <c r="K1534" i="6"/>
  <c r="K1528" i="6"/>
  <c r="K1537" i="6"/>
  <c r="K1533" i="6"/>
  <c r="K1527" i="6"/>
  <c r="K1529" i="6"/>
  <c r="K1526" i="6"/>
  <c r="K1538" i="6"/>
  <c r="K1530" i="6"/>
  <c r="K1531" i="6"/>
  <c r="K1532" i="6"/>
  <c r="K294" i="6"/>
  <c r="K293" i="6"/>
  <c r="K295" i="6"/>
  <c r="K475" i="6"/>
  <c r="K487" i="6"/>
  <c r="K498" i="6"/>
  <c r="K510" i="6"/>
  <c r="K523" i="6"/>
  <c r="K467" i="6"/>
  <c r="K479" i="6"/>
  <c r="K492" i="6"/>
  <c r="K502" i="6"/>
  <c r="K516" i="6"/>
  <c r="K527" i="6"/>
  <c r="K476" i="6"/>
  <c r="K494" i="6"/>
  <c r="K508" i="6"/>
  <c r="K525" i="6"/>
  <c r="K478" i="6"/>
  <c r="K495" i="6"/>
  <c r="K509" i="6"/>
  <c r="K526" i="6"/>
  <c r="K480" i="6"/>
  <c r="K496" i="6"/>
  <c r="K513" i="6"/>
  <c r="K528" i="6"/>
  <c r="K468" i="6"/>
  <c r="K491" i="6"/>
  <c r="K518" i="6"/>
  <c r="K469" i="6"/>
  <c r="K497" i="6"/>
  <c r="K521" i="6"/>
  <c r="K488" i="6"/>
  <c r="K517" i="6"/>
  <c r="K470" i="6"/>
  <c r="K499" i="6"/>
  <c r="K471" i="6"/>
  <c r="K500" i="6"/>
  <c r="K482" i="6"/>
  <c r="K504" i="6"/>
  <c r="K530" i="6"/>
  <c r="K483" i="6"/>
  <c r="K507" i="6"/>
  <c r="K531" i="6"/>
  <c r="K486" i="6"/>
  <c r="K514" i="6"/>
  <c r="K764" i="6"/>
  <c r="K756" i="6"/>
  <c r="K748" i="6"/>
  <c r="K740" i="6"/>
  <c r="K732" i="6"/>
  <c r="K724" i="6"/>
  <c r="K716" i="6"/>
  <c r="K714" i="6"/>
  <c r="K763" i="6"/>
  <c r="K755" i="6"/>
  <c r="K715" i="6"/>
  <c r="K770" i="6"/>
  <c r="K762" i="6"/>
  <c r="K754" i="6"/>
  <c r="K746" i="6"/>
  <c r="K738" i="6"/>
  <c r="K722" i="6"/>
  <c r="K760" i="6"/>
  <c r="K744" i="6"/>
  <c r="K728" i="6"/>
  <c r="K759" i="6"/>
  <c r="K743" i="6"/>
  <c r="K742" i="6"/>
  <c r="K726" i="6"/>
  <c r="K741" i="6"/>
  <c r="K725" i="6"/>
  <c r="K769" i="6"/>
  <c r="K753" i="6"/>
  <c r="K737" i="6"/>
  <c r="K721" i="6"/>
  <c r="K750" i="6"/>
  <c r="K717" i="6"/>
  <c r="K745" i="6"/>
  <c r="K767" i="6"/>
  <c r="K734" i="6"/>
  <c r="K733" i="6"/>
  <c r="K729" i="6"/>
  <c r="K281" i="6"/>
  <c r="K284" i="6"/>
  <c r="K282" i="6"/>
  <c r="K283" i="6"/>
  <c r="K206" i="6"/>
  <c r="K219" i="6"/>
  <c r="K232" i="6"/>
  <c r="K201" i="6"/>
  <c r="K210" i="6"/>
  <c r="K224" i="6"/>
  <c r="K235" i="6"/>
  <c r="K204" i="6"/>
  <c r="K220" i="6"/>
  <c r="K236" i="6"/>
  <c r="K205" i="6"/>
  <c r="K222" i="6"/>
  <c r="K237" i="6"/>
  <c r="K208" i="6"/>
  <c r="K225" i="6"/>
  <c r="K212" i="6"/>
  <c r="K213" i="6"/>
  <c r="K216" i="6"/>
  <c r="K234" i="6"/>
  <c r="K218" i="6"/>
  <c r="K200" i="6"/>
  <c r="V41" i="6" s="1"/>
  <c r="K227" i="6"/>
  <c r="K202" i="6"/>
  <c r="K229" i="6"/>
  <c r="K203" i="6"/>
  <c r="K230" i="6"/>
  <c r="K209" i="6"/>
  <c r="K233" i="6"/>
  <c r="K301" i="6"/>
  <c r="K309" i="6"/>
  <c r="K342" i="6"/>
  <c r="K350" i="6"/>
  <c r="K304" i="6"/>
  <c r="K312" i="6"/>
  <c r="K321" i="6"/>
  <c r="K329" i="6"/>
  <c r="K337" i="6"/>
  <c r="K353" i="6"/>
  <c r="K302" i="6"/>
  <c r="K313" i="6"/>
  <c r="K324" i="6"/>
  <c r="K335" i="6"/>
  <c r="K346" i="6"/>
  <c r="K356" i="6"/>
  <c r="K303" i="6"/>
  <c r="K315" i="6"/>
  <c r="K325" i="6"/>
  <c r="K347" i="6"/>
  <c r="K357" i="6"/>
  <c r="K316" i="6"/>
  <c r="K327" i="6"/>
  <c r="K319" i="6"/>
  <c r="K320" i="6"/>
  <c r="K340" i="6"/>
  <c r="K333" i="6"/>
  <c r="K341" i="6"/>
  <c r="K308" i="6"/>
  <c r="K328" i="6"/>
  <c r="K343" i="6"/>
  <c r="K330" i="6"/>
  <c r="K311" i="6"/>
  <c r="K331" i="6"/>
  <c r="K349" i="6"/>
  <c r="K332" i="6"/>
  <c r="K351" i="6"/>
  <c r="K69" i="6"/>
  <c r="K81" i="6"/>
  <c r="K91" i="6"/>
  <c r="K61" i="6"/>
  <c r="K71" i="6"/>
  <c r="K82" i="6"/>
  <c r="K92" i="6"/>
  <c r="K106" i="6"/>
  <c r="K64" i="6"/>
  <c r="K76" i="6"/>
  <c r="K98" i="6"/>
  <c r="K63" i="6"/>
  <c r="K80" i="6"/>
  <c r="K99" i="6"/>
  <c r="K65" i="6"/>
  <c r="K83" i="6"/>
  <c r="K101" i="6"/>
  <c r="K66" i="6"/>
  <c r="K85" i="6"/>
  <c r="K102" i="6"/>
  <c r="K62" i="6"/>
  <c r="K90" i="6"/>
  <c r="K68" i="6"/>
  <c r="K94" i="6"/>
  <c r="K88" i="6"/>
  <c r="K72" i="6"/>
  <c r="K95" i="6"/>
  <c r="K75" i="6"/>
  <c r="K104" i="6"/>
  <c r="K77" i="6"/>
  <c r="K107" i="6"/>
  <c r="K79" i="6"/>
  <c r="K108" i="6"/>
  <c r="K87" i="6"/>
  <c r="K682" i="6"/>
  <c r="K674" i="6"/>
  <c r="K666" i="6"/>
  <c r="K658" i="6"/>
  <c r="K705" i="6"/>
  <c r="K697" i="6"/>
  <c r="K689" i="6"/>
  <c r="K681" i="6"/>
  <c r="K673" i="6"/>
  <c r="K665" i="6"/>
  <c r="K657" i="6"/>
  <c r="K704" i="6"/>
  <c r="K712" i="6"/>
  <c r="K696" i="6"/>
  <c r="K656" i="6"/>
  <c r="K710" i="6"/>
  <c r="K694" i="6"/>
  <c r="K686" i="6"/>
  <c r="K678" i="6"/>
  <c r="K670" i="6"/>
  <c r="K662" i="6"/>
  <c r="K709" i="6"/>
  <c r="K708" i="6"/>
  <c r="K691" i="6"/>
  <c r="K675" i="6"/>
  <c r="K703" i="6"/>
  <c r="K687" i="6"/>
  <c r="K655" i="6"/>
  <c r="K684" i="6"/>
  <c r="K683" i="6"/>
  <c r="K711" i="6"/>
  <c r="K679" i="6"/>
  <c r="K701" i="6"/>
  <c r="K669" i="6"/>
  <c r="K700" i="6"/>
  <c r="K667" i="6"/>
  <c r="K695" i="6"/>
  <c r="K663" i="6"/>
  <c r="K685" i="6"/>
  <c r="K261" i="6"/>
  <c r="K270" i="6"/>
  <c r="K264" i="6"/>
  <c r="K273" i="6"/>
  <c r="K262" i="6"/>
  <c r="K274" i="6"/>
  <c r="K263" i="6"/>
  <c r="K276" i="6"/>
  <c r="K265" i="6"/>
  <c r="K278" i="6"/>
  <c r="K260" i="6"/>
  <c r="K279" i="6"/>
  <c r="K266" i="6"/>
  <c r="K267" i="6"/>
  <c r="K268" i="6"/>
  <c r="K271" i="6"/>
  <c r="K272" i="6"/>
  <c r="K359" i="6"/>
  <c r="K368" i="6"/>
  <c r="K384" i="6"/>
  <c r="K392" i="6"/>
  <c r="K402" i="6"/>
  <c r="K362" i="6"/>
  <c r="K371" i="6"/>
  <c r="K379" i="6"/>
  <c r="K387" i="6"/>
  <c r="K380" i="6"/>
  <c r="K390" i="6"/>
  <c r="K405" i="6"/>
  <c r="K370" i="6"/>
  <c r="K391" i="6"/>
  <c r="K406" i="6"/>
  <c r="K360" i="6"/>
  <c r="K372" i="6"/>
  <c r="K408" i="6"/>
  <c r="K388" i="6"/>
  <c r="K374" i="6"/>
  <c r="K389" i="6"/>
  <c r="K413" i="6"/>
  <c r="K375" i="6"/>
  <c r="K394" i="6"/>
  <c r="K415" i="6"/>
  <c r="K410" i="6"/>
  <c r="K361" i="6"/>
  <c r="K363" i="6"/>
  <c r="K378" i="6"/>
  <c r="K399" i="6"/>
  <c r="K383" i="6"/>
  <c r="K400" i="6"/>
  <c r="K401" i="6"/>
  <c r="K367" i="6"/>
  <c r="K386" i="6"/>
  <c r="K409" i="6"/>
  <c r="K780" i="6"/>
  <c r="K772" i="6"/>
  <c r="K779" i="6"/>
  <c r="K778" i="6"/>
  <c r="K776" i="6"/>
  <c r="K775" i="6"/>
  <c r="K774" i="6"/>
  <c r="K773" i="6"/>
  <c r="K791" i="6"/>
  <c r="K790" i="6"/>
  <c r="K789" i="6"/>
  <c r="K787" i="6"/>
  <c r="K786" i="6"/>
  <c r="K785" i="6"/>
  <c r="K784" i="6"/>
  <c r="K783" i="6"/>
  <c r="K782" i="6"/>
  <c r="K241" i="6"/>
  <c r="K250" i="6"/>
  <c r="K244" i="6"/>
  <c r="K253" i="6"/>
  <c r="K247" i="6"/>
  <c r="K249" i="6"/>
  <c r="K239" i="6"/>
  <c r="K251" i="6"/>
  <c r="K257" i="6"/>
  <c r="K240" i="6"/>
  <c r="K258" i="6"/>
  <c r="K242" i="6"/>
  <c r="K243" i="6"/>
  <c r="K245" i="6"/>
  <c r="K246" i="6"/>
  <c r="K252" i="6"/>
  <c r="K255" i="6"/>
  <c r="K290" i="6"/>
  <c r="K288" i="6"/>
  <c r="K289" i="6"/>
  <c r="K291" i="6"/>
  <c r="K286" i="6"/>
  <c r="K287" i="6"/>
  <c r="K447" i="6"/>
  <c r="K455" i="6"/>
  <c r="K418" i="6"/>
  <c r="K426" i="6"/>
  <c r="K442" i="6"/>
  <c r="K419" i="6"/>
  <c r="K429" i="6"/>
  <c r="K440" i="6"/>
  <c r="K451" i="6"/>
  <c r="K461" i="6"/>
  <c r="K420" i="6"/>
  <c r="K430" i="6"/>
  <c r="K452" i="6"/>
  <c r="K421" i="6"/>
  <c r="K432" i="6"/>
  <c r="K464" i="6"/>
  <c r="K465" i="6"/>
  <c r="K433" i="6"/>
  <c r="K448" i="6"/>
  <c r="K428" i="6"/>
  <c r="K446" i="6"/>
  <c r="K417" i="6"/>
  <c r="K436" i="6"/>
  <c r="K454" i="6"/>
  <c r="K437" i="6"/>
  <c r="K456" i="6"/>
  <c r="K438" i="6"/>
  <c r="K425" i="6"/>
  <c r="K459" i="6"/>
  <c r="K445" i="6"/>
  <c r="K299" i="6"/>
  <c r="K298" i="6"/>
  <c r="K297" i="6"/>
  <c r="K115" i="6"/>
  <c r="K126" i="6"/>
  <c r="K138" i="6"/>
  <c r="K151" i="6"/>
  <c r="K110" i="6"/>
  <c r="K120" i="6"/>
  <c r="K131" i="6"/>
  <c r="K144" i="6"/>
  <c r="K113" i="6"/>
  <c r="K127" i="6"/>
  <c r="K145" i="6"/>
  <c r="K114" i="6"/>
  <c r="K129" i="6"/>
  <c r="K146" i="6"/>
  <c r="K117" i="6"/>
  <c r="K132" i="6"/>
  <c r="K148" i="6"/>
  <c r="K112" i="6"/>
  <c r="K136" i="6"/>
  <c r="K118" i="6"/>
  <c r="K139" i="6"/>
  <c r="K121" i="6"/>
  <c r="K142" i="6"/>
  <c r="K123" i="6"/>
  <c r="K150" i="6"/>
  <c r="K124" i="6"/>
  <c r="K152" i="6"/>
  <c r="K125" i="6"/>
  <c r="K134" i="6"/>
  <c r="K111" i="6"/>
  <c r="K135" i="6"/>
  <c r="K161" i="6"/>
  <c r="K171" i="6"/>
  <c r="K183" i="6"/>
  <c r="K196" i="6"/>
  <c r="K155" i="6"/>
  <c r="K165" i="6"/>
  <c r="K176" i="6"/>
  <c r="K189" i="6"/>
  <c r="K158" i="6"/>
  <c r="K173" i="6"/>
  <c r="K190" i="6"/>
  <c r="K159" i="6"/>
  <c r="K175" i="6"/>
  <c r="K192" i="6"/>
  <c r="K162" i="6"/>
  <c r="K178" i="6"/>
  <c r="K194" i="6"/>
  <c r="K164" i="6"/>
  <c r="K167" i="6"/>
  <c r="K188" i="6"/>
  <c r="K168" i="6"/>
  <c r="K195" i="6"/>
  <c r="K186" i="6"/>
  <c r="K169" i="6"/>
  <c r="K170" i="6"/>
  <c r="K154" i="6"/>
  <c r="K179" i="6"/>
  <c r="K156" i="6"/>
  <c r="K180" i="6"/>
  <c r="K157" i="6"/>
  <c r="K182" i="6"/>
  <c r="K592" i="6"/>
  <c r="K576" i="6"/>
  <c r="K568" i="6"/>
  <c r="K560" i="6"/>
  <c r="K552" i="6"/>
  <c r="K544" i="6"/>
  <c r="K536" i="6"/>
  <c r="K591" i="6"/>
  <c r="K583" i="6"/>
  <c r="K575" i="6"/>
  <c r="K535" i="6"/>
  <c r="K533" i="6"/>
  <c r="K582" i="6"/>
  <c r="K574" i="6"/>
  <c r="K580" i="6"/>
  <c r="K564" i="6"/>
  <c r="K548" i="6"/>
  <c r="K595" i="6"/>
  <c r="K579" i="6"/>
  <c r="K565" i="6"/>
  <c r="K553" i="6"/>
  <c r="K594" i="6"/>
  <c r="K563" i="6"/>
  <c r="K593" i="6"/>
  <c r="K562" i="6"/>
  <c r="K549" i="6"/>
  <c r="K537" i="6"/>
  <c r="K566" i="6"/>
  <c r="K545" i="6"/>
  <c r="K561" i="6"/>
  <c r="K542" i="6"/>
  <c r="K541" i="6"/>
  <c r="K557" i="6"/>
  <c r="K573" i="6"/>
  <c r="K554" i="6"/>
  <c r="K570" i="6"/>
  <c r="K589" i="6"/>
  <c r="K546" i="6"/>
  <c r="K534" i="6"/>
  <c r="V122" i="6" l="1"/>
  <c r="Z122" i="6" s="1"/>
  <c r="V124" i="6"/>
  <c r="V125" i="6"/>
  <c r="V119" i="6"/>
  <c r="Z119" i="6" s="1"/>
  <c r="V121" i="6"/>
  <c r="O121" i="6" s="1"/>
  <c r="V120" i="6"/>
  <c r="Z120" i="6" s="1"/>
  <c r="V93" i="6"/>
  <c r="O93" i="6" s="1"/>
  <c r="V92" i="6"/>
  <c r="O92" i="6" s="1"/>
  <c r="V76" i="6"/>
  <c r="Z76" i="6" s="1"/>
  <c r="Z41" i="6"/>
  <c r="O41" i="6"/>
  <c r="N41" i="6"/>
  <c r="V53" i="6"/>
  <c r="V113" i="6"/>
  <c r="V100" i="6"/>
  <c r="V99" i="6"/>
  <c r="V114" i="6"/>
  <c r="V108" i="6"/>
  <c r="V115" i="6"/>
  <c r="V54" i="6"/>
  <c r="V85" i="6"/>
  <c r="V118" i="6"/>
  <c r="Z118" i="6" s="1"/>
  <c r="V52" i="6"/>
  <c r="V101" i="6"/>
  <c r="V75" i="6"/>
  <c r="V103" i="6"/>
  <c r="V49" i="6"/>
  <c r="V94" i="6"/>
  <c r="V81" i="6"/>
  <c r="V88" i="6"/>
  <c r="V90" i="6"/>
  <c r="V95" i="6"/>
  <c r="V107" i="6"/>
  <c r="V86" i="6"/>
  <c r="V84" i="6"/>
  <c r="V111" i="6"/>
  <c r="V105" i="6"/>
  <c r="V79" i="6"/>
  <c r="V117" i="6"/>
  <c r="Z117" i="6" s="1"/>
  <c r="V83" i="6"/>
  <c r="V102" i="6"/>
  <c r="V104" i="6"/>
  <c r="V89" i="6"/>
  <c r="V91" i="6"/>
  <c r="V82" i="6"/>
  <c r="V87" i="6"/>
  <c r="V112" i="6"/>
  <c r="V106" i="6"/>
  <c r="V77" i="6"/>
  <c r="V98" i="6"/>
  <c r="V97" i="6"/>
  <c r="V116" i="6"/>
  <c r="Z116" i="6" s="1"/>
  <c r="V96" i="6"/>
  <c r="V110" i="6"/>
  <c r="V109" i="6"/>
  <c r="V78" i="6"/>
  <c r="V80" i="6"/>
  <c r="V65" i="6"/>
  <c r="V59" i="6"/>
  <c r="V63" i="6"/>
  <c r="V47" i="6"/>
  <c r="V55" i="6"/>
  <c r="V66" i="6"/>
  <c r="V70" i="6"/>
  <c r="V45" i="6"/>
  <c r="V50" i="6"/>
  <c r="V56" i="6"/>
  <c r="V61" i="6"/>
  <c r="V72" i="6"/>
  <c r="V60" i="6"/>
  <c r="V68" i="6"/>
  <c r="V42" i="6"/>
  <c r="V62" i="6"/>
  <c r="V46" i="6"/>
  <c r="V43" i="6"/>
  <c r="V44" i="6"/>
  <c r="V67" i="6"/>
  <c r="V74" i="6"/>
  <c r="V71" i="6"/>
  <c r="V58" i="6"/>
  <c r="V57" i="6"/>
  <c r="V64" i="6"/>
  <c r="V51" i="6"/>
  <c r="V69" i="6"/>
  <c r="V73" i="6"/>
  <c r="V48" i="6"/>
  <c r="O122" i="6" l="1"/>
  <c r="O125" i="6"/>
  <c r="Z125" i="6"/>
  <c r="O124" i="6"/>
  <c r="Z124" i="6"/>
  <c r="O119" i="6"/>
  <c r="Z121" i="6"/>
  <c r="O120" i="6"/>
  <c r="Z92" i="6"/>
  <c r="Z93" i="6"/>
  <c r="N93" i="6"/>
  <c r="N92" i="6"/>
  <c r="O76" i="6"/>
  <c r="N76" i="6"/>
  <c r="Z68" i="6"/>
  <c r="N68" i="6"/>
  <c r="O68" i="6"/>
  <c r="Z78" i="6"/>
  <c r="O78" i="6"/>
  <c r="N78" i="6"/>
  <c r="Z83" i="6"/>
  <c r="N83" i="6"/>
  <c r="O83" i="6"/>
  <c r="Z95" i="6"/>
  <c r="O95" i="6"/>
  <c r="N95" i="6"/>
  <c r="N99" i="6"/>
  <c r="O99" i="6"/>
  <c r="Z71" i="6"/>
  <c r="O71" i="6"/>
  <c r="N71" i="6"/>
  <c r="Z50" i="6"/>
  <c r="O50" i="6"/>
  <c r="N50" i="6"/>
  <c r="Z109" i="6"/>
  <c r="N109" i="6"/>
  <c r="O109" i="6"/>
  <c r="Z90" i="6"/>
  <c r="O90" i="6"/>
  <c r="N90" i="6"/>
  <c r="Z52" i="6"/>
  <c r="N52" i="6"/>
  <c r="O52" i="6"/>
  <c r="Z48" i="6"/>
  <c r="O48" i="6"/>
  <c r="N48" i="6"/>
  <c r="Z60" i="6"/>
  <c r="N60" i="6"/>
  <c r="O60" i="6"/>
  <c r="Z63" i="6"/>
  <c r="O63" i="6"/>
  <c r="N63" i="6"/>
  <c r="Z87" i="6"/>
  <c r="O87" i="6"/>
  <c r="N87" i="6"/>
  <c r="Z79" i="6"/>
  <c r="O79" i="6"/>
  <c r="N79" i="6"/>
  <c r="Z113" i="6"/>
  <c r="O113" i="6"/>
  <c r="N113" i="6"/>
  <c r="Z46" i="6"/>
  <c r="O46" i="6"/>
  <c r="N46" i="6"/>
  <c r="Z96" i="6"/>
  <c r="O96" i="6"/>
  <c r="N96" i="6"/>
  <c r="Z82" i="6"/>
  <c r="N82" i="6"/>
  <c r="O82" i="6"/>
  <c r="Z81" i="6"/>
  <c r="O81" i="6"/>
  <c r="N81" i="6"/>
  <c r="Z85" i="6"/>
  <c r="N85" i="6"/>
  <c r="O85" i="6"/>
  <c r="Z73" i="6"/>
  <c r="O73" i="6"/>
  <c r="N73" i="6"/>
  <c r="Z64" i="6"/>
  <c r="O64" i="6"/>
  <c r="N64" i="6"/>
  <c r="Z45" i="6"/>
  <c r="N45" i="6"/>
  <c r="O45" i="6"/>
  <c r="Z65" i="6"/>
  <c r="O65" i="6"/>
  <c r="N65" i="6"/>
  <c r="Z111" i="6"/>
  <c r="O111" i="6"/>
  <c r="N111" i="6"/>
  <c r="Z94" i="6"/>
  <c r="O94" i="6"/>
  <c r="N94" i="6"/>
  <c r="Z57" i="6"/>
  <c r="O57" i="6"/>
  <c r="N57" i="6"/>
  <c r="Z62" i="6"/>
  <c r="O62" i="6"/>
  <c r="N62" i="6"/>
  <c r="Z61" i="6"/>
  <c r="N61" i="6"/>
  <c r="O61" i="6"/>
  <c r="Z89" i="6"/>
  <c r="O89" i="6"/>
  <c r="N89" i="6"/>
  <c r="Z84" i="6"/>
  <c r="N84" i="6"/>
  <c r="O84" i="6"/>
  <c r="Z115" i="6"/>
  <c r="N115" i="6"/>
  <c r="O115" i="6"/>
  <c r="Z69" i="6"/>
  <c r="N69" i="6"/>
  <c r="O69" i="6"/>
  <c r="Z44" i="6"/>
  <c r="N44" i="6"/>
  <c r="O44" i="6"/>
  <c r="Z98" i="6"/>
  <c r="O98" i="6"/>
  <c r="N98" i="6"/>
  <c r="Z104" i="6"/>
  <c r="O104" i="6"/>
  <c r="N104" i="6"/>
  <c r="Z86" i="6"/>
  <c r="O86" i="6"/>
  <c r="N86" i="6"/>
  <c r="Z103" i="6"/>
  <c r="O103" i="6"/>
  <c r="N103" i="6"/>
  <c r="Z108" i="6"/>
  <c r="N108" i="6"/>
  <c r="O108" i="6"/>
  <c r="Z58" i="6"/>
  <c r="N58" i="6"/>
  <c r="O58" i="6"/>
  <c r="Z106" i="6"/>
  <c r="N106" i="6"/>
  <c r="O106" i="6"/>
  <c r="Z101" i="6"/>
  <c r="N101" i="6"/>
  <c r="O101" i="6"/>
  <c r="Z47" i="6"/>
  <c r="O47" i="6"/>
  <c r="N47" i="6"/>
  <c r="Z112" i="6"/>
  <c r="O112" i="6"/>
  <c r="N112" i="6"/>
  <c r="Z100" i="6"/>
  <c r="N100" i="6"/>
  <c r="O100" i="6"/>
  <c r="Z43" i="6"/>
  <c r="N43" i="6"/>
  <c r="O43" i="6"/>
  <c r="Z110" i="6"/>
  <c r="O110" i="6"/>
  <c r="N110" i="6"/>
  <c r="Z88" i="6"/>
  <c r="O88" i="6"/>
  <c r="N88" i="6"/>
  <c r="Z59" i="6"/>
  <c r="N59" i="6"/>
  <c r="O59" i="6"/>
  <c r="Z105" i="6"/>
  <c r="O105" i="6"/>
  <c r="N105" i="6"/>
  <c r="Z53" i="6"/>
  <c r="N53" i="6"/>
  <c r="O53" i="6"/>
  <c r="Z74" i="6"/>
  <c r="O74" i="6"/>
  <c r="N74" i="6"/>
  <c r="Z72" i="6"/>
  <c r="O72" i="6"/>
  <c r="N72" i="6"/>
  <c r="Z91" i="6"/>
  <c r="O91" i="6"/>
  <c r="N91" i="6"/>
  <c r="Z54" i="6"/>
  <c r="O54" i="6"/>
  <c r="N54" i="6"/>
  <c r="Z67" i="6"/>
  <c r="N67" i="6"/>
  <c r="O67" i="6"/>
  <c r="Z70" i="6"/>
  <c r="O70" i="6"/>
  <c r="N70" i="6"/>
  <c r="Z97" i="6"/>
  <c r="O97" i="6"/>
  <c r="N97" i="6"/>
  <c r="Z49" i="6"/>
  <c r="O49" i="6"/>
  <c r="N49" i="6"/>
  <c r="Z42" i="6"/>
  <c r="O42" i="6"/>
  <c r="N42" i="6"/>
  <c r="Z66" i="6"/>
  <c r="N66" i="6"/>
  <c r="O66" i="6"/>
  <c r="Z51" i="6"/>
  <c r="O51" i="6"/>
  <c r="N51" i="6"/>
  <c r="Z56" i="6"/>
  <c r="O56" i="6"/>
  <c r="N56" i="6"/>
  <c r="Z55" i="6"/>
  <c r="O55" i="6"/>
  <c r="N55" i="6"/>
  <c r="Z80" i="6"/>
  <c r="O80" i="6"/>
  <c r="N80" i="6"/>
  <c r="Z77" i="6"/>
  <c r="N77" i="6"/>
  <c r="O77" i="6"/>
  <c r="Z102" i="6"/>
  <c r="O102" i="6"/>
  <c r="N102" i="6"/>
  <c r="Z107" i="6"/>
  <c r="O107" i="6"/>
  <c r="N107" i="6"/>
  <c r="Z75" i="6"/>
  <c r="O75" i="6"/>
  <c r="N75" i="6"/>
  <c r="Z114" i="6"/>
  <c r="O114" i="6"/>
  <c r="N114" i="6"/>
  <c r="Z99" i="6"/>
  <c r="O116" i="6"/>
  <c r="O117" i="6"/>
  <c r="O118" i="6"/>
  <c r="V40" i="6" l="1"/>
  <c r="O40" i="6" s="1"/>
  <c r="Z40" i="6" l="1"/>
  <c r="N40" i="6"/>
  <c r="M17" i="6" l="1"/>
  <c r="L17" i="6"/>
  <c r="AV19" i="6" s="1"/>
  <c r="K55" i="6"/>
  <c r="V38" i="6" s="1"/>
  <c r="A4" i="6" l="1"/>
  <c r="AW17" i="6" s="1"/>
  <c r="K39" i="6"/>
  <c r="V33" i="6" s="1"/>
  <c r="N33" i="6" s="1"/>
  <c r="K27" i="6"/>
  <c r="K20" i="6"/>
  <c r="V20" i="6" s="1"/>
  <c r="O20" i="6" s="1"/>
  <c r="K45" i="6"/>
  <c r="AV17" i="6"/>
  <c r="K17" i="6"/>
  <c r="V17" i="6" s="1"/>
  <c r="Z17" i="6" s="1"/>
  <c r="K21" i="6"/>
  <c r="V21" i="6" s="1"/>
  <c r="N21" i="6" s="1"/>
  <c r="AV21" i="6"/>
  <c r="A10" i="6"/>
  <c r="A14" i="6"/>
  <c r="A11" i="6"/>
  <c r="AV25" i="6"/>
  <c r="A6" i="6"/>
  <c r="AW19" i="6" s="1"/>
  <c r="Z38" i="6"/>
  <c r="N38" i="6"/>
  <c r="O38" i="6"/>
  <c r="K24" i="6"/>
  <c r="V23" i="6" s="1"/>
  <c r="K42" i="6"/>
  <c r="V35" i="6" s="1"/>
  <c r="K38" i="6"/>
  <c r="V32" i="6" s="1"/>
  <c r="AV18" i="6"/>
  <c r="AV22" i="6"/>
  <c r="A5" i="6"/>
  <c r="A7" i="6"/>
  <c r="K22" i="6"/>
  <c r="V22" i="6" s="1"/>
  <c r="K57" i="6"/>
  <c r="K25" i="6"/>
  <c r="K36" i="6"/>
  <c r="V31" i="6" s="1"/>
  <c r="K58" i="6"/>
  <c r="K34" i="6"/>
  <c r="V30" i="6" s="1"/>
  <c r="AV23" i="6"/>
  <c r="AV24" i="6"/>
  <c r="K53" i="6"/>
  <c r="K33" i="6"/>
  <c r="V29" i="6" s="1"/>
  <c r="AV26" i="6"/>
  <c r="K18" i="6"/>
  <c r="V18" i="6" s="1"/>
  <c r="K19" i="6"/>
  <c r="A12" i="6"/>
  <c r="K41" i="6"/>
  <c r="V34" i="6" s="1"/>
  <c r="A8" i="6"/>
  <c r="AV20" i="6"/>
  <c r="A13" i="6"/>
  <c r="K28" i="6"/>
  <c r="K31" i="6"/>
  <c r="K43" i="6"/>
  <c r="K32" i="6"/>
  <c r="V28" i="6" s="1"/>
  <c r="K46" i="6"/>
  <c r="K49" i="6"/>
  <c r="V36" i="6" s="1"/>
  <c r="K50" i="6"/>
  <c r="K30" i="6"/>
  <c r="V27" i="6" s="1"/>
  <c r="K52" i="6"/>
  <c r="V37" i="6" s="1"/>
  <c r="K59" i="6"/>
  <c r="V39" i="6" s="1"/>
  <c r="Z33" i="6" l="1"/>
  <c r="N20" i="6"/>
  <c r="V25" i="6"/>
  <c r="N25" i="6" s="1"/>
  <c r="B4" i="6"/>
  <c r="O21" i="6"/>
  <c r="N17" i="6"/>
  <c r="O17" i="6"/>
  <c r="O33" i="6"/>
  <c r="Z21" i="6"/>
  <c r="Z20" i="6"/>
  <c r="B11" i="6"/>
  <c r="AW23" i="6"/>
  <c r="V19" i="6"/>
  <c r="N19" i="6" s="1"/>
  <c r="B14" i="6"/>
  <c r="AW26" i="6"/>
  <c r="B6" i="6"/>
  <c r="B10" i="6"/>
  <c r="AW22" i="6"/>
  <c r="O28" i="6"/>
  <c r="Z28" i="6"/>
  <c r="N28" i="6"/>
  <c r="AW24" i="6"/>
  <c r="B12" i="6"/>
  <c r="Z39" i="6"/>
  <c r="O39" i="6"/>
  <c r="N39" i="6"/>
  <c r="O18" i="6"/>
  <c r="N18" i="6"/>
  <c r="Z18" i="6"/>
  <c r="O37" i="6"/>
  <c r="Z37" i="6"/>
  <c r="N37" i="6"/>
  <c r="V26" i="6"/>
  <c r="N31" i="6"/>
  <c r="Z31" i="6"/>
  <c r="O31" i="6"/>
  <c r="B7" i="6"/>
  <c r="AW20" i="6"/>
  <c r="O27" i="6"/>
  <c r="Z27" i="6"/>
  <c r="N27" i="6"/>
  <c r="V24" i="6"/>
  <c r="O32" i="6"/>
  <c r="N32" i="6"/>
  <c r="Z32" i="6"/>
  <c r="B5" i="6"/>
  <c r="AW18" i="6"/>
  <c r="B13" i="6"/>
  <c r="AW25" i="6"/>
  <c r="O35" i="6"/>
  <c r="N35" i="6"/>
  <c r="Z35" i="6"/>
  <c r="O34" i="6"/>
  <c r="N34" i="6"/>
  <c r="Z34" i="6"/>
  <c r="N30" i="6"/>
  <c r="Z30" i="6"/>
  <c r="O30" i="6"/>
  <c r="O29" i="6"/>
  <c r="Z29" i="6"/>
  <c r="N29" i="6"/>
  <c r="O36" i="6"/>
  <c r="Z36" i="6"/>
  <c r="N36" i="6"/>
  <c r="AW21" i="6"/>
  <c r="B8" i="6"/>
  <c r="O22" i="6"/>
  <c r="Z22" i="6"/>
  <c r="N22" i="6"/>
  <c r="Z23" i="6"/>
  <c r="N23" i="6"/>
  <c r="O23" i="6"/>
  <c r="O25" i="6" l="1"/>
  <c r="Z25" i="6"/>
  <c r="Z19" i="6"/>
  <c r="O19" i="6"/>
  <c r="N24" i="6"/>
  <c r="O24" i="6"/>
  <c r="Z24" i="6"/>
  <c r="Z26" i="6"/>
  <c r="O26" i="6"/>
  <c r="N26" i="6"/>
  <c r="AT21" i="6" l="1"/>
  <c r="D12" i="6"/>
  <c r="AU24" i="6" s="1"/>
  <c r="D14" i="6"/>
  <c r="AT26" i="6"/>
  <c r="AT22" i="6"/>
  <c r="AT18" i="6"/>
  <c r="AT24" i="6"/>
  <c r="D11" i="6"/>
  <c r="AT20" i="6"/>
  <c r="D5" i="6"/>
  <c r="D8" i="6"/>
  <c r="AT23" i="6"/>
  <c r="D10" i="6"/>
  <c r="D4" i="6"/>
  <c r="D6" i="6"/>
  <c r="AT17" i="6"/>
  <c r="D7" i="6"/>
  <c r="AT19" i="6"/>
  <c r="D13" i="6"/>
  <c r="AT25" i="6"/>
  <c r="E12" i="6" l="1"/>
  <c r="E6" i="6"/>
  <c r="AU19" i="6"/>
  <c r="AU23" i="6"/>
  <c r="E11" i="6"/>
  <c r="AU25" i="6"/>
  <c r="E13" i="6"/>
  <c r="AU21" i="6"/>
  <c r="E8" i="6"/>
  <c r="AU17" i="6"/>
  <c r="E4" i="6"/>
  <c r="E10" i="6"/>
  <c r="AU22" i="6"/>
  <c r="AU18" i="6"/>
  <c r="E5" i="6"/>
  <c r="E7" i="6"/>
  <c r="AU20" i="6"/>
  <c r="E14" i="6"/>
  <c r="AU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agnes juniana</author>
  </authors>
  <commentList>
    <comment ref="B55" authorId="0" shapeId="0" xr:uid="{3705AD81-06C4-43AC-9B04-A934868C2F2E}">
      <text>
        <r>
          <rPr>
            <b/>
            <sz val="9"/>
            <color indexed="81"/>
            <rFont val="Tahoma"/>
            <family val="2"/>
          </rPr>
          <t xml:space="preserve">TIDAK PAKAI LAGI, SELANJUTNYA DARI MASUYA </t>
        </r>
      </text>
    </comment>
    <comment ref="B56" authorId="0" shapeId="0" xr:uid="{72DE33E3-F217-4DDA-BBD0-2EA0E64A4947}">
      <text>
        <r>
          <rPr>
            <b/>
            <sz val="9"/>
            <color indexed="81"/>
            <rFont val="Tahoma"/>
            <family val="2"/>
          </rPr>
          <t xml:space="preserve">TIDAK PAKAI LAGI, SELANJUTNYA DARI MASUYA 
</t>
        </r>
      </text>
    </comment>
    <comment ref="B89" authorId="0" shapeId="0" xr:uid="{51A268FB-0778-44FD-A43F-EB9BA1E7D4F2}">
      <text>
        <r>
          <rPr>
            <b/>
            <sz val="9"/>
            <color indexed="81"/>
            <rFont val="Tahoma"/>
            <family val="2"/>
          </rPr>
          <t>agnes juniana:</t>
        </r>
        <r>
          <rPr>
            <sz val="9"/>
            <color indexed="81"/>
            <rFont val="Tahoma"/>
            <family val="2"/>
          </rPr>
          <t xml:space="preserve">
UNTUK INI HANYA JIKA COOKING CREAM SUKANDA KOSONG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<sst xmlns="http://schemas.openxmlformats.org/spreadsheetml/2006/main" count="15665" uniqueCount="1980">
  <si>
    <t>Ingredients</t>
  </si>
  <si>
    <t>CHADOL SIGNATURE TASTY BEEF (REGULAR)</t>
  </si>
  <si>
    <t>Menu_Name</t>
  </si>
  <si>
    <t>Menu_Code</t>
  </si>
  <si>
    <t xml:space="preserve">CGGP0001  </t>
  </si>
  <si>
    <t>WIP Shitake Marinated</t>
  </si>
  <si>
    <t>shitakee</t>
  </si>
  <si>
    <t>garam gurih</t>
  </si>
  <si>
    <t>garam halus</t>
  </si>
  <si>
    <t>ajinomoto</t>
  </si>
  <si>
    <t>WIP Garam Gurih Garlic</t>
  </si>
  <si>
    <t>garlic powder</t>
  </si>
  <si>
    <t>minyak goreng</t>
  </si>
  <si>
    <t>daun  bawang besar / sisa</t>
  </si>
  <si>
    <t>bawang bombay / sisa</t>
  </si>
  <si>
    <t>bawang putih</t>
  </si>
  <si>
    <t>jahe</t>
  </si>
  <si>
    <t>frozen liquid whole egg</t>
  </si>
  <si>
    <t>katsuodashi</t>
  </si>
  <si>
    <t>jin ganjang (soy sauce)</t>
  </si>
  <si>
    <t>tauge</t>
  </si>
  <si>
    <t>gochugaru</t>
  </si>
  <si>
    <t>black sesame oil</t>
  </si>
  <si>
    <t>WIP garam gurih</t>
  </si>
  <si>
    <t>garam</t>
  </si>
  <si>
    <t>WIP Minyak Bawang (15GR)</t>
  </si>
  <si>
    <t>WIP sawi putih diasinkan</t>
  </si>
  <si>
    <t>CK kimchi base</t>
  </si>
  <si>
    <t>CHADOL SIGNATURE TASTY BEEF (LARGE)</t>
  </si>
  <si>
    <t>WIP Shitake Marinated (50GR)</t>
  </si>
  <si>
    <t>WIP Kimchi (100GR)</t>
  </si>
  <si>
    <t xml:space="preserve">CGGP0003  </t>
  </si>
  <si>
    <t>CHADOL SIGNATURE TOKUSEN WAGYU (REGULAR)</t>
  </si>
  <si>
    <t>WIP garam gurih garlic (0.3GR)</t>
  </si>
  <si>
    <t>CHADOL SIGNATURE TOKUSEN WAGYU (LARGE)</t>
  </si>
  <si>
    <t>CHADOL PRIME</t>
  </si>
  <si>
    <t>WIP Telur Gyeranjim (100GR)</t>
  </si>
  <si>
    <t>CHICKEN DAKGALBI LARGE</t>
  </si>
  <si>
    <t>Ingredients_code</t>
  </si>
  <si>
    <t>FVF00004</t>
  </si>
  <si>
    <t>FSS00001</t>
  </si>
  <si>
    <t>FSS00010</t>
  </si>
  <si>
    <t>FSS00017</t>
  </si>
  <si>
    <t>FSS00016</t>
  </si>
  <si>
    <t>FFF00005</t>
  </si>
  <si>
    <t>FSS00011</t>
  </si>
  <si>
    <t>FSS00004</t>
  </si>
  <si>
    <t>FGR00043</t>
  </si>
  <si>
    <t>FVF00017</t>
  </si>
  <si>
    <t>FVF00020</t>
  </si>
  <si>
    <t>FVF00019</t>
  </si>
  <si>
    <t>FVF00025</t>
  </si>
  <si>
    <t>CKRD0006</t>
  </si>
  <si>
    <t>FVF00001</t>
  </si>
  <si>
    <t>FVF00003</t>
  </si>
  <si>
    <t>FSS00013</t>
  </si>
  <si>
    <t>FFF00007</t>
  </si>
  <si>
    <t>FVF00002</t>
  </si>
  <si>
    <t>CWVF0009</t>
  </si>
  <si>
    <t>CKPF0001</t>
  </si>
  <si>
    <t>FVF00005</t>
  </si>
  <si>
    <t>FMP00009</t>
  </si>
  <si>
    <t>Jumlah produk terjual</t>
  </si>
  <si>
    <t>FMP00004</t>
  </si>
  <si>
    <t>sawi putih</t>
  </si>
  <si>
    <t>air</t>
  </si>
  <si>
    <t>MSG</t>
  </si>
  <si>
    <t>gula</t>
  </si>
  <si>
    <t>Main_Gramasi</t>
  </si>
  <si>
    <t>Breakdown_Gramasi</t>
  </si>
  <si>
    <t>Yield_Items</t>
  </si>
  <si>
    <t>UOM_1</t>
  </si>
  <si>
    <t>UOM_2</t>
  </si>
  <si>
    <t>GR</t>
  </si>
  <si>
    <t>PCS</t>
  </si>
  <si>
    <t xml:space="preserve">Beef Brisket / Short Plate                </t>
  </si>
  <si>
    <t xml:space="preserve">Minari                                                 </t>
  </si>
  <si>
    <t xml:space="preserve">Enoki                                                    </t>
  </si>
  <si>
    <t xml:space="preserve">WIP Shitake Marinated </t>
  </si>
  <si>
    <t>Gujeolpan Wrap (Kulit Kebab/Tortilla)</t>
  </si>
  <si>
    <t xml:space="preserve">WIP Minyak Bawang </t>
  </si>
  <si>
    <t>Air</t>
  </si>
  <si>
    <t xml:space="preserve">WIP Tauge Gujeolpan </t>
  </si>
  <si>
    <t>WIP Telur Gyeranjim</t>
  </si>
  <si>
    <t xml:space="preserve">WIP Kimchi </t>
  </si>
  <si>
    <t>WIP garam gurih garlic</t>
  </si>
  <si>
    <t>ingredients_code</t>
  </si>
  <si>
    <t>ingredients</t>
  </si>
  <si>
    <t>yield</t>
  </si>
  <si>
    <t xml:space="preserve">WIP garam gurih garlic </t>
  </si>
  <si>
    <t>WIP Tauge Gujeolpan</t>
  </si>
  <si>
    <t>Daun bawang besar</t>
  </si>
  <si>
    <t>Bawang bombay</t>
  </si>
  <si>
    <t>Minyak goreng</t>
  </si>
  <si>
    <t>Garam halus</t>
  </si>
  <si>
    <t>Ajinomoto</t>
  </si>
  <si>
    <t>Shitakee</t>
  </si>
  <si>
    <t>Black sesame oil</t>
  </si>
  <si>
    <t>Jahe</t>
  </si>
  <si>
    <t>Bawang putih</t>
  </si>
  <si>
    <t>Frozen liquid whole egg</t>
  </si>
  <si>
    <t>Katsuodashi</t>
  </si>
  <si>
    <t>Jin ganjang (soy sauce)</t>
  </si>
  <si>
    <t>Tauge</t>
  </si>
  <si>
    <t>Gochugaru</t>
  </si>
  <si>
    <t>Garam</t>
  </si>
  <si>
    <t>Garlic powder</t>
  </si>
  <si>
    <t>Beef Brisket / Short Plate</t>
  </si>
  <si>
    <t xml:space="preserve">Minari </t>
  </si>
  <si>
    <t xml:space="preserve">Daun bawang besar                         </t>
  </si>
  <si>
    <t>Lada hitam bubuk</t>
  </si>
  <si>
    <t>Gujeolpan wrap (Kulit Kebab/Tortilla)</t>
  </si>
  <si>
    <t xml:space="preserve">Daun bawang besar </t>
  </si>
  <si>
    <t xml:space="preserve">Enoki </t>
  </si>
  <si>
    <t>Garam gurih</t>
  </si>
  <si>
    <t>Daun  bawang besar / sisa</t>
  </si>
  <si>
    <t>Minari</t>
  </si>
  <si>
    <t>WIP Minyak bawang</t>
  </si>
  <si>
    <t xml:space="preserve">WIP Garam gurih garlic </t>
  </si>
  <si>
    <t>menu_code</t>
  </si>
  <si>
    <t>menu_name</t>
  </si>
  <si>
    <t>Sawi putih</t>
  </si>
  <si>
    <t>Item Code</t>
  </si>
  <si>
    <t>Item Name</t>
  </si>
  <si>
    <t>CK KIMCHI BASE 1 KG</t>
  </si>
  <si>
    <t>CKPF0002</t>
  </si>
  <si>
    <t>CK TOKPOKKI BASE 1 KG</t>
  </si>
  <si>
    <t>CKPF0003</t>
  </si>
  <si>
    <t>CK JAPCHAE SAUCE 1 KG</t>
  </si>
  <si>
    <t>CKPF0004</t>
  </si>
  <si>
    <t>CK BULGOGI SAUCE 1 KG</t>
  </si>
  <si>
    <t>CKPF0005</t>
  </si>
  <si>
    <t>CK KIMCHI FRIED RICE SAUCE 1 KG</t>
  </si>
  <si>
    <t>CKPF0006</t>
  </si>
  <si>
    <t>CK BIBIMBAP SAUCE 500 G (INACTIVE)</t>
  </si>
  <si>
    <t>CKPF0007</t>
  </si>
  <si>
    <t>CK BONELESS FRIED CHICKEN 48 PCS</t>
  </si>
  <si>
    <t>CKPF0008</t>
  </si>
  <si>
    <t>CK WING FRIED CHICKEN 42 PCS</t>
  </si>
  <si>
    <t>CKPF0009</t>
  </si>
  <si>
    <t>CK SPICY CHICKEN SAUCE 1 KG</t>
  </si>
  <si>
    <t>CKPF0010</t>
  </si>
  <si>
    <t>CK SOY GARLIC SAUCE 1 KG</t>
  </si>
  <si>
    <t>CKPF0012</t>
  </si>
  <si>
    <t>CK FRIED GIMMARI 30 PCS</t>
  </si>
  <si>
    <t>CKPF0013</t>
  </si>
  <si>
    <t>CK MUSTARD SAUCE BASE 1 KG</t>
  </si>
  <si>
    <t>CKPF0014</t>
  </si>
  <si>
    <t>CK TWIGIM SAUCE 1 KG</t>
  </si>
  <si>
    <t>CKPF0015</t>
  </si>
  <si>
    <t>CK ANCHOVY FOR GIMBAP 300 G (INACTIVE)</t>
  </si>
  <si>
    <t>CKPF0016</t>
  </si>
  <si>
    <t>CK EBI SANGRAI 200 G (INACTIVE)</t>
  </si>
  <si>
    <t>CKPF0019</t>
  </si>
  <si>
    <t>CK SAMJANG SAUCE 1 KG</t>
  </si>
  <si>
    <t>CKPF0020</t>
  </si>
  <si>
    <t>CK ADONAN HOTTEOK 1 KG</t>
  </si>
  <si>
    <t>CKPF0022</t>
  </si>
  <si>
    <t>CK HOTTEOK FILLING BULGOGI 1 KG</t>
  </si>
  <si>
    <t>CKPF0024</t>
  </si>
  <si>
    <t>CK HOTTEOK FILLING JAPCHAE 1 KG</t>
  </si>
  <si>
    <t>CKPF0026</t>
  </si>
  <si>
    <t>CK BASE SUNDUBU JJIGAE 1 KG</t>
  </si>
  <si>
    <t>CKPF0027</t>
  </si>
  <si>
    <t>CK DAKGALBI SAUCE 1 KG</t>
  </si>
  <si>
    <t>CKPF0031</t>
  </si>
  <si>
    <t>CK JAPCHAE SAUCE HOTTEOK 1 KG</t>
  </si>
  <si>
    <t>CKPF0032</t>
  </si>
  <si>
    <t>CK BIBIMBAP SAUCE 500 G</t>
  </si>
  <si>
    <t>CKPF0033</t>
  </si>
  <si>
    <t>CK ANCHOVY FOR GIMBAP 300 G</t>
  </si>
  <si>
    <t>CKPF0034</t>
  </si>
  <si>
    <t>CK EBI SANGRAI 200 G</t>
  </si>
  <si>
    <t>CKPF0035</t>
  </si>
  <si>
    <t>CK JJAMPONG BASE 1 KG</t>
  </si>
  <si>
    <t>CKPF0036</t>
  </si>
  <si>
    <t>CK KOREAN NOODLE 6 X 200 G</t>
  </si>
  <si>
    <t>CKPF0037</t>
  </si>
  <si>
    <t>CK FRIED CHOONJANG 1 KG</t>
  </si>
  <si>
    <t>CKPF0038</t>
  </si>
  <si>
    <t>CK AYAM MANDU 500 G</t>
  </si>
  <si>
    <t>CKPF0039</t>
  </si>
  <si>
    <t>CK TANGSUYUK SAUCE 500 G</t>
  </si>
  <si>
    <t>CKPF0040</t>
  </si>
  <si>
    <t>CK YURINGI SAUCE 250 G</t>
  </si>
  <si>
    <t>CKPF0041</t>
  </si>
  <si>
    <t>CK KKANPUNGGI SAUCE 500 G</t>
  </si>
  <si>
    <t>CKPF0045</t>
  </si>
  <si>
    <t>CK BONELESS HANGUKSU 64 PCS</t>
  </si>
  <si>
    <t>CKPC0029</t>
  </si>
  <si>
    <t>CK WORTEL IRIS 300 G</t>
  </si>
  <si>
    <t>CKPC0030</t>
  </si>
  <si>
    <t>CK BOMBAY IRIS 600 G</t>
  </si>
  <si>
    <t>CKPD0011</t>
  </si>
  <si>
    <t>CK TEPUNG PAJEON 1 KG</t>
  </si>
  <si>
    <t>CKPD0021</t>
  </si>
  <si>
    <t>CK HOTTEOK FILLING BROWN SUGAR 1 KG</t>
  </si>
  <si>
    <t>CKPD0028</t>
  </si>
  <si>
    <t>CK HOTTEOK GLUTAMAT BLENDER 100 G</t>
  </si>
  <si>
    <t>CKPD0042</t>
  </si>
  <si>
    <t>(INACTIVE) CK BBURINKLE CHEESE 250 G</t>
  </si>
  <si>
    <t>CKPD0043</t>
  </si>
  <si>
    <t>(INACTIVE) CK SPICY BBQ POWDER 250 G</t>
  </si>
  <si>
    <t>CKPD0044</t>
  </si>
  <si>
    <t>CK BBURINKLE POWDER 500 G</t>
  </si>
  <si>
    <t>CKPD0045</t>
  </si>
  <si>
    <t>(INACTIVE) CK BONELESS HANGUKSU 64 PCS</t>
  </si>
  <si>
    <t>CKPD0047</t>
  </si>
  <si>
    <t>CK SPICY BBQ POWDER 500 G</t>
  </si>
  <si>
    <t>CKPKD001</t>
  </si>
  <si>
    <t>CK Mango K-Drink</t>
  </si>
  <si>
    <t>CKPKD002</t>
  </si>
  <si>
    <t>CK Watermelon K-Drink</t>
  </si>
  <si>
    <t>CKPKD003</t>
  </si>
  <si>
    <t>CK Muscat K-Drink</t>
  </si>
  <si>
    <t>CKPKD004</t>
  </si>
  <si>
    <t>CK Pear K-Drink</t>
  </si>
  <si>
    <t>CKPKD005</t>
  </si>
  <si>
    <t>CK Strawberry K-Drink</t>
  </si>
  <si>
    <t>CKPKD006</t>
  </si>
  <si>
    <t>CK Jeju Orange K-Drink</t>
  </si>
  <si>
    <t>CKPKD007</t>
  </si>
  <si>
    <t>CK Honey Yuzu K-Drink</t>
  </si>
  <si>
    <t>CKPKD008</t>
  </si>
  <si>
    <t>CK Kiwi K-Drink</t>
  </si>
  <si>
    <t>CKPKD009</t>
  </si>
  <si>
    <t>CK Grapes K-Drink</t>
  </si>
  <si>
    <t>CKPKD010</t>
  </si>
  <si>
    <t>CK Caramel Popcorn K-Drink</t>
  </si>
  <si>
    <t>CKPKD011</t>
  </si>
  <si>
    <t>CK Ice Americano K-Drink</t>
  </si>
  <si>
    <t>CKPKD012</t>
  </si>
  <si>
    <t>CK Salted Caramel Coffee K-Drink</t>
  </si>
  <si>
    <t>CKPKD013</t>
  </si>
  <si>
    <t>CK Peach K-Drink</t>
  </si>
  <si>
    <t>CKPKD014</t>
  </si>
  <si>
    <t>CK LESS SUGAR ICE AMERICANO K-DRINK</t>
  </si>
  <si>
    <t>CKPKD015</t>
  </si>
  <si>
    <t>CK Apple K-Drink</t>
  </si>
  <si>
    <t>CKPKD016</t>
  </si>
  <si>
    <t>CK Lychee K-Drink</t>
  </si>
  <si>
    <t>CKRC0005</t>
  </si>
  <si>
    <t>CK KUCAI REPACK 500 G</t>
  </si>
  <si>
    <t>CKRD0004</t>
  </si>
  <si>
    <t>CK POTATO FLAKES REPACK 500 G</t>
  </si>
  <si>
    <t>CK GARLIC POWDER REPACK 100 G</t>
  </si>
  <si>
    <t>CKRD0007</t>
  </si>
  <si>
    <t>CK BIJI SELASIH REPACK 200 G</t>
  </si>
  <si>
    <t>CKRD0008</t>
  </si>
  <si>
    <t>CK POTATO STARCH REPACK 3 KG</t>
  </si>
  <si>
    <t>CKRD0009</t>
  </si>
  <si>
    <t>CK UMAMI BOOSTER REPACK 500 G</t>
  </si>
  <si>
    <t>CKRD0010</t>
  </si>
  <si>
    <t>CK CHEESE POWDER REPACK 50 G</t>
  </si>
  <si>
    <t>CKRF0001</t>
  </si>
  <si>
    <t>GOCHUJANG PASTE REPACK 1 KG</t>
  </si>
  <si>
    <t>CKRF0002</t>
  </si>
  <si>
    <t>GARLIC POWDER REPACK 100 G (INACTIVE)</t>
  </si>
  <si>
    <t>CKRF0003</t>
  </si>
  <si>
    <t>SAMJANG PASTE REPACK 1 KG</t>
  </si>
  <si>
    <t>FFF00001</t>
  </si>
  <si>
    <t>EOMUK (ODENG) 1 KG</t>
  </si>
  <si>
    <t>FFF00002</t>
  </si>
  <si>
    <t>KANI STICK 500 G</t>
  </si>
  <si>
    <t>FFF00003</t>
  </si>
  <si>
    <t>MOMO WRAP 8 CM 50 LBR (INACTIVE OCT 2023)</t>
  </si>
  <si>
    <t>FFF00004</t>
  </si>
  <si>
    <t>KULIT LUMPIA TYJ 13x13 CM 50 LBR</t>
  </si>
  <si>
    <t>FROZEN LIQUID WHOLE EGG 2 KG</t>
  </si>
  <si>
    <t>FFF00006</t>
  </si>
  <si>
    <t>SMOKED WIENER SKINLESS 1 KG (SAMPLE)</t>
  </si>
  <si>
    <t>TORTILLA WRAP 20 CM 20 LBR</t>
  </si>
  <si>
    <t>FFF00008</t>
  </si>
  <si>
    <t>TORTILA MINI TORTILAKU 900GR (SAMPLE)</t>
  </si>
  <si>
    <t>FFF00009</t>
  </si>
  <si>
    <t>WAFFLE FRIES CROSSTRAX @1.8KG</t>
  </si>
  <si>
    <t>FFF00010</t>
  </si>
  <si>
    <t>BROCCOLI FROZEN 1KG</t>
  </si>
  <si>
    <t>FFF00011</t>
  </si>
  <si>
    <t>CRINKLE FRITES AVIKO</t>
  </si>
  <si>
    <t>FFF00012</t>
  </si>
  <si>
    <t>EOMUK CEDEA 480 G</t>
  </si>
  <si>
    <t>FFF00013</t>
  </si>
  <si>
    <t>SOFT PANCAKE SKIN</t>
  </si>
  <si>
    <t>FFF00014</t>
  </si>
  <si>
    <t>(INACTIVE) BREAD CRUMB FROZEN 2 KG</t>
  </si>
  <si>
    <t>FFF00015</t>
  </si>
  <si>
    <t>UDANG VANAME 40-45 (IN ACTIVE)</t>
  </si>
  <si>
    <t>FFF00016</t>
  </si>
  <si>
    <t>ICE CREAM VANILLA 8 LITER</t>
  </si>
  <si>
    <t>FFF00017</t>
  </si>
  <si>
    <t>ICE CREAM CHOCOLATE 8 LITER</t>
  </si>
  <si>
    <t>FFF00018</t>
  </si>
  <si>
    <t>GREEN PEAS 1 KG</t>
  </si>
  <si>
    <t>FFF00019</t>
  </si>
  <si>
    <t>OTAK-OTAK SINGAPORE 1 KG</t>
  </si>
  <si>
    <t>FFF00020</t>
  </si>
  <si>
    <t>KULIT MANDU D9CM @1KG</t>
  </si>
  <si>
    <t>FFF00021</t>
  </si>
  <si>
    <t>MIE KALGUKSU 10 x 100 G</t>
  </si>
  <si>
    <t>FFF00022</t>
  </si>
  <si>
    <t>FROZEN LIQUID EGG WHITE 2 KG</t>
  </si>
  <si>
    <t>FFF00023</t>
  </si>
  <si>
    <t>KANI STICK 1 KG</t>
  </si>
  <si>
    <t>GOCHUGARU KASAR 1 KG</t>
  </si>
  <si>
    <t>FSS00002</t>
  </si>
  <si>
    <t>GOCHUGARU HALUS 1 KG</t>
  </si>
  <si>
    <t>FSS00003</t>
  </si>
  <si>
    <t>CORN SYRUP 10 KG</t>
  </si>
  <si>
    <t>JIN GANJANG (SOY SAUCE) 13 L</t>
  </si>
  <si>
    <t>FSS00005</t>
  </si>
  <si>
    <t>SOGOGI DASHIDA (BEEF DASHIDA) 1 KG (NON ACTIVE)</t>
  </si>
  <si>
    <t>FSS00006</t>
  </si>
  <si>
    <t>ANCHOVY DASHIDA (DASHIDA IKAN TERI) 500 G</t>
  </si>
  <si>
    <t>FSS00007</t>
  </si>
  <si>
    <t>CAPSICUM CHILI OIL 30 G</t>
  </si>
  <si>
    <t>FSS00008</t>
  </si>
  <si>
    <t>ANCHOVY FISH SAUCE (KECAP IKAN TERI) 800 G</t>
  </si>
  <si>
    <t>FSS00009</t>
  </si>
  <si>
    <t>WASABI POWDER 1 KG</t>
  </si>
  <si>
    <t>BLACK SESAME OIL 5 L</t>
  </si>
  <si>
    <t>KATSUODASHI 1 KG</t>
  </si>
  <si>
    <t>FSS00012</t>
  </si>
  <si>
    <t>GULA AREN BUBUK 1 KG</t>
  </si>
  <si>
    <t>LADA HITAM HALUS 1 KG</t>
  </si>
  <si>
    <t>FSS00014</t>
  </si>
  <si>
    <t>KECAP MANIS BANGO 520 ML</t>
  </si>
  <si>
    <t>FSS00015</t>
  </si>
  <si>
    <t>BUTTER POWDER MASTER CHU 3,5KG</t>
  </si>
  <si>
    <t>LACK</t>
  </si>
  <si>
    <t>AJINOMOTO 1 KG</t>
  </si>
  <si>
    <t>FSS00018</t>
  </si>
  <si>
    <t>SLOT KOSONG SS 2</t>
  </si>
  <si>
    <t>FSS00019</t>
  </si>
  <si>
    <t>GULA PASIR 1 KG</t>
  </si>
  <si>
    <t>FSS00020</t>
  </si>
  <si>
    <t>GARAM HALUS KADAR AIR 0.1%/MESH 60 25 KG</t>
  </si>
  <si>
    <t>FSS00021</t>
  </si>
  <si>
    <t>BAWANG PUTIH BUBUK (SAMPLE)</t>
  </si>
  <si>
    <t>FSS00022</t>
  </si>
  <si>
    <t>BAWANG BOMBAY BUBUK (SAMPLE)</t>
  </si>
  <si>
    <t>FSS00023</t>
  </si>
  <si>
    <t>SOGOGI DASHIDA (BEEF DASHIDA) 2,25 KG</t>
  </si>
  <si>
    <t>FSS00024</t>
  </si>
  <si>
    <t>GARLIC POWDER 1 KG</t>
  </si>
  <si>
    <t>FSS00025</t>
  </si>
  <si>
    <t>ANCHOVY FISH SAUCE (KECAP IKAN TERI) 9 KG</t>
  </si>
  <si>
    <t>FSS00026</t>
  </si>
  <si>
    <t>GOCHUGARU HALUS 10 KG</t>
  </si>
  <si>
    <t>FSS00027</t>
  </si>
  <si>
    <t>KERRY CHEZ-TONE 8108-22 25 KG</t>
  </si>
  <si>
    <t>FSS00028</t>
  </si>
  <si>
    <t>SPICY DIPPING POWDER CUIHONG 2.5 KG</t>
  </si>
  <si>
    <t>FSS00029</t>
  </si>
  <si>
    <t>ONION POWDER 1 KG</t>
  </si>
  <si>
    <t>FSS00030</t>
  </si>
  <si>
    <t>NANAMI TOGARASHI 300 G</t>
  </si>
  <si>
    <t>FSS00031</t>
  </si>
  <si>
    <t>I+G 10 KG</t>
  </si>
  <si>
    <t>FSS00032</t>
  </si>
  <si>
    <t>FSS00033</t>
  </si>
  <si>
    <t>KECAP IKAN KENARI 800 ML</t>
  </si>
  <si>
    <t>FSS00034</t>
  </si>
  <si>
    <t>ANCHOVY DASHIDA (DASHIDA IKAN TERI) 1 KG</t>
  </si>
  <si>
    <t>MINARI</t>
  </si>
  <si>
    <t>SHIITAKE FRESH 5 KG</t>
  </si>
  <si>
    <t>ENOKI 50 PACK x 100 G</t>
  </si>
  <si>
    <t>TAUGE</t>
  </si>
  <si>
    <t>SAWI PUTIH</t>
  </si>
  <si>
    <t>FVF00006</t>
  </si>
  <si>
    <t>KOL</t>
  </si>
  <si>
    <t>FVF00007</t>
  </si>
  <si>
    <t>WORTEL</t>
  </si>
  <si>
    <t>FVF00008</t>
  </si>
  <si>
    <t>KYURI LURUS (TIDAK BENGKOK)</t>
  </si>
  <si>
    <t>FVF00009</t>
  </si>
  <si>
    <t>ZUCCHINI</t>
  </si>
  <si>
    <t>FVF00010</t>
  </si>
  <si>
    <t>LOBAK</t>
  </si>
  <si>
    <t>FVF00011</t>
  </si>
  <si>
    <t>KUCAI</t>
  </si>
  <si>
    <t>FVF00012</t>
  </si>
  <si>
    <t>GOBO</t>
  </si>
  <si>
    <t>FVF00013</t>
  </si>
  <si>
    <t>APEL FUJI</t>
  </si>
  <si>
    <t>FVF00014</t>
  </si>
  <si>
    <t>CABE RAWIT MERAH</t>
  </si>
  <si>
    <t>FVF00015</t>
  </si>
  <si>
    <t>CABE MERAH BESAR</t>
  </si>
  <si>
    <t>FVF00016</t>
  </si>
  <si>
    <t>BEET ROOT</t>
  </si>
  <si>
    <t>DAUN BAWANG BESAR</t>
  </si>
  <si>
    <t>FVF00018</t>
  </si>
  <si>
    <t>DAUN BAWANG CUNG KECIL</t>
  </si>
  <si>
    <t>BAWANG BOMBAY</t>
  </si>
  <si>
    <t>BAWANG PUTIH KUPAS</t>
  </si>
  <si>
    <t>FVF00021</t>
  </si>
  <si>
    <t>BAWANG MERAH BESAR UTUH</t>
  </si>
  <si>
    <t>FVF00022</t>
  </si>
  <si>
    <t>DAUN SELADA KERITING</t>
  </si>
  <si>
    <t>FVF00023</t>
  </si>
  <si>
    <t>UBI CILEMBU KUNING</t>
  </si>
  <si>
    <t>FVF00024</t>
  </si>
  <si>
    <t>TAHU CINA PADAT 420 G</t>
  </si>
  <si>
    <t>JAHE</t>
  </si>
  <si>
    <t>FVF00026</t>
  </si>
  <si>
    <t>WATERCRESS / SELADA AIR</t>
  </si>
  <si>
    <t>FVF00027</t>
  </si>
  <si>
    <t>MELON (KAPAN BELI MELON)</t>
  </si>
  <si>
    <t>FVF00028</t>
  </si>
  <si>
    <t>SWEET POTATO VERMICELLI (INACTIVE OCT 2023)</t>
  </si>
  <si>
    <t>FVF00029</t>
  </si>
  <si>
    <t>APEL GRANNY SMITH (SAMPLE)</t>
  </si>
  <si>
    <t>FVF00030</t>
  </si>
  <si>
    <t>KENTANG</t>
  </si>
  <si>
    <t>FVF00031</t>
  </si>
  <si>
    <t>JAMUR KUPING KERING</t>
  </si>
  <si>
    <t>FVF00032</t>
  </si>
  <si>
    <t>PAKCOY</t>
  </si>
  <si>
    <t>FVF00033</t>
  </si>
  <si>
    <t>SHIMEJI 40 PACK x 150 G</t>
  </si>
  <si>
    <t>FVF00034</t>
  </si>
  <si>
    <t>CABE RAWIT HIJAU</t>
  </si>
  <si>
    <t>FVF00035</t>
  </si>
  <si>
    <t>TAHU SUTERA</t>
  </si>
  <si>
    <t>FVF00036</t>
  </si>
  <si>
    <t>HORENZO</t>
  </si>
  <si>
    <t>FVF00037</t>
  </si>
  <si>
    <t>LEMON</t>
  </si>
  <si>
    <t>FVF00038</t>
  </si>
  <si>
    <t>TIMUN</t>
  </si>
  <si>
    <t>FVF00039</t>
  </si>
  <si>
    <t>DAUN MINT</t>
  </si>
  <si>
    <t>FVF00040</t>
  </si>
  <si>
    <t>TAHU CINA PADAT 125 G</t>
  </si>
  <si>
    <t>FVF00041</t>
  </si>
  <si>
    <t>LETTUCE</t>
  </si>
  <si>
    <t>FVF00042</t>
  </si>
  <si>
    <t>CABE HIJAU BESAR</t>
  </si>
  <si>
    <t>FVF00043</t>
  </si>
  <si>
    <t>KOL UNGU</t>
  </si>
  <si>
    <t>FVF00044</t>
  </si>
  <si>
    <t>CABE KERING KERITING</t>
  </si>
  <si>
    <t>FVF00045</t>
  </si>
  <si>
    <t>UBI PUTIH</t>
  </si>
  <si>
    <t>FVF00046</t>
  </si>
  <si>
    <t>DAUN PERILLA 9-10CM @10LEMBAR</t>
  </si>
  <si>
    <t>FMP00001</t>
  </si>
  <si>
    <t>(INACTIVE) PAHA BONELESS SKIN ON 60-70 G/PCS 2 KG</t>
  </si>
  <si>
    <t>FMP00002</t>
  </si>
  <si>
    <t>SAYAP 65-75 G/PCS (CUT 2) 2 KG</t>
  </si>
  <si>
    <t>FMP00003</t>
  </si>
  <si>
    <t>TOKUSEN WAGYU CHUCK CUT 2 (INACTIVE)</t>
  </si>
  <si>
    <t>BEEF BRISKET /SHORT PLATE</t>
  </si>
  <si>
    <t>FMP00005</t>
  </si>
  <si>
    <t>BEEF HAM LOAF 4 KG</t>
  </si>
  <si>
    <t>FMP00006</t>
  </si>
  <si>
    <t>DADA BONELESS SKINLESS 2 KG</t>
  </si>
  <si>
    <t>FMP00007</t>
  </si>
  <si>
    <t>BEEF BRISKET NE GRADE S KILCOY CUT 2</t>
  </si>
  <si>
    <t>FMP00008</t>
  </si>
  <si>
    <t>SHORTPLATE SWIFT (INACTIVE, PAKAI KODE BRISKET CUT 4)</t>
  </si>
  <si>
    <t>TOKUSEN WAGYU BRISKET PE CUT 4 &lt;=5 (CD)</t>
  </si>
  <si>
    <t>FMP00010</t>
  </si>
  <si>
    <t>(INACTIVE) PAHA BONELESS TANPA KULIT 60-70G/PCS 2 KG</t>
  </si>
  <si>
    <t>FMP00011</t>
  </si>
  <si>
    <t>(INACTIVE) PAHA BONELESS TANPA KULIT 20-25 G 2 KG</t>
  </si>
  <si>
    <t>FMP00012</t>
  </si>
  <si>
    <t>SHORTPLATE SWIFT US</t>
  </si>
  <si>
    <t>FMP00013</t>
  </si>
  <si>
    <t>(INACTIVE) PAHA AYAM UTUH BONELESS SKIN ON 2 KG</t>
  </si>
  <si>
    <t>FMP00014</t>
  </si>
  <si>
    <t>DAGING SAPI GILING FAT 10-20%</t>
  </si>
  <si>
    <t>FMP00015</t>
  </si>
  <si>
    <t>PAHA BONELESS SKINLESS FREE SIZE 2 KG</t>
  </si>
  <si>
    <t>FMP00016</t>
  </si>
  <si>
    <t>BEEF BLADE</t>
  </si>
  <si>
    <t>FMP00017</t>
  </si>
  <si>
    <t>(INACTIVE) PAHA BONELESS SKINLESS 65-75 G 2 KG</t>
  </si>
  <si>
    <t>FMP00018</t>
  </si>
  <si>
    <t>PAHA GILING KASAR 2 KG</t>
  </si>
  <si>
    <t>FMP00019</t>
  </si>
  <si>
    <t>PAHA BONELESS TANPA KULIT 20-25 G 2 KG</t>
  </si>
  <si>
    <t>FMP00020</t>
  </si>
  <si>
    <t>PAHA BONELESS SKINLESS 65-75 G 2 KG</t>
  </si>
  <si>
    <t>FGR00001</t>
  </si>
  <si>
    <t>DANGMYEON HAODAO 14 KG (INACTIVE)</t>
  </si>
  <si>
    <t>FGR00002</t>
  </si>
  <si>
    <t>MIE TELUR CAP 3 AYAM 200 G (INACTIVE OCT 2023)</t>
  </si>
  <si>
    <t>FGR00003</t>
  </si>
  <si>
    <t>TTEOK (RICE CAKE) 4 CM 1 KG</t>
  </si>
  <si>
    <t>FGR00004</t>
  </si>
  <si>
    <t>YAKI NORI 100 LBR</t>
  </si>
  <si>
    <t>FGR00005</t>
  </si>
  <si>
    <t>COOKING CREAM 1 L</t>
  </si>
  <si>
    <t>FGR00006</t>
  </si>
  <si>
    <t>SUSU UHT 1 L</t>
  </si>
  <si>
    <t>FGR00007</t>
  </si>
  <si>
    <t>TUNA IN OIL 1.8 KG</t>
  </si>
  <si>
    <t>FGR00008</t>
  </si>
  <si>
    <t>NORI TABUR / SEASONED LAVER POWDER 500 G (NON ACTIVE)</t>
  </si>
  <si>
    <t>FGR00009</t>
  </si>
  <si>
    <t>EBI TAWAR KASAR KUALITAS EKSPOR 500 G</t>
  </si>
  <si>
    <t>FGR00010</t>
  </si>
  <si>
    <t>KEJU CHEDDAR MEG BLOCK 160 G</t>
  </si>
  <si>
    <t>FGR00011</t>
  </si>
  <si>
    <t>WIJEN PUTIH 1 KG</t>
  </si>
  <si>
    <t>FGR00012</t>
  </si>
  <si>
    <t>TEPUNG MAIZENA MAIZENAKU 1 KG</t>
  </si>
  <si>
    <t>FGR00013</t>
  </si>
  <si>
    <t>TEPUNG KETAN ROSE BRAND 500 G</t>
  </si>
  <si>
    <t>FGR00014</t>
  </si>
  <si>
    <t>TEPUNG TERIGU SEGITIGA BIRU 1 KG</t>
  </si>
  <si>
    <t>FGR00015</t>
  </si>
  <si>
    <t>TEPUNG TAPIOKA PAK TANI GUNUNG 500 G</t>
  </si>
  <si>
    <t>FGR00016</t>
  </si>
  <si>
    <t>TEPUNG BERAS ROSE BRAND 500 G</t>
  </si>
  <si>
    <t>FGR00017</t>
  </si>
  <si>
    <t>MINYAK GORENG DORANG MAS 17 L (INACTIVE OCT 2023)</t>
  </si>
  <si>
    <t>FGR00018</t>
  </si>
  <si>
    <t>IKAN TERI MEDAN SIZE JUMBO (BESAR)</t>
  </si>
  <si>
    <t>FGR00019</t>
  </si>
  <si>
    <t>TELUR</t>
  </si>
  <si>
    <t>FGR00020</t>
  </si>
  <si>
    <t>BERAS PANDAN WANGI 10 KG</t>
  </si>
  <si>
    <t>FGR00021</t>
  </si>
  <si>
    <t>PAYA MEAT TENDERIZER 70 G</t>
  </si>
  <si>
    <t>FGR00022</t>
  </si>
  <si>
    <t>KETAN 5 KG</t>
  </si>
  <si>
    <t>FGR00023</t>
  </si>
  <si>
    <t>CUKA DIXI / BELIBIS 650 ML</t>
  </si>
  <si>
    <t>FGR00024</t>
  </si>
  <si>
    <t>WHITE VINEGAR HEINZ 896 ML</t>
  </si>
  <si>
    <t>FGR00025</t>
  </si>
  <si>
    <t>TEPUNG BUMBU (TWIGIM) BEKSUL 1 KG</t>
  </si>
  <si>
    <t>FGR00026</t>
  </si>
  <si>
    <t>MEG CHEDDAR SLICE MELT 20 SLICES</t>
  </si>
  <si>
    <t>FGR00027</t>
  </si>
  <si>
    <t>PEWARNA KOEPOE" KUNING TUA 30 ML</t>
  </si>
  <si>
    <t>FGR00028</t>
  </si>
  <si>
    <t>PEWARNA KOEPOE" ORANGE 30 ML</t>
  </si>
  <si>
    <t>FGR00029</t>
  </si>
  <si>
    <t>PEWARNA KOEPOE" HIJAU MUDA 30 ML</t>
  </si>
  <si>
    <t>FGR00030</t>
  </si>
  <si>
    <t>PEWARNA KOEPOE" MERAH ROSE 30 ML</t>
  </si>
  <si>
    <t>FGR00031</t>
  </si>
  <si>
    <t>CREAM CHEESE ANCHOR 1 KG</t>
  </si>
  <si>
    <t>FGR00032</t>
  </si>
  <si>
    <t>TELUR 1 PETI (15 KG) (INACTIVE OCT 2023)</t>
  </si>
  <si>
    <t>FGR00033</t>
  </si>
  <si>
    <t>DANGMYEON CJ 10 x 1 KG</t>
  </si>
  <si>
    <t>FGR00034</t>
  </si>
  <si>
    <t>BERAS SETRA RAMOS (SAMPLE)</t>
  </si>
  <si>
    <t>FGR00035</t>
  </si>
  <si>
    <t>GLORIPAN INSTAN DRY YEAST (SAMPLE)</t>
  </si>
  <si>
    <t>FGR00036</t>
  </si>
  <si>
    <t>BLUEBAND</t>
  </si>
  <si>
    <t>FGR00037</t>
  </si>
  <si>
    <t>CREAM CHEESE ANCHOR 1 KG (INACTIVE OCT 2023)</t>
  </si>
  <si>
    <t>FGR00038</t>
  </si>
  <si>
    <t>TELUR 1 PETI 15 KG (INACTIVE OCT 2023)</t>
  </si>
  <si>
    <t>FGR00039</t>
  </si>
  <si>
    <t>DANGMYEON 14 KG ( ANEKA DASUIB )</t>
  </si>
  <si>
    <t>FGR00040</t>
  </si>
  <si>
    <t>MIE INSTAN BURUNG DARA 10 PACK x 266 G</t>
  </si>
  <si>
    <t>FGR00041</t>
  </si>
  <si>
    <t>PEWARNA KOEPOE" COKLAT 30 ML</t>
  </si>
  <si>
    <t>FGR00042</t>
  </si>
  <si>
    <t>IKAN TERI JENGKI (SAMPLE)</t>
  </si>
  <si>
    <t>MINYAK GORENG DORANG MAS 18 L</t>
  </si>
  <si>
    <t>FGR00044</t>
  </si>
  <si>
    <t>NORI TABUR / SEASONED LAVER POWDER 1KG</t>
  </si>
  <si>
    <t>FGR00045</t>
  </si>
  <si>
    <t>PEWARNA MOHLER LEMON YELLOW</t>
  </si>
  <si>
    <t>FGR00046</t>
  </si>
  <si>
    <t>PEWARNA MOHLER ROSE PINK</t>
  </si>
  <si>
    <t>FGR00047</t>
  </si>
  <si>
    <t>PEWARNA MOHLER PANDAN GREEN</t>
  </si>
  <si>
    <t>FGR00048</t>
  </si>
  <si>
    <t>PEWARNA MOHLER PURPLE</t>
  </si>
  <si>
    <t>FGR00049</t>
  </si>
  <si>
    <t>PEWARNA MOHLER EGG YELLOW</t>
  </si>
  <si>
    <t>FGR00050</t>
  </si>
  <si>
    <t>TEPUNG TAPIOKA PAK TANI GUNUNG 25 KG</t>
  </si>
  <si>
    <t>FGR00051</t>
  </si>
  <si>
    <t>TEPUNG MAIZENA MAIZENAKU 10KG</t>
  </si>
  <si>
    <t>FGR00052</t>
  </si>
  <si>
    <t>TEPUNG DOUBLE ZERO 10X1</t>
  </si>
  <si>
    <t>FGR00053</t>
  </si>
  <si>
    <t>GULA HALUS ROSE BRAND 500 G</t>
  </si>
  <si>
    <t>FGR00054</t>
  </si>
  <si>
    <t>SUSU BUBUK BAKER'S MIX 9 X 500 G</t>
  </si>
  <si>
    <t>FGR00055</t>
  </si>
  <si>
    <t>BAKING POWDER HERCULES 450 G</t>
  </si>
  <si>
    <t>FGR00056</t>
  </si>
  <si>
    <t>BERAS RAMOS LONG GRAIN NANAS 25 KG</t>
  </si>
  <si>
    <t>FGR00057</t>
  </si>
  <si>
    <t>MINYAK GORENG BIMOLI 18 L</t>
  </si>
  <si>
    <t>FGR00058</t>
  </si>
  <si>
    <t>WIJEN HITAM 1 KG</t>
  </si>
  <si>
    <t>FGR00059</t>
  </si>
  <si>
    <t>TULIP MASTER FILLING</t>
  </si>
  <si>
    <t>FGR00060</t>
  </si>
  <si>
    <t>NUTRIGEL</t>
  </si>
  <si>
    <t>FGR00061</t>
  </si>
  <si>
    <t>BLUEBAND 2 KG</t>
  </si>
  <si>
    <t>FGR00062</t>
  </si>
  <si>
    <t>BLUEBAND 4 X 4,5 KG</t>
  </si>
  <si>
    <t>FGR00063</t>
  </si>
  <si>
    <t>CHAPSAL GARU 1 KG</t>
  </si>
  <si>
    <t>FGR00064</t>
  </si>
  <si>
    <t>YEAST SAF-INSTANT MERAH 500 G</t>
  </si>
  <si>
    <t>FGR00065</t>
  </si>
  <si>
    <t>POTATO FLAKES 20KG/SACK</t>
  </si>
  <si>
    <t>FGR00066</t>
  </si>
  <si>
    <t>KAYU MANIS BUBUK KOPOE" 1 KG</t>
  </si>
  <si>
    <t>FGR00067</t>
  </si>
  <si>
    <t>CHOCOLATE PASTE TULIP MASTER FILLING 5 KG</t>
  </si>
  <si>
    <t>FGR00068</t>
  </si>
  <si>
    <t>MOZZARELLA J-PIZZA 1 KG</t>
  </si>
  <si>
    <t>FGR00069</t>
  </si>
  <si>
    <t>KOEPOE" CRYSTAL VANILI 20 G</t>
  </si>
  <si>
    <t>FGR00070</t>
  </si>
  <si>
    <t>VANILI PASTE KOEPOE" 1 LITER</t>
  </si>
  <si>
    <t>FGR00071</t>
  </si>
  <si>
    <t>MIE ATOM 200 G</t>
  </si>
  <si>
    <t>FGR00072</t>
  </si>
  <si>
    <t>CHICKEN BROTH POWDER 500 G</t>
  </si>
  <si>
    <t>FGR00073</t>
  </si>
  <si>
    <t>BAKING POWDER KOEPOE"</t>
  </si>
  <si>
    <t>FGR00074</t>
  </si>
  <si>
    <t>TEPUNG NINJA 10X1</t>
  </si>
  <si>
    <t>FGR00075</t>
  </si>
  <si>
    <t>SELASIH 500 G</t>
  </si>
  <si>
    <t>FGR00076</t>
  </si>
  <si>
    <t>NOODLE POWER 30 x 280 G</t>
  </si>
  <si>
    <t>FGR00077</t>
  </si>
  <si>
    <t>CRISPY RAMEN 10  X 100 G</t>
  </si>
  <si>
    <t>FGR00078</t>
  </si>
  <si>
    <t>POTATO STARCH SACK@25KG</t>
  </si>
  <si>
    <t>FGR00079</t>
  </si>
  <si>
    <t>BREAD CRUMB FROZEN 4 x 2 KG</t>
  </si>
  <si>
    <t>FGR00080</t>
  </si>
  <si>
    <t>CORN FLAKES 500 G</t>
  </si>
  <si>
    <t>FGR00081</t>
  </si>
  <si>
    <t>KEJU CHEDDAR SNOW BRAND 170 G</t>
  </si>
  <si>
    <t>FGR00082</t>
  </si>
  <si>
    <t>MAX CREAMER 500 G</t>
  </si>
  <si>
    <t>FGR00083</t>
  </si>
  <si>
    <t>PARSLEY FLAKES KOEPOE" 225 G</t>
  </si>
  <si>
    <t>FGR00084</t>
  </si>
  <si>
    <t>WHITE TRUFFLE OIL 250 ML</t>
  </si>
  <si>
    <t>FGR00085</t>
  </si>
  <si>
    <t>PEWARNA KOEPOE" KUNING TUA 1 L</t>
  </si>
  <si>
    <t>FGR00086</t>
  </si>
  <si>
    <t>PEWARNA KOEPOE"  ORANGE 1 L</t>
  </si>
  <si>
    <t>FGR00087</t>
  </si>
  <si>
    <t>TEPUNG TERIGU KUNCI BIRU 1 KG</t>
  </si>
  <si>
    <t>FGR00088</t>
  </si>
  <si>
    <t>TEPUNG NINJA SACK@25KG</t>
  </si>
  <si>
    <t>FGR00089</t>
  </si>
  <si>
    <t>TEPUNG DOUBLE ZERO 25 KG</t>
  </si>
  <si>
    <t>FGR00090</t>
  </si>
  <si>
    <t>GULA HALUS KIS 20 X 500 G</t>
  </si>
  <si>
    <t>FGR00091</t>
  </si>
  <si>
    <t>GULA HALUS KIS SACK@10KG</t>
  </si>
  <si>
    <t>FGR00092</t>
  </si>
  <si>
    <t>TEPUNG SEMPIO CRISPY TEMPURA BATTER MIX 1 KG</t>
  </si>
  <si>
    <t>FGR00093</t>
  </si>
  <si>
    <t>PEWARNA KOEPOE" UNGU 30ML</t>
  </si>
  <si>
    <t>FGR00094</t>
  </si>
  <si>
    <t>MEXICAN MIX CHEESE 1 KG</t>
  </si>
  <si>
    <t>FSP00001</t>
  </si>
  <si>
    <t>GOCHUJANG PASTE 14 KG</t>
  </si>
  <si>
    <t>FSP00002</t>
  </si>
  <si>
    <t>DOENJANG PASTE 1 KG</t>
  </si>
  <si>
    <t>FSP00003</t>
  </si>
  <si>
    <t>KEWPIE MAYO PRO USE 1 KG</t>
  </si>
  <si>
    <t>FSP00004</t>
  </si>
  <si>
    <t>CIRIO PASSATA SIEVED TOMATO 700 G</t>
  </si>
  <si>
    <t>FSP00005</t>
  </si>
  <si>
    <t>SAUEJEOT/CINCALOK 235 G</t>
  </si>
  <si>
    <t>FSP00006</t>
  </si>
  <si>
    <t>SAOS TOMAT DEL MONTE 1 KG</t>
  </si>
  <si>
    <t>FSP00007</t>
  </si>
  <si>
    <t>SAMBAL EXTRA PEDAS DEL MONTE 1 KG</t>
  </si>
  <si>
    <t>FSP00008</t>
  </si>
  <si>
    <t>BOIRON LEMON PUREE 1 KG</t>
  </si>
  <si>
    <t>FSP00009</t>
  </si>
  <si>
    <t>CHOONJANG BLACK BEAN PASTE SAJAPYO 18 KG</t>
  </si>
  <si>
    <t>FSP00010</t>
  </si>
  <si>
    <t>SAMJANG PASTE 14 KG</t>
  </si>
  <si>
    <t>FSP00011</t>
  </si>
  <si>
    <t>LKK OYSTER SAUCE 2.2 KG</t>
  </si>
  <si>
    <t>FSP00012</t>
  </si>
  <si>
    <t>SAMBAL EXTRA PEDAS DEL MONTE @24 SACHET</t>
  </si>
  <si>
    <t>FSP00013</t>
  </si>
  <si>
    <t>SAMJANG PASTE 3 KG</t>
  </si>
  <si>
    <t>FSP00014</t>
  </si>
  <si>
    <t>CIRIO PASSATA SIEVED TOMATO 2,5 KG</t>
  </si>
  <si>
    <t>FSP00015</t>
  </si>
  <si>
    <t>SAUEJEOT/CINCALOK 500 G</t>
  </si>
  <si>
    <t>FSP00016</t>
  </si>
  <si>
    <t>PALETTA EXCELLENT STRAWBERRY 500 G</t>
  </si>
  <si>
    <t>FSP00017</t>
  </si>
  <si>
    <t>COLATTA GLAZE DARK CHOCOLATE 1 KG</t>
  </si>
  <si>
    <t>TOKUSEN WAGYU BRISKET NE CUT 2</t>
  </si>
  <si>
    <t>Enoki</t>
  </si>
  <si>
    <t>Shitake Marinated</t>
  </si>
  <si>
    <t>Wijen Putih</t>
  </si>
  <si>
    <t>Salada keriting</t>
  </si>
  <si>
    <t>WIP Kimchi</t>
  </si>
  <si>
    <t>WIP Garam gurih</t>
  </si>
  <si>
    <t>CK Bulgogi Sauce</t>
  </si>
  <si>
    <t>Paya tenderizer</t>
  </si>
  <si>
    <t>CK Bulgogi sauce</t>
  </si>
  <si>
    <t>Daun Bawang Besar Trim</t>
  </si>
  <si>
    <t xml:space="preserve">Bawang Bombay </t>
  </si>
  <si>
    <t>Kol Trim</t>
  </si>
  <si>
    <t>Kentang</t>
  </si>
  <si>
    <t>CK Sauce dakgalbi</t>
  </si>
  <si>
    <t xml:space="preserve">Teok </t>
  </si>
  <si>
    <t>Wijen Sangrai</t>
  </si>
  <si>
    <t>CHICKEN DAKGALBI REGULER</t>
  </si>
  <si>
    <t>Minyak Goreng</t>
  </si>
  <si>
    <t>WIP Telur Kocok</t>
  </si>
  <si>
    <t>WIP Garam Gurih</t>
  </si>
  <si>
    <t>Mayonaise</t>
  </si>
  <si>
    <t>Garam Gurih</t>
  </si>
  <si>
    <t>Bombai Chopped</t>
  </si>
  <si>
    <t>WIP Tuna Mayo</t>
  </si>
  <si>
    <t>ChaGu Spicy Chicken</t>
  </si>
  <si>
    <t>GREASE PAPER LAMINATED 33x33</t>
  </si>
  <si>
    <t>PKG00003</t>
  </si>
  <si>
    <t>CK SPICY CHICKEN SAUCE 1 K / CK Gangjeong Sauce</t>
  </si>
  <si>
    <t>pcs</t>
  </si>
  <si>
    <t>ChaGu Soy Garlic Chicken</t>
  </si>
  <si>
    <t>Spicy BBQ Chicken</t>
  </si>
  <si>
    <t>Bburinkle Cheese Chicke</t>
  </si>
  <si>
    <t>CK Spicy BBQ Powder 500 g</t>
  </si>
  <si>
    <t xml:space="preserve">Minyak Goreng </t>
  </si>
  <si>
    <t>Total_Usage_Ingredients_Breakdown</t>
  </si>
  <si>
    <t>Estimasi_Jumlah_Ingredients_yang_harus_dipesan</t>
  </si>
  <si>
    <t>total _usage_item</t>
  </si>
  <si>
    <t>buffer_Stock</t>
  </si>
  <si>
    <t>© 2024 axantho. All rights reserved.</t>
  </si>
  <si>
    <t>Bawang Putih</t>
  </si>
  <si>
    <t>Original Gimbap</t>
  </si>
  <si>
    <t>PKG00014</t>
  </si>
  <si>
    <t>STICKER GIMBAP</t>
  </si>
  <si>
    <t>YAKI NORI 280 G 100 LBR</t>
  </si>
  <si>
    <t>Nasi Gimbab</t>
  </si>
  <si>
    <t>Beras</t>
  </si>
  <si>
    <t>Ketan</t>
  </si>
  <si>
    <t>Nasi Putih</t>
  </si>
  <si>
    <t>Air Rasa</t>
  </si>
  <si>
    <t>Gula</t>
  </si>
  <si>
    <t>minyak wijen</t>
  </si>
  <si>
    <t>wijen sangrai</t>
  </si>
  <si>
    <t>wortel sautee gimbap</t>
  </si>
  <si>
    <t>Minyak wijen</t>
  </si>
  <si>
    <t xml:space="preserve">wortel </t>
  </si>
  <si>
    <t>Gobo</t>
  </si>
  <si>
    <t>Kecap Asin</t>
  </si>
  <si>
    <t>Dashida Beef</t>
  </si>
  <si>
    <t>Kecap Manis</t>
  </si>
  <si>
    <t>Corn Syrup</t>
  </si>
  <si>
    <t>Gobo Kupas</t>
  </si>
  <si>
    <t xml:space="preserve">Garam </t>
  </si>
  <si>
    <t>Telur Dadar Iris</t>
  </si>
  <si>
    <t>WIP Pewarna Kuning</t>
  </si>
  <si>
    <t>Pewarna Kuning</t>
  </si>
  <si>
    <t>Kyuri</t>
  </si>
  <si>
    <t>Lembar</t>
  </si>
  <si>
    <t>Lobak Ungu</t>
  </si>
  <si>
    <t>Cuka</t>
  </si>
  <si>
    <t xml:space="preserve">Lobak ungu </t>
  </si>
  <si>
    <t>Lobak Kupas</t>
  </si>
  <si>
    <t>Beet ungu</t>
  </si>
  <si>
    <t>Minyak Wijen</t>
  </si>
  <si>
    <t>Crispy Twigim</t>
  </si>
  <si>
    <t>Kani Mayo</t>
  </si>
  <si>
    <t>Kani Stick</t>
  </si>
  <si>
    <t>Vegetable Gimbap</t>
  </si>
  <si>
    <t>Selada Keriting</t>
  </si>
  <si>
    <t>Spicy Crispy Twigim</t>
  </si>
  <si>
    <t>Bulgogi Gimbap</t>
  </si>
  <si>
    <t>Beef Bulgogi Gimbap</t>
  </si>
  <si>
    <t>Beef Brisket / Shortplate</t>
  </si>
  <si>
    <t>CK Sauce Bulgogi</t>
  </si>
  <si>
    <t>Tuna Mayo Gimbap</t>
  </si>
  <si>
    <t>Tuna Can</t>
  </si>
  <si>
    <t>Spicy Tuna Mayo Gimbap</t>
  </si>
  <si>
    <t>Cheese Gimbap</t>
  </si>
  <si>
    <t>Beef Ham Cheese Gimbap</t>
  </si>
  <si>
    <t>Beef Ham Gimbap</t>
  </si>
  <si>
    <t>Tokpokki Original</t>
  </si>
  <si>
    <t>WIP Tteok Rebus</t>
  </si>
  <si>
    <t>WIP Daun Bawang Cung</t>
  </si>
  <si>
    <t xml:space="preserve">	CK TOKPOKKI BASE 1 KG</t>
  </si>
  <si>
    <t xml:space="preserve">	WIP Wijen Sangrai</t>
  </si>
  <si>
    <t>WIP Sayur Mix Tokpokki</t>
  </si>
  <si>
    <t>KOL TRIM</t>
  </si>
  <si>
    <t>Rappokki</t>
  </si>
  <si>
    <t xml:space="preserve">	EOMUK (ODENG) 1 KG</t>
  </si>
  <si>
    <t>WIP Mie Instan Al Dente</t>
  </si>
  <si>
    <t>WIP Wijen Sangrai</t>
  </si>
  <si>
    <t xml:space="preserve">	WIP Tteok Rebus</t>
  </si>
  <si>
    <t>Wortel</t>
  </si>
  <si>
    <t>Daun Bawang Besar</t>
  </si>
  <si>
    <t>pack</t>
  </si>
  <si>
    <t>PACK</t>
  </si>
  <si>
    <t>Rose Tokpokki</t>
  </si>
  <si>
    <t>WIP Bawang Bombay Kupas</t>
  </si>
  <si>
    <t>WIP Saus Rose Tokpokki</t>
  </si>
  <si>
    <t xml:space="preserve">	SUSU UHT 1 L</t>
  </si>
  <si>
    <t>MILLAC COOKING CREAM 1 L</t>
  </si>
  <si>
    <t>GARAM HALUS DOLPHIN 500 G</t>
  </si>
  <si>
    <t>Chapokki</t>
  </si>
  <si>
    <t>ENOKI 100 G</t>
  </si>
  <si>
    <t>WIP Sayur Mix Twigim</t>
  </si>
  <si>
    <t>Chijeu Chapokki</t>
  </si>
  <si>
    <t>Chijeu Rappokki</t>
  </si>
  <si>
    <t xml:space="preserve">	Chijeu Rose Tokpokki</t>
  </si>
  <si>
    <t xml:space="preserve">ChijeuTokpokki </t>
  </si>
  <si>
    <t>Original Chicken Katsu</t>
  </si>
  <si>
    <t>WIP Paha Ayam Tanpa Kulit</t>
  </si>
  <si>
    <t>PAHA BONELESS UTUH 2KG</t>
  </si>
  <si>
    <t xml:space="preserve">	TELUR</t>
  </si>
  <si>
    <t>Bburinkle Cheese Chicken Katsu</t>
  </si>
  <si>
    <t>Spicy BBQ Chicken Katsu</t>
  </si>
  <si>
    <t xml:space="preserve">	TELUR UTUH</t>
  </si>
  <si>
    <t>Pajeon</t>
  </si>
  <si>
    <t xml:space="preserve">WIP Wortel Kupas </t>
  </si>
  <si>
    <t>WIP Kucai Trim</t>
  </si>
  <si>
    <t>WIP Ebi Sangrai</t>
  </si>
  <si>
    <t>WIP Minyak Mix Wijen</t>
  </si>
  <si>
    <t>Black Sesame Oil</t>
  </si>
  <si>
    <t>Minyak Goreng Dorang</t>
  </si>
  <si>
    <t>WIP Adonan Pajeon</t>
  </si>
  <si>
    <t>CK Tepung Pajeon</t>
  </si>
  <si>
    <t>Doenjang Paste</t>
  </si>
  <si>
    <t>Sauce Pajeon</t>
  </si>
  <si>
    <t>CK Twigim Sauce</t>
  </si>
  <si>
    <t>Daun Bawang Chung</t>
  </si>
  <si>
    <t>Cabe rawit Slice</t>
  </si>
  <si>
    <t>Vegetable Twigim</t>
  </si>
  <si>
    <t>WIP Bawang Bombay Bersih</t>
  </si>
  <si>
    <t>WIP Wortel Kupas Kulit</t>
  </si>
  <si>
    <t>WIP Daun Bawang Besar</t>
  </si>
  <si>
    <t>WIP Ubi Cilembu Kupas</t>
  </si>
  <si>
    <t>Tepung Terigu Segitiga Biru</t>
  </si>
  <si>
    <t>Sauce Twigim</t>
  </si>
  <si>
    <t>WIP Adonan Twigim</t>
  </si>
  <si>
    <t xml:space="preserve">Air </t>
  </si>
  <si>
    <t>Telur utuh</t>
  </si>
  <si>
    <t>Enoki @10 gr</t>
  </si>
  <si>
    <t>ENOKI TWIGIM</t>
  </si>
  <si>
    <t>Mixed Twigim</t>
  </si>
  <si>
    <t>Gimmari</t>
  </si>
  <si>
    <t>Nori Twigim</t>
  </si>
  <si>
    <t xml:space="preserve">Nori </t>
  </si>
  <si>
    <t>Tofu Kimchi</t>
  </si>
  <si>
    <t>WIP Tofu Kimchi Sauce</t>
  </si>
  <si>
    <t xml:space="preserve">	CK KIMCHI BASE 1 KG</t>
  </si>
  <si>
    <t>ADD MAYONAISE</t>
  </si>
  <si>
    <t>Add Kimchi 100 g</t>
  </si>
  <si>
    <t>Add Egg (Finale Fried Rice)</t>
  </si>
  <si>
    <t>Add Minari 50 g</t>
  </si>
  <si>
    <t xml:space="preserve">	Add Enoki 50 g</t>
  </si>
  <si>
    <t xml:space="preserve">	ENOKI 100 G</t>
  </si>
  <si>
    <t>Add Daun Bawang 50 g</t>
  </si>
  <si>
    <t xml:space="preserve">	DAUN BAWANG BESAR</t>
  </si>
  <si>
    <t>Add Tauge Namul Gujeolpan 50 g</t>
  </si>
  <si>
    <t xml:space="preserve">	Add Shiitake Marinated 30 g</t>
  </si>
  <si>
    <t>Add Sunny Lettuce 60 g</t>
  </si>
  <si>
    <t>Add Wrap 8 pcs</t>
  </si>
  <si>
    <t xml:space="preserve">	TORTILLA WRAP 20 CM 20 LBR</t>
  </si>
  <si>
    <t>Add Sliced Beef 100 g</t>
  </si>
  <si>
    <t xml:space="preserve">BEEF BRISKET GRADE S KILCOY CUT 4 / SHORTPLATE CUT 4	</t>
  </si>
  <si>
    <t xml:space="preserve">	TOKUSEN WAGYU BRISKET NE CUT 2</t>
  </si>
  <si>
    <t>Add Egg Gyeranjim</t>
  </si>
  <si>
    <t>Add Bulgogi Sauce 20g</t>
  </si>
  <si>
    <t>Add Cabe Rawit Merah Iris</t>
  </si>
  <si>
    <t>Add Mozzarella</t>
  </si>
  <si>
    <t>ADD PERILLA LEAF 8 PCS</t>
  </si>
  <si>
    <t>ADD RADISH SLICE 16 PCS</t>
  </si>
  <si>
    <t>WIP Pickle Radish Slice</t>
  </si>
  <si>
    <t xml:space="preserve">Lobak </t>
  </si>
  <si>
    <t>WIP Sauce Danmuji</t>
  </si>
  <si>
    <t>Air (panas)</t>
  </si>
  <si>
    <t>Cuka Dixie</t>
  </si>
  <si>
    <t>Add Beef Jjugumi 100 G</t>
  </si>
  <si>
    <t xml:space="preserve">	BEEF BRISKET GRADE S KILCOY CUT 4 / SHORTPLATE CUT </t>
  </si>
  <si>
    <t>Bulgogi Bibimbap</t>
  </si>
  <si>
    <t>WIP Telur Mata Sapi</t>
  </si>
  <si>
    <t>WIJEN PUTIH</t>
  </si>
  <si>
    <t>WIP Nasi</t>
  </si>
  <si>
    <t>Beef Bulgogi</t>
  </si>
  <si>
    <t>WIP ZUCCHINI SAUTEE</t>
  </si>
  <si>
    <t>Zucchini</t>
  </si>
  <si>
    <t>UOM</t>
  </si>
  <si>
    <t>total_penjualan</t>
  </si>
  <si>
    <t>WIP Tauge Namul Bibimbap</t>
  </si>
  <si>
    <t>WIP Bumbu Tauge Namul</t>
  </si>
  <si>
    <t>Vegetabe Bibimbap</t>
  </si>
  <si>
    <t>Telur Utuh</t>
  </si>
  <si>
    <t xml:space="preserve">	Jumeokbap Ball</t>
  </si>
  <si>
    <t xml:space="preserve">	BLACK SESAME OIL 5 L</t>
  </si>
  <si>
    <t>Jumeokbap Rice</t>
  </si>
  <si>
    <t>Chicken Japchae</t>
  </si>
  <si>
    <t xml:space="preserve">Minyak Wijen Hitam </t>
  </si>
  <si>
    <t>CK Japchae Sauce Base</t>
  </si>
  <si>
    <t>WIP Chicken Marinasi</t>
  </si>
  <si>
    <t>Chicken Leg B less (cut 5 - 10 gr)</t>
  </si>
  <si>
    <t xml:space="preserve">Dangmyeon </t>
  </si>
  <si>
    <t>Bawang Putih (Chopped)</t>
  </si>
  <si>
    <t>Bawang Bombai (slice)</t>
  </si>
  <si>
    <t>Wortel Kupas Kulit</t>
  </si>
  <si>
    <t>Kucai</t>
  </si>
  <si>
    <t>Beef Japchae</t>
  </si>
  <si>
    <t>WIP Beef Brisket / Short Plate (Slice)</t>
  </si>
  <si>
    <t xml:space="preserve">	Chicken Kimchi Fried Rice</t>
  </si>
  <si>
    <t>WIP Bawang Putih Bersih (chopped)</t>
  </si>
  <si>
    <t>CK Kimchi Fried Rice Base</t>
  </si>
  <si>
    <t>WIP Nori Tabur</t>
  </si>
  <si>
    <t>Beef Ham (Saute)</t>
  </si>
  <si>
    <t>WIP Bawang Bombay Bersih (chopped)</t>
  </si>
  <si>
    <t xml:space="preserve">	Spicy Buldak Fried Rice</t>
  </si>
  <si>
    <t>Cabe rawit</t>
  </si>
  <si>
    <t>Bombai Slice</t>
  </si>
  <si>
    <t>Kol Slice</t>
  </si>
  <si>
    <t>Sauce Dakgalbi (CK)</t>
  </si>
  <si>
    <t>Daun Bawang cung Slice</t>
  </si>
  <si>
    <t>CKSF0027</t>
  </si>
  <si>
    <t xml:space="preserve">	Beef Kimchi Fried Rice</t>
  </si>
  <si>
    <t>Fried Ramyeon (Dakgalbi)</t>
  </si>
  <si>
    <t>Fried Rice (Dakgalbi)</t>
  </si>
  <si>
    <t>Tokpokki (Dakgalbi)</t>
  </si>
  <si>
    <t>Finale Kimchi Fried Rice</t>
  </si>
  <si>
    <t xml:space="preserve">	Finale Doenjang Porridge</t>
  </si>
  <si>
    <t>Tahu Cina Padat  (cut dice 10 mm)</t>
  </si>
  <si>
    <t>Cabe Merah Besar (Cut 5mm)</t>
  </si>
  <si>
    <t>WIP Doenjangjjigae Soup</t>
  </si>
  <si>
    <t>WIP Bombai Chopped</t>
  </si>
  <si>
    <t>WIP Bawang Putih Chopped</t>
  </si>
  <si>
    <t>Samjang Paste</t>
  </si>
  <si>
    <t>Gula Pasir</t>
  </si>
  <si>
    <t>WIP Chilli Paste</t>
  </si>
  <si>
    <t xml:space="preserve">	GOCHUGARU KASAR 1 KG</t>
  </si>
  <si>
    <t>AIR</t>
  </si>
  <si>
    <t>Beef Doenjang Jjigae (NO Rice)</t>
  </si>
  <si>
    <t>WIP Beef Bulgogi</t>
  </si>
  <si>
    <t>Beef Brisket</t>
  </si>
  <si>
    <t>Beef Doenjang Jjigae (With Rice)</t>
  </si>
  <si>
    <t>Sundubu Jjigae (No Rice)</t>
  </si>
  <si>
    <t xml:space="preserve">Gula </t>
  </si>
  <si>
    <t>Tahu Cina</t>
  </si>
  <si>
    <t>Telur Ayam</t>
  </si>
  <si>
    <t>Daun Bawang Slice</t>
  </si>
  <si>
    <t>Telur Ayam Utuh</t>
  </si>
  <si>
    <t>Gochujang</t>
  </si>
  <si>
    <t xml:space="preserve">	ANCHOVY DASHIDA (DASHIDA IKAN TERI) 500 G</t>
  </si>
  <si>
    <t>Sundubu Jjigae (With Rice)</t>
  </si>
  <si>
    <t>Yummy Kids Meal</t>
  </si>
  <si>
    <t>WIP Selada Keriting Bersih</t>
  </si>
  <si>
    <t>WIP Wortel Rebus Kupas Kulit</t>
  </si>
  <si>
    <t>Daun Selada Keriting Bersih</t>
  </si>
  <si>
    <t>Soy Garlic Chicken &amp; Tofu Kimchi K-Bento</t>
  </si>
  <si>
    <t xml:space="preserve">	TAHU CINA PADAT 420 G</t>
  </si>
  <si>
    <t xml:space="preserve">	CK SOY GARLIC SAUCE 1 KG</t>
  </si>
  <si>
    <t>Add Tokusen Wagyu 100g</t>
  </si>
  <si>
    <t>Daun Bawang Cung</t>
  </si>
  <si>
    <t>WIP Japchae</t>
  </si>
  <si>
    <t>Ubi Cilembu Kupas</t>
  </si>
  <si>
    <t>Lobak</t>
  </si>
  <si>
    <t xml:space="preserve">Spicy Chicken &amp; Tofu Kimchi K-Bento	</t>
  </si>
  <si>
    <t>Bulgogi &amp; Tofu Kimchi K-Bento</t>
  </si>
  <si>
    <t>BEEF BRISKET GRADE S KILCOY CUT 4 / SHORTPLATE CUT 4</t>
  </si>
  <si>
    <t>Dakgalbi &amp; Tofu Kimchi K-Bento</t>
  </si>
  <si>
    <t>Bombay Slice</t>
  </si>
  <si>
    <t xml:space="preserve">Kentang </t>
  </si>
  <si>
    <t>Column1</t>
  </si>
  <si>
    <t xml:space="preserve">	Jjugumi</t>
  </si>
  <si>
    <t>WIP. Daun Bawang Besar</t>
  </si>
  <si>
    <t>Jjugumi (Baby Octopus)</t>
  </si>
  <si>
    <t>Tepung Tapioka</t>
  </si>
  <si>
    <t>WIP Sauce Spicy Jjugumi</t>
  </si>
  <si>
    <t>Tepung Ketan</t>
  </si>
  <si>
    <t>WIP Sambal Sauce Jjugumi</t>
  </si>
  <si>
    <t>Cabe Rawit Merah</t>
  </si>
  <si>
    <t>WIP Danmuji Slice</t>
  </si>
  <si>
    <t>Bawang Bombai Slice</t>
  </si>
  <si>
    <t>Bawang Bombai slice</t>
  </si>
  <si>
    <t xml:space="preserve">	Chadol Jjugumi</t>
  </si>
  <si>
    <t xml:space="preserve">Kol </t>
  </si>
  <si>
    <t>TTEOK (RICE CAKE) 4 CM 1 KG Toppoki @10 PCS / 10GR/PCS</t>
  </si>
  <si>
    <t>FSF00005</t>
  </si>
  <si>
    <t>Rose Jjugumi</t>
  </si>
  <si>
    <t>Mexican Mix Cheese</t>
  </si>
  <si>
    <t>Rose Chadol Jjugumi</t>
  </si>
  <si>
    <t>Cabe Besar Merah Trim</t>
  </si>
  <si>
    <t xml:space="preserve">Zucchini Trim	</t>
  </si>
  <si>
    <t>Bawang Bombay Kupas</t>
  </si>
  <si>
    <t>Nori Tabur</t>
  </si>
  <si>
    <t>Kimchi Fried Rice Base (CK)</t>
  </si>
  <si>
    <t>Beef Ham Saute</t>
  </si>
  <si>
    <t>Zucchini Bersih (dice 10 mm)</t>
  </si>
  <si>
    <t>Bawang Bombay Bersih (dice 10 mm)</t>
  </si>
  <si>
    <t>Daun Bawang Besar (Slice 3 mm)</t>
  </si>
  <si>
    <t>Telur Mata Sapi</t>
  </si>
  <si>
    <t>Column2</t>
  </si>
  <si>
    <t>Column3</t>
  </si>
  <si>
    <t>Column4</t>
  </si>
  <si>
    <t>item code</t>
  </si>
  <si>
    <t>item_name</t>
  </si>
  <si>
    <t>Stock_tersedia</t>
  </si>
  <si>
    <t>estimasi_orderan</t>
  </si>
  <si>
    <t xml:space="preserve">CGRD0004  </t>
  </si>
  <si>
    <t>MINERAL WATER</t>
  </si>
  <si>
    <t xml:space="preserve">CGKD0001  </t>
  </si>
  <si>
    <t>WATERMELON K-DRINK</t>
  </si>
  <si>
    <t xml:space="preserve">CGKD0002  </t>
  </si>
  <si>
    <t>KIWI K-DRINK</t>
  </si>
  <si>
    <t xml:space="preserve">CGKD0003  </t>
  </si>
  <si>
    <t>PEACH K-DRINK</t>
  </si>
  <si>
    <t xml:space="preserve">CGKD0004  </t>
  </si>
  <si>
    <t>MUSCAT (GREEN GRAPE) K-DRINK</t>
  </si>
  <si>
    <t xml:space="preserve">CGKD0005  </t>
  </si>
  <si>
    <t>KOREAN PEAR K-DRINK</t>
  </si>
  <si>
    <t xml:space="preserve">CGKD0006  </t>
  </si>
  <si>
    <t>ICE AMERICANO K-DRINK</t>
  </si>
  <si>
    <t xml:space="preserve">CGKD0008  </t>
  </si>
  <si>
    <t>STRAWBERRY K-DRINK</t>
  </si>
  <si>
    <t xml:space="preserve">CGKD0009  </t>
  </si>
  <si>
    <t>MANGO K-DRINK</t>
  </si>
  <si>
    <t xml:space="preserve">CGKD0010  </t>
  </si>
  <si>
    <t>JEJU ORANGE K-DRINK</t>
  </si>
  <si>
    <t xml:space="preserve">CGKD0011  </t>
  </si>
  <si>
    <t>HONEY YUJA K-DRINK</t>
  </si>
  <si>
    <t xml:space="preserve">CGKD0012  </t>
  </si>
  <si>
    <t>GRAPES (PURPLE GRAPES) K-DRINK</t>
  </si>
  <si>
    <t xml:space="preserve">CGKD0014  </t>
  </si>
  <si>
    <t>APPLE K-DRINK</t>
  </si>
  <si>
    <t xml:space="preserve">CGKD0015  </t>
  </si>
  <si>
    <t>LYCHEE K-DRINK</t>
  </si>
  <si>
    <t xml:space="preserve">CGJD0005  </t>
  </si>
  <si>
    <t>JELLY B MANDARIN</t>
  </si>
  <si>
    <t xml:space="preserve">CGJD0008  </t>
  </si>
  <si>
    <t>JELLY B MANGO</t>
  </si>
  <si>
    <t xml:space="preserve">CGJD0004  </t>
  </si>
  <si>
    <t>JELLY B WATERMELON</t>
  </si>
  <si>
    <t xml:space="preserve">CGJD0007  </t>
  </si>
  <si>
    <t>JELLY B GREEN GRAPE</t>
  </si>
  <si>
    <t>buffer_stock</t>
  </si>
  <si>
    <t>Estimasi Pengorderan = (Penjualan Harian Rata-rata * Jumlah Hari) + Buffer Stock - Stock Tersedia</t>
  </si>
  <si>
    <t>Estimasi Pengorderan = MAX(Buffer Stock - Stock Tersedia + Penjualan Harian Rata-rata, 0)</t>
  </si>
  <si>
    <t>total_usage</t>
  </si>
  <si>
    <t>5_top_menu</t>
  </si>
  <si>
    <t>5_low_menu</t>
  </si>
  <si>
    <t>5_top_ingredients_name</t>
  </si>
  <si>
    <t>5_low_ingredients_name</t>
  </si>
  <si>
    <t>total_order</t>
  </si>
  <si>
    <t>5_top_drinks</t>
  </si>
  <si>
    <t>total_ussage</t>
  </si>
  <si>
    <t>5_low_drinks</t>
  </si>
  <si>
    <t>Estimasi Pengorderan = MAX(Minimum Stock + Buffer Stock - Stock Tersedia, 0)</t>
  </si>
  <si>
    <t>Estimasi Pengorderan = IF(Total Penjualan &gt; Ambang Penjualan, MAX(Minimum Stock + Buffer Stock - Stock Tersedia, 0), 0)</t>
  </si>
  <si>
    <t>FGR00095</t>
  </si>
  <si>
    <t>Tepung EASY MIX</t>
  </si>
  <si>
    <t>FFF00024</t>
  </si>
  <si>
    <t>KAARAGE GARLIC MINI</t>
  </si>
  <si>
    <t>LEMBAR</t>
  </si>
  <si>
    <t>count_1</t>
  </si>
  <si>
    <t>count_2</t>
  </si>
  <si>
    <t>count_3</t>
  </si>
  <si>
    <t>count_4</t>
  </si>
  <si>
    <t>daun bawang besar</t>
  </si>
  <si>
    <t>mie burung</t>
  </si>
  <si>
    <t>lobak</t>
  </si>
  <si>
    <t>soun korea</t>
  </si>
  <si>
    <t>beef bulgogi ( tidak tiris)</t>
  </si>
  <si>
    <t>octopus</t>
  </si>
  <si>
    <t>enoki</t>
  </si>
  <si>
    <t>selada</t>
  </si>
  <si>
    <t>Zuchini</t>
  </si>
  <si>
    <t>ubi putih</t>
  </si>
  <si>
    <t>wortel</t>
  </si>
  <si>
    <t>bombay</t>
  </si>
  <si>
    <t>DB Cung</t>
  </si>
  <si>
    <t>kentang</t>
  </si>
  <si>
    <t>cabe rawit merah</t>
  </si>
  <si>
    <t>tahu cina padat</t>
  </si>
  <si>
    <t>telur utuh</t>
  </si>
  <si>
    <t>berat dengan cangkang</t>
  </si>
  <si>
    <t>berat tanpa cangkang</t>
  </si>
  <si>
    <t>telur frozen</t>
  </si>
  <si>
    <t>kyuri</t>
  </si>
  <si>
    <t>ayam free size</t>
  </si>
  <si>
    <t>kol</t>
  </si>
  <si>
    <t>beet root</t>
  </si>
  <si>
    <t>gobo</t>
  </si>
  <si>
    <t>tuna vinisi</t>
  </si>
  <si>
    <t>ck sauce base all mixed</t>
  </si>
  <si>
    <t>minyak goreng dorang</t>
  </si>
  <si>
    <t>susu uht</t>
  </si>
  <si>
    <t>whipping cream</t>
  </si>
  <si>
    <t>odeng</t>
  </si>
  <si>
    <t>minari</t>
  </si>
  <si>
    <t>lada hitam</t>
  </si>
  <si>
    <t>wijen putih</t>
  </si>
  <si>
    <t>spicy bbq powder (500gr)</t>
  </si>
  <si>
    <t>cheese powder (500gr)</t>
  </si>
  <si>
    <t>mini kaarage sukanda</t>
  </si>
  <si>
    <t xml:space="preserve">yakinori </t>
  </si>
  <si>
    <t>brisket beef</t>
  </si>
  <si>
    <t>tokusen wagyu</t>
  </si>
  <si>
    <t>buffer1</t>
  </si>
  <si>
    <t>buffer2</t>
  </si>
  <si>
    <t>Beef Brisket / Shortplate (BPT)</t>
  </si>
  <si>
    <t xml:space="preserve">Telur Utuh </t>
  </si>
  <si>
    <t>WIP beef bulgogi (tiris)</t>
  </si>
  <si>
    <t>Jjugumi / Baby Octopus</t>
  </si>
  <si>
    <t>HGJP0006</t>
  </si>
  <si>
    <t>CHICKEN WHITE JJAMPPONG</t>
  </si>
  <si>
    <t>WIP HG MINYAK BAWANG</t>
  </si>
  <si>
    <t>DAUN BAWANG</t>
  </si>
  <si>
    <t>BOMBAY SLICE</t>
  </si>
  <si>
    <t>WIP HG MIXED VEGETABLE</t>
  </si>
  <si>
    <t xml:space="preserve">	ZUCCHINI</t>
  </si>
  <si>
    <t xml:space="preserve">	BAWANG BOMBAY</t>
  </si>
  <si>
    <t>WIP HG CHICKEN STEAK</t>
  </si>
  <si>
    <t xml:space="preserve">LADA HITAM HALUS 1 KG	</t>
  </si>
  <si>
    <t>WIP HG CHICKEN SOUP BASE</t>
  </si>
  <si>
    <t xml:space="preserve">	GULA PASIR 1 KG</t>
  </si>
  <si>
    <t xml:space="preserve">	AJINOMOTO 1 KG</t>
  </si>
  <si>
    <t>BEEF WHITE JJAMPPONG</t>
  </si>
  <si>
    <t>HGJP0005</t>
  </si>
  <si>
    <t>WIP HG BEEF BULGOGI</t>
  </si>
  <si>
    <t xml:space="preserve">	SEAFOOD WHITE JJAMPPONG</t>
  </si>
  <si>
    <t>HGJP0004</t>
  </si>
  <si>
    <t>CUMI LOKAL KUPAS FRESH (UKURAN SEBELUM KUPAS 2 EKOR/KG)</t>
  </si>
  <si>
    <t>FSF00006</t>
  </si>
  <si>
    <t>UDANG VANAME 40-45</t>
  </si>
  <si>
    <t>FSF00007</t>
  </si>
  <si>
    <t>KERANG HIJAU</t>
  </si>
  <si>
    <t>FSF00001</t>
  </si>
  <si>
    <t>WIP BASE SEAFOOD</t>
  </si>
  <si>
    <t>FSF00008</t>
  </si>
  <si>
    <t>KEPALA + CANGKANG UDANG</t>
  </si>
  <si>
    <t>HGJP0002</t>
  </si>
  <si>
    <t>BEEF JJAMPPONG</t>
  </si>
  <si>
    <t xml:space="preserve">WIP HG JJAMPPONG SOUP </t>
  </si>
  <si>
    <t>HGJP0003</t>
  </si>
  <si>
    <t>CHICKEN JJAMPPONG</t>
  </si>
  <si>
    <t>HGJP0001</t>
  </si>
  <si>
    <t>SEAFOOD JJAMPPONG</t>
  </si>
  <si>
    <t>JJAJANGMYEON</t>
  </si>
  <si>
    <t>HGJJ0001</t>
  </si>
  <si>
    <t xml:space="preserve">WIP HG CRISPY SWEET POTATO	</t>
  </si>
  <si>
    <t xml:space="preserve">BEEF HAM </t>
  </si>
  <si>
    <t>Bawang Bombay</t>
  </si>
  <si>
    <t>WIP HG CHICKEN JJAJANG SAUCE</t>
  </si>
  <si>
    <t>JIN GANJANG</t>
  </si>
  <si>
    <t xml:space="preserve">PAHA BONELESS </t>
  </si>
  <si>
    <t>POTATO STARCH</t>
  </si>
  <si>
    <t>WIP AIR PENGENTAL</t>
  </si>
  <si>
    <t>HGJJ0003</t>
  </si>
  <si>
    <t xml:space="preserve">SPICY JJAJANGMYEON GORENG	</t>
  </si>
  <si>
    <t>WIJEN SANGRAI</t>
  </si>
  <si>
    <t>HGKG0001</t>
  </si>
  <si>
    <t>MYEONDONG KALGUKSU (WITH KIMCHI)</t>
  </si>
  <si>
    <t>ZUCHINI</t>
  </si>
  <si>
    <t>BOMBAY KUPAS</t>
  </si>
  <si>
    <t>HWDL0041</t>
  </si>
  <si>
    <t>HWDL0002</t>
  </si>
  <si>
    <t>BAWANG PUTIH</t>
  </si>
  <si>
    <t>HWMS0007</t>
  </si>
  <si>
    <t>WIP HG MANDU 1 PCS</t>
  </si>
  <si>
    <t>WIP HG ISI MANDU</t>
  </si>
  <si>
    <t>HWMS0002</t>
  </si>
  <si>
    <t>CK AYAM MANDU 1 KG</t>
  </si>
  <si>
    <t>HWMS0013</t>
  </si>
  <si>
    <t>WIP HG AYAM TOPPING KALGUKSU</t>
  </si>
  <si>
    <t>WIP HG AIR PENGENTAL</t>
  </si>
  <si>
    <t xml:space="preserve">	WIP KIMCHI</t>
  </si>
  <si>
    <t xml:space="preserve">	WIP Daun Bawang Besar Trim</t>
  </si>
  <si>
    <t xml:space="preserve">	WIP Sawi Putih Diasinkan</t>
  </si>
  <si>
    <t>WIP SAWI PUTIH TRIM</t>
  </si>
  <si>
    <t>HGKG0002</t>
  </si>
  <si>
    <t>BEEF KALGUKSU (WITH KIMCHI)</t>
  </si>
  <si>
    <t>EOMUK BOKKEUM</t>
  </si>
  <si>
    <t>MINYAK GORENG</t>
  </si>
  <si>
    <t>EOMUK</t>
  </si>
  <si>
    <t>CK SOY GARLIC SAUCE</t>
  </si>
  <si>
    <t>JIN GANJANG SOY SAUCE</t>
  </si>
  <si>
    <t>MINI NORI TWIGIM</t>
  </si>
  <si>
    <t>NORI 1 LEMBAR</t>
  </si>
  <si>
    <t>SCALLION DRESSING</t>
  </si>
  <si>
    <t>CK SAUCE MUSTARD</t>
  </si>
  <si>
    <t>GOCHUGARU</t>
  </si>
  <si>
    <t>SESAME OIL</t>
  </si>
  <si>
    <t>GOCHUJANG PASTE</t>
  </si>
  <si>
    <t>SCALLION SALAD</t>
  </si>
  <si>
    <t>WIP SCALLION DRESSING</t>
  </si>
  <si>
    <t>BANCAN SET</t>
  </si>
  <si>
    <t xml:space="preserve">MINI NORI TWIGIM </t>
  </si>
  <si>
    <t>WAGYU FIRE KIMCHI</t>
  </si>
  <si>
    <t>BEEF WAGYU TOKUSEN</t>
  </si>
  <si>
    <t>LADA HITAM BUBUK</t>
  </si>
  <si>
    <t>DAUN BAWANG CUNG</t>
  </si>
  <si>
    <t>SELADA KERITING</t>
  </si>
  <si>
    <t>GARLIC SLICE</t>
  </si>
  <si>
    <t>MIX SALAD</t>
  </si>
  <si>
    <t>WIP MIX SALAD</t>
  </si>
  <si>
    <t>BOMBAY</t>
  </si>
  <si>
    <t>HGKG0003</t>
  </si>
  <si>
    <t xml:space="preserve">DRY KALGUKSU WITH BOILED MANDU	</t>
  </si>
  <si>
    <t>WIP DAUN BAWANG BESAR TRIM</t>
  </si>
  <si>
    <t>CK DRY KALGUKSU SAUCE 1 KG</t>
  </si>
  <si>
    <t>1PCS</t>
  </si>
  <si>
    <t>HGKG0004</t>
  </si>
  <si>
    <t xml:space="preserve">DRY KALGUKSU WITH FRIED MANDU	</t>
  </si>
  <si>
    <t>HGSD0001</t>
  </si>
  <si>
    <t>FRIED MANDU 2 PCS</t>
  </si>
  <si>
    <t>WIP TWIGIM SAUCE WITH GARNISH</t>
  </si>
  <si>
    <t>CABE RAWIT</t>
  </si>
  <si>
    <t>HGSD0002</t>
  </si>
  <si>
    <t>FRIED MANDU 6 PCS</t>
  </si>
  <si>
    <t>HGJP0007</t>
  </si>
  <si>
    <t>ROSE KATSU JJAMPPONG</t>
  </si>
  <si>
    <t xml:space="preserve">	MINYAK GORENG DORANG MAS 18 L</t>
  </si>
  <si>
    <t>WIP BAWANG PUTIH IRIS/CHOP</t>
  </si>
  <si>
    <t>WIP CHICKEN KATSU</t>
  </si>
  <si>
    <t>WIP HG SAUS ROSE JJAMPONG</t>
  </si>
  <si>
    <t>WIP HG CHILLI OIL</t>
  </si>
  <si>
    <t>CK UMAMI BOOSTER REPACK 100 G</t>
  </si>
  <si>
    <t>CK JJAMPPONG SAUCE 1 KG</t>
  </si>
  <si>
    <t>WIP CHICKEN SOUP BASE</t>
  </si>
  <si>
    <t>GREEN PEAS</t>
  </si>
  <si>
    <t>HGJP0008</t>
  </si>
  <si>
    <t>CHEESE ROSE KATSU JJAMPPONG</t>
  </si>
  <si>
    <t>MOZARELLA CHEESE</t>
  </si>
  <si>
    <t>LADA HITAM HALUS</t>
  </si>
  <si>
    <t xml:space="preserve">JAHE </t>
  </si>
  <si>
    <t>DANGMYEON</t>
  </si>
  <si>
    <t xml:space="preserve">	DAUN BAWANG CUNG</t>
  </si>
  <si>
    <t xml:space="preserve">GREEN PEAS </t>
  </si>
  <si>
    <t>CKPF0049</t>
  </si>
  <si>
    <t>DAUN BAWANG BESAR TRIM</t>
  </si>
  <si>
    <t>CKRD0011</t>
  </si>
  <si>
    <t>HGJC0001</t>
  </si>
  <si>
    <t>HGJC0002</t>
  </si>
  <si>
    <t>HGSD0006</t>
  </si>
  <si>
    <t>HGSD0008</t>
  </si>
  <si>
    <t>HGSD0017</t>
  </si>
  <si>
    <t>CK kimchi base 1kg</t>
  </si>
  <si>
    <t xml:space="preserve">CGDG0001  </t>
  </si>
  <si>
    <t xml:space="preserve">CGDG0002  </t>
  </si>
  <si>
    <t xml:space="preserve">CGDG0003  </t>
  </si>
  <si>
    <t xml:space="preserve">CGDG0004  </t>
  </si>
  <si>
    <t xml:space="preserve">CGDG0005  </t>
  </si>
  <si>
    <t xml:space="preserve">CGDR0005  </t>
  </si>
  <si>
    <t xml:space="preserve">CGDR0006  </t>
  </si>
  <si>
    <t xml:space="preserve">CGDR0007  </t>
  </si>
  <si>
    <t xml:space="preserve">CGDR0008  </t>
  </si>
  <si>
    <t xml:space="preserve">CGEX0001  </t>
  </si>
  <si>
    <t xml:space="preserve">CGEX0002  </t>
  </si>
  <si>
    <t xml:space="preserve">CGEX0003  </t>
  </si>
  <si>
    <t xml:space="preserve">CGEX0004  </t>
  </si>
  <si>
    <t xml:space="preserve">CGEX0005  </t>
  </si>
  <si>
    <t xml:space="preserve">CGEX0008  </t>
  </si>
  <si>
    <t xml:space="preserve">CGEX0009  </t>
  </si>
  <si>
    <t xml:space="preserve">CGEX0010  </t>
  </si>
  <si>
    <t xml:space="preserve">CGEX0011  </t>
  </si>
  <si>
    <t xml:space="preserve">CGEX0012  </t>
  </si>
  <si>
    <t xml:space="preserve">CGEX0013  </t>
  </si>
  <si>
    <t xml:space="preserve">CGEX0014  </t>
  </si>
  <si>
    <t xml:space="preserve">CGEX0018  </t>
  </si>
  <si>
    <t xml:space="preserve">CGEX0019  </t>
  </si>
  <si>
    <t xml:space="preserve">CGEX0027  </t>
  </si>
  <si>
    <t xml:space="preserve">CGEX0028  </t>
  </si>
  <si>
    <t xml:space="preserve">CGEX0030  </t>
  </si>
  <si>
    <t xml:space="preserve">CGEX0031  </t>
  </si>
  <si>
    <t xml:space="preserve">CGEX0032  </t>
  </si>
  <si>
    <t xml:space="preserve">CGEX0033  </t>
  </si>
  <si>
    <t xml:space="preserve">CGGB0001  </t>
  </si>
  <si>
    <t xml:space="preserve">CGGB0002  </t>
  </si>
  <si>
    <t xml:space="preserve">CGGB0003  </t>
  </si>
  <si>
    <t xml:space="preserve">CGGB0004  </t>
  </si>
  <si>
    <t xml:space="preserve">CGGB0005  </t>
  </si>
  <si>
    <t xml:space="preserve">CGGB0006  </t>
  </si>
  <si>
    <t xml:space="preserve">CGGB0007  </t>
  </si>
  <si>
    <t xml:space="preserve">CGGB0008  </t>
  </si>
  <si>
    <t xml:space="preserve">CGGP0002  </t>
  </si>
  <si>
    <t xml:space="preserve">CGGP0004  </t>
  </si>
  <si>
    <t xml:space="preserve">CGGP0005  </t>
  </si>
  <si>
    <t xml:space="preserve">CGGP0007  </t>
  </si>
  <si>
    <t xml:space="preserve">CGGP0008  </t>
  </si>
  <si>
    <t xml:space="preserve">CGGP0009  </t>
  </si>
  <si>
    <t xml:space="preserve">CGJG0001  </t>
  </si>
  <si>
    <t xml:space="preserve">CGJG0002  </t>
  </si>
  <si>
    <t xml:space="preserve">CGJG0003  </t>
  </si>
  <si>
    <t xml:space="preserve">CGJG0004  </t>
  </si>
  <si>
    <t xml:space="preserve">CGKM0001  </t>
  </si>
  <si>
    <t xml:space="preserve">CGPK0001  </t>
  </si>
  <si>
    <t xml:space="preserve">CGPK0002  </t>
  </si>
  <si>
    <t xml:space="preserve">CGPK0003  </t>
  </si>
  <si>
    <t xml:space="preserve">CGPK0004  </t>
  </si>
  <si>
    <t xml:space="preserve">CGPK0005  </t>
  </si>
  <si>
    <t xml:space="preserve">CGPK0006  </t>
  </si>
  <si>
    <t xml:space="preserve">CGPK0007  </t>
  </si>
  <si>
    <t xml:space="preserve">CGPK0009  </t>
  </si>
  <si>
    <t xml:space="preserve">CGPK0011  </t>
  </si>
  <si>
    <t xml:space="preserve">CGPK0012  </t>
  </si>
  <si>
    <t xml:space="preserve">CGPK0013  </t>
  </si>
  <si>
    <t xml:space="preserve">CGPK0015  </t>
  </si>
  <si>
    <t xml:space="preserve">CGPK0016  </t>
  </si>
  <si>
    <t xml:space="preserve">CGPK0017  </t>
  </si>
  <si>
    <t xml:space="preserve">CGPK0018  </t>
  </si>
  <si>
    <t xml:space="preserve">CGPK0019  </t>
  </si>
  <si>
    <t xml:space="preserve">CGPK0020  </t>
  </si>
  <si>
    <t xml:space="preserve">CGPR0026  </t>
  </si>
  <si>
    <t xml:space="preserve">CGPR0028  </t>
  </si>
  <si>
    <t xml:space="preserve">CGPR0030  </t>
  </si>
  <si>
    <t xml:space="preserve">CGPR0045  </t>
  </si>
  <si>
    <t xml:space="preserve">CGPR0074  </t>
  </si>
  <si>
    <t xml:space="preserve">CGPR0075  </t>
  </si>
  <si>
    <t xml:space="preserve">CGPR0076  </t>
  </si>
  <si>
    <t xml:space="preserve">CGPR0077  </t>
  </si>
  <si>
    <t xml:space="preserve">CGPR0078  </t>
  </si>
  <si>
    <t xml:space="preserve">CGPR0079  </t>
  </si>
  <si>
    <t xml:space="preserve">CGPR0080  </t>
  </si>
  <si>
    <t xml:space="preserve">CGPR0081  </t>
  </si>
  <si>
    <t xml:space="preserve">CGPR0082  </t>
  </si>
  <si>
    <t xml:space="preserve">CGRD0001  </t>
  </si>
  <si>
    <t xml:space="preserve">CGRD0002  </t>
  </si>
  <si>
    <t xml:space="preserve">CGRD0003  </t>
  </si>
  <si>
    <t xml:space="preserve">CGRN0001  </t>
  </si>
  <si>
    <t xml:space="preserve">CGRN0002  </t>
  </si>
  <si>
    <t xml:space="preserve">CGRN0003  </t>
  </si>
  <si>
    <t xml:space="preserve">CGRN0004  </t>
  </si>
  <si>
    <t xml:space="preserve">CGRN0005  </t>
  </si>
  <si>
    <t xml:space="preserve">CGRN0006  </t>
  </si>
  <si>
    <t xml:space="preserve">CGRN0007  </t>
  </si>
  <si>
    <t xml:space="preserve">CGRN0008  </t>
  </si>
  <si>
    <t xml:space="preserve">CGRN0009  </t>
  </si>
  <si>
    <t xml:space="preserve">CGRN0010  </t>
  </si>
  <si>
    <t xml:space="preserve">CGRN0011  </t>
  </si>
  <si>
    <t xml:space="preserve">CGSD0001  </t>
  </si>
  <si>
    <t xml:space="preserve">CGSD0002  </t>
  </si>
  <si>
    <t xml:space="preserve">CGSD0005  </t>
  </si>
  <si>
    <t xml:space="preserve">CGSD0006  </t>
  </si>
  <si>
    <t xml:space="preserve">CGSD0007  </t>
  </si>
  <si>
    <t xml:space="preserve">CGSD0009  </t>
  </si>
  <si>
    <t xml:space="preserve">CGSD0010  </t>
  </si>
  <si>
    <t xml:space="preserve">CGSD0011  </t>
  </si>
  <si>
    <t xml:space="preserve">CGSD0012  </t>
  </si>
  <si>
    <t xml:space="preserve">CGSD0013  </t>
  </si>
  <si>
    <t xml:space="preserve">CGSD0014  </t>
  </si>
  <si>
    <t xml:space="preserve">CGSD0015  </t>
  </si>
  <si>
    <t xml:space="preserve">CGSD0016  </t>
  </si>
  <si>
    <t xml:space="preserve">CGSD0017  </t>
  </si>
  <si>
    <t xml:space="preserve">CGSD0018  </t>
  </si>
  <si>
    <t xml:space="preserve">CGSD0019  </t>
  </si>
  <si>
    <t xml:space="preserve">CGTP0001  </t>
  </si>
  <si>
    <t xml:space="preserve">CGTP0002  </t>
  </si>
  <si>
    <t xml:space="preserve">CGTP0003  </t>
  </si>
  <si>
    <t xml:space="preserve">CGTP0004  </t>
  </si>
  <si>
    <t xml:space="preserve">CGTP0005  </t>
  </si>
  <si>
    <t xml:space="preserve">CGTP0006  </t>
  </si>
  <si>
    <t xml:space="preserve">CGTP0007  </t>
  </si>
  <si>
    <t>FRIED RAMYEON (DAKGALBI)</t>
  </si>
  <si>
    <t>FRIED RICE (DAKGALBI)</t>
  </si>
  <si>
    <t>TOKPOKKI (DAKGALBI)</t>
  </si>
  <si>
    <t>SOY GARLIC CHICKEN &amp; TOFU KIMCHI K-BENTO</t>
  </si>
  <si>
    <t>SPICY CHICKEN &amp; TOFU KIMCHI K-BENTO</t>
  </si>
  <si>
    <t>BULGOGI &amp; TOFU KIMCHI K-BENTO</t>
  </si>
  <si>
    <t>DAKGALBI &amp; TOFU KIMCHI K-BENTO</t>
  </si>
  <si>
    <t>RICE</t>
  </si>
  <si>
    <t>ADD KIMCHI 100 G</t>
  </si>
  <si>
    <t>ADD EGG (FINALE FRIED RICE)</t>
  </si>
  <si>
    <t>ADD MINARI 50 G</t>
  </si>
  <si>
    <t>ADD ENOKI 50 G</t>
  </si>
  <si>
    <t>ADD SUNNY LETTUCE 60 G</t>
  </si>
  <si>
    <t>ADD WRAP 8 PCS</t>
  </si>
  <si>
    <t>ADD SLICED BEEF 100 G</t>
  </si>
  <si>
    <t>ADD TOKUSEN WAGYU 100 G</t>
  </si>
  <si>
    <t>ADD CHADOL BULGOGI 150 G</t>
  </si>
  <si>
    <t>ADD EGG GYERANJIM</t>
  </si>
  <si>
    <t>ADD TWIGIM SAUCE</t>
  </si>
  <si>
    <t>ADD BULGOGI SAUCE 20G</t>
  </si>
  <si>
    <t>ADD CABE RAWIT MERAH IRIS</t>
  </si>
  <si>
    <t>ADD MOZZARELLA</t>
  </si>
  <si>
    <t>ADD BAWANG PUTIH SLICE</t>
  </si>
  <si>
    <t>ORIGINAL GIMBAP</t>
  </si>
  <si>
    <t>VEGETABLE GIMBAP</t>
  </si>
  <si>
    <t>BULGOGI GIMBAP</t>
  </si>
  <si>
    <t>TUNA MAYO GIMBAP</t>
  </si>
  <si>
    <t>SPICY TUNA GIMBAP</t>
  </si>
  <si>
    <t>CHEESE GIMBAP</t>
  </si>
  <si>
    <t>BEEF HAM GIMBAP</t>
  </si>
  <si>
    <t>HAM &amp; CHEESE GIMBAP</t>
  </si>
  <si>
    <t xml:space="preserve"> * CHADOL SIGNATURE TASTY BEEF (REGULAR)</t>
  </si>
  <si>
    <t>FINALE KIMCHI FRIED RICE</t>
  </si>
  <si>
    <t>FINALE DOENJANG PORRIDGE</t>
  </si>
  <si>
    <t>JJUGUMI</t>
  </si>
  <si>
    <t>CHADOL JJUGUMI</t>
  </si>
  <si>
    <t>ROSE JJUGUMI</t>
  </si>
  <si>
    <t>ROSE CHADOL JJUGUMI</t>
  </si>
  <si>
    <t xml:space="preserve"> * KIWI K-DRINK</t>
  </si>
  <si>
    <t xml:space="preserve"> * PEACH K-DRINK</t>
  </si>
  <si>
    <t xml:space="preserve"> * MUSCAT (GREEN GRAPE) K-DRINK</t>
  </si>
  <si>
    <t>YUMMY KIDS MEAL</t>
  </si>
  <si>
    <t>LUNCH BOX M</t>
  </si>
  <si>
    <t>PAPER BOWL</t>
  </si>
  <si>
    <t>BENTO BOX 5S</t>
  </si>
  <si>
    <t>PLASTIK KECIL</t>
  </si>
  <si>
    <t>PLASTIK BESAR</t>
  </si>
  <si>
    <t>SUMPIT TAKE AWAY</t>
  </si>
  <si>
    <t>SENDOK TAKE AWAY</t>
  </si>
  <si>
    <t>SAUCE CUP</t>
  </si>
  <si>
    <t>BENTO BOX 4S</t>
  </si>
  <si>
    <t>LUNCH BOX S</t>
  </si>
  <si>
    <t>CUP PLASTIK K-DRINK</t>
  </si>
  <si>
    <t>GREASE PAPER</t>
  </si>
  <si>
    <t>PAPER BOWL CHADOL</t>
  </si>
  <si>
    <t>SLEEVE BOX TAKE AWAY</t>
  </si>
  <si>
    <t>STICKER BENTO BOX</t>
  </si>
  <si>
    <t>PACKAGING FEE</t>
  </si>
  <si>
    <t>GIMBAP BIRTHDAY CAKE</t>
  </si>
  <si>
    <t>BIRTHDAY KOREAN DRINK</t>
  </si>
  <si>
    <t>FREE MOZZARELLA</t>
  </si>
  <si>
    <t>PROMO CHADOL SIG TASTY BEEF (REG) 99K</t>
  </si>
  <si>
    <t>#FYP SUNDUBU JJIGAE (WITH RICE)</t>
  </si>
  <si>
    <t>#FYP BEEF DOENJANG JJIGAE (WITH RICE)</t>
  </si>
  <si>
    <t>#FYP BEEF KIMCHI FRIED RICE</t>
  </si>
  <si>
    <t>#FYP CHICKEN KIMCHI FRIED RICE</t>
  </si>
  <si>
    <t>#FYP SPICY BULDAK FRIED RICE</t>
  </si>
  <si>
    <t>#FYP BULGOGI BIBIMBAP</t>
  </si>
  <si>
    <t>#FYP BEEF JAPCHAE</t>
  </si>
  <si>
    <t>#FYP CHAPOKKI</t>
  </si>
  <si>
    <t>#FYP BULGOGI GIMBAP</t>
  </si>
  <si>
    <t>COLD CORN TEA</t>
  </si>
  <si>
    <t>HOT CORN TEA</t>
  </si>
  <si>
    <t>LEMON TEA</t>
  </si>
  <si>
    <t>BEEF KIMCHI FRIED RICE</t>
  </si>
  <si>
    <t>BEEF JAPCHAE</t>
  </si>
  <si>
    <t>BEEF DOENJANG JJIGAE (WITH RICE)</t>
  </si>
  <si>
    <t>BULGOGI BIBIMBAP</t>
  </si>
  <si>
    <t>VEGETABLE BIBIMBAP</t>
  </si>
  <si>
    <t>BEEF DOENJANG JJIGAE (NO RICE)</t>
  </si>
  <si>
    <t>SUNDUBU JJIGAE (WITH RICE)</t>
  </si>
  <si>
    <t>SUNDUBU JJIGAE (NO RICE)</t>
  </si>
  <si>
    <t>CHICKEN JAPCHAE</t>
  </si>
  <si>
    <t>SPICY BULDAK FRIED RICE</t>
  </si>
  <si>
    <t>SPICY CHICKEN</t>
  </si>
  <si>
    <t>SOY GARLIC CHICKEN</t>
  </si>
  <si>
    <t>PAJEON</t>
  </si>
  <si>
    <t>GIMMARI</t>
  </si>
  <si>
    <t>VEGETABLE TWIGIM</t>
  </si>
  <si>
    <t>MIXED TWIGIM</t>
  </si>
  <si>
    <t>TOFU KIMCHI</t>
  </si>
  <si>
    <t>BBURINKLE CHEESE CHICKEN</t>
  </si>
  <si>
    <t>SPICY BBQ CHICKEN</t>
  </si>
  <si>
    <t>JUMEOKBAP BALL</t>
  </si>
  <si>
    <t>ORIGINAL CHICKEN KATSU</t>
  </si>
  <si>
    <t>BBURINKLE CHEESE CHICKEN KATSU</t>
  </si>
  <si>
    <t>SPICY BBQ CHICKEN KATSU</t>
  </si>
  <si>
    <t>NORI TWIGIM</t>
  </si>
  <si>
    <t>ORIGINAL TOKPOKKI</t>
  </si>
  <si>
    <t>ROSE TOKPOKKI</t>
  </si>
  <si>
    <t>RAPOKKI</t>
  </si>
  <si>
    <t>CHAPOKKI</t>
  </si>
  <si>
    <t>CHIJEU TOKPOKKI</t>
  </si>
  <si>
    <t>CHIJEU ROSE TOKPOKKI</t>
  </si>
  <si>
    <t>CHIJEU RAPOKKI</t>
  </si>
  <si>
    <t/>
  </si>
  <si>
    <t>LEZAT TIADA TARA</t>
  </si>
  <si>
    <t>item_sales - SALES</t>
  </si>
  <si>
    <t>Brand CHADOL GUJEOLPAN</t>
  </si>
  <si>
    <t>Outlet CHADOL GUJEOLPAN GREEN LAKE CITY - CHADOL GUJEOLPAN GREEN LAKE CITY</t>
  </si>
  <si>
    <t>Group</t>
  </si>
  <si>
    <t>Category</t>
  </si>
  <si>
    <t>Item_Sold</t>
  </si>
  <si>
    <t>Price</t>
  </si>
  <si>
    <t>Gross_Sales</t>
  </si>
  <si>
    <t>Disc. Item</t>
  </si>
  <si>
    <t>Disc. Bill</t>
  </si>
  <si>
    <t>Net_Sales</t>
  </si>
  <si>
    <t>Service_Charge</t>
  </si>
  <si>
    <t>Tax</t>
  </si>
  <si>
    <t>Sales_Collected</t>
  </si>
  <si>
    <t>BEVERAGE</t>
  </si>
  <si>
    <t>REGULAR DRINKS</t>
  </si>
  <si>
    <t>OTHER</t>
  </si>
  <si>
    <t>PACKAGING</t>
  </si>
  <si>
    <t>FOOD</t>
  </si>
  <si>
    <t>EXTRAS</t>
  </si>
  <si>
    <t>K-DRINKS</t>
  </si>
  <si>
    <t>CHADOL GUJEOLPAN</t>
  </si>
  <si>
    <t>SIDES</t>
  </si>
  <si>
    <t>TOKPOKKI</t>
  </si>
  <si>
    <t>PROMOTION</t>
  </si>
  <si>
    <t>SPECIAL PRICE</t>
  </si>
  <si>
    <t>RICE &amp; NOODLE</t>
  </si>
  <si>
    <t>GIMBAP</t>
  </si>
  <si>
    <t>KIDS MEAL</t>
  </si>
  <si>
    <t xml:space="preserve">CGPS0008  </t>
  </si>
  <si>
    <t>BEEF BULGOGI SET</t>
  </si>
  <si>
    <t>PERSONAL SET</t>
  </si>
  <si>
    <t xml:space="preserve">CGPS0006  </t>
  </si>
  <si>
    <t>TASTY BEEF BBQ SET</t>
  </si>
  <si>
    <t xml:space="preserve">CGPS0001  </t>
  </si>
  <si>
    <t>SOY GARLIC CHICKEN SET</t>
  </si>
  <si>
    <t xml:space="preserve">CGPS0007  </t>
  </si>
  <si>
    <t>BEEF KIMCHI SET</t>
  </si>
  <si>
    <t xml:space="preserve">CGPS0005  </t>
  </si>
  <si>
    <t>WAGYU TOKUSEN BBQ SET</t>
  </si>
  <si>
    <t xml:space="preserve">CGPS0002  </t>
  </si>
  <si>
    <t>SPICY YANGNYEOM CHICKEN SET</t>
  </si>
  <si>
    <t xml:space="preserve">CGPS0003  </t>
  </si>
  <si>
    <t>BBURINKLE CHEESE CHICKEN SET</t>
  </si>
  <si>
    <t>CHICKEN KIMCHI FRIED RICE</t>
  </si>
  <si>
    <t>DAKGALBI</t>
  </si>
  <si>
    <t>DOSIRAK</t>
  </si>
  <si>
    <t xml:space="preserve">CGPS0004  </t>
  </si>
  <si>
    <t>SPICY MALA CHICKEN SET</t>
  </si>
  <si>
    <t xml:space="preserve">CGEX0036  </t>
  </si>
  <si>
    <t>PURPLE RICE</t>
  </si>
  <si>
    <t xml:space="preserve">CGPK0021  </t>
  </si>
  <si>
    <t>TA CHARGE PROMO</t>
  </si>
  <si>
    <t xml:space="preserve">CGEX0035  </t>
  </si>
  <si>
    <t>ADD BBQ WAGYU TOKUSEN 100 G</t>
  </si>
  <si>
    <t xml:space="preserve">CGEX0034  </t>
  </si>
  <si>
    <t>ADD BBQ TASTY BEEF 100 G</t>
  </si>
  <si>
    <t xml:space="preserve">CGTP0008  </t>
  </si>
  <si>
    <t xml:space="preserve">CGEX0006  </t>
  </si>
  <si>
    <t xml:space="preserve">CGEX0007  </t>
  </si>
  <si>
    <t xml:space="preserve">CGJG0005  </t>
  </si>
  <si>
    <t>Kode</t>
  </si>
  <si>
    <t>Item</t>
  </si>
  <si>
    <t>Vendor</t>
  </si>
  <si>
    <t>Merek</t>
  </si>
  <si>
    <t>Min Order</t>
  </si>
  <si>
    <t xml:space="preserve">SUPPLIER HUMAN POWER </t>
  </si>
  <si>
    <t>Eomuk (Odeng) 1 Kg</t>
  </si>
  <si>
    <t>Human Power</t>
  </si>
  <si>
    <t xml:space="preserve">10 pck </t>
  </si>
  <si>
    <t>SUPPLIER WATER LIFE/VITA</t>
  </si>
  <si>
    <t>Wijen Putih 1 Kg</t>
  </si>
  <si>
    <t>Waterlife/Vita</t>
  </si>
  <si>
    <t>-</t>
  </si>
  <si>
    <r>
      <rPr>
        <b/>
        <sz val="11"/>
        <color theme="1"/>
        <rFont val="Calibri"/>
        <family val="2"/>
        <scheme val="minor"/>
      </rPr>
      <t xml:space="preserve">WATER </t>
    </r>
    <r>
      <rPr>
        <sz val="11"/>
        <color theme="1"/>
        <rFont val="Calibri"/>
        <family val="2"/>
        <scheme val="minor"/>
      </rPr>
      <t xml:space="preserve">: CG-GLC; CG-MKG; CG-BXC; CG-SMS, </t>
    </r>
    <r>
      <rPr>
        <b/>
        <sz val="11"/>
        <color theme="1"/>
        <rFont val="Calibri"/>
        <family val="2"/>
        <scheme val="minor"/>
      </rPr>
      <t>VITA</t>
    </r>
    <r>
      <rPr>
        <sz val="11"/>
        <color theme="1"/>
        <rFont val="Calibri"/>
        <family val="2"/>
        <scheme val="minor"/>
      </rPr>
      <t xml:space="preserve"> : CG-JGC (SELASA, KAMIS, SABTU); CG-ATB (SENIN, RABU, JUMAT); CG-ADM (SENIN, RABU, JUMAT) </t>
    </r>
    <r>
      <rPr>
        <b/>
        <sz val="11"/>
        <color theme="1"/>
        <rFont val="Calibri"/>
        <family val="2"/>
        <scheme val="minor"/>
      </rPr>
      <t xml:space="preserve">MINYAK DORANG CG-JGC &amp; CG-ADM DROP WH </t>
    </r>
  </si>
  <si>
    <t>Minyak Goreng Dorang Mas 18 L</t>
  </si>
  <si>
    <t>Waterlife</t>
  </si>
  <si>
    <t>Dorang Mas</t>
  </si>
  <si>
    <t>Paya Meat Tenderizer 70 G</t>
  </si>
  <si>
    <t>Paya</t>
  </si>
  <si>
    <t>bottle</t>
  </si>
  <si>
    <t>Saos Tomat Del Monte 1 KG</t>
  </si>
  <si>
    <t>Del Monte</t>
  </si>
  <si>
    <t>Tepung Segitiga Biru 1kg</t>
  </si>
  <si>
    <t>Segitiga Briu</t>
  </si>
  <si>
    <t>Pack @ 1 kg</t>
  </si>
  <si>
    <t>Cuka Dixi / BELIBIS 650 ML</t>
  </si>
  <si>
    <t>Dixi</t>
  </si>
  <si>
    <t>Lada Hitam Halus 1 KG</t>
  </si>
  <si>
    <t>Koepoe Koepoe</t>
  </si>
  <si>
    <t>PEWARNA KOEPOE" KUNING  TUA 30 ML</t>
  </si>
  <si>
    <t>Kg</t>
  </si>
  <si>
    <t>Sawi Putih</t>
  </si>
  <si>
    <t>Kol</t>
  </si>
  <si>
    <t>Kyuri Lurus (jangan bengkok)</t>
  </si>
  <si>
    <t>Beet Root Ungu</t>
  </si>
  <si>
    <t>Daun Bawang Cung Kecil</t>
  </si>
  <si>
    <t>Tepung Maizena Maizenaku 1 kg</t>
  </si>
  <si>
    <t>Bawang Putih Kupas</t>
  </si>
  <si>
    <t xml:space="preserve">Daun Selada Keriting </t>
  </si>
  <si>
    <t>Ubi Cilembu Kuning</t>
  </si>
  <si>
    <t>Tahu Cina Padat 420 g</t>
  </si>
  <si>
    <t xml:space="preserve">Cabe Merah Besar </t>
  </si>
  <si>
    <t>Garam Halus Dolphin 500 g</t>
  </si>
  <si>
    <t>Dolphin</t>
  </si>
  <si>
    <t>pack @ 500 g</t>
  </si>
  <si>
    <t>Ajinomoto 1KG</t>
  </si>
  <si>
    <t>pack @ 1 kg</t>
  </si>
  <si>
    <t>Gula Pasir 1 KG</t>
  </si>
  <si>
    <t>Gulaku</t>
  </si>
  <si>
    <t>Kecap Manis Bango 520 ML</t>
  </si>
  <si>
    <t>Bango</t>
  </si>
  <si>
    <t>pack @ 520 ml</t>
  </si>
  <si>
    <t>Daun Prilia 9-10 cm @ 10 lembar</t>
  </si>
  <si>
    <t>Pack @ 10 pcs</t>
  </si>
  <si>
    <t>Tepung Tapioka Pak Tani Gunung 500 g</t>
  </si>
  <si>
    <t>Tani Gunung</t>
  </si>
  <si>
    <t>Pack @ 500 g</t>
  </si>
  <si>
    <t>Tepung Beras Rose Brand 500 g</t>
  </si>
  <si>
    <t>Rose Brand</t>
  </si>
  <si>
    <t xml:space="preserve">Tauge </t>
  </si>
  <si>
    <t>FGR00097</t>
  </si>
  <si>
    <t>SUSU KENTAL MANIS 365 G</t>
  </si>
  <si>
    <t>Carnation</t>
  </si>
  <si>
    <t>can</t>
  </si>
  <si>
    <t>FGR00103</t>
  </si>
  <si>
    <t>Makaroni 1 Kg</t>
  </si>
  <si>
    <t>Sedani</t>
  </si>
  <si>
    <t>pack @1 kg</t>
  </si>
  <si>
    <t>SUPPLIER WATER / GRAND EGG / VITA / SO GOOD</t>
  </si>
  <si>
    <t xml:space="preserve">Telur </t>
  </si>
  <si>
    <t>Water / Grand Egg</t>
  </si>
  <si>
    <t xml:space="preserve">Kg </t>
  </si>
  <si>
    <t>15 kg</t>
  </si>
  <si>
    <r>
      <rPr>
        <b/>
        <sz val="11"/>
        <color theme="1"/>
        <rFont val="Calibri"/>
        <family val="2"/>
        <scheme val="minor"/>
      </rPr>
      <t xml:space="preserve">CG-GLC, CK, CG-SMS, CG-SMS </t>
    </r>
    <r>
      <rPr>
        <sz val="11"/>
        <color theme="1"/>
        <rFont val="Calibri"/>
        <family val="2"/>
        <scheme val="minor"/>
      </rPr>
      <t xml:space="preserve">(Grand Egg); </t>
    </r>
    <r>
      <rPr>
        <b/>
        <sz val="11"/>
        <color theme="1"/>
        <rFont val="Calibri"/>
        <family val="2"/>
        <scheme val="minor"/>
      </rPr>
      <t>CG-MKG, CG-BXC</t>
    </r>
    <r>
      <rPr>
        <sz val="11"/>
        <color theme="1"/>
        <rFont val="Calibri"/>
        <family val="2"/>
        <scheme val="minor"/>
      </rPr>
      <t xml:space="preserve"> (Water), CG-JGC (Vita); CG-ATB (Vita); CG-ADM (SO Good) </t>
    </r>
    <r>
      <rPr>
        <b/>
        <sz val="11"/>
        <color theme="1"/>
        <rFont val="Calibri"/>
        <family val="2"/>
        <scheme val="minor"/>
      </rPr>
      <t>UNTUK SUPPLIER SO GOOD MIN ORDER 20 KG DAN PENGRODERAN H-2 SEBELUM TGL KEDATANGAN</t>
    </r>
  </si>
  <si>
    <t>SUPPLIER SUKANDA</t>
  </si>
  <si>
    <t>Cooking Cream 1 L</t>
  </si>
  <si>
    <t>Sukanda</t>
  </si>
  <si>
    <t>Millac</t>
  </si>
  <si>
    <t>pack @ 1 L</t>
  </si>
  <si>
    <t>Rp. 500.000</t>
  </si>
  <si>
    <t>STOCK MILLAC SEDANG KOSONG</t>
  </si>
  <si>
    <t>Kani Stick 1 Kg</t>
  </si>
  <si>
    <t>Tuna In Oil 1,8 KG</t>
  </si>
  <si>
    <t>Vinisi</t>
  </si>
  <si>
    <t>Karage Garlic Mini Frozen 1 KG</t>
  </si>
  <si>
    <t>Pack</t>
  </si>
  <si>
    <t>FFF00027</t>
  </si>
  <si>
    <t xml:space="preserve">Mixed Vegetable 3 Ways 1 Kg </t>
  </si>
  <si>
    <t>Golden Farm</t>
  </si>
  <si>
    <t xml:space="preserve">SUPPLIER ANDREW </t>
  </si>
  <si>
    <t>Beras Pandan Wangi 10 KG</t>
  </si>
  <si>
    <t>Andrew</t>
  </si>
  <si>
    <t>sack</t>
  </si>
  <si>
    <t>100 kg</t>
  </si>
  <si>
    <t>TIDAK PAKAI ANDREW LAGI</t>
  </si>
  <si>
    <t>Ketan 5 KG</t>
  </si>
  <si>
    <t>SUPPLIER SANTORI/CHARIS/MAHARDIKA</t>
  </si>
  <si>
    <t>kg</t>
  </si>
  <si>
    <t>CG-BXC - SANTORI; CG-MKG, CG-ATB, CG-JGC, CG-SMS, CG-GLC, CG-ADM - CHARIS</t>
  </si>
  <si>
    <t>Beef Brisket/Shortplate</t>
  </si>
  <si>
    <t>Santori/Mahardika/Charis</t>
  </si>
  <si>
    <t>SUPPLIER SANTORI</t>
  </si>
  <si>
    <t xml:space="preserve">Tokusen Wagyu Brisket Ne Cut 2 </t>
  </si>
  <si>
    <t>Santori</t>
  </si>
  <si>
    <t>10 Kg</t>
  </si>
  <si>
    <t>16 Kg</t>
  </si>
  <si>
    <t>SUPPLIER MASUYA</t>
  </si>
  <si>
    <t>FSP00018</t>
  </si>
  <si>
    <t>Kewpie Mayo Pro Use Kontainer 3 Kg</t>
  </si>
  <si>
    <t>Masuya</t>
  </si>
  <si>
    <t>Kewpie</t>
  </si>
  <si>
    <t>Pail</t>
  </si>
  <si>
    <t>Wasabi Powder 1 Kg</t>
  </si>
  <si>
    <t xml:space="preserve">pack </t>
  </si>
  <si>
    <t>Katsuodashi 1 Kg</t>
  </si>
  <si>
    <t xml:space="preserve">Masuya </t>
  </si>
  <si>
    <t>Takumi</t>
  </si>
  <si>
    <t>Mie Instan Burung Dara 10 pack x 266 g</t>
  </si>
  <si>
    <t>Burung Dara</t>
  </si>
  <si>
    <t>ctn</t>
  </si>
  <si>
    <t>FGR00101</t>
  </si>
  <si>
    <t>Beras Japonica 5 KG</t>
  </si>
  <si>
    <t>Kani Stick 500 g</t>
  </si>
  <si>
    <t>SUPPLIER STC</t>
  </si>
  <si>
    <t>Corn Syrup 10 KG</t>
  </si>
  <si>
    <t>STC</t>
  </si>
  <si>
    <t>Choripdong</t>
  </si>
  <si>
    <t>jerrycan</t>
  </si>
  <si>
    <t>Rp. 1.500.0000</t>
  </si>
  <si>
    <t>BTP0002</t>
  </si>
  <si>
    <t>Barley Tea Choripdong 2.26 Kg</t>
  </si>
  <si>
    <t>Sogogi Dashida (Beef Soup Stock) 2,25 Kg</t>
  </si>
  <si>
    <t>CJ</t>
  </si>
  <si>
    <t>Anchovy Dashida (Dashida Ikan Teri) 500 g</t>
  </si>
  <si>
    <t>Haenong Seasoned Laver Powder 1 KG</t>
  </si>
  <si>
    <t>Haenong</t>
  </si>
  <si>
    <t>SUPPLIER CJ</t>
  </si>
  <si>
    <t>H-2</t>
  </si>
  <si>
    <t>Yaki Nori 280 G 100 LBR</t>
  </si>
  <si>
    <t>10 pack</t>
  </si>
  <si>
    <t>10 Pack</t>
  </si>
  <si>
    <r>
      <t xml:space="preserve">Min order Jakarta - Tangerang 700.000; untuk </t>
    </r>
    <r>
      <rPr>
        <b/>
        <sz val="11"/>
        <color theme="1"/>
        <rFont val="Calibri"/>
        <family val="2"/>
        <scheme val="minor"/>
      </rPr>
      <t xml:space="preserve">CG-ADM </t>
    </r>
    <r>
      <rPr>
        <sz val="11"/>
        <color theme="1"/>
        <rFont val="Calibri"/>
        <family val="2"/>
        <scheme val="minor"/>
      </rPr>
      <t xml:space="preserve">min order 1 jt </t>
    </r>
  </si>
  <si>
    <t>Dangmyeon CJ 10 x 1 KG</t>
  </si>
  <si>
    <t>1 ctn</t>
  </si>
  <si>
    <t>SUPPLIER FRESH FRUIT/WATER LIFE/VITA</t>
  </si>
  <si>
    <t>Shiitake Fresh 5 Kg</t>
  </si>
  <si>
    <t>Fresh Fruit/WATERLIFE/Vita</t>
  </si>
  <si>
    <t xml:space="preserve">ctn </t>
  </si>
  <si>
    <t>2 ctn</t>
  </si>
  <si>
    <t>CG-JGC, CG-MKG, CG-MKG -&gt; VITA/WATER, selain itu ke FRESH FRUIT</t>
  </si>
  <si>
    <t>Enoki 50 pack @ 100 g</t>
  </si>
  <si>
    <t>SUPPLIER KIMIA YASA</t>
  </si>
  <si>
    <t>NCGK0007</t>
  </si>
  <si>
    <t>Gas Butane Portable Purity 230G</t>
  </si>
  <si>
    <t>Kimia Yasa</t>
  </si>
  <si>
    <t>Purity</t>
  </si>
  <si>
    <t>ctn @ 24 pcs</t>
  </si>
  <si>
    <t>3 ctn</t>
  </si>
  <si>
    <t>SUPPLIER OVO EGG</t>
  </si>
  <si>
    <t>Selasa, Kamis, Sabtu</t>
  </si>
  <si>
    <t>Frozen Liquid Whole Egg 2 kg</t>
  </si>
  <si>
    <t>OVO EGG</t>
  </si>
  <si>
    <t>Ovo Egg</t>
  </si>
  <si>
    <t>SUPPLIER MULYA RAYA</t>
  </si>
  <si>
    <t>Gochujang paste 14 kg</t>
  </si>
  <si>
    <t>MULYA RAYA</t>
  </si>
  <si>
    <t>pail</t>
  </si>
  <si>
    <t>Anchor</t>
  </si>
  <si>
    <t>Cream Cheese Anchor 1 kg</t>
  </si>
  <si>
    <t>SUPPLIER CIOMAS</t>
  </si>
  <si>
    <t>Paha Boneless Free Size 2 kg</t>
  </si>
  <si>
    <t>CIOMAS</t>
  </si>
  <si>
    <t>20 Kg</t>
  </si>
  <si>
    <t>SUPPLIER TAMMA FOOD</t>
  </si>
  <si>
    <t>Tortilla Wrap 20 Cm 20 Lmbr</t>
  </si>
  <si>
    <t>TAMMA</t>
  </si>
  <si>
    <t>50 Pack</t>
  </si>
  <si>
    <t>SUPPLIER ILMI/OMMASON</t>
  </si>
  <si>
    <r>
      <rPr>
        <b/>
        <sz val="11"/>
        <color theme="1"/>
        <rFont val="Calibri"/>
        <family val="2"/>
        <scheme val="minor"/>
      </rPr>
      <t>CG- MKG</t>
    </r>
    <r>
      <rPr>
        <sz val="11"/>
        <color theme="1"/>
        <rFont val="Calibri"/>
        <family val="2"/>
        <scheme val="minor"/>
      </rPr>
      <t xml:space="preserve"> ( RUTE RABU), </t>
    </r>
    <r>
      <rPr>
        <b/>
        <sz val="11"/>
        <color theme="1"/>
        <rFont val="Calibri"/>
        <family val="2"/>
        <scheme val="minor"/>
      </rPr>
      <t>CG-GLC,CG-ATB</t>
    </r>
    <r>
      <rPr>
        <sz val="11"/>
        <color theme="1"/>
        <rFont val="Calibri"/>
        <family val="2"/>
        <scheme val="minor"/>
      </rPr>
      <t xml:space="preserve"> (SENIN, SELASA, DAN JUMAT), </t>
    </r>
    <r>
      <rPr>
        <b/>
        <sz val="11"/>
        <color theme="1"/>
        <rFont val="Calibri"/>
        <family val="2"/>
        <scheme val="minor"/>
      </rPr>
      <t>CG-JGC</t>
    </r>
    <r>
      <rPr>
        <sz val="11"/>
        <color theme="1"/>
        <rFont val="Calibri"/>
        <family val="2"/>
        <scheme val="minor"/>
      </rPr>
      <t xml:space="preserve"> DROP DI WH, </t>
    </r>
    <r>
      <rPr>
        <b/>
        <sz val="11"/>
        <color theme="1"/>
        <rFont val="Calibri"/>
        <family val="2"/>
        <scheme val="minor"/>
      </rPr>
      <t>CG-BXC</t>
    </r>
    <r>
      <rPr>
        <sz val="11"/>
        <color theme="1"/>
        <rFont val="Calibri"/>
        <family val="2"/>
        <scheme val="minor"/>
      </rPr>
      <t xml:space="preserve"> (RUTE SELASA), </t>
    </r>
    <r>
      <rPr>
        <b/>
        <sz val="11"/>
        <color theme="1"/>
        <rFont val="Calibri"/>
        <family val="2"/>
        <scheme val="minor"/>
      </rPr>
      <t xml:space="preserve">CG-ADM </t>
    </r>
    <r>
      <rPr>
        <sz val="11"/>
        <color theme="1"/>
        <rFont val="Calibri"/>
        <family val="2"/>
        <scheme val="minor"/>
      </rPr>
      <t>(RUTE KAMIS)</t>
    </r>
  </si>
  <si>
    <t>BTP0001</t>
  </si>
  <si>
    <t>Corn Tea 500 g</t>
  </si>
  <si>
    <t>ILMI OMASON</t>
  </si>
  <si>
    <t>Tteok (Rice Cake)</t>
  </si>
  <si>
    <t xml:space="preserve">SUPPLIER PRAMBANAN KENCANA </t>
  </si>
  <si>
    <t>H-2 SABTU &amp; MINGGU libur pengiriman</t>
  </si>
  <si>
    <t>Mozzarella J-Pizza</t>
  </si>
  <si>
    <t xml:space="preserve">PRAMBANAN </t>
  </si>
  <si>
    <t>J-PIZZA</t>
  </si>
  <si>
    <t>MEXICAN</t>
  </si>
  <si>
    <t>SUPPLIER WATER</t>
  </si>
  <si>
    <t>CG- ADM; CG-JGC (DROP WH); CG-ATB SENIN, RABU, JUMAT</t>
  </si>
  <si>
    <t>Bread Crumb Frozen 4x2 kg</t>
  </si>
  <si>
    <t>WATER</t>
  </si>
  <si>
    <t>CTN @4 pack</t>
  </si>
  <si>
    <t>SUPPLIER SAMUDRA BERKAT ABADI/WATER</t>
  </si>
  <si>
    <r>
      <rPr>
        <b/>
        <sz val="11"/>
        <color rgb="FFFF0000"/>
        <rFont val="Calibri"/>
        <family val="2"/>
        <scheme val="minor"/>
      </rPr>
      <t>WATER</t>
    </r>
    <r>
      <rPr>
        <b/>
        <sz val="11"/>
        <color theme="1"/>
        <rFont val="Calibri"/>
        <family val="2"/>
        <scheme val="minor"/>
      </rPr>
      <t xml:space="preserve"> : </t>
    </r>
    <r>
      <rPr>
        <sz val="11"/>
        <color theme="1"/>
        <rFont val="Calibri"/>
        <family val="2"/>
        <scheme val="minor"/>
      </rPr>
      <t>CG-GLC; CG-MKG; CG-BXC; CG-SMS</t>
    </r>
    <r>
      <rPr>
        <b/>
        <sz val="11"/>
        <color theme="1"/>
        <rFont val="Calibri"/>
        <family val="2"/>
        <scheme val="minor"/>
      </rPr>
      <t xml:space="preserve"> (SETIAP HARI),  </t>
    </r>
    <r>
      <rPr>
        <b/>
        <sz val="11"/>
        <color rgb="FFFF0000"/>
        <rFont val="Calibri"/>
        <family val="2"/>
        <scheme val="minor"/>
      </rPr>
      <t>SAMUDERA</t>
    </r>
    <r>
      <rPr>
        <b/>
        <sz val="11"/>
        <color theme="1"/>
        <rFont val="Calibri"/>
        <family val="2"/>
        <scheme val="minor"/>
      </rPr>
      <t xml:space="preserve"> : </t>
    </r>
    <r>
      <rPr>
        <sz val="11"/>
        <color theme="1"/>
        <rFont val="Calibri"/>
        <family val="2"/>
        <scheme val="minor"/>
      </rPr>
      <t>CG-ADM; CG-JGC</t>
    </r>
    <r>
      <rPr>
        <b/>
        <sz val="11"/>
        <color theme="1"/>
        <rFont val="Calibri"/>
        <family val="2"/>
        <scheme val="minor"/>
      </rPr>
      <t xml:space="preserve"> (TANGGAL GANJIL)</t>
    </r>
    <r>
      <rPr>
        <sz val="11"/>
        <color theme="1"/>
        <rFont val="Calibri"/>
        <family val="2"/>
        <scheme val="minor"/>
      </rPr>
      <t xml:space="preserve">; CG-ATB </t>
    </r>
    <r>
      <rPr>
        <b/>
        <sz val="11"/>
        <color theme="1"/>
        <rFont val="Calibri"/>
        <family val="2"/>
        <scheme val="minor"/>
      </rPr>
      <t>(TANGGAL GENAP)</t>
    </r>
  </si>
  <si>
    <t>Gurita Baby</t>
  </si>
  <si>
    <t>Samudra Berkat Abadi/Water</t>
  </si>
  <si>
    <t>20 KG</t>
  </si>
  <si>
    <t>SUPPLIER INBISCO NIAGATAMA</t>
  </si>
  <si>
    <t>BRTD0002</t>
  </si>
  <si>
    <t>Le Minerale 600 Ml</t>
  </si>
  <si>
    <t>Inbisco</t>
  </si>
  <si>
    <t>Le minerale</t>
  </si>
  <si>
    <t>Ctn</t>
  </si>
  <si>
    <t>5 ctn</t>
  </si>
  <si>
    <t>PT. GLOBAL SUKSESINDO MADIRI (XYZ)</t>
  </si>
  <si>
    <t>HG-TBZ, HG-GLC,  (RUTE SELASA), HG-BXC (JUMAT), CG-BXC (RABU), CG-MKG, HG-GLC (KAMIS)</t>
  </si>
  <si>
    <t>CECM0001</t>
  </si>
  <si>
    <t>XYZ Karbol Pinus 5 L</t>
  </si>
  <si>
    <t>Xyz</t>
  </si>
  <si>
    <t>PRIMA MAKMUR</t>
  </si>
  <si>
    <t>TEPUNG EASYMIX TEMPURA 1 KG</t>
  </si>
  <si>
    <t>ctn @10 kg</t>
  </si>
  <si>
    <t>kedatangan PO H+2 JKT-Tangerang; PO H+3 Area Bekasi</t>
  </si>
  <si>
    <t>SUPPLIER SKS</t>
  </si>
  <si>
    <t>FFF00028</t>
  </si>
  <si>
    <t>MANDU 24 PCS/PACK</t>
  </si>
  <si>
    <t>SKS</t>
  </si>
  <si>
    <t>20 pack</t>
  </si>
  <si>
    <r>
      <t xml:space="preserve">Kedatangan Seminggu sekali, </t>
    </r>
    <r>
      <rPr>
        <b/>
        <sz val="11"/>
        <color theme="1"/>
        <rFont val="Calibri"/>
        <family val="2"/>
        <scheme val="minor"/>
      </rPr>
      <t>Rabu</t>
    </r>
    <r>
      <rPr>
        <sz val="11"/>
        <color theme="1"/>
        <rFont val="Calibri"/>
        <family val="2"/>
        <scheme val="minor"/>
      </rPr>
      <t xml:space="preserve">=&gt; CG-MKG, CG-JGC, CG-ATB; </t>
    </r>
    <r>
      <rPr>
        <b/>
        <sz val="11"/>
        <color theme="1"/>
        <rFont val="Calibri"/>
        <family val="2"/>
        <scheme val="minor"/>
      </rPr>
      <t xml:space="preserve">Rabu&amp;Kamis </t>
    </r>
    <r>
      <rPr>
        <sz val="11"/>
        <color theme="1"/>
        <rFont val="Calibri"/>
        <family val="2"/>
        <scheme val="minor"/>
      </rPr>
      <t xml:space="preserve">=&gt; HC-ADM; </t>
    </r>
    <r>
      <rPr>
        <b/>
        <sz val="11"/>
        <color theme="1"/>
        <rFont val="Calibri"/>
        <family val="2"/>
        <scheme val="minor"/>
      </rPr>
      <t>Kamis</t>
    </r>
    <r>
      <rPr>
        <sz val="11"/>
        <color theme="1"/>
        <rFont val="Calibri"/>
        <family val="2"/>
        <scheme val="minor"/>
      </rPr>
      <t xml:space="preserve"> =&gt; CG-GLC, CG-APJ;</t>
    </r>
    <r>
      <rPr>
        <b/>
        <sz val="11"/>
        <color theme="1"/>
        <rFont val="Calibri"/>
        <family val="2"/>
        <scheme val="minor"/>
      </rPr>
      <t xml:space="preserve"> Kamis&amp;Jumat</t>
    </r>
    <r>
      <rPr>
        <sz val="11"/>
        <color theme="1"/>
        <rFont val="Calibri"/>
        <family val="2"/>
        <scheme val="minor"/>
      </rPr>
      <t xml:space="preserve"> =&gt; CG-SMS, CG-BXC; </t>
    </r>
  </si>
  <si>
    <t>Nilai Estimasi/bulan</t>
  </si>
  <si>
    <t>ML</t>
  </si>
  <si>
    <t>CENTRAL KITCHEN</t>
  </si>
  <si>
    <t>CKP00053</t>
  </si>
  <si>
    <t>(INACTIVE) FROZEN BIG KATSU</t>
  </si>
  <si>
    <t>CK HOTOK FILLING BROWN SUGAR 1 KG</t>
  </si>
  <si>
    <t>CK HOTOK GLUTAMAT BLENDER 100 G</t>
  </si>
  <si>
    <t>CK KIMCHI SAUCE 1 KG</t>
  </si>
  <si>
    <t>CK TOKPOKKI SAUCE 1 KG</t>
  </si>
  <si>
    <t>CK MUSTARD SAUCE 1 KG</t>
  </si>
  <si>
    <t>CK ADONAN HOTOK 1 KG</t>
  </si>
  <si>
    <t>CK HOTOK FILLING BULGOGI 1 KG</t>
  </si>
  <si>
    <t>CK HOTOK FILLING JAPCHAE 1 KG</t>
  </si>
  <si>
    <t>CK SUNDUBU JJIGAE SAUCE 1 KG</t>
  </si>
  <si>
    <t>CK JAPCHAE SAUCE HOTOK 1 KG</t>
  </si>
  <si>
    <t>CKPF0048</t>
  </si>
  <si>
    <t>CK JJAJANG FRIED RICE SAUCE 1 KG</t>
  </si>
  <si>
    <t>CKPF0050</t>
  </si>
  <si>
    <t>CK BULDAK FRIED RICE SAUCE 1 KG</t>
  </si>
  <si>
    <t>CKPF0051</t>
  </si>
  <si>
    <t>(INACTIVE) CK KIMCHI FRIED RICE HG SAUCE 1 KG</t>
  </si>
  <si>
    <t>CKPF0052</t>
  </si>
  <si>
    <t>CK FROZEN BIG KATSU 5 PCS</t>
  </si>
  <si>
    <t>CK MANGO K-DRINK</t>
  </si>
  <si>
    <t>CK WATERMELON K-DRINK</t>
  </si>
  <si>
    <t>CK MUSCAT K-DRINK</t>
  </si>
  <si>
    <t>CK PEAR K-DRINK</t>
  </si>
  <si>
    <t>CK STRAWBERRY K-DRINK</t>
  </si>
  <si>
    <t>CK JEJU ORANGE K-DRINK</t>
  </si>
  <si>
    <t>CK HONEY YUZU K-DRINK</t>
  </si>
  <si>
    <t>CK KIWI K-DRINK</t>
  </si>
  <si>
    <t>CK GRAPES K-DRINK</t>
  </si>
  <si>
    <t>CK CARAMEL POPCRON K-DRINK</t>
  </si>
  <si>
    <t>CK ICE AMERICANO K-DRINK</t>
  </si>
  <si>
    <t>CK SALTED CARAMEL COFFEE K-DRINK</t>
  </si>
  <si>
    <t>CK PEACH K-DRINK</t>
  </si>
  <si>
    <t>CK APPLE K-DRINK</t>
  </si>
  <si>
    <t>CK LYCHEE K-DRINK</t>
  </si>
  <si>
    <t>WAREHOUSE</t>
  </si>
  <si>
    <t>PKG00046</t>
  </si>
  <si>
    <t>PKG00036</t>
  </si>
  <si>
    <t>NCGK0005</t>
  </si>
  <si>
    <t>PKG00051</t>
  </si>
  <si>
    <t>PKG00050</t>
  </si>
  <si>
    <t>PKG00070</t>
  </si>
  <si>
    <t>GREASE PAPER NEWSPAPER 25 X 27.5</t>
  </si>
  <si>
    <t>NCGK0012</t>
  </si>
  <si>
    <t>HAND GLOVES NITRILE SIZE L</t>
  </si>
  <si>
    <t>NCGK0011</t>
  </si>
  <si>
    <t>HAND GLOVES NITRILE SIZE M</t>
  </si>
  <si>
    <t>OTH00092</t>
  </si>
  <si>
    <t>KABEL TIES 10 CM</t>
  </si>
  <si>
    <t>BTP00003</t>
  </si>
  <si>
    <t>LEMON TEA NESTEA 1 KG</t>
  </si>
  <si>
    <t>PKG00052</t>
  </si>
  <si>
    <t>LID FLAT CUP 93mm 1000 PCS</t>
  </si>
  <si>
    <t>OTH00064</t>
  </si>
  <si>
    <t>LILIN MEJA / TEALIGHT</t>
  </si>
  <si>
    <t>PKG00039</t>
  </si>
  <si>
    <t>LUNCH BOX M LOGO CHADOL 160 X 90 X 45 mm</t>
  </si>
  <si>
    <t>PKG00038</t>
  </si>
  <si>
    <t>PAKET SENDOK GARPU TISU STERILE (KHUSUS EVENT &amp; CATERING)</t>
  </si>
  <si>
    <t>PKG00037</t>
  </si>
  <si>
    <t>PAPER BOWL 800 ML LOGO CHADOL + LID</t>
  </si>
  <si>
    <t>PKG00032</t>
  </si>
  <si>
    <t>PLASTIK HD 2 KG 20 x 35 (UTK TAKE AWAY)</t>
  </si>
  <si>
    <t>PKG00054</t>
  </si>
  <si>
    <t>PLASTIK KLIP 5 X 8 CM</t>
  </si>
  <si>
    <t>CETS0027</t>
  </si>
  <si>
    <t>PLASTIK KRESEK HITAM 35 (Utk Tong Sampah)</t>
  </si>
  <si>
    <t>NCGK0003</t>
  </si>
  <si>
    <t>PLASTIK PE 1 KG 15 x 30</t>
  </si>
  <si>
    <t>NCGK0008</t>
  </si>
  <si>
    <t>PLASTIK PE 1/4 KG 10x20</t>
  </si>
  <si>
    <t>NCGK0009</t>
  </si>
  <si>
    <t>PLASTIK PE 10 KG 40 x 60</t>
  </si>
  <si>
    <t>NCGK0001</t>
  </si>
  <si>
    <t>PLASTIK PE 2 KG 20 x 35 (Kitchen)</t>
  </si>
  <si>
    <t>CETS0025</t>
  </si>
  <si>
    <t>PLASTIK SAMPAH 60 x 100 (10 LEMBAR)</t>
  </si>
  <si>
    <t>CETS0026</t>
  </si>
  <si>
    <t>PLASTIK SAMPAH 90 x 120 (5 LEMBAR)</t>
  </si>
  <si>
    <t>PKG00012</t>
  </si>
  <si>
    <t>PLASTIK TAKE AWAY 24</t>
  </si>
  <si>
    <t>PKG00013</t>
  </si>
  <si>
    <t>PLASTIK TAKE AWAY 28</t>
  </si>
  <si>
    <t>PKG00008</t>
  </si>
  <si>
    <t>SAUCE CUP TUTUP SAMBUNG 35 ML (50 PCS)</t>
  </si>
  <si>
    <t>PKG00010</t>
  </si>
  <si>
    <t>SENDOK TAKE AWAY PACK @ 25 PCS</t>
  </si>
  <si>
    <t>PKG00047</t>
  </si>
  <si>
    <t>STA00115</t>
  </si>
  <si>
    <t>STICKER SAUCE</t>
  </si>
  <si>
    <t>PKG00009</t>
  </si>
  <si>
    <t>SUMPIT TAKE AWAY PACK @100 PCS</t>
  </si>
  <si>
    <t>NCGS0001</t>
  </si>
  <si>
    <t>TISSUE COCKTAIL NAPKIN 11x11 (48 PACK)</t>
  </si>
  <si>
    <t>NCGK0006</t>
  </si>
  <si>
    <t>TISSUE SEE-U HANDTOWELS @ 20 PACK</t>
  </si>
  <si>
    <t>NCGS0002</t>
  </si>
  <si>
    <t>TUSUK GIGI ION @ 500 PCS</t>
  </si>
  <si>
    <t>CECM0022</t>
  </si>
  <si>
    <t>RACUN LALAT</t>
  </si>
  <si>
    <t>NCG00018</t>
  </si>
  <si>
    <t>SARUNG TANGAN PELASTIK</t>
  </si>
  <si>
    <t>BTP00010</t>
  </si>
  <si>
    <t>ROASTED BARLEY TEA 1 KG</t>
  </si>
  <si>
    <t>ANCHOVY STOCK FDX 1 KG</t>
  </si>
  <si>
    <t>MKT00054</t>
  </si>
  <si>
    <t xml:space="preserve">	STICKER RATING PENJUALAN ONLINE</t>
  </si>
  <si>
    <t>FGR00102</t>
  </si>
  <si>
    <t>BERAS HITAM 1 KG</t>
  </si>
  <si>
    <t xml:space="preserve">FGR00104	</t>
  </si>
  <si>
    <t xml:space="preserve">	CUT WAKAME 500 G</t>
  </si>
  <si>
    <t>NCG00025</t>
  </si>
  <si>
    <t>SILIKON PAPER 500 LEMBAR/CTN</t>
  </si>
  <si>
    <t>OTH00218</t>
  </si>
  <si>
    <t>STERNO 12KG/CTN</t>
  </si>
  <si>
    <t>PKG00074</t>
  </si>
  <si>
    <t>THINWALL BULAT 200 ML PACK@25PCS</t>
  </si>
  <si>
    <t>PKG00072</t>
  </si>
  <si>
    <t>BENTO BOX JLB-4</t>
  </si>
  <si>
    <t>Date 01-10-2024-27-10-2024</t>
  </si>
  <si>
    <t>Download at: 27-10-2024 03:19:57</t>
  </si>
  <si>
    <t xml:space="preserve">CGPR0085  </t>
  </si>
  <si>
    <t>FREE BBURINKLE CHEESE CHICKEN SET</t>
  </si>
  <si>
    <t>FREE ITEM</t>
  </si>
  <si>
    <t xml:space="preserve">CGPR0086  </t>
  </si>
  <si>
    <t>FREE SPICY MALA CHICKEN SET</t>
  </si>
  <si>
    <t xml:space="preserve">CGSD0020  </t>
  </si>
  <si>
    <t xml:space="preserve">CGEX0040  </t>
  </si>
  <si>
    <t>ADD SEAWEED &amp; EGG SOUP</t>
  </si>
  <si>
    <t>SPICY YANGNYEOM CHICKEN &amp; TOFU KIMCHI K-BENTO</t>
  </si>
  <si>
    <t xml:space="preserve"> * ICE AMERICANO K-DRINK</t>
  </si>
  <si>
    <t>CHIJEU CHAPOKKI</t>
  </si>
  <si>
    <t>Nilai Estimasi/minggu</t>
  </si>
  <si>
    <t>Beras Japonica</t>
  </si>
  <si>
    <t>CK Twigim Sauce 1 Kg</t>
  </si>
  <si>
    <t xml:space="preserve"> Cabe Rawit Merah Chop/Iris</t>
  </si>
  <si>
    <t xml:space="preserve"> Daun Bawang Cung</t>
  </si>
  <si>
    <t>ADD RICE</t>
  </si>
  <si>
    <t>ADD CHADOL BULGOGI 150GR</t>
  </si>
  <si>
    <t>WIP CHADOL PRIME PAYA</t>
  </si>
  <si>
    <t>U</t>
  </si>
  <si>
    <t>Garlic Chopped</t>
  </si>
  <si>
    <t>Frozen Kaarage Mini (sukanda)</t>
  </si>
  <si>
    <t>Sauce Soy Garlic (CK)</t>
  </si>
  <si>
    <t>Wijen Putih Sangrai</t>
  </si>
  <si>
    <t>WIP NASI UNGU</t>
  </si>
  <si>
    <t>Beras Hitam (Mlatiharjo)</t>
  </si>
  <si>
    <t xml:space="preserve">Kecap Asin </t>
  </si>
  <si>
    <t>Sesame Oil</t>
  </si>
  <si>
    <t>Telur</t>
  </si>
  <si>
    <t>Daun Bawang Slice (per porsi)</t>
  </si>
  <si>
    <t>FGR00104</t>
  </si>
  <si>
    <t>WIP Seaweed &amp; Egg Soup (1 porsi)</t>
  </si>
  <si>
    <t>WIP MACARONI SALAD</t>
  </si>
  <si>
    <t>MIXED VEGETABLES</t>
  </si>
  <si>
    <t>BOMBAI SLICE</t>
  </si>
  <si>
    <t>KEWPIE MAYO (PRO USE)</t>
  </si>
  <si>
    <t>WIP GARAM GURIH</t>
  </si>
  <si>
    <t xml:space="preserve">CGEX0037  </t>
  </si>
  <si>
    <t>ADD MACARONI SALAD 30 G</t>
  </si>
  <si>
    <t>ADD MOZARELLA 60 G</t>
  </si>
  <si>
    <t xml:space="preserve">CGEX0039  </t>
  </si>
  <si>
    <t>ADD SAMGOGI SAUCE 20 G</t>
  </si>
  <si>
    <t xml:space="preserve">CGDR0012  </t>
  </si>
  <si>
    <t>SPICY MALA KATSU &amp; EOMUK K-BENTO</t>
  </si>
  <si>
    <t>ADD TAUGE NAMUL 50 G</t>
  </si>
  <si>
    <t xml:space="preserve">CGPK0008  </t>
  </si>
  <si>
    <t>GARPU TAKE AWAY</t>
  </si>
  <si>
    <t xml:space="preserve">CGDR0011  </t>
  </si>
  <si>
    <t>BBURINKLE KATSU &amp; EOMUK K-BENTO</t>
  </si>
  <si>
    <t>ADD DAUN BAWANG 50 G</t>
  </si>
  <si>
    <t xml:space="preserve">CGEX0020  </t>
  </si>
  <si>
    <t>ADD SHIMEJI 30 G</t>
  </si>
  <si>
    <t xml:space="preserve">CGEX0038  </t>
  </si>
  <si>
    <t>ADD EOMUK BOKKEUM 30 G</t>
  </si>
  <si>
    <t>FGR000005</t>
  </si>
  <si>
    <t>MACARONI</t>
  </si>
  <si>
    <t>Seaweed (DRY)</t>
  </si>
  <si>
    <t>WIP Beef Kimchi</t>
  </si>
  <si>
    <t>Minyak</t>
  </si>
  <si>
    <t>WIP Sauce Beef Kimchi</t>
  </si>
  <si>
    <t>WIP Beef BULGOGI</t>
  </si>
  <si>
    <t>PORSI</t>
  </si>
  <si>
    <t>WIP SAMGOGI SAUCE</t>
  </si>
  <si>
    <t>UUP</t>
  </si>
  <si>
    <t>Samjang Sauce Base</t>
  </si>
  <si>
    <t>Bulgogi Sauce (CK)</t>
  </si>
  <si>
    <t>Garlic Blend</t>
  </si>
  <si>
    <t>Simple Syrup</t>
  </si>
  <si>
    <t>WIP Cabe Rawit Merah Chop/Iris</t>
  </si>
  <si>
    <t xml:space="preserve">	WIP Daun Bawang Cung</t>
  </si>
  <si>
    <t>CWVF0017</t>
  </si>
  <si>
    <t>GULA</t>
  </si>
  <si>
    <t>Add Shimeji 30 g</t>
  </si>
  <si>
    <t>ADD SEAWED AND EGG SOUP</t>
  </si>
  <si>
    <t>ADD EOMUK BOKKEUM 30GR</t>
  </si>
  <si>
    <t>Column10</t>
  </si>
  <si>
    <t xml:space="preserve">CGDR0009  </t>
  </si>
  <si>
    <t xml:space="preserve">SOY GARLIC CHICKEN &amp; EOMUK K-BENTO	</t>
  </si>
  <si>
    <t>KARAAGE GARLIC MINI FROZEN 1 KG</t>
  </si>
  <si>
    <t>WIP MIXED SALAD</t>
  </si>
  <si>
    <t>WIP KIMCHI MAYO</t>
  </si>
  <si>
    <t xml:space="preserve">	GOCHUGARU HALUS 1 KG</t>
  </si>
  <si>
    <t xml:space="preserve">CGDR0010  </t>
  </si>
  <si>
    <t xml:space="preserve">SPICY YANGNYEOM CHICKEN &amp; EOMUK K-BENTO		</t>
  </si>
  <si>
    <t xml:space="preserve">SPICY MALA KATSU &amp; EOMUK K-BENTO		</t>
  </si>
  <si>
    <t xml:space="preserve">CK SPICY BBQ POWDER 500 G	</t>
  </si>
  <si>
    <t>FMP00022</t>
  </si>
  <si>
    <t>DADA BONELESS SKINLESS 130-150 GR/PCS</t>
  </si>
  <si>
    <t>Chicken Breast bone &amp; skin less</t>
  </si>
  <si>
    <t>Tepung Terigu</t>
  </si>
  <si>
    <t>WIP MARINASI KATSU</t>
  </si>
  <si>
    <t>Lada bubuk</t>
  </si>
  <si>
    <t>Garlic Powder</t>
  </si>
  <si>
    <t>Umami Booster</t>
  </si>
  <si>
    <t xml:space="preserve">BBURINKLE KATSU &amp; EOMUK K-BENTO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</si>
</sst>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64" formatCode="_-* #,##0.0_-;\-* #,##0.0_-;_-* &quot;-&quot;_-;_-@_-"/>
    <numFmt numFmtId="165" formatCode="_-* #,##0.00_-;\-* #,##0.00_-;_-* &quot;-&quot;_-;_-@_-"/>
  </numFmts>
  <fonts count="26" x14ac:knownFonts="1">
    <font>
      <sz val="11"/>
      <color theme="1"/>
      <name val="Calibri"/>
      <family val="2"/>
      <scheme val="minor"/>
    </font>
    <font>
      <sz val="11"/>
      <color theme="1"/>
      <name val="Calibri"/>
      <family val="2"/>
      <scheme val="minor"/>
    </font>
    <font>
      <b/>
      <sz val="11"/>
      <color theme="1"/>
      <name val="Calibri"/>
      <family val="2"/>
      <scheme val="minor"/>
    </font>
    <font>
      <b/>
      <sz val="11"/>
      <name val="Calibri"/>
      <family val="2"/>
      <scheme val="minor"/>
    </font>
    <font>
      <sz val="12"/>
      <color theme="1"/>
      <name val="Calibri"/>
      <family val="2"/>
      <scheme val="minor"/>
    </font>
    <font>
      <sz val="11"/>
      <color theme="0"/>
      <name val="Calibri"/>
      <family val="2"/>
      <scheme val="minor"/>
    </font>
    <font>
      <sz val="8"/>
      <name val="Calibri"/>
      <family val="2"/>
      <scheme val="minor"/>
    </font>
    <font>
      <sz val="11"/>
      <color rgb="FF000000"/>
      <name val="Calibri"/>
      <family val="2"/>
    </font>
    <font>
      <b/>
      <sz val="12"/>
      <name val="Calibri Light"/>
      <family val="2"/>
      <scheme val="major"/>
    </font>
    <font>
      <b/>
      <sz val="12"/>
      <name val="Calibri"/>
      <family val="2"/>
      <scheme val="minor"/>
    </font>
    <font>
      <sz val="11"/>
      <color theme="0" tint="-0.499984740745262"/>
      <name val="Calibri"/>
      <family val="2"/>
      <scheme val="minor"/>
    </font>
    <font>
      <b/>
      <sz val="11"/>
      <color theme="0" tint="-0.499984740745262"/>
      <name val="Calibri"/>
      <family val="2"/>
      <scheme val="minor"/>
    </font>
    <font>
      <sz val="11"/>
      <color rgb="FFFF0000"/>
      <name val="Calibri"/>
      <family val="2"/>
      <scheme val="minor"/>
    </font>
    <font>
      <b/>
      <sz val="11"/>
      <color rgb="FF0070C0"/>
      <name val="Calibri"/>
      <family val="2"/>
      <scheme val="minor"/>
    </font>
    <font>
      <sz val="11"/>
      <name val="Calibri"/>
      <family val="2"/>
      <scheme val="minor"/>
    </font>
    <font>
      <sz val="10"/>
      <color theme="1"/>
      <name val="Nunito Sans"/>
    </font>
    <font>
      <b/>
      <sz val="11"/>
      <color rgb="FFFF0000"/>
      <name val="Calibri"/>
      <family val="2"/>
      <scheme val="minor"/>
    </font>
    <font>
      <b/>
      <sz val="11"/>
      <color theme="8"/>
      <name val="Calibri"/>
      <family val="2"/>
      <scheme val="minor"/>
    </font>
    <font>
      <b/>
      <sz val="9"/>
      <color indexed="81"/>
      <name val="Tahoma"/>
      <family val="2"/>
    </font>
    <font>
      <sz val="9"/>
      <color indexed="81"/>
      <name val="Tahoma"/>
      <family val="2"/>
    </font>
    <font>
      <b/>
      <sz val="11"/>
      <color rgb="FF000000"/>
      <name val="Calibri"/>
      <family val="2"/>
    </font>
    <font>
      <sz val="12"/>
      <name val="Calibri"/>
      <family val="2"/>
      <scheme val="minor"/>
    </font>
    <font>
      <sz val="11"/>
      <name val="Calibri"/>
      <family val="2"/>
    </font>
    <font>
      <b/>
      <sz val="12"/>
      <name val="Calibri"/>
      <family val="2"/>
    </font>
    <font>
      <sz val="12"/>
      <name val="Calibri"/>
      <family val="2"/>
    </font>
    <font>
      <b/>
      <sz val="11"/>
      <color theme="0"/>
      <name val="Calibri"/>
      <family val="2"/>
      <scheme val="minor"/>
    </font>
  </fonts>
  <fills count="35">
    <fill>
      <patternFill patternType="none"/>
    </fill>
    <fill>
      <patternFill patternType="gray125"/>
    </fill>
    <fill>
      <patternFill patternType="solid">
        <fgColor theme="6" tint="0.39997558519241921"/>
        <bgColor indexed="65"/>
      </patternFill>
    </fill>
    <fill>
      <patternFill patternType="solid">
        <fgColor theme="7" tint="0.39997558519241921"/>
        <bgColor indexed="64"/>
      </patternFill>
    </fill>
    <fill>
      <patternFill patternType="solid">
        <fgColor rgb="FFFFFF00"/>
        <bgColor indexed="64"/>
      </patternFill>
    </fill>
    <fill>
      <patternFill patternType="solid">
        <fgColor rgb="FF00B0F0"/>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4" tint="0.79998168889431442"/>
        <bgColor theme="4" tint="0.79998168889431442"/>
      </patternFill>
    </fill>
    <fill>
      <patternFill patternType="solid">
        <fgColor rgb="FFFFC000"/>
        <bgColor indexed="64"/>
      </patternFill>
    </fill>
    <fill>
      <patternFill patternType="solid">
        <fgColor theme="5" tint="0.39997558519241921"/>
        <bgColor indexed="64"/>
      </patternFill>
    </fill>
    <fill>
      <patternFill patternType="solid">
        <fgColor theme="0"/>
        <bgColor indexed="64"/>
      </patternFill>
    </fill>
    <fill>
      <patternFill patternType="solid">
        <fgColor theme="0" tint="-0.499984740745262"/>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1"/>
        <bgColor indexed="64"/>
      </patternFill>
    </fill>
    <fill>
      <patternFill patternType="solid">
        <fgColor theme="1" tint="4.9989318521683403E-2"/>
        <bgColor indexed="64"/>
      </patternFill>
    </fill>
    <fill>
      <patternFill patternType="solid">
        <fgColor theme="3" tint="0.79998168889431442"/>
        <bgColor indexed="64"/>
      </patternFill>
    </fill>
    <fill>
      <patternFill patternType="solid">
        <fgColor rgb="FFE4E9F0"/>
        <bgColor indexed="64"/>
      </patternFill>
    </fill>
    <fill>
      <patternFill patternType="solid">
        <fgColor theme="4" tint="0.79998168889431442"/>
        <bgColor indexed="64"/>
      </patternFill>
    </fill>
    <fill>
      <patternFill patternType="solid">
        <fgColor theme="0"/>
        <bgColor theme="4" tint="0.79998168889431442"/>
      </patternFill>
    </fill>
    <fill>
      <patternFill patternType="solid">
        <fgColor theme="7" tint="0.79998168889431442"/>
        <bgColor indexed="64"/>
      </patternFill>
    </fill>
    <fill>
      <patternFill patternType="solid">
        <fgColor theme="5" tint="-0.249977111117893"/>
        <bgColor indexed="64"/>
      </patternFill>
    </fill>
    <fill>
      <patternFill patternType="solid">
        <fgColor rgb="FFFFC000"/>
        <bgColor theme="4" tint="0.79998168889431442"/>
      </patternFill>
    </fill>
    <fill>
      <patternFill patternType="solid">
        <fgColor rgb="FFFFFF00"/>
        <bgColor theme="4" tint="0.79998168889431442"/>
      </patternFill>
    </fill>
    <fill>
      <patternFill patternType="solid">
        <fgColor theme="0" tint="-0.499984740745262"/>
        <bgColor theme="4" tint="0.79998168889431442"/>
      </patternFill>
    </fill>
    <fill>
      <patternFill patternType="solid">
        <fgColor theme="1" tint="0.14999847407452621"/>
        <bgColor indexed="64"/>
      </patternFill>
    </fill>
    <fill>
      <patternFill patternType="solid">
        <fgColor theme="5" tint="0.79995117038483843"/>
        <bgColor indexed="64"/>
      </patternFill>
    </fill>
    <fill>
      <patternFill patternType="solid">
        <fgColor rgb="FFFF0000"/>
        <bgColor indexed="64"/>
      </patternFill>
    </fill>
    <fill>
      <patternFill patternType="solid">
        <fgColor theme="5" tint="0.79998168889431442"/>
        <bgColor indexed="64"/>
      </patternFill>
    </fill>
    <fill>
      <patternFill patternType="solid">
        <fgColor rgb="FFC00000"/>
        <bgColor indexed="64"/>
      </patternFill>
    </fill>
    <fill>
      <patternFill patternType="solid">
        <fgColor theme="2" tint="-0.89999084444715716"/>
        <bgColor indexed="64"/>
      </patternFill>
    </fill>
    <fill>
      <patternFill patternType="solid">
        <fgColor theme="1" tint="4.9989318521683403E-2"/>
        <bgColor theme="4" tint="0.79998168889431442"/>
      </patternFill>
    </fill>
    <fill>
      <patternFill patternType="solid">
        <fgColor rgb="FF00B050"/>
        <bgColor theme="4" tint="0.79998168889431442"/>
      </patternFill>
    </fill>
  </fills>
  <borders count="64">
    <border>
      <left/>
      <right/>
      <top/>
      <bottom/>
      <diagonal/>
    </border>
    <border>
      <left/>
      <right/>
      <top style="thick">
        <color auto="1"/>
      </top>
      <bottom/>
      <diagonal/>
    </border>
    <border>
      <left/>
      <right/>
      <top style="thin">
        <color theme="4" tint="0.39997558519241921"/>
      </top>
      <bottom style="thin">
        <color theme="4" tint="0.39997558519241921"/>
      </bottom>
      <diagonal/>
    </border>
    <border>
      <left/>
      <right/>
      <top style="thick">
        <color auto="1"/>
      </top>
      <bottom style="thin">
        <color theme="4" tint="0.39997558519241921"/>
      </bottom>
      <diagonal/>
    </border>
    <border>
      <left/>
      <right/>
      <top style="thin">
        <color theme="4" tint="0.39997558519241921"/>
      </top>
      <bottom/>
      <diagonal/>
    </border>
    <border>
      <left/>
      <right/>
      <top/>
      <bottom style="thick">
        <color auto="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style="thick">
        <color auto="1"/>
      </right>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n">
        <color theme="4" tint="0.39997558519241921"/>
      </bottom>
      <diagonal/>
    </border>
    <border>
      <left style="thick">
        <color auto="1"/>
      </left>
      <right style="thick">
        <color auto="1"/>
      </right>
      <top style="thin">
        <color theme="4" tint="0.39997558519241921"/>
      </top>
      <bottom style="thin">
        <color theme="4" tint="0.39997558519241921"/>
      </bottom>
      <diagonal/>
    </border>
    <border>
      <left style="thick">
        <color auto="1"/>
      </left>
      <right style="thick">
        <color auto="1"/>
      </right>
      <top style="thin">
        <color theme="4" tint="0.39997558519241921"/>
      </top>
      <bottom style="thick">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ck">
        <color theme="1"/>
      </left>
      <right style="thick">
        <color theme="1"/>
      </right>
      <top style="thick">
        <color theme="1"/>
      </top>
      <bottom/>
      <diagonal/>
    </border>
    <border>
      <left style="thick">
        <color theme="1"/>
      </left>
      <right style="thick">
        <color theme="1"/>
      </right>
      <top style="thin">
        <color theme="4" tint="0.39997558519241921"/>
      </top>
      <bottom style="thin">
        <color theme="4" tint="0.39997558519241921"/>
      </bottom>
      <diagonal/>
    </border>
    <border>
      <left style="thick">
        <color theme="1"/>
      </left>
      <right style="thick">
        <color theme="1"/>
      </right>
      <top style="thin">
        <color theme="4" tint="0.39997558519241921"/>
      </top>
      <bottom style="thick">
        <color auto="1"/>
      </bottom>
      <diagonal/>
    </border>
    <border>
      <left style="thick">
        <color theme="1"/>
      </left>
      <right style="thick">
        <color theme="1"/>
      </right>
      <top/>
      <bottom/>
      <diagonal/>
    </border>
    <border>
      <left style="thick">
        <color theme="1"/>
      </left>
      <right style="thick">
        <color theme="1"/>
      </right>
      <top style="thick">
        <color auto="1"/>
      </top>
      <bottom style="thin">
        <color theme="4" tint="0.3999755851924192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style="thin">
        <color auto="1"/>
      </top>
      <bottom/>
      <diagonal/>
    </border>
    <border>
      <left/>
      <right style="thin">
        <color auto="1"/>
      </right>
      <top/>
      <bottom style="thin">
        <color auto="1"/>
      </bottom>
      <diagonal/>
    </border>
    <border>
      <left style="thick">
        <color auto="1"/>
      </left>
      <right/>
      <top style="thin">
        <color theme="4" tint="0.39997558519241921"/>
      </top>
      <bottom style="thin">
        <color theme="4" tint="0.39997558519241921"/>
      </bottom>
      <diagonal/>
    </border>
    <border>
      <left style="thick">
        <color auto="1"/>
      </left>
      <right/>
      <top style="thin">
        <color indexed="64"/>
      </top>
      <bottom/>
      <diagonal/>
    </border>
    <border>
      <left/>
      <right/>
      <top style="thin">
        <color indexed="64"/>
      </top>
      <bottom/>
      <diagonal/>
    </border>
    <border>
      <left style="thick">
        <color theme="1"/>
      </left>
      <right style="thick">
        <color theme="1"/>
      </right>
      <top/>
      <bottom style="thick">
        <color theme="1"/>
      </bottom>
      <diagonal/>
    </border>
    <border>
      <left style="thick">
        <color auto="1"/>
      </left>
      <right/>
      <top style="thin">
        <color theme="4" tint="0.39997558519241921"/>
      </top>
      <bottom/>
      <diagonal/>
    </border>
    <border>
      <left/>
      <right style="thick">
        <color auto="1"/>
      </right>
      <top style="thin">
        <color theme="4" tint="0.39997558519241921"/>
      </top>
      <bottom/>
      <diagonal/>
    </border>
    <border>
      <left style="thin">
        <color theme="4" tint="0.39997558519241921"/>
      </left>
      <right/>
      <top style="thin">
        <color theme="4" tint="0.39997558519241921"/>
      </top>
      <bottom/>
      <diagonal/>
    </border>
    <border>
      <left style="thick">
        <color theme="1"/>
      </left>
      <right/>
      <top style="thick">
        <color theme="1"/>
      </top>
      <bottom/>
      <diagonal/>
    </border>
    <border>
      <left style="thick">
        <color theme="1"/>
      </left>
      <right/>
      <top style="thin">
        <color theme="4" tint="0.39997558519241921"/>
      </top>
      <bottom/>
      <diagonal/>
    </border>
    <border>
      <left style="thick">
        <color theme="1"/>
      </left>
      <right/>
      <top style="thick">
        <color auto="1"/>
      </top>
      <bottom/>
      <diagonal/>
    </border>
    <border>
      <left style="thick">
        <color theme="1" tint="4.9989318521683403E-2"/>
      </left>
      <right/>
      <top style="thick">
        <color theme="1" tint="4.9989318521683403E-2"/>
      </top>
      <bottom/>
      <diagonal/>
    </border>
    <border>
      <left style="thick">
        <color theme="1" tint="4.9989318521683403E-2"/>
      </left>
      <right/>
      <top style="thin">
        <color theme="4" tint="0.39997558519241921"/>
      </top>
      <bottom/>
      <diagonal/>
    </border>
    <border>
      <left style="thick">
        <color auto="1"/>
      </left>
      <right/>
      <top style="thick">
        <color theme="1"/>
      </top>
      <bottom/>
      <diagonal/>
    </border>
    <border>
      <left/>
      <right/>
      <top style="thick">
        <color theme="1"/>
      </top>
      <bottom/>
      <diagonal/>
    </border>
    <border>
      <left style="thin">
        <color theme="4" tint="0.39997558519241921"/>
      </left>
      <right/>
      <top style="thick">
        <color auto="1"/>
      </top>
      <bottom/>
      <diagonal/>
    </border>
    <border>
      <left style="thick">
        <color theme="1" tint="4.9989318521683403E-2"/>
      </left>
      <right/>
      <top style="thin">
        <color theme="4" tint="0.39994506668294322"/>
      </top>
      <bottom/>
      <diagonal/>
    </border>
    <border>
      <left style="thick">
        <color theme="1" tint="4.9989318521683403E-2"/>
      </left>
      <right/>
      <top style="thick">
        <color auto="1"/>
      </top>
      <bottom/>
      <diagonal/>
    </border>
    <border>
      <left/>
      <right style="thin">
        <color theme="4" tint="0.39997558519241921"/>
      </right>
      <top style="thin">
        <color theme="4" tint="0.39997558519241921"/>
      </top>
      <bottom/>
      <diagonal/>
    </border>
    <border>
      <left style="medium">
        <color rgb="FFF0F0F0"/>
      </left>
      <right/>
      <top style="thin">
        <color theme="4" tint="0.39997558519241921"/>
      </top>
      <bottom/>
      <diagonal/>
    </border>
    <border>
      <left style="thick">
        <color auto="1"/>
      </left>
      <right/>
      <top style="medium">
        <color rgb="FFF0F0F0"/>
      </top>
      <bottom/>
      <diagonal/>
    </border>
    <border>
      <left style="medium">
        <color indexed="64"/>
      </left>
      <right/>
      <top style="medium">
        <color indexed="64"/>
      </top>
      <bottom/>
      <diagonal/>
    </border>
    <border>
      <left style="medium">
        <color indexed="64"/>
      </left>
      <right/>
      <top style="thin">
        <color theme="4" tint="0.39997558519241921"/>
      </top>
      <bottom/>
      <diagonal/>
    </border>
    <border>
      <left style="thick">
        <color auto="1"/>
      </left>
      <right/>
      <top style="medium">
        <color indexed="64"/>
      </top>
      <bottom/>
      <diagonal/>
    </border>
    <border>
      <left/>
      <right/>
      <top style="medium">
        <color indexed="64"/>
      </top>
      <bottom/>
      <diagonal/>
    </border>
    <border>
      <left style="medium">
        <color indexed="64"/>
      </left>
      <right/>
      <top style="thick">
        <color auto="1"/>
      </top>
      <bottom/>
      <diagonal/>
    </border>
    <border>
      <left/>
      <right style="thin">
        <color theme="4" tint="0.39997558519241921"/>
      </right>
      <top style="thick">
        <color auto="1"/>
      </top>
      <bottom/>
      <diagonal/>
    </border>
    <border>
      <left style="thick">
        <color theme="1"/>
      </left>
      <right/>
      <top style="thin">
        <color theme="4" tint="0.39994506668294322"/>
      </top>
      <bottom/>
      <diagonal/>
    </border>
    <border>
      <left/>
      <right style="thin">
        <color theme="4" tint="0.39997558519241921"/>
      </right>
      <top/>
      <bottom/>
      <diagonal/>
    </border>
  </borders>
  <cellStyleXfs count="4">
    <xf numFmtId="0" fontId="0" fillId="0" borderId="0"/>
    <xf numFmtId="0" fontId="1" fillId="2" borderId="0" applyNumberFormat="0" applyBorder="0" applyAlignment="0" applyProtection="0"/>
    <xf numFmtId="0" fontId="4" fillId="0" borderId="0"/>
    <xf numFmtId="0" fontId="1" fillId="0" borderId="0">
      <alignment vertical="center"/>
    </xf>
  </cellStyleXfs>
  <cellXfs count="772">
    <xf numFmtId="0" fontId="0" fillId="0" borderId="0" xfId="0"/>
    <xf numFmtId="0" fontId="2" fillId="5" borderId="0" xfId="0" applyFont="1" applyFill="1" applyAlignment="1">
      <alignment horizontal="center" vertical="center"/>
    </xf>
    <xf numFmtId="0" fontId="0" fillId="0" borderId="0" xfId="0" applyAlignment="1">
      <alignment horizontal="center" vertical="center"/>
    </xf>
    <xf numFmtId="0" fontId="2" fillId="0" borderId="0" xfId="0" applyFont="1"/>
    <xf numFmtId="0" fontId="4" fillId="0" borderId="0" xfId="2" applyNumberFormat="1"/>
    <xf numFmtId="0" fontId="2" fillId="0" borderId="1" xfId="0" applyFont="1" applyBorder="1"/>
    <xf numFmtId="0" fontId="2" fillId="0" borderId="1" xfId="0" applyFont="1" applyBorder="1" applyAlignment="1">
      <alignment horizontal="center" vertical="center"/>
    </xf>
    <xf numFmtId="0" fontId="2" fillId="3" borderId="1" xfId="0" applyFont="1" applyFill="1" applyBorder="1"/>
    <xf numFmtId="0" fontId="2" fillId="0" borderId="2" xfId="0" applyFont="1" applyBorder="1"/>
    <xf numFmtId="0" fontId="2" fillId="0" borderId="2" xfId="0" applyFont="1" applyBorder="1" applyAlignment="1">
      <alignment horizontal="center" vertical="center"/>
    </xf>
    <xf numFmtId="0" fontId="2" fillId="8" borderId="2" xfId="0" applyFont="1" applyFill="1" applyBorder="1"/>
    <xf numFmtId="0" fontId="2" fillId="8" borderId="2" xfId="0" applyFont="1" applyFill="1" applyBorder="1" applyAlignment="1">
      <alignment horizontal="center" vertical="center"/>
    </xf>
    <xf numFmtId="0" fontId="2" fillId="4" borderId="2" xfId="0" applyFont="1" applyFill="1" applyBorder="1"/>
    <xf numFmtId="0" fontId="2" fillId="4" borderId="2" xfId="0" applyFont="1" applyFill="1" applyBorder="1" applyAlignment="1">
      <alignment horizontal="center" vertical="center"/>
    </xf>
    <xf numFmtId="0" fontId="2" fillId="8" borderId="2" xfId="0" applyFont="1" applyFill="1" applyBorder="1" applyAlignment="1">
      <alignment horizontal="left" indent="4"/>
    </xf>
    <xf numFmtId="0" fontId="2" fillId="0" borderId="2" xfId="0" applyFont="1" applyBorder="1" applyAlignment="1">
      <alignment horizontal="left" indent="4"/>
    </xf>
    <xf numFmtId="0" fontId="2" fillId="4" borderId="2" xfId="0" applyFont="1" applyFill="1" applyBorder="1" applyAlignment="1">
      <alignment horizontal="left" indent="4"/>
    </xf>
    <xf numFmtId="0" fontId="2" fillId="8" borderId="2" xfId="0" applyFont="1" applyFill="1" applyBorder="1" applyAlignment="1">
      <alignment horizontal="left" indent="6"/>
    </xf>
    <xf numFmtId="0" fontId="2" fillId="0" borderId="4" xfId="0" applyFont="1" applyBorder="1" applyAlignment="1">
      <alignment horizontal="center" vertical="center"/>
    </xf>
    <xf numFmtId="0" fontId="0" fillId="11" borderId="0" xfId="0" applyFill="1"/>
    <xf numFmtId="0" fontId="0" fillId="16" borderId="0" xfId="0" applyFill="1"/>
    <xf numFmtId="0" fontId="2" fillId="11" borderId="0" xfId="0" applyFont="1" applyFill="1" applyAlignment="1">
      <alignment horizontal="center" vertical="center"/>
    </xf>
    <xf numFmtId="0" fontId="2" fillId="8" borderId="4" xfId="0" applyFont="1" applyFill="1" applyBorder="1" applyAlignment="1">
      <alignment horizontal="center" vertical="center"/>
    </xf>
    <xf numFmtId="0" fontId="2" fillId="0" borderId="2" xfId="0" applyFont="1" applyBorder="1" applyAlignment="1">
      <alignment horizontal="left"/>
    </xf>
    <xf numFmtId="0" fontId="2" fillId="8" borderId="2" xfId="0" applyFont="1" applyFill="1" applyBorder="1" applyAlignment="1">
      <alignment horizontal="left"/>
    </xf>
    <xf numFmtId="0" fontId="2" fillId="4" borderId="2" xfId="0" applyFont="1" applyFill="1" applyBorder="1" applyAlignment="1">
      <alignment horizontal="left"/>
    </xf>
    <xf numFmtId="0" fontId="2" fillId="4" borderId="2" xfId="0" applyFont="1" applyFill="1" applyBorder="1" applyAlignment="1">
      <alignment horizontal="left" indent="6"/>
    </xf>
    <xf numFmtId="0" fontId="2" fillId="4" borderId="2" xfId="0" applyFont="1" applyFill="1" applyBorder="1" applyAlignment="1">
      <alignment horizontal="center"/>
    </xf>
    <xf numFmtId="0" fontId="2" fillId="14" borderId="2" xfId="0" applyFont="1" applyFill="1" applyBorder="1" applyAlignment="1">
      <alignment horizontal="left" indent="8"/>
    </xf>
    <xf numFmtId="0" fontId="2" fillId="8" borderId="2" xfId="0" applyFont="1" applyFill="1" applyBorder="1" applyAlignment="1">
      <alignment horizontal="left" indent="8"/>
    </xf>
    <xf numFmtId="0" fontId="2" fillId="0" borderId="2" xfId="0" applyFont="1" applyBorder="1" applyAlignment="1">
      <alignment horizontal="left" indent="8"/>
    </xf>
    <xf numFmtId="0" fontId="2" fillId="0" borderId="2" xfId="0" applyFont="1" applyBorder="1" applyAlignment="1">
      <alignment horizontal="left" indent="6"/>
    </xf>
    <xf numFmtId="0" fontId="2" fillId="11" borderId="2" xfId="0" applyFont="1" applyFill="1" applyBorder="1" applyAlignment="1">
      <alignment horizontal="left"/>
    </xf>
    <xf numFmtId="0" fontId="2" fillId="11" borderId="2" xfId="0" applyFont="1" applyFill="1" applyBorder="1" applyAlignment="1">
      <alignment horizontal="center" vertical="center"/>
    </xf>
    <xf numFmtId="0" fontId="3" fillId="5" borderId="7" xfId="0" applyFont="1" applyFill="1" applyBorder="1" applyAlignment="1">
      <alignment horizontal="center" vertical="center" wrapText="1"/>
    </xf>
    <xf numFmtId="0" fontId="3" fillId="5" borderId="2" xfId="1" applyFont="1" applyFill="1" applyBorder="1" applyAlignment="1">
      <alignment horizontal="center" vertical="center"/>
    </xf>
    <xf numFmtId="0" fontId="3" fillId="5" borderId="6" xfId="0" applyFont="1" applyFill="1" applyBorder="1" applyAlignment="1">
      <alignment horizontal="center" vertical="center" wrapText="1"/>
    </xf>
    <xf numFmtId="0" fontId="0" fillId="0" borderId="11" xfId="0" applyBorder="1"/>
    <xf numFmtId="0" fontId="0" fillId="0" borderId="13" xfId="0" applyBorder="1"/>
    <xf numFmtId="0" fontId="2" fillId="11" borderId="0" xfId="0" applyFont="1" applyFill="1"/>
    <xf numFmtId="0" fontId="2" fillId="11" borderId="0" xfId="0" applyFont="1" applyFill="1" applyBorder="1" applyAlignment="1">
      <alignment horizontal="center" vertical="center"/>
    </xf>
    <xf numFmtId="0" fontId="2" fillId="0" borderId="1" xfId="0" applyFont="1" applyBorder="1" applyAlignment="1">
      <alignment horizontal="center"/>
    </xf>
    <xf numFmtId="0" fontId="2" fillId="11" borderId="0" xfId="0" applyFont="1" applyFill="1" applyBorder="1" applyAlignment="1">
      <alignment horizontal="center"/>
    </xf>
    <xf numFmtId="0" fontId="2" fillId="11" borderId="0" xfId="0" applyFont="1" applyFill="1" applyAlignment="1">
      <alignment horizontal="center"/>
    </xf>
    <xf numFmtId="0" fontId="2" fillId="0" borderId="0" xfId="0" applyFont="1" applyBorder="1"/>
    <xf numFmtId="0" fontId="2" fillId="0" borderId="0" xfId="0" applyFont="1" applyBorder="1" applyAlignment="1">
      <alignment horizontal="center" vertical="center"/>
    </xf>
    <xf numFmtId="0" fontId="2" fillId="21" borderId="0" xfId="0" applyFont="1" applyFill="1" applyBorder="1" applyAlignment="1">
      <alignment horizontal="center"/>
    </xf>
    <xf numFmtId="0" fontId="2" fillId="21" borderId="0" xfId="0" applyFont="1" applyFill="1" applyBorder="1"/>
    <xf numFmtId="0" fontId="2" fillId="11" borderId="0" xfId="0" applyFont="1" applyFill="1" applyBorder="1"/>
    <xf numFmtId="0" fontId="3" fillId="11" borderId="0" xfId="0" applyFont="1" applyFill="1"/>
    <xf numFmtId="0" fontId="2" fillId="5" borderId="8" xfId="0" applyFont="1" applyFill="1" applyBorder="1" applyAlignment="1">
      <alignment horizontal="center" vertical="center"/>
    </xf>
    <xf numFmtId="0" fontId="2" fillId="5" borderId="9" xfId="0" applyFont="1" applyFill="1" applyBorder="1" applyAlignment="1">
      <alignment horizontal="center" vertical="center"/>
    </xf>
    <xf numFmtId="0" fontId="2" fillId="0" borderId="10" xfId="0" applyFont="1" applyBorder="1"/>
    <xf numFmtId="0" fontId="2" fillId="0" borderId="11" xfId="0" applyFont="1" applyBorder="1"/>
    <xf numFmtId="0" fontId="2" fillId="0" borderId="13" xfId="0" applyFont="1" applyBorder="1"/>
    <xf numFmtId="0" fontId="2" fillId="5" borderId="1" xfId="0" applyFont="1" applyFill="1" applyBorder="1" applyAlignment="1">
      <alignment horizontal="center" vertical="center"/>
    </xf>
    <xf numFmtId="0" fontId="2" fillId="0" borderId="5" xfId="0" applyFont="1" applyBorder="1"/>
    <xf numFmtId="0" fontId="2" fillId="5" borderId="1" xfId="0" applyFont="1" applyFill="1" applyBorder="1" applyAlignment="1">
      <alignment horizontal="center" vertical="center" wrapText="1"/>
    </xf>
    <xf numFmtId="0" fontId="2" fillId="0" borderId="10" xfId="0" applyFont="1" applyBorder="1" applyAlignment="1">
      <alignment horizontal="left" vertical="top"/>
    </xf>
    <xf numFmtId="0" fontId="2" fillId="0" borderId="10" xfId="0" applyFont="1" applyBorder="1" applyAlignment="1">
      <alignment horizontal="left" vertical="center"/>
    </xf>
    <xf numFmtId="0" fontId="2" fillId="5" borderId="9" xfId="0" applyFont="1" applyFill="1" applyBorder="1" applyAlignment="1">
      <alignment horizontal="center" vertical="center" wrapText="1"/>
    </xf>
    <xf numFmtId="0" fontId="2" fillId="5" borderId="14" xfId="0" applyFont="1" applyFill="1" applyBorder="1" applyAlignment="1">
      <alignment horizontal="center" vertical="center" wrapText="1"/>
    </xf>
    <xf numFmtId="9" fontId="2" fillId="0" borderId="11" xfId="0" applyNumberFormat="1" applyFont="1" applyBorder="1" applyAlignment="1">
      <alignment horizontal="center" vertical="center"/>
    </xf>
    <xf numFmtId="9" fontId="2" fillId="0" borderId="10" xfId="0" applyNumberFormat="1" applyFont="1" applyBorder="1" applyAlignment="1">
      <alignment horizontal="center" vertical="center"/>
    </xf>
    <xf numFmtId="0" fontId="2" fillId="0" borderId="11" xfId="0" applyFont="1" applyBorder="1" applyAlignment="1">
      <alignment horizontal="center" vertical="center"/>
    </xf>
    <xf numFmtId="0" fontId="2" fillId="0" borderId="11" xfId="0" applyFont="1" applyBorder="1" applyAlignment="1">
      <alignment horizontal="center"/>
    </xf>
    <xf numFmtId="0" fontId="2" fillId="0" borderId="13" xfId="0" applyFont="1" applyBorder="1" applyAlignment="1">
      <alignment horizontal="center"/>
    </xf>
    <xf numFmtId="0" fontId="3" fillId="11" borderId="0" xfId="0" applyFont="1" applyFill="1" applyAlignment="1" applyProtection="1">
      <alignment horizontal="center" vertical="center"/>
      <protection locked="0"/>
    </xf>
    <xf numFmtId="0" fontId="2" fillId="23" borderId="8" xfId="0" applyFont="1" applyFill="1" applyBorder="1" applyAlignment="1">
      <alignment horizontal="center" vertical="center"/>
    </xf>
    <xf numFmtId="0" fontId="2" fillId="13" borderId="1" xfId="0" applyFont="1" applyFill="1" applyBorder="1" applyAlignment="1">
      <alignment horizontal="center" vertical="center" wrapText="1"/>
    </xf>
    <xf numFmtId="0" fontId="2" fillId="0" borderId="10" xfId="0" applyFont="1" applyBorder="1" applyAlignment="1">
      <alignment horizontal="center"/>
    </xf>
    <xf numFmtId="0" fontId="2" fillId="0" borderId="0" xfId="0" applyFont="1" applyBorder="1" applyAlignment="1">
      <alignment horizontal="center"/>
    </xf>
    <xf numFmtId="0" fontId="2" fillId="0" borderId="12" xfId="0" applyFont="1" applyBorder="1" applyAlignment="1">
      <alignment horizontal="center"/>
    </xf>
    <xf numFmtId="0" fontId="2" fillId="0" borderId="5" xfId="0" applyFont="1" applyBorder="1" applyAlignment="1">
      <alignment horizontal="center"/>
    </xf>
    <xf numFmtId="0" fontId="2" fillId="3" borderId="16" xfId="0" applyFont="1" applyFill="1" applyBorder="1" applyAlignment="1">
      <alignment horizontal="center"/>
    </xf>
    <xf numFmtId="0" fontId="2" fillId="3" borderId="17" xfId="0" applyFont="1" applyFill="1" applyBorder="1" applyAlignment="1">
      <alignment horizontal="center"/>
    </xf>
    <xf numFmtId="0" fontId="2" fillId="9" borderId="8" xfId="0" applyFont="1" applyFill="1" applyBorder="1"/>
    <xf numFmtId="2" fontId="0" fillId="0" borderId="0" xfId="0" applyNumberFormat="1"/>
    <xf numFmtId="0" fontId="2" fillId="0" borderId="11" xfId="0" applyFont="1" applyBorder="1" applyAlignment="1" applyProtection="1">
      <alignment horizontal="left"/>
      <protection hidden="1"/>
    </xf>
    <xf numFmtId="0" fontId="2" fillId="3" borderId="16" xfId="0" applyFont="1" applyFill="1" applyBorder="1" applyAlignment="1" applyProtection="1">
      <alignment horizontal="center"/>
      <protection hidden="1"/>
    </xf>
    <xf numFmtId="0" fontId="2" fillId="3" borderId="17" xfId="0" applyFont="1" applyFill="1" applyBorder="1" applyAlignment="1" applyProtection="1">
      <alignment horizontal="center"/>
      <protection hidden="1"/>
    </xf>
    <xf numFmtId="1" fontId="2" fillId="0" borderId="10" xfId="0" applyNumberFormat="1" applyFont="1" applyBorder="1" applyAlignment="1" applyProtection="1">
      <alignment horizontal="center"/>
      <protection hidden="1"/>
    </xf>
    <xf numFmtId="1" fontId="2" fillId="0" borderId="10" xfId="0" applyNumberFormat="1" applyFont="1" applyBorder="1" applyAlignment="1">
      <alignment horizontal="center"/>
    </xf>
    <xf numFmtId="1" fontId="2" fillId="0" borderId="12" xfId="0" applyNumberFormat="1" applyFont="1" applyBorder="1" applyAlignment="1">
      <alignment horizontal="center"/>
    </xf>
    <xf numFmtId="0" fontId="2" fillId="0" borderId="2" xfId="0" applyFont="1" applyBorder="1" applyAlignment="1">
      <alignment horizontal="center"/>
    </xf>
    <xf numFmtId="0" fontId="2" fillId="8" borderId="2" xfId="0" applyFont="1" applyFill="1" applyBorder="1" applyAlignment="1">
      <alignment horizontal="center"/>
    </xf>
    <xf numFmtId="1" fontId="0" fillId="0" borderId="10" xfId="0" applyNumberFormat="1" applyBorder="1" applyAlignment="1">
      <alignment horizontal="center"/>
    </xf>
    <xf numFmtId="0" fontId="2" fillId="3" borderId="16" xfId="0" applyFont="1" applyFill="1" applyBorder="1"/>
    <xf numFmtId="1" fontId="0" fillId="0" borderId="12" xfId="0" applyNumberFormat="1" applyBorder="1" applyAlignment="1">
      <alignment horizontal="center"/>
    </xf>
    <xf numFmtId="0" fontId="2" fillId="5" borderId="0" xfId="0" applyFont="1" applyFill="1" applyBorder="1" applyAlignment="1">
      <alignment horizontal="center" vertical="center"/>
    </xf>
    <xf numFmtId="1" fontId="5" fillId="0" borderId="0" xfId="0" applyNumberFormat="1" applyFont="1"/>
    <xf numFmtId="0" fontId="5" fillId="0" borderId="0" xfId="0" applyFont="1"/>
    <xf numFmtId="0" fontId="2" fillId="8" borderId="2" xfId="0" applyFont="1" applyFill="1" applyBorder="1" applyAlignment="1">
      <alignment horizontal="left" indent="5"/>
    </xf>
    <xf numFmtId="0" fontId="2" fillId="0" borderId="2" xfId="0" applyFont="1" applyBorder="1" applyAlignment="1">
      <alignment horizontal="left" indent="5"/>
    </xf>
    <xf numFmtId="0" fontId="2" fillId="4" borderId="2" xfId="0" applyFont="1" applyFill="1" applyBorder="1" applyAlignment="1">
      <alignment horizontal="left" indent="5"/>
    </xf>
    <xf numFmtId="0" fontId="2" fillId="0" borderId="2" xfId="0" applyFont="1" applyBorder="1" applyAlignment="1">
      <alignment horizontal="left" indent="9"/>
    </xf>
    <xf numFmtId="0" fontId="2" fillId="8" borderId="2" xfId="0" applyFont="1" applyFill="1" applyBorder="1" applyAlignment="1">
      <alignment horizontal="left" indent="9"/>
    </xf>
    <xf numFmtId="0" fontId="2" fillId="12" borderId="2" xfId="0" applyFont="1" applyFill="1" applyBorder="1" applyAlignment="1">
      <alignment horizontal="left" indent="6"/>
    </xf>
    <xf numFmtId="0" fontId="2" fillId="12" borderId="2" xfId="0" applyFont="1" applyFill="1" applyBorder="1" applyAlignment="1">
      <alignment horizontal="center" vertical="center"/>
    </xf>
    <xf numFmtId="0" fontId="2" fillId="0" borderId="2" xfId="0" applyFont="1" applyBorder="1" applyAlignment="1">
      <alignment horizontal="left" indent="7"/>
    </xf>
    <xf numFmtId="0" fontId="2" fillId="8" borderId="2" xfId="0" applyFont="1" applyFill="1" applyBorder="1" applyAlignment="1">
      <alignment horizontal="left" indent="7"/>
    </xf>
    <xf numFmtId="0" fontId="2" fillId="12" borderId="2" xfId="0" applyFont="1" applyFill="1" applyBorder="1" applyAlignment="1">
      <alignment horizontal="left" indent="4"/>
    </xf>
    <xf numFmtId="0" fontId="2" fillId="7" borderId="20" xfId="0" applyFont="1" applyFill="1" applyBorder="1"/>
    <xf numFmtId="0" fontId="2" fillId="7" borderId="19" xfId="0" applyFont="1" applyFill="1" applyBorder="1"/>
    <xf numFmtId="0" fontId="2" fillId="4" borderId="0" xfId="0" applyFont="1" applyFill="1" applyAlignment="1">
      <alignment horizontal="center" vertical="center"/>
    </xf>
    <xf numFmtId="0" fontId="2" fillId="7" borderId="18" xfId="0" applyFont="1" applyFill="1" applyBorder="1"/>
    <xf numFmtId="0" fontId="2" fillId="4" borderId="19" xfId="0" applyFont="1" applyFill="1" applyBorder="1"/>
    <xf numFmtId="0" fontId="2" fillId="9" borderId="1" xfId="0" applyFont="1" applyFill="1" applyBorder="1"/>
    <xf numFmtId="0" fontId="2" fillId="0" borderId="0" xfId="0" applyFont="1" applyAlignment="1">
      <alignment horizontal="center"/>
    </xf>
    <xf numFmtId="0" fontId="2" fillId="0" borderId="2" xfId="0" applyFont="1" applyFill="1" applyBorder="1" applyAlignment="1">
      <alignment horizontal="center"/>
    </xf>
    <xf numFmtId="0" fontId="2" fillId="0" borderId="2" xfId="0" applyFont="1" applyFill="1" applyBorder="1"/>
    <xf numFmtId="0" fontId="2" fillId="0" borderId="2" xfId="0" applyFont="1" applyFill="1" applyBorder="1" applyAlignment="1">
      <alignment horizontal="center" vertical="center"/>
    </xf>
    <xf numFmtId="0" fontId="2" fillId="0" borderId="2" xfId="0" applyFont="1" applyFill="1" applyBorder="1" applyAlignment="1">
      <alignment horizontal="left" indent="4"/>
    </xf>
    <xf numFmtId="0" fontId="2" fillId="0" borderId="4" xfId="0" applyFont="1" applyFill="1" applyBorder="1"/>
    <xf numFmtId="0" fontId="2" fillId="0" borderId="4" xfId="0" applyFont="1" applyFill="1" applyBorder="1" applyAlignment="1">
      <alignment horizontal="center" vertical="center"/>
    </xf>
    <xf numFmtId="0" fontId="2" fillId="12" borderId="2" xfId="0" applyFont="1" applyFill="1" applyBorder="1" applyAlignment="1">
      <alignment horizontal="left" indent="8"/>
    </xf>
    <xf numFmtId="0" fontId="2" fillId="12" borderId="2" xfId="0" applyFont="1" applyFill="1" applyBorder="1" applyAlignment="1">
      <alignment horizontal="center"/>
    </xf>
    <xf numFmtId="0" fontId="2" fillId="4" borderId="0" xfId="0" applyFont="1" applyFill="1"/>
    <xf numFmtId="0" fontId="2" fillId="0" borderId="0" xfId="0" applyFont="1" applyAlignment="1">
      <alignment horizontal="left" indent="5"/>
    </xf>
    <xf numFmtId="0" fontId="2" fillId="0" borderId="0" xfId="0" applyFont="1" applyAlignment="1">
      <alignment horizontal="left"/>
    </xf>
    <xf numFmtId="0" fontId="2" fillId="17" borderId="0" xfId="0" applyFont="1" applyFill="1"/>
    <xf numFmtId="0" fontId="2" fillId="0" borderId="0" xfId="0" applyFont="1" applyAlignment="1">
      <alignment horizontal="left" indent="8"/>
    </xf>
    <xf numFmtId="0" fontId="2" fillId="9" borderId="0" xfId="0" applyFont="1" applyFill="1"/>
    <xf numFmtId="0" fontId="2" fillId="7" borderId="0" xfId="0" applyFont="1" applyFill="1"/>
    <xf numFmtId="0" fontId="2" fillId="13" borderId="0" xfId="0" applyFont="1" applyFill="1"/>
    <xf numFmtId="0" fontId="2" fillId="4" borderId="0" xfId="0" applyFont="1" applyFill="1" applyAlignment="1">
      <alignment horizontal="left"/>
    </xf>
    <xf numFmtId="0" fontId="2" fillId="12" borderId="0" xfId="0" applyFont="1" applyFill="1"/>
    <xf numFmtId="0" fontId="2" fillId="12" borderId="0" xfId="0" applyFont="1" applyFill="1" applyAlignment="1">
      <alignment horizontal="left" indent="5"/>
    </xf>
    <xf numFmtId="0" fontId="2" fillId="12" borderId="19" xfId="0" applyFont="1" applyFill="1" applyBorder="1"/>
    <xf numFmtId="0" fontId="0" fillId="0" borderId="0" xfId="0" applyFill="1"/>
    <xf numFmtId="0" fontId="0" fillId="0" borderId="0" xfId="0" applyFill="1" applyAlignment="1">
      <alignment horizontal="left"/>
    </xf>
    <xf numFmtId="41" fontId="0" fillId="0" borderId="0" xfId="0" applyNumberFormat="1" applyFill="1"/>
    <xf numFmtId="164" fontId="0" fillId="0" borderId="0" xfId="0" applyNumberFormat="1" applyFill="1"/>
    <xf numFmtId="165" fontId="0" fillId="0" borderId="0" xfId="0" applyNumberFormat="1" applyFill="1"/>
    <xf numFmtId="0" fontId="2" fillId="0" borderId="2" xfId="0" applyFont="1" applyFill="1" applyBorder="1" applyAlignment="1">
      <alignment horizontal="left" indent="5"/>
    </xf>
    <xf numFmtId="0" fontId="2" fillId="0" borderId="2" xfId="0" applyFont="1" applyFill="1" applyBorder="1" applyAlignment="1">
      <alignment horizontal="left" indent="9"/>
    </xf>
    <xf numFmtId="0" fontId="2" fillId="0" borderId="2" xfId="0" applyFont="1" applyFill="1" applyBorder="1" applyAlignment="1">
      <alignment horizontal="left" indent="8"/>
    </xf>
    <xf numFmtId="0" fontId="2" fillId="0" borderId="2" xfId="0" applyFont="1" applyFill="1" applyBorder="1" applyAlignment="1">
      <alignment horizontal="left" indent="7"/>
    </xf>
    <xf numFmtId="0" fontId="2" fillId="4" borderId="0" xfId="0" applyFont="1" applyFill="1" applyAlignment="1">
      <alignment horizontal="left" indent="5"/>
    </xf>
    <xf numFmtId="0" fontId="2" fillId="0" borderId="0" xfId="0" applyFont="1" applyAlignment="1">
      <alignment horizontal="left" indent="6"/>
    </xf>
    <xf numFmtId="0" fontId="2" fillId="0" borderId="0" xfId="0" applyFont="1" applyAlignment="1">
      <alignment horizontal="left" indent="10"/>
    </xf>
    <xf numFmtId="0" fontId="2" fillId="0" borderId="0" xfId="0" applyFont="1" applyAlignment="1">
      <alignment horizontal="left" indent="11"/>
    </xf>
    <xf numFmtId="0" fontId="2" fillId="17" borderId="0" xfId="0" applyFont="1" applyFill="1" applyAlignment="1">
      <alignment horizontal="left" indent="10"/>
    </xf>
    <xf numFmtId="0" fontId="2" fillId="4" borderId="0" xfId="0" applyFont="1" applyFill="1" applyAlignment="1">
      <alignment horizontal="left" indent="6"/>
    </xf>
    <xf numFmtId="0" fontId="2" fillId="6" borderId="0" xfId="0" applyFont="1" applyFill="1"/>
    <xf numFmtId="0" fontId="2" fillId="4" borderId="2" xfId="0" applyFont="1" applyFill="1" applyBorder="1" applyAlignment="1">
      <alignment horizontal="left" indent="7"/>
    </xf>
    <xf numFmtId="0" fontId="2" fillId="12" borderId="2" xfId="0" applyFont="1" applyFill="1" applyBorder="1" applyAlignment="1">
      <alignment horizontal="left" indent="12"/>
    </xf>
    <xf numFmtId="0" fontId="2" fillId="0" borderId="2" xfId="0" applyFont="1" applyBorder="1" applyAlignment="1">
      <alignment horizontal="left" indent="12"/>
    </xf>
    <xf numFmtId="0" fontId="0" fillId="0" borderId="22" xfId="0" applyBorder="1"/>
    <xf numFmtId="0" fontId="0" fillId="0" borderId="23" xfId="0" applyBorder="1"/>
    <xf numFmtId="0" fontId="2" fillId="9" borderId="21" xfId="0" applyFont="1" applyFill="1" applyBorder="1" applyAlignment="1">
      <alignment horizontal="right"/>
    </xf>
    <xf numFmtId="0" fontId="2" fillId="18" borderId="2" xfId="0" applyFont="1" applyFill="1" applyBorder="1" applyAlignment="1">
      <alignment horizontal="center" vertical="center"/>
    </xf>
    <xf numFmtId="0" fontId="2" fillId="4" borderId="19" xfId="0" applyFont="1" applyFill="1" applyBorder="1" applyAlignment="1">
      <alignment horizontal="left" vertical="center"/>
    </xf>
    <xf numFmtId="0" fontId="2" fillId="7" borderId="19" xfId="0" applyFont="1" applyFill="1" applyBorder="1" applyAlignment="1">
      <alignment horizontal="left" vertical="center"/>
    </xf>
    <xf numFmtId="0" fontId="2" fillId="20" borderId="2" xfId="0" applyFont="1" applyFill="1" applyBorder="1" applyAlignment="1">
      <alignment horizontal="center" vertical="center"/>
    </xf>
    <xf numFmtId="0" fontId="2" fillId="8" borderId="2" xfId="0" applyFont="1" applyFill="1" applyBorder="1" applyAlignment="1">
      <alignment horizontal="left" vertical="center" indent="7"/>
    </xf>
    <xf numFmtId="0" fontId="2" fillId="12" borderId="19" xfId="0" applyFont="1" applyFill="1" applyBorder="1" applyAlignment="1">
      <alignment horizontal="left" vertical="center"/>
    </xf>
    <xf numFmtId="0" fontId="2" fillId="12" borderId="2" xfId="0" applyFont="1" applyFill="1" applyBorder="1" applyAlignment="1">
      <alignment horizontal="left" indent="7"/>
    </xf>
    <xf numFmtId="0" fontId="2" fillId="0" borderId="3" xfId="0" applyFont="1" applyBorder="1"/>
    <xf numFmtId="0" fontId="2" fillId="0" borderId="3" xfId="0" applyFont="1" applyBorder="1" applyAlignment="1">
      <alignment horizontal="center" vertical="center"/>
    </xf>
    <xf numFmtId="0" fontId="2" fillId="12" borderId="2" xfId="0" applyFont="1" applyFill="1" applyBorder="1" applyAlignment="1">
      <alignment horizontal="left" indent="10"/>
    </xf>
    <xf numFmtId="0" fontId="2" fillId="0" borderId="2" xfId="0" applyFont="1" applyBorder="1" applyAlignment="1">
      <alignment horizontal="left" indent="10"/>
    </xf>
    <xf numFmtId="0" fontId="2" fillId="8" borderId="2" xfId="0" applyFont="1" applyFill="1" applyBorder="1" applyAlignment="1">
      <alignment horizontal="left" indent="10"/>
    </xf>
    <xf numFmtId="0" fontId="2" fillId="14" borderId="19" xfId="0" applyFont="1" applyFill="1" applyBorder="1"/>
    <xf numFmtId="0" fontId="2" fillId="14" borderId="2" xfId="0" applyFont="1" applyFill="1" applyBorder="1" applyAlignment="1">
      <alignment horizontal="left" indent="6"/>
    </xf>
    <xf numFmtId="0" fontId="2" fillId="14" borderId="2" xfId="0" applyFont="1" applyFill="1" applyBorder="1" applyAlignment="1">
      <alignment horizontal="center" vertical="center"/>
    </xf>
    <xf numFmtId="0" fontId="2" fillId="4" borderId="18" xfId="0" applyFont="1" applyFill="1" applyBorder="1"/>
    <xf numFmtId="0" fontId="2" fillId="12" borderId="2" xfId="0" applyFont="1" applyFill="1" applyBorder="1" applyAlignment="1">
      <alignment horizontal="left" indent="11"/>
    </xf>
    <xf numFmtId="0" fontId="2" fillId="0" borderId="2" xfId="0" applyFont="1" applyBorder="1" applyAlignment="1">
      <alignment horizontal="left" indent="11"/>
    </xf>
    <xf numFmtId="0" fontId="2" fillId="8" borderId="2" xfId="0" applyFont="1" applyFill="1" applyBorder="1" applyAlignment="1">
      <alignment horizontal="left" indent="11"/>
    </xf>
    <xf numFmtId="0" fontId="2" fillId="4" borderId="2" xfId="0" applyFont="1" applyFill="1" applyBorder="1" applyAlignment="1">
      <alignment horizontal="left" indent="8"/>
    </xf>
    <xf numFmtId="0" fontId="2" fillId="12" borderId="20" xfId="0" applyFont="1" applyFill="1" applyBorder="1"/>
    <xf numFmtId="0" fontId="2" fillId="4" borderId="2" xfId="0" applyFont="1" applyFill="1" applyBorder="1" applyAlignment="1">
      <alignment horizontal="left" indent="9"/>
    </xf>
    <xf numFmtId="0" fontId="2" fillId="0" borderId="2" xfId="0" applyFont="1" applyBorder="1" applyAlignment="1">
      <alignment horizontal="left" indent="14"/>
    </xf>
    <xf numFmtId="0" fontId="2" fillId="8" borderId="2" xfId="0" applyFont="1" applyFill="1" applyBorder="1" applyAlignment="1">
      <alignment horizontal="left" indent="14"/>
    </xf>
    <xf numFmtId="0" fontId="2" fillId="0" borderId="0" xfId="0" applyFont="1" applyAlignment="1">
      <alignment horizontal="center" vertical="center"/>
    </xf>
    <xf numFmtId="0" fontId="2" fillId="4" borderId="25" xfId="0" applyFont="1" applyFill="1" applyBorder="1"/>
    <xf numFmtId="0" fontId="2" fillId="7" borderId="25" xfId="0" applyFont="1" applyFill="1" applyBorder="1"/>
    <xf numFmtId="0" fontId="2" fillId="7" borderId="26" xfId="0" applyFont="1" applyFill="1" applyBorder="1"/>
    <xf numFmtId="0" fontId="2" fillId="7" borderId="28" xfId="0" applyFont="1" applyFill="1" applyBorder="1"/>
    <xf numFmtId="0" fontId="2" fillId="7" borderId="27" xfId="0" applyFont="1" applyFill="1" applyBorder="1"/>
    <xf numFmtId="0" fontId="2" fillId="12" borderId="0" xfId="0" applyFont="1" applyFill="1" applyAlignment="1">
      <alignment horizontal="center" vertical="center"/>
    </xf>
    <xf numFmtId="0" fontId="2" fillId="17" borderId="0" xfId="0" applyFont="1" applyFill="1" applyAlignment="1">
      <alignment horizontal="center" vertical="center"/>
    </xf>
    <xf numFmtId="0" fontId="2" fillId="7" borderId="24" xfId="0" applyFont="1" applyFill="1" applyBorder="1"/>
    <xf numFmtId="0" fontId="2" fillId="9" borderId="0" xfId="0" applyFont="1" applyFill="1" applyAlignment="1">
      <alignment horizontal="left"/>
    </xf>
    <xf numFmtId="0" fontId="2" fillId="27" borderId="0" xfId="0" applyFont="1" applyFill="1"/>
    <xf numFmtId="0" fontId="2" fillId="12" borderId="0" xfId="0" applyFont="1" applyFill="1" applyAlignment="1">
      <alignment horizontal="left" indent="8"/>
    </xf>
    <xf numFmtId="0" fontId="2" fillId="4" borderId="0" xfId="0" applyFont="1" applyFill="1" applyAlignment="1">
      <alignment horizontal="center"/>
    </xf>
    <xf numFmtId="0" fontId="3" fillId="4" borderId="0" xfId="0" applyFont="1" applyFill="1"/>
    <xf numFmtId="0" fontId="3" fillId="0" borderId="0" xfId="0" applyFont="1"/>
    <xf numFmtId="0" fontId="2" fillId="12" borderId="0" xfId="0" applyFont="1" applyFill="1" applyAlignment="1">
      <alignment horizontal="left" indent="6"/>
    </xf>
    <xf numFmtId="0" fontId="2" fillId="12" borderId="0" xfId="0" applyFont="1" applyFill="1" applyAlignment="1">
      <alignment horizontal="left" indent="10"/>
    </xf>
    <xf numFmtId="0" fontId="8" fillId="0" borderId="0" xfId="0" applyFont="1"/>
    <xf numFmtId="0" fontId="9" fillId="0" borderId="0" xfId="0" applyFont="1"/>
    <xf numFmtId="0" fontId="2" fillId="17" borderId="0" xfId="0" applyFont="1" applyFill="1" applyAlignment="1">
      <alignment horizontal="center"/>
    </xf>
    <xf numFmtId="0" fontId="2" fillId="12" borderId="0" xfId="0" applyFont="1" applyFill="1" applyAlignment="1">
      <alignment horizontal="center"/>
    </xf>
    <xf numFmtId="0" fontId="3" fillId="7" borderId="0" xfId="0" applyFont="1" applyFill="1"/>
    <xf numFmtId="0" fontId="2" fillId="0" borderId="0" xfId="0" applyFont="1" applyFill="1" applyAlignment="1">
      <alignment horizontal="center" vertical="center"/>
    </xf>
    <xf numFmtId="0" fontId="2" fillId="9" borderId="2" xfId="0" applyFont="1" applyFill="1" applyBorder="1"/>
    <xf numFmtId="0" fontId="2" fillId="16" borderId="2" xfId="0" applyFont="1" applyFill="1" applyBorder="1"/>
    <xf numFmtId="0" fontId="2" fillId="17" borderId="2" xfId="0" applyFont="1" applyFill="1" applyBorder="1"/>
    <xf numFmtId="0" fontId="2" fillId="16" borderId="2" xfId="0" applyFont="1" applyFill="1" applyBorder="1" applyAlignment="1">
      <alignment horizontal="center"/>
    </xf>
    <xf numFmtId="0" fontId="2" fillId="5" borderId="0" xfId="0" applyFont="1" applyFill="1" applyBorder="1" applyAlignment="1">
      <alignment horizontal="center" vertical="center" wrapText="1"/>
    </xf>
    <xf numFmtId="0" fontId="2" fillId="0" borderId="0" xfId="0" applyFont="1" applyBorder="1" applyAlignment="1">
      <alignment horizontal="left" vertical="center"/>
    </xf>
    <xf numFmtId="0" fontId="0" fillId="0" borderId="29" xfId="0" applyBorder="1" applyAlignment="1">
      <alignment vertical="center"/>
    </xf>
    <xf numFmtId="0" fontId="0" fillId="0" borderId="29" xfId="0" applyBorder="1" applyAlignment="1">
      <alignment horizontal="center" vertical="center"/>
    </xf>
    <xf numFmtId="3" fontId="0" fillId="0" borderId="29" xfId="0" applyNumberFormat="1" applyBorder="1" applyAlignment="1">
      <alignment horizontal="center" vertical="center"/>
    </xf>
    <xf numFmtId="0" fontId="0" fillId="0" borderId="0" xfId="0" applyAlignment="1">
      <alignment vertical="center"/>
    </xf>
    <xf numFmtId="0" fontId="2" fillId="4" borderId="29" xfId="0" applyFont="1" applyFill="1" applyBorder="1" applyAlignment="1">
      <alignment horizontal="center" vertical="center"/>
    </xf>
    <xf numFmtId="3" fontId="2" fillId="4" borderId="29" xfId="0" applyNumberFormat="1" applyFont="1" applyFill="1" applyBorder="1" applyAlignment="1">
      <alignment horizontal="center" vertical="center"/>
    </xf>
    <xf numFmtId="0" fontId="13" fillId="28" borderId="30" xfId="0" applyFont="1" applyFill="1" applyBorder="1" applyAlignment="1">
      <alignment vertical="center"/>
    </xf>
    <xf numFmtId="0" fontId="13" fillId="28" borderId="31" xfId="0" applyFont="1" applyFill="1" applyBorder="1" applyAlignment="1">
      <alignment vertical="center"/>
    </xf>
    <xf numFmtId="0" fontId="13" fillId="28" borderId="32" xfId="0" applyFont="1" applyFill="1" applyBorder="1" applyAlignment="1">
      <alignment vertical="center"/>
    </xf>
    <xf numFmtId="0" fontId="1" fillId="0" borderId="29" xfId="0" applyFont="1" applyBorder="1" applyAlignment="1">
      <alignment vertical="center"/>
    </xf>
    <xf numFmtId="3" fontId="1" fillId="0" borderId="29" xfId="0" applyNumberFormat="1" applyFont="1" applyBorder="1" applyAlignment="1">
      <alignment horizontal="center" vertical="center"/>
    </xf>
    <xf numFmtId="0" fontId="1" fillId="0" borderId="29" xfId="0" applyFont="1" applyBorder="1" applyAlignment="1">
      <alignment horizontal="center" vertical="center"/>
    </xf>
    <xf numFmtId="0" fontId="14" fillId="0" borderId="29" xfId="0" applyFont="1" applyBorder="1" applyAlignment="1">
      <alignment vertical="center"/>
    </xf>
    <xf numFmtId="0" fontId="14" fillId="0" borderId="29" xfId="0" applyFont="1" applyBorder="1" applyAlignment="1">
      <alignment horizontal="center" vertical="center"/>
    </xf>
    <xf numFmtId="3" fontId="14" fillId="0" borderId="29" xfId="0" applyNumberFormat="1" applyFont="1" applyBorder="1" applyAlignment="1">
      <alignment horizontal="center" vertical="center"/>
    </xf>
    <xf numFmtId="3" fontId="12" fillId="0" borderId="29" xfId="0" applyNumberFormat="1" applyFont="1" applyBorder="1" applyAlignment="1">
      <alignment horizontal="center" vertical="center"/>
    </xf>
    <xf numFmtId="0" fontId="12" fillId="0" borderId="0" xfId="0" applyFont="1" applyAlignment="1">
      <alignment vertical="center"/>
    </xf>
    <xf numFmtId="1" fontId="14" fillId="11" borderId="29" xfId="0" applyNumberFormat="1" applyFont="1" applyFill="1" applyBorder="1" applyAlignment="1">
      <alignment vertical="center"/>
    </xf>
    <xf numFmtId="1" fontId="14" fillId="11" borderId="29" xfId="0" applyNumberFormat="1" applyFont="1" applyFill="1" applyBorder="1" applyAlignment="1">
      <alignment horizontal="center" vertical="center"/>
    </xf>
    <xf numFmtId="0" fontId="0" fillId="22" borderId="0" xfId="0" applyFill="1" applyAlignment="1">
      <alignment horizontal="center" vertical="center" wrapText="1"/>
    </xf>
    <xf numFmtId="0" fontId="1" fillId="11" borderId="29" xfId="0" applyFont="1" applyFill="1" applyBorder="1" applyAlignment="1">
      <alignment horizontal="center" vertical="center"/>
    </xf>
    <xf numFmtId="3" fontId="1" fillId="11" borderId="29" xfId="0" applyNumberFormat="1" applyFont="1" applyFill="1" applyBorder="1" applyAlignment="1">
      <alignment horizontal="center" vertical="center"/>
    </xf>
    <xf numFmtId="0" fontId="1" fillId="22" borderId="0" xfId="0" applyFont="1" applyFill="1" applyAlignment="1">
      <alignment vertical="center" wrapText="1"/>
    </xf>
    <xf numFmtId="0" fontId="1" fillId="29" borderId="29" xfId="0" applyFont="1" applyFill="1" applyBorder="1" applyAlignment="1">
      <alignment vertical="center"/>
    </xf>
    <xf numFmtId="0" fontId="1" fillId="29" borderId="29" xfId="0" applyFont="1" applyFill="1" applyBorder="1" applyAlignment="1">
      <alignment horizontal="center" vertical="center"/>
    </xf>
    <xf numFmtId="0" fontId="0" fillId="29" borderId="29" xfId="0" applyFill="1" applyBorder="1" applyAlignment="1">
      <alignment horizontal="center" vertical="center"/>
    </xf>
    <xf numFmtId="3" fontId="1" fillId="29" borderId="29" xfId="0" applyNumberFormat="1" applyFont="1" applyFill="1" applyBorder="1" applyAlignment="1">
      <alignment horizontal="center" vertical="center"/>
    </xf>
    <xf numFmtId="3" fontId="0" fillId="0" borderId="29" xfId="0" applyNumberFormat="1" applyBorder="1" applyAlignment="1">
      <alignment horizontal="center" vertical="center"/>
    </xf>
    <xf numFmtId="0" fontId="1" fillId="0" borderId="0" xfId="0" applyFont="1" applyAlignment="1">
      <alignment vertical="center"/>
    </xf>
    <xf numFmtId="0" fontId="15" fillId="0" borderId="29" xfId="0" applyFont="1" applyBorder="1"/>
    <xf numFmtId="0" fontId="0" fillId="11" borderId="29" xfId="0" applyFill="1" applyBorder="1" applyAlignment="1">
      <alignment vertical="center"/>
    </xf>
    <xf numFmtId="0" fontId="0" fillId="11" borderId="29" xfId="0" applyFill="1" applyBorder="1" applyAlignment="1">
      <alignment horizontal="center" vertical="center"/>
    </xf>
    <xf numFmtId="1" fontId="0" fillId="0" borderId="0" xfId="0" applyNumberFormat="1" applyAlignment="1">
      <alignment vertical="center"/>
    </xf>
    <xf numFmtId="0" fontId="0" fillId="29" borderId="29" xfId="0" applyFill="1" applyBorder="1" applyAlignment="1">
      <alignment vertical="center"/>
    </xf>
    <xf numFmtId="0" fontId="1" fillId="29" borderId="29" xfId="0" applyFont="1" applyFill="1" applyBorder="1"/>
    <xf numFmtId="0" fontId="14" fillId="9" borderId="29" xfId="0" applyFont="1" applyFill="1" applyBorder="1" applyAlignment="1">
      <alignment horizontal="left" vertical="center"/>
    </xf>
    <xf numFmtId="0" fontId="14" fillId="9" borderId="29" xfId="0" applyFont="1" applyFill="1" applyBorder="1" applyAlignment="1">
      <alignment horizontal="center" vertical="center"/>
    </xf>
    <xf numFmtId="0" fontId="14" fillId="4" borderId="0" xfId="0" applyFont="1" applyFill="1" applyAlignment="1">
      <alignment vertical="center" wrapText="1"/>
    </xf>
    <xf numFmtId="0" fontId="14" fillId="11" borderId="0" xfId="0" applyFont="1" applyFill="1" applyAlignment="1">
      <alignment vertical="center" wrapText="1"/>
    </xf>
    <xf numFmtId="0" fontId="14" fillId="0" borderId="0" xfId="0" applyFont="1" applyAlignment="1">
      <alignment vertical="center"/>
    </xf>
    <xf numFmtId="0" fontId="1" fillId="0" borderId="29" xfId="0" applyFont="1" applyBorder="1"/>
    <xf numFmtId="0" fontId="0" fillId="4" borderId="0" xfId="0" applyFill="1" applyAlignment="1">
      <alignment vertical="center" wrapText="1"/>
    </xf>
    <xf numFmtId="0" fontId="0" fillId="11" borderId="0" xfId="0" applyFill="1" applyAlignment="1">
      <alignment vertical="center" wrapText="1"/>
    </xf>
    <xf numFmtId="0" fontId="1" fillId="0" borderId="21" xfId="0" applyFont="1" applyBorder="1" applyAlignment="1">
      <alignment vertical="center"/>
    </xf>
    <xf numFmtId="0" fontId="1" fillId="0" borderId="21" xfId="0" applyFont="1" applyBorder="1" applyAlignment="1">
      <alignment horizontal="center" vertical="center"/>
    </xf>
    <xf numFmtId="3" fontId="1" fillId="0" borderId="21" xfId="0" applyNumberFormat="1" applyFont="1" applyBorder="1" applyAlignment="1">
      <alignment horizontal="center" vertical="center"/>
    </xf>
    <xf numFmtId="1" fontId="0" fillId="11" borderId="29" xfId="0" applyNumberFormat="1" applyFill="1" applyBorder="1" applyAlignment="1">
      <alignment vertical="center"/>
    </xf>
    <xf numFmtId="1" fontId="1" fillId="11" borderId="29" xfId="0" applyNumberFormat="1" applyFont="1" applyFill="1" applyBorder="1" applyAlignment="1">
      <alignment vertical="center"/>
    </xf>
    <xf numFmtId="1" fontId="0" fillId="11" borderId="29" xfId="0" applyNumberFormat="1" applyFill="1" applyBorder="1" applyAlignment="1">
      <alignment horizontal="center" vertical="center"/>
    </xf>
    <xf numFmtId="1" fontId="1" fillId="11" borderId="29" xfId="0" applyNumberFormat="1" applyFont="1" applyFill="1" applyBorder="1" applyAlignment="1">
      <alignment horizontal="center" vertical="center"/>
    </xf>
    <xf numFmtId="3" fontId="0" fillId="0" borderId="22" xfId="0" applyNumberFormat="1" applyBorder="1" applyAlignment="1">
      <alignment horizontal="center" vertical="center"/>
    </xf>
    <xf numFmtId="0" fontId="1" fillId="11" borderId="29" xfId="0" applyFont="1" applyFill="1" applyBorder="1" applyAlignment="1">
      <alignment vertical="center"/>
    </xf>
    <xf numFmtId="3" fontId="1" fillId="11" borderId="21" xfId="0" applyNumberFormat="1" applyFont="1" applyFill="1" applyBorder="1" applyAlignment="1">
      <alignment horizontal="center" vertical="center"/>
    </xf>
    <xf numFmtId="0" fontId="0" fillId="31" borderId="0" xfId="0" applyFill="1" applyAlignment="1">
      <alignment vertical="center"/>
    </xf>
    <xf numFmtId="1" fontId="0" fillId="0" borderId="29" xfId="0" applyNumberFormat="1" applyBorder="1" applyAlignment="1">
      <alignment vertical="center"/>
    </xf>
    <xf numFmtId="1" fontId="1" fillId="0" borderId="29" xfId="0" applyNumberFormat="1" applyFont="1" applyBorder="1" applyAlignment="1">
      <alignment vertical="center"/>
    </xf>
    <xf numFmtId="1" fontId="1" fillId="0" borderId="29" xfId="0" applyNumberFormat="1" applyFont="1" applyBorder="1" applyAlignment="1">
      <alignment horizontal="center" vertical="center"/>
    </xf>
    <xf numFmtId="1" fontId="1" fillId="0" borderId="31" xfId="0" applyNumberFormat="1" applyFont="1" applyBorder="1" applyAlignment="1">
      <alignment horizontal="center" vertical="center"/>
    </xf>
    <xf numFmtId="0" fontId="1" fillId="20" borderId="29" xfId="0" applyFont="1" applyFill="1" applyBorder="1" applyAlignment="1">
      <alignment vertical="center"/>
    </xf>
    <xf numFmtId="0" fontId="1" fillId="20" borderId="29" xfId="0" applyFont="1" applyFill="1" applyBorder="1" applyAlignment="1">
      <alignment horizontal="center" vertical="center"/>
    </xf>
    <xf numFmtId="0" fontId="14" fillId="0" borderId="29" xfId="0" applyFont="1" applyBorder="1"/>
    <xf numFmtId="0" fontId="1" fillId="0" borderId="0" xfId="0" applyFont="1" applyAlignment="1">
      <alignment vertical="center" wrapText="1"/>
    </xf>
    <xf numFmtId="0" fontId="2" fillId="22" borderId="0" xfId="0" applyFont="1" applyFill="1" applyAlignment="1">
      <alignment vertical="center" wrapText="1"/>
    </xf>
    <xf numFmtId="0" fontId="14" fillId="11" borderId="29" xfId="0" applyFont="1" applyFill="1" applyBorder="1" applyAlignment="1">
      <alignment vertical="center" wrapText="1"/>
    </xf>
    <xf numFmtId="0" fontId="1" fillId="0" borderId="29" xfId="0" applyFont="1" applyBorder="1" applyAlignment="1">
      <alignment horizontal="center" vertical="center" wrapText="1"/>
    </xf>
    <xf numFmtId="0" fontId="14" fillId="0" borderId="29" xfId="0" applyFont="1" applyBorder="1" applyAlignment="1">
      <alignment vertical="center" wrapText="1"/>
    </xf>
    <xf numFmtId="3" fontId="0" fillId="0" borderId="0" xfId="0" applyNumberFormat="1" applyAlignment="1">
      <alignment horizontal="center" vertical="center"/>
    </xf>
    <xf numFmtId="0" fontId="14" fillId="20" borderId="29" xfId="0" applyFont="1" applyFill="1" applyBorder="1" applyAlignment="1">
      <alignment vertical="center" wrapText="1"/>
    </xf>
    <xf numFmtId="3" fontId="1" fillId="20" borderId="29" xfId="0" applyNumberFormat="1" applyFont="1" applyFill="1" applyBorder="1" applyAlignment="1">
      <alignment horizontal="center" vertical="center"/>
    </xf>
    <xf numFmtId="3" fontId="0" fillId="0" borderId="0" xfId="0" applyNumberFormat="1" applyBorder="1" applyAlignment="1">
      <alignment horizontal="center" vertical="center"/>
    </xf>
    <xf numFmtId="3" fontId="2" fillId="4" borderId="0" xfId="0" applyNumberFormat="1" applyFont="1" applyFill="1" applyBorder="1" applyAlignment="1">
      <alignment horizontal="center" vertical="center"/>
    </xf>
    <xf numFmtId="0" fontId="13" fillId="28" borderId="0" xfId="0" applyFont="1" applyFill="1" applyBorder="1" applyAlignment="1">
      <alignment vertical="center"/>
    </xf>
    <xf numFmtId="3" fontId="1" fillId="0" borderId="0" xfId="0" applyNumberFormat="1" applyFont="1" applyBorder="1" applyAlignment="1">
      <alignment horizontal="center" vertical="center"/>
    </xf>
    <xf numFmtId="3" fontId="0" fillId="0" borderId="33" xfId="0" applyNumberFormat="1" applyBorder="1" applyAlignment="1">
      <alignment horizontal="center" vertical="center"/>
    </xf>
    <xf numFmtId="0" fontId="13" fillId="28" borderId="0" xfId="0" applyFont="1" applyFill="1" applyBorder="1" applyAlignment="1">
      <alignment horizontal="left" vertical="center"/>
    </xf>
    <xf numFmtId="3" fontId="1" fillId="29" borderId="33" xfId="0" applyNumberFormat="1" applyFont="1" applyFill="1" applyBorder="1" applyAlignment="1">
      <alignment horizontal="center" vertical="center" wrapText="1"/>
    </xf>
    <xf numFmtId="0" fontId="14" fillId="9" borderId="33" xfId="0" applyFont="1" applyFill="1" applyBorder="1" applyAlignment="1">
      <alignment horizontal="left" vertical="center"/>
    </xf>
    <xf numFmtId="0" fontId="17" fillId="30" borderId="0" xfId="0" applyFont="1" applyFill="1" applyBorder="1" applyAlignment="1">
      <alignment horizontal="left" vertical="center"/>
    </xf>
    <xf numFmtId="3" fontId="1" fillId="11" borderId="0" xfId="0" applyNumberFormat="1" applyFont="1" applyFill="1" applyBorder="1" applyAlignment="1">
      <alignment horizontal="center" vertical="center"/>
    </xf>
    <xf numFmtId="0" fontId="1" fillId="0" borderId="33" xfId="0" applyFont="1" applyBorder="1" applyAlignment="1">
      <alignment horizontal="center" vertical="center"/>
    </xf>
    <xf numFmtId="3" fontId="1" fillId="0" borderId="33" xfId="0" applyNumberFormat="1" applyFont="1" applyBorder="1" applyAlignment="1">
      <alignment horizontal="center" vertical="center"/>
    </xf>
    <xf numFmtId="3" fontId="14" fillId="0" borderId="0" xfId="0" applyNumberFormat="1" applyFont="1" applyBorder="1" applyAlignment="1">
      <alignment horizontal="center" vertical="center"/>
    </xf>
    <xf numFmtId="3" fontId="1" fillId="20" borderId="0" xfId="0" applyNumberFormat="1" applyFont="1" applyFill="1" applyBorder="1" applyAlignment="1">
      <alignment horizontal="center" vertical="center"/>
    </xf>
    <xf numFmtId="0" fontId="13" fillId="28" borderId="30" xfId="0" applyFont="1" applyFill="1" applyBorder="1" applyAlignment="1">
      <alignment horizontal="left" vertical="center"/>
    </xf>
    <xf numFmtId="0" fontId="13" fillId="28" borderId="31" xfId="0" applyFont="1" applyFill="1" applyBorder="1" applyAlignment="1">
      <alignment horizontal="left" vertical="center"/>
    </xf>
    <xf numFmtId="0" fontId="13" fillId="28" borderId="32" xfId="0" applyFont="1" applyFill="1" applyBorder="1" applyAlignment="1">
      <alignment horizontal="left" vertical="center"/>
    </xf>
    <xf numFmtId="0" fontId="17" fillId="30" borderId="29" xfId="0" applyFont="1" applyFill="1" applyBorder="1" applyAlignment="1">
      <alignment horizontal="left" vertical="center"/>
    </xf>
    <xf numFmtId="3" fontId="0" fillId="0" borderId="29" xfId="0" applyNumberFormat="1" applyFont="1" applyBorder="1" applyAlignment="1">
      <alignment horizontal="center" vertical="center"/>
    </xf>
    <xf numFmtId="3" fontId="0" fillId="30" borderId="0" xfId="0" applyNumberFormat="1" applyFill="1" applyAlignment="1">
      <alignment horizontal="center" vertical="center"/>
    </xf>
    <xf numFmtId="0" fontId="13" fillId="30" borderId="30" xfId="0" applyFont="1" applyFill="1" applyBorder="1" applyAlignment="1">
      <alignment horizontal="left" vertical="center"/>
    </xf>
    <xf numFmtId="0" fontId="23" fillId="0" borderId="0" xfId="0" applyFont="1"/>
    <xf numFmtId="0" fontId="23" fillId="0" borderId="0" xfId="0" applyFont="1" applyAlignment="1">
      <alignment horizontal="right"/>
    </xf>
    <xf numFmtId="39" fontId="24" fillId="0" borderId="0" xfId="0" applyNumberFormat="1" applyFont="1" applyAlignment="1">
      <alignment horizontal="right"/>
    </xf>
    <xf numFmtId="0" fontId="3" fillId="28" borderId="0" xfId="0" applyFont="1" applyFill="1" applyBorder="1" applyAlignment="1">
      <alignment vertical="center"/>
    </xf>
    <xf numFmtId="3" fontId="0" fillId="0" borderId="29" xfId="0" applyNumberFormat="1" applyBorder="1" applyAlignment="1">
      <alignment horizontal="center" vertical="center"/>
    </xf>
    <xf numFmtId="0" fontId="13" fillId="28" borderId="31" xfId="0" applyFont="1" applyFill="1" applyBorder="1" applyAlignment="1">
      <alignment horizontal="left" vertical="center"/>
    </xf>
    <xf numFmtId="0" fontId="13" fillId="28" borderId="34" xfId="0" applyFont="1" applyFill="1" applyBorder="1" applyAlignment="1">
      <alignment vertical="center"/>
    </xf>
    <xf numFmtId="0" fontId="13" fillId="28" borderId="35" xfId="0" applyFont="1" applyFill="1" applyBorder="1" applyAlignment="1">
      <alignment horizontal="left" vertical="center"/>
    </xf>
    <xf numFmtId="3" fontId="1" fillId="29" borderId="29" xfId="0" applyNumberFormat="1" applyFont="1" applyFill="1" applyBorder="1" applyAlignment="1">
      <alignment horizontal="center" vertical="center" wrapText="1"/>
    </xf>
    <xf numFmtId="0" fontId="0" fillId="30" borderId="31" xfId="0" applyFill="1" applyBorder="1" applyAlignment="1">
      <alignment vertical="center"/>
    </xf>
    <xf numFmtId="0" fontId="0" fillId="30" borderId="31" xfId="0" applyFill="1" applyBorder="1" applyAlignment="1">
      <alignment horizontal="center" vertical="center"/>
    </xf>
    <xf numFmtId="3" fontId="0" fillId="30" borderId="31" xfId="0" applyNumberFormat="1" applyFill="1" applyBorder="1" applyAlignment="1">
      <alignment horizontal="center" vertical="center"/>
    </xf>
    <xf numFmtId="3" fontId="0" fillId="30" borderId="32" xfId="0" applyNumberFormat="1" applyFill="1" applyBorder="1" applyAlignment="1">
      <alignment horizontal="center" vertical="center"/>
    </xf>
    <xf numFmtId="0" fontId="0" fillId="0" borderId="29" xfId="0" applyBorder="1"/>
    <xf numFmtId="0" fontId="21" fillId="0" borderId="29" xfId="0" applyFont="1" applyBorder="1"/>
    <xf numFmtId="0" fontId="22" fillId="0" borderId="29" xfId="0" applyFont="1" applyBorder="1"/>
    <xf numFmtId="0" fontId="0" fillId="4" borderId="29" xfId="0" applyFill="1" applyBorder="1"/>
    <xf numFmtId="3" fontId="0" fillId="0" borderId="30" xfId="0" applyNumberFormat="1" applyBorder="1" applyAlignment="1">
      <alignment horizontal="center" vertical="center"/>
    </xf>
    <xf numFmtId="3" fontId="1" fillId="0" borderId="30" xfId="0" applyNumberFormat="1" applyFont="1" applyBorder="1" applyAlignment="1">
      <alignment horizontal="center" vertical="center"/>
    </xf>
    <xf numFmtId="0" fontId="13" fillId="28" borderId="29" xfId="0" applyFont="1" applyFill="1" applyBorder="1" applyAlignment="1">
      <alignment horizontal="left" vertical="center"/>
    </xf>
    <xf numFmtId="3" fontId="0" fillId="30" borderId="29" xfId="0" applyNumberFormat="1" applyFill="1" applyBorder="1" applyAlignment="1">
      <alignment horizontal="center" vertical="center"/>
    </xf>
    <xf numFmtId="0" fontId="2" fillId="17" borderId="37" xfId="0" applyNumberFormat="1" applyFont="1" applyFill="1" applyBorder="1"/>
    <xf numFmtId="0" fontId="2" fillId="17" borderId="38" xfId="0" applyFont="1" applyFill="1" applyBorder="1" applyAlignment="1">
      <alignment horizontal="center" vertical="center"/>
    </xf>
    <xf numFmtId="0" fontId="2" fillId="17" borderId="38" xfId="0" applyFont="1" applyFill="1" applyBorder="1"/>
    <xf numFmtId="0" fontId="0" fillId="0" borderId="2" xfId="0" applyFont="1" applyBorder="1"/>
    <xf numFmtId="0" fontId="2" fillId="4" borderId="27" xfId="0" applyFont="1" applyFill="1" applyBorder="1"/>
    <xf numFmtId="0" fontId="25" fillId="16" borderId="40" xfId="0" applyFont="1" applyFill="1" applyBorder="1"/>
    <xf numFmtId="0" fontId="25" fillId="16" borderId="4" xfId="0" applyFont="1" applyFill="1" applyBorder="1"/>
    <xf numFmtId="0" fontId="25" fillId="16" borderId="41" xfId="0" applyFont="1" applyFill="1" applyBorder="1"/>
    <xf numFmtId="2" fontId="0" fillId="9" borderId="42" xfId="0" applyNumberFormat="1" applyFont="1" applyFill="1" applyBorder="1"/>
    <xf numFmtId="0" fontId="0" fillId="13" borderId="4" xfId="0" applyFont="1" applyFill="1" applyBorder="1"/>
    <xf numFmtId="0" fontId="2" fillId="9" borderId="4" xfId="0" applyFont="1" applyFill="1" applyBorder="1"/>
    <xf numFmtId="0" fontId="2" fillId="7" borderId="40" xfId="0" applyFont="1" applyFill="1" applyBorder="1"/>
    <xf numFmtId="0" fontId="2" fillId="8" borderId="40" xfId="0" applyFont="1" applyFill="1" applyBorder="1"/>
    <xf numFmtId="0" fontId="2" fillId="8" borderId="4" xfId="0" applyFont="1" applyFill="1" applyBorder="1" applyAlignment="1">
      <alignment horizontal="center"/>
    </xf>
    <xf numFmtId="2" fontId="2" fillId="8" borderId="4" xfId="0" applyNumberFormat="1" applyFont="1" applyFill="1" applyBorder="1" applyAlignment="1">
      <alignment horizontal="center"/>
    </xf>
    <xf numFmtId="0" fontId="2" fillId="8" borderId="4" xfId="0" applyFont="1" applyFill="1" applyBorder="1"/>
    <xf numFmtId="0" fontId="2" fillId="8" borderId="41" xfId="0" applyFont="1" applyFill="1" applyBorder="1" applyAlignment="1">
      <alignment horizontal="center"/>
    </xf>
    <xf numFmtId="0" fontId="0" fillId="0" borderId="42" xfId="0" applyFont="1" applyBorder="1"/>
    <xf numFmtId="0" fontId="0" fillId="0" borderId="4" xfId="0" applyFont="1" applyBorder="1"/>
    <xf numFmtId="0" fontId="2" fillId="0" borderId="40" xfId="0" applyFont="1" applyBorder="1"/>
    <xf numFmtId="0" fontId="2" fillId="0" borderId="4" xfId="0" applyFont="1" applyBorder="1" applyAlignment="1">
      <alignment horizontal="center"/>
    </xf>
    <xf numFmtId="2" fontId="2" fillId="0" borderId="4" xfId="0" applyNumberFormat="1" applyFont="1" applyBorder="1" applyAlignment="1">
      <alignment horizontal="center"/>
    </xf>
    <xf numFmtId="0" fontId="2" fillId="0" borderId="4" xfId="0" applyFont="1" applyBorder="1"/>
    <xf numFmtId="0" fontId="2" fillId="0" borderId="41" xfId="0" applyFont="1" applyBorder="1" applyAlignment="1">
      <alignment horizontal="center"/>
    </xf>
    <xf numFmtId="0" fontId="0" fillId="8" borderId="42" xfId="0" applyFont="1" applyFill="1" applyBorder="1"/>
    <xf numFmtId="0" fontId="0" fillId="8" borderId="4" xfId="0" applyFont="1" applyFill="1" applyBorder="1"/>
    <xf numFmtId="0" fontId="0" fillId="12" borderId="40" xfId="0" applyFont="1" applyFill="1" applyBorder="1"/>
    <xf numFmtId="0" fontId="2" fillId="12" borderId="40" xfId="0" applyFont="1" applyFill="1" applyBorder="1"/>
    <xf numFmtId="0" fontId="2" fillId="12" borderId="4" xfId="0" applyFont="1" applyFill="1" applyBorder="1" applyAlignment="1">
      <alignment horizontal="center"/>
    </xf>
    <xf numFmtId="2" fontId="2" fillId="12" borderId="4" xfId="0" applyNumberFormat="1" applyFont="1" applyFill="1" applyBorder="1" applyAlignment="1">
      <alignment horizontal="center"/>
    </xf>
    <xf numFmtId="0" fontId="2" fillId="12" borderId="4" xfId="0" applyFont="1" applyFill="1" applyBorder="1"/>
    <xf numFmtId="0" fontId="2" fillId="12" borderId="41" xfId="0" applyFont="1" applyFill="1" applyBorder="1" applyAlignment="1">
      <alignment horizontal="center"/>
    </xf>
    <xf numFmtId="0" fontId="2" fillId="7" borderId="8" xfId="0" applyFont="1" applyFill="1" applyBorder="1"/>
    <xf numFmtId="0" fontId="0" fillId="17" borderId="42" xfId="0" applyFont="1" applyFill="1" applyBorder="1"/>
    <xf numFmtId="0" fontId="0" fillId="17" borderId="4" xfId="0" applyFont="1" applyFill="1" applyBorder="1"/>
    <xf numFmtId="0" fontId="0" fillId="17" borderId="1" xfId="0" applyFont="1" applyFill="1" applyBorder="1"/>
    <xf numFmtId="2" fontId="0" fillId="17" borderId="4" xfId="0" applyNumberFormat="1" applyFont="1" applyFill="1" applyBorder="1"/>
    <xf numFmtId="0" fontId="0" fillId="17" borderId="41" xfId="0" applyFont="1" applyFill="1" applyBorder="1" applyAlignment="1">
      <alignment horizontal="center"/>
    </xf>
    <xf numFmtId="0" fontId="0" fillId="9" borderId="42" xfId="0" applyFont="1" applyFill="1" applyBorder="1"/>
    <xf numFmtId="0" fontId="0" fillId="0" borderId="41" xfId="0" applyFont="1" applyBorder="1" applyAlignment="1">
      <alignment horizontal="center"/>
    </xf>
    <xf numFmtId="0" fontId="2" fillId="4" borderId="40" xfId="0" applyFont="1" applyFill="1" applyBorder="1"/>
    <xf numFmtId="0" fontId="2" fillId="4" borderId="4" xfId="0" applyFont="1" applyFill="1" applyBorder="1" applyAlignment="1">
      <alignment horizontal="center"/>
    </xf>
    <xf numFmtId="2" fontId="0" fillId="4" borderId="4" xfId="0" applyNumberFormat="1" applyFont="1" applyFill="1" applyBorder="1"/>
    <xf numFmtId="0" fontId="0" fillId="4" borderId="4" xfId="0" applyFont="1" applyFill="1" applyBorder="1"/>
    <xf numFmtId="0" fontId="0" fillId="4" borderId="41" xfId="0" applyFont="1" applyFill="1" applyBorder="1" applyAlignment="1">
      <alignment horizontal="center"/>
    </xf>
    <xf numFmtId="0" fontId="2" fillId="0" borderId="40" xfId="0" applyFont="1" applyBorder="1" applyAlignment="1">
      <alignment horizontal="left" indent="6"/>
    </xf>
    <xf numFmtId="2" fontId="0" fillId="0" borderId="4" xfId="0" applyNumberFormat="1" applyFont="1" applyBorder="1"/>
    <xf numFmtId="0" fontId="2" fillId="12" borderId="40" xfId="0" applyFont="1" applyFill="1" applyBorder="1" applyAlignment="1">
      <alignment horizontal="left" indent="6"/>
    </xf>
    <xf numFmtId="2" fontId="0" fillId="12" borderId="4" xfId="0" applyNumberFormat="1" applyFont="1" applyFill="1" applyBorder="1"/>
    <xf numFmtId="0" fontId="0" fillId="12" borderId="4" xfId="0" applyFont="1" applyFill="1" applyBorder="1"/>
    <xf numFmtId="0" fontId="0" fillId="12" borderId="41" xfId="0" applyFont="1" applyFill="1" applyBorder="1" applyAlignment="1">
      <alignment horizontal="center"/>
    </xf>
    <xf numFmtId="0" fontId="2" fillId="8" borderId="40" xfId="0" applyFont="1" applyFill="1" applyBorder="1" applyAlignment="1">
      <alignment horizontal="left" indent="6"/>
    </xf>
    <xf numFmtId="2" fontId="0" fillId="8" borderId="4" xfId="0" applyNumberFormat="1" applyFont="1" applyFill="1" applyBorder="1"/>
    <xf numFmtId="0" fontId="0" fillId="8" borderId="41" xfId="0" applyFont="1" applyFill="1" applyBorder="1" applyAlignment="1">
      <alignment horizontal="center"/>
    </xf>
    <xf numFmtId="0" fontId="0" fillId="16" borderId="42" xfId="0" applyFont="1" applyFill="1" applyBorder="1"/>
    <xf numFmtId="0" fontId="0" fillId="16" borderId="4" xfId="0" applyFont="1" applyFill="1" applyBorder="1"/>
    <xf numFmtId="0" fontId="0" fillId="16" borderId="8" xfId="0" applyFont="1" applyFill="1" applyBorder="1"/>
    <xf numFmtId="0" fontId="0" fillId="16" borderId="40" xfId="0" applyFont="1" applyFill="1" applyBorder="1"/>
    <xf numFmtId="2" fontId="0" fillId="16" borderId="4" xfId="0" applyNumberFormat="1" applyFont="1" applyFill="1" applyBorder="1"/>
    <xf numFmtId="0" fontId="3" fillId="7" borderId="40" xfId="0" applyFont="1" applyFill="1" applyBorder="1"/>
    <xf numFmtId="2" fontId="2" fillId="8" borderId="4" xfId="0" applyNumberFormat="1" applyFont="1" applyFill="1" applyBorder="1" applyAlignment="1">
      <alignment horizontal="center" vertical="center"/>
    </xf>
    <xf numFmtId="2" fontId="2" fillId="0" borderId="4" xfId="0" applyNumberFormat="1" applyFont="1" applyBorder="1" applyAlignment="1">
      <alignment horizontal="center" vertical="center"/>
    </xf>
    <xf numFmtId="0" fontId="0" fillId="4" borderId="40" xfId="0" applyFont="1" applyFill="1" applyBorder="1"/>
    <xf numFmtId="0" fontId="2" fillId="4" borderId="4" xfId="0" applyFont="1" applyFill="1" applyBorder="1" applyAlignment="1">
      <alignment horizontal="center" vertical="center"/>
    </xf>
    <xf numFmtId="0" fontId="2" fillId="0" borderId="40" xfId="0" applyFont="1" applyBorder="1" applyAlignment="1">
      <alignment horizontal="left" indent="5"/>
    </xf>
    <xf numFmtId="0" fontId="2" fillId="8" borderId="40" xfId="0" applyFont="1" applyFill="1" applyBorder="1" applyAlignment="1">
      <alignment horizontal="left" indent="5"/>
    </xf>
    <xf numFmtId="0" fontId="0" fillId="16" borderId="1" xfId="0" applyFont="1" applyFill="1" applyBorder="1"/>
    <xf numFmtId="0" fontId="2" fillId="13" borderId="4" xfId="0" applyFont="1" applyFill="1" applyBorder="1" applyAlignment="1">
      <alignment horizontal="center" vertical="center"/>
    </xf>
    <xf numFmtId="0" fontId="0" fillId="4" borderId="43" xfId="0" applyFont="1" applyFill="1" applyBorder="1"/>
    <xf numFmtId="0" fontId="2" fillId="4" borderId="44" xfId="0" applyFont="1" applyFill="1" applyBorder="1" applyAlignment="1">
      <alignment horizontal="left"/>
    </xf>
    <xf numFmtId="0" fontId="2" fillId="7" borderId="45" xfId="0" applyFont="1" applyFill="1" applyBorder="1"/>
    <xf numFmtId="0" fontId="2" fillId="8" borderId="44" xfId="0" applyFont="1" applyFill="1" applyBorder="1" applyAlignment="1">
      <alignment horizontal="left" indent="4"/>
    </xf>
    <xf numFmtId="2" fontId="0" fillId="8" borderId="4" xfId="0" applyNumberFormat="1" applyFont="1" applyFill="1" applyBorder="1" applyAlignment="1">
      <alignment horizontal="center"/>
    </xf>
    <xf numFmtId="0" fontId="2" fillId="4" borderId="44" xfId="0" applyFont="1" applyFill="1" applyBorder="1"/>
    <xf numFmtId="0" fontId="2" fillId="4" borderId="44" xfId="0" applyFont="1" applyFill="1" applyBorder="1" applyAlignment="1">
      <alignment horizontal="left" indent="4"/>
    </xf>
    <xf numFmtId="0" fontId="2" fillId="7" borderId="44" xfId="0" applyFont="1" applyFill="1" applyBorder="1"/>
    <xf numFmtId="0" fontId="2" fillId="8" borderId="44" xfId="0" applyFont="1" applyFill="1" applyBorder="1" applyAlignment="1">
      <alignment horizontal="left" indent="8"/>
    </xf>
    <xf numFmtId="0" fontId="2" fillId="12" borderId="44" xfId="0" applyFont="1" applyFill="1" applyBorder="1"/>
    <xf numFmtId="0" fontId="2" fillId="12" borderId="44" xfId="0" applyFont="1" applyFill="1" applyBorder="1" applyAlignment="1">
      <alignment horizontal="left" indent="8"/>
    </xf>
    <xf numFmtId="0" fontId="0" fillId="4" borderId="45" xfId="0" applyFont="1" applyFill="1" applyBorder="1"/>
    <xf numFmtId="0" fontId="2" fillId="0" borderId="44" xfId="0" applyFont="1" applyBorder="1" applyAlignment="1">
      <alignment horizontal="left" indent="8"/>
    </xf>
    <xf numFmtId="0" fontId="0" fillId="12" borderId="44" xfId="0" applyFont="1" applyFill="1" applyBorder="1"/>
    <xf numFmtId="0" fontId="2" fillId="0" borderId="44" xfId="0" applyFont="1" applyBorder="1" applyAlignment="1">
      <alignment horizontal="left" indent="4"/>
    </xf>
    <xf numFmtId="0" fontId="0" fillId="4" borderId="44" xfId="0" applyFont="1" applyFill="1" applyBorder="1"/>
    <xf numFmtId="0" fontId="3" fillId="7" borderId="44" xfId="0" applyFont="1" applyFill="1" applyBorder="1"/>
    <xf numFmtId="0" fontId="2" fillId="0" borderId="44" xfId="0" applyFont="1" applyBorder="1" applyAlignment="1">
      <alignment horizontal="left" indent="9"/>
    </xf>
    <xf numFmtId="0" fontId="2" fillId="8" borderId="44" xfId="0" applyFont="1" applyFill="1" applyBorder="1" applyAlignment="1">
      <alignment horizontal="left" indent="9"/>
    </xf>
    <xf numFmtId="0" fontId="2" fillId="8" borderId="44" xfId="0" applyFont="1" applyFill="1" applyBorder="1" applyAlignment="1">
      <alignment horizontal="left" indent="6"/>
    </xf>
    <xf numFmtId="0" fontId="2" fillId="4" borderId="44" xfId="0" applyFont="1" applyFill="1" applyBorder="1" applyAlignment="1">
      <alignment horizontal="left" indent="6"/>
    </xf>
    <xf numFmtId="0" fontId="2" fillId="12" borderId="4" xfId="0" applyFont="1" applyFill="1" applyBorder="1" applyAlignment="1">
      <alignment horizontal="center" vertical="center"/>
    </xf>
    <xf numFmtId="0" fontId="2" fillId="7" borderId="46" xfId="0" applyFont="1" applyFill="1" applyBorder="1"/>
    <xf numFmtId="0" fontId="2" fillId="7" borderId="43" xfId="0" applyFont="1" applyFill="1" applyBorder="1"/>
    <xf numFmtId="0" fontId="2" fillId="8" borderId="44" xfId="0" applyFont="1" applyFill="1" applyBorder="1" applyAlignment="1">
      <alignment horizontal="left"/>
    </xf>
    <xf numFmtId="0" fontId="2" fillId="7" borderId="4" xfId="0" applyFont="1" applyFill="1" applyBorder="1" applyAlignment="1">
      <alignment horizontal="center"/>
    </xf>
    <xf numFmtId="0" fontId="2" fillId="8" borderId="44" xfId="0" applyFont="1" applyFill="1" applyBorder="1"/>
    <xf numFmtId="0" fontId="2" fillId="8" borderId="41" xfId="0" applyFont="1" applyFill="1" applyBorder="1" applyAlignment="1">
      <alignment horizontal="center" vertical="center"/>
    </xf>
    <xf numFmtId="0" fontId="2" fillId="0" borderId="41" xfId="0" applyFont="1" applyBorder="1" applyAlignment="1">
      <alignment horizontal="center" vertical="center"/>
    </xf>
    <xf numFmtId="0" fontId="2" fillId="0" borderId="44" xfId="0" applyFont="1" applyBorder="1"/>
    <xf numFmtId="0" fontId="2" fillId="4" borderId="44" xfId="0" applyFont="1" applyFill="1" applyBorder="1" applyAlignment="1">
      <alignment horizontal="left" vertical="center"/>
    </xf>
    <xf numFmtId="0" fontId="2" fillId="4" borderId="41" xfId="0" applyFont="1" applyFill="1" applyBorder="1" applyAlignment="1">
      <alignment horizontal="center" vertical="center"/>
    </xf>
    <xf numFmtId="0" fontId="2" fillId="4" borderId="48" xfId="0" applyFont="1" applyFill="1" applyBorder="1" applyAlignment="1">
      <alignment horizontal="left" vertical="center"/>
    </xf>
    <xf numFmtId="0" fontId="2" fillId="4" borderId="40" xfId="0" applyFont="1" applyFill="1" applyBorder="1" applyAlignment="1">
      <alignment horizontal="left" indent="4"/>
    </xf>
    <xf numFmtId="0" fontId="2" fillId="7" borderId="40" xfId="0" applyFont="1" applyFill="1" applyBorder="1" applyAlignment="1">
      <alignment horizontal="left" vertical="center"/>
    </xf>
    <xf numFmtId="0" fontId="2" fillId="8" borderId="40" xfId="0" applyFont="1" applyFill="1" applyBorder="1" applyAlignment="1">
      <alignment horizontal="left" vertical="center" indent="7"/>
    </xf>
    <xf numFmtId="0" fontId="2" fillId="0" borderId="40" xfId="0" applyFont="1" applyBorder="1" applyAlignment="1">
      <alignment horizontal="left" indent="7"/>
    </xf>
    <xf numFmtId="0" fontId="2" fillId="12" borderId="40" xfId="0" applyFont="1" applyFill="1" applyBorder="1" applyAlignment="1">
      <alignment horizontal="left" vertical="center"/>
    </xf>
    <xf numFmtId="0" fontId="2" fillId="12" borderId="40" xfId="0" applyFont="1" applyFill="1" applyBorder="1" applyAlignment="1">
      <alignment horizontal="left" indent="7"/>
    </xf>
    <xf numFmtId="0" fontId="11" fillId="12" borderId="4" xfId="0" applyFont="1" applyFill="1" applyBorder="1"/>
    <xf numFmtId="0" fontId="10" fillId="12" borderId="4" xfId="0" applyFont="1" applyFill="1" applyBorder="1"/>
    <xf numFmtId="0" fontId="11" fillId="12" borderId="41" xfId="0" applyFont="1" applyFill="1" applyBorder="1" applyAlignment="1">
      <alignment horizontal="center" vertical="center"/>
    </xf>
    <xf numFmtId="0" fontId="2" fillId="0" borderId="40" xfId="0" applyFont="1" applyBorder="1" applyAlignment="1">
      <alignment horizontal="left" indent="4"/>
    </xf>
    <xf numFmtId="0" fontId="2" fillId="8" borderId="40" xfId="0" applyFont="1" applyFill="1" applyBorder="1" applyAlignment="1">
      <alignment horizontal="left" indent="4"/>
    </xf>
    <xf numFmtId="2" fontId="2" fillId="4" borderId="4" xfId="0" applyNumberFormat="1" applyFont="1" applyFill="1" applyBorder="1"/>
    <xf numFmtId="0" fontId="2" fillId="12" borderId="41" xfId="0" applyFont="1" applyFill="1" applyBorder="1" applyAlignment="1">
      <alignment horizontal="center" vertical="center"/>
    </xf>
    <xf numFmtId="2" fontId="2" fillId="4" borderId="4" xfId="0" applyNumberFormat="1" applyFont="1" applyFill="1" applyBorder="1" applyAlignment="1">
      <alignment horizontal="center"/>
    </xf>
    <xf numFmtId="2" fontId="2" fillId="4" borderId="4" xfId="0" applyNumberFormat="1" applyFont="1" applyFill="1" applyBorder="1" applyAlignment="1">
      <alignment horizontal="center" vertical="center"/>
    </xf>
    <xf numFmtId="2" fontId="2" fillId="12" borderId="4" xfId="0" applyNumberFormat="1" applyFont="1" applyFill="1" applyBorder="1" applyAlignment="1">
      <alignment horizontal="center" vertical="center"/>
    </xf>
    <xf numFmtId="0" fontId="2" fillId="0" borderId="44" xfId="0" applyFont="1" applyBorder="1" applyAlignment="1">
      <alignment horizontal="left" indent="6"/>
    </xf>
    <xf numFmtId="0" fontId="0" fillId="17" borderId="49" xfId="0" applyFont="1" applyFill="1" applyBorder="1"/>
    <xf numFmtId="0" fontId="0" fillId="17" borderId="41" xfId="0" applyFont="1" applyFill="1" applyBorder="1"/>
    <xf numFmtId="0" fontId="0" fillId="9" borderId="50" xfId="0" applyFont="1" applyFill="1" applyBorder="1"/>
    <xf numFmtId="0" fontId="2" fillId="7" borderId="1" xfId="0" applyFont="1" applyFill="1" applyBorder="1" applyAlignment="1">
      <alignment horizontal="center"/>
    </xf>
    <xf numFmtId="0" fontId="2" fillId="8" borderId="45" xfId="0" applyFont="1" applyFill="1" applyBorder="1"/>
    <xf numFmtId="0" fontId="2" fillId="8" borderId="1" xfId="0" applyFont="1" applyFill="1" applyBorder="1" applyAlignment="1">
      <alignment horizontal="center" vertical="center"/>
    </xf>
    <xf numFmtId="0" fontId="2" fillId="8" borderId="1" xfId="0" applyFont="1" applyFill="1" applyBorder="1" applyAlignment="1">
      <alignment horizontal="center"/>
    </xf>
    <xf numFmtId="0" fontId="0" fillId="8" borderId="1" xfId="0" applyFont="1" applyFill="1" applyBorder="1"/>
    <xf numFmtId="0" fontId="0" fillId="8" borderId="9" xfId="0" applyFont="1" applyFill="1" applyBorder="1"/>
    <xf numFmtId="0" fontId="0" fillId="0" borderId="41" xfId="0" applyFont="1" applyBorder="1"/>
    <xf numFmtId="0" fontId="0" fillId="8" borderId="41" xfId="0" applyFont="1" applyFill="1" applyBorder="1"/>
    <xf numFmtId="0" fontId="2" fillId="7" borderId="51" xfId="0" applyFont="1" applyFill="1" applyBorder="1"/>
    <xf numFmtId="0" fontId="2" fillId="8" borderId="47" xfId="0" applyFont="1" applyFill="1" applyBorder="1"/>
    <xf numFmtId="0" fontId="0" fillId="4" borderId="47" xfId="0" applyFont="1" applyFill="1" applyBorder="1"/>
    <xf numFmtId="0" fontId="2" fillId="4" borderId="47" xfId="0" applyFont="1" applyFill="1" applyBorder="1"/>
    <xf numFmtId="0" fontId="0" fillId="4" borderId="41" xfId="0" applyFont="1" applyFill="1" applyBorder="1"/>
    <xf numFmtId="0" fontId="2" fillId="7" borderId="47" xfId="0" applyFont="1" applyFill="1" applyBorder="1"/>
    <xf numFmtId="0" fontId="2" fillId="8" borderId="47" xfId="0" applyFont="1" applyFill="1" applyBorder="1" applyAlignment="1">
      <alignment horizontal="left" indent="5"/>
    </xf>
    <xf numFmtId="0" fontId="2" fillId="0" borderId="47" xfId="0" applyFont="1" applyBorder="1" applyAlignment="1">
      <alignment horizontal="left" indent="5"/>
    </xf>
    <xf numFmtId="0" fontId="2" fillId="4" borderId="47" xfId="0" applyFont="1" applyFill="1" applyBorder="1" applyAlignment="1">
      <alignment horizontal="left"/>
    </xf>
    <xf numFmtId="0" fontId="2" fillId="0" borderId="44" xfId="0" applyFont="1" applyBorder="1" applyAlignment="1">
      <alignment horizontal="left" indent="5"/>
    </xf>
    <xf numFmtId="0" fontId="2" fillId="8" borderId="44" xfId="0" applyFont="1" applyFill="1" applyBorder="1" applyAlignment="1">
      <alignment horizontal="left" indent="5"/>
    </xf>
    <xf numFmtId="0" fontId="2" fillId="4" borderId="47" xfId="0" applyFont="1" applyFill="1" applyBorder="1" applyAlignment="1">
      <alignment horizontal="left" indent="5"/>
    </xf>
    <xf numFmtId="0" fontId="2" fillId="8" borderId="40" xfId="0" applyFont="1" applyFill="1" applyBorder="1" applyAlignment="1">
      <alignment horizontal="left" indent="9"/>
    </xf>
    <xf numFmtId="0" fontId="2" fillId="20" borderId="4" xfId="0" applyFont="1" applyFill="1" applyBorder="1" applyAlignment="1">
      <alignment horizontal="center" vertical="center"/>
    </xf>
    <xf numFmtId="0" fontId="2" fillId="11" borderId="4" xfId="0" applyFont="1" applyFill="1" applyBorder="1" applyAlignment="1">
      <alignment horizontal="center" vertical="center"/>
    </xf>
    <xf numFmtId="0" fontId="0" fillId="4" borderId="4" xfId="0" applyFont="1" applyFill="1" applyBorder="1" applyAlignment="1">
      <alignment horizontal="center"/>
    </xf>
    <xf numFmtId="0" fontId="0" fillId="4" borderId="4" xfId="0" applyFont="1" applyFill="1" applyBorder="1" applyAlignment="1">
      <alignment horizontal="center" vertical="center"/>
    </xf>
    <xf numFmtId="0" fontId="0" fillId="8" borderId="4" xfId="0" applyFont="1" applyFill="1" applyBorder="1" applyAlignment="1">
      <alignment horizontal="center" vertical="center"/>
    </xf>
    <xf numFmtId="0" fontId="0" fillId="0" borderId="4" xfId="0" applyFont="1" applyBorder="1" applyAlignment="1">
      <alignment horizontal="center" vertical="center"/>
    </xf>
    <xf numFmtId="0" fontId="2" fillId="14" borderId="44" xfId="0" applyFont="1" applyFill="1" applyBorder="1" applyAlignment="1">
      <alignment horizontal="left" indent="8"/>
    </xf>
    <xf numFmtId="0" fontId="0" fillId="14" borderId="4" xfId="0" applyFont="1" applyFill="1" applyBorder="1" applyAlignment="1">
      <alignment horizontal="center" vertical="center"/>
    </xf>
    <xf numFmtId="0" fontId="0" fillId="14" borderId="4" xfId="0" applyFont="1" applyFill="1" applyBorder="1"/>
    <xf numFmtId="0" fontId="2" fillId="14" borderId="4" xfId="0" applyFont="1" applyFill="1" applyBorder="1" applyAlignment="1">
      <alignment horizontal="center"/>
    </xf>
    <xf numFmtId="0" fontId="0" fillId="14" borderId="41" xfId="0" applyFont="1" applyFill="1" applyBorder="1"/>
    <xf numFmtId="0" fontId="2" fillId="4" borderId="8" xfId="0" applyFont="1" applyFill="1" applyBorder="1"/>
    <xf numFmtId="0" fontId="0" fillId="12" borderId="41" xfId="0" applyFont="1" applyFill="1" applyBorder="1"/>
    <xf numFmtId="0" fontId="2" fillId="17" borderId="52" xfId="0" applyFont="1" applyFill="1" applyBorder="1"/>
    <xf numFmtId="0" fontId="0" fillId="17" borderId="47" xfId="0" applyFont="1" applyFill="1" applyBorder="1"/>
    <xf numFmtId="0" fontId="0" fillId="17" borderId="4" xfId="0" applyFont="1" applyFill="1" applyBorder="1" applyAlignment="1">
      <alignment horizontal="center" vertical="center"/>
    </xf>
    <xf numFmtId="0" fontId="2" fillId="0" borderId="47" xfId="0" applyFont="1" applyBorder="1"/>
    <xf numFmtId="0" fontId="2" fillId="0" borderId="40" xfId="0" applyFont="1" applyBorder="1" applyAlignment="1">
      <alignment horizontal="left" indent="9"/>
    </xf>
    <xf numFmtId="0" fontId="2" fillId="8" borderId="40" xfId="0" applyFont="1" applyFill="1" applyBorder="1" applyAlignment="1">
      <alignment horizontal="left" indent="7"/>
    </xf>
    <xf numFmtId="0" fontId="0" fillId="17" borderId="52" xfId="0" applyFont="1" applyFill="1" applyBorder="1"/>
    <xf numFmtId="0" fontId="2" fillId="9" borderId="42" xfId="0" applyFont="1" applyFill="1" applyBorder="1"/>
    <xf numFmtId="0" fontId="0" fillId="32" borderId="42" xfId="0" applyFont="1" applyFill="1" applyBorder="1"/>
    <xf numFmtId="0" fontId="0" fillId="32" borderId="4" xfId="0" applyFont="1" applyFill="1" applyBorder="1"/>
    <xf numFmtId="0" fontId="0" fillId="32" borderId="1" xfId="0" applyFont="1" applyFill="1" applyBorder="1"/>
    <xf numFmtId="0" fontId="0" fillId="32" borderId="53" xfId="0" applyFont="1" applyFill="1" applyBorder="1"/>
    <xf numFmtId="0" fontId="2" fillId="9" borderId="4" xfId="0" applyFont="1" applyFill="1" applyBorder="1" applyAlignment="1">
      <alignment horizontal="center"/>
    </xf>
    <xf numFmtId="0" fontId="2" fillId="4" borderId="44" xfId="0" applyFont="1" applyFill="1" applyBorder="1" applyAlignment="1">
      <alignment horizontal="left" indent="5"/>
    </xf>
    <xf numFmtId="0" fontId="2" fillId="4" borderId="43" xfId="0" applyFont="1" applyFill="1" applyBorder="1" applyAlignment="1">
      <alignment horizontal="left" vertical="center"/>
    </xf>
    <xf numFmtId="0" fontId="2" fillId="4" borderId="44" xfId="0" applyFont="1" applyFill="1" applyBorder="1" applyAlignment="1">
      <alignment horizontal="left" indent="9"/>
    </xf>
    <xf numFmtId="0" fontId="2" fillId="7" borderId="44" xfId="0" applyFont="1" applyFill="1" applyBorder="1" applyAlignment="1">
      <alignment horizontal="left" vertical="center"/>
    </xf>
    <xf numFmtId="0" fontId="2" fillId="8" borderId="44" xfId="0" applyFont="1" applyFill="1" applyBorder="1" applyAlignment="1">
      <alignment horizontal="left" vertical="center" indent="12"/>
    </xf>
    <xf numFmtId="0" fontId="2" fillId="0" borderId="44" xfId="0" applyFont="1" applyBorder="1" applyAlignment="1">
      <alignment horizontal="left" indent="12"/>
    </xf>
    <xf numFmtId="0" fontId="2" fillId="12" borderId="44" xfId="0" applyFont="1" applyFill="1" applyBorder="1" applyAlignment="1">
      <alignment horizontal="left" vertical="center"/>
    </xf>
    <xf numFmtId="0" fontId="2" fillId="12" borderId="44" xfId="0" applyFont="1" applyFill="1" applyBorder="1" applyAlignment="1">
      <alignment horizontal="left" indent="12"/>
    </xf>
    <xf numFmtId="0" fontId="2" fillId="25" borderId="4" xfId="0" applyFont="1" applyFill="1" applyBorder="1" applyAlignment="1">
      <alignment horizontal="center" vertical="center"/>
    </xf>
    <xf numFmtId="0" fontId="0" fillId="17" borderId="53" xfId="0" applyFont="1" applyFill="1" applyBorder="1"/>
    <xf numFmtId="0" fontId="2" fillId="14" borderId="4" xfId="0" applyFont="1" applyFill="1" applyBorder="1" applyAlignment="1">
      <alignment horizontal="center" vertical="center"/>
    </xf>
    <xf numFmtId="0" fontId="2" fillId="25" borderId="4" xfId="0" applyFont="1" applyFill="1" applyBorder="1" applyAlignment="1">
      <alignment horizontal="center"/>
    </xf>
    <xf numFmtId="0" fontId="2" fillId="8" borderId="40" xfId="0" applyFont="1" applyFill="1" applyBorder="1" applyAlignment="1">
      <alignment horizontal="left" indent="8"/>
    </xf>
    <xf numFmtId="0" fontId="0" fillId="0" borderId="53" xfId="0" applyFont="1" applyBorder="1"/>
    <xf numFmtId="0" fontId="0" fillId="8" borderId="53" xfId="0" applyFont="1" applyFill="1" applyBorder="1"/>
    <xf numFmtId="0" fontId="0" fillId="0" borderId="7" xfId="0" applyFont="1" applyBorder="1"/>
    <xf numFmtId="0" fontId="0" fillId="0" borderId="6" xfId="0" applyFont="1" applyBorder="1"/>
    <xf numFmtId="0" fontId="2" fillId="0" borderId="44" xfId="0" applyFont="1" applyFill="1" applyBorder="1" applyAlignment="1">
      <alignment horizontal="left" indent="8"/>
    </xf>
    <xf numFmtId="2" fontId="0" fillId="0" borderId="4" xfId="0" applyNumberFormat="1" applyFont="1" applyFill="1" applyBorder="1"/>
    <xf numFmtId="0" fontId="2" fillId="0" borderId="4" xfId="0" applyFont="1" applyFill="1" applyBorder="1" applyAlignment="1">
      <alignment horizontal="center"/>
    </xf>
    <xf numFmtId="0" fontId="0" fillId="0" borderId="4" xfId="0" applyFont="1" applyFill="1" applyBorder="1"/>
    <xf numFmtId="0" fontId="2" fillId="0" borderId="44" xfId="0" applyFont="1" applyFill="1" applyBorder="1" applyAlignment="1">
      <alignment horizontal="left" indent="6"/>
    </xf>
    <xf numFmtId="0" fontId="2" fillId="0" borderId="44" xfId="0" applyFont="1" applyFill="1" applyBorder="1"/>
    <xf numFmtId="0" fontId="2" fillId="22" borderId="15" xfId="0" applyFont="1" applyFill="1" applyBorder="1" applyAlignment="1">
      <alignment horizontal="center" vertical="center"/>
    </xf>
    <xf numFmtId="0" fontId="2" fillId="11" borderId="36" xfId="0" applyFont="1" applyFill="1" applyBorder="1"/>
    <xf numFmtId="0" fontId="0" fillId="33" borderId="42" xfId="0" applyFont="1" applyFill="1" applyBorder="1"/>
    <xf numFmtId="0" fontId="0" fillId="33" borderId="4" xfId="0" applyFont="1" applyFill="1" applyBorder="1"/>
    <xf numFmtId="0" fontId="0" fillId="33" borderId="53" xfId="0" applyFont="1" applyFill="1" applyBorder="1"/>
    <xf numFmtId="0" fontId="0" fillId="4" borderId="53" xfId="0" applyFont="1" applyFill="1" applyBorder="1"/>
    <xf numFmtId="0" fontId="0" fillId="25" borderId="4" xfId="0" applyFont="1" applyFill="1" applyBorder="1"/>
    <xf numFmtId="0" fontId="2" fillId="25" borderId="4" xfId="0" applyFont="1" applyFill="1" applyBorder="1"/>
    <xf numFmtId="0" fontId="0" fillId="25" borderId="53" xfId="0" applyFont="1" applyFill="1" applyBorder="1"/>
    <xf numFmtId="0" fontId="2" fillId="4" borderId="4" xfId="0" applyFont="1" applyFill="1" applyBorder="1"/>
    <xf numFmtId="0" fontId="2" fillId="24" borderId="42" xfId="0" applyFont="1" applyFill="1" applyBorder="1"/>
    <xf numFmtId="0" fontId="3" fillId="5" borderId="4" xfId="1" applyFont="1" applyFill="1" applyBorder="1" applyAlignment="1">
      <alignment horizontal="center" vertical="center"/>
    </xf>
    <xf numFmtId="0" fontId="2" fillId="12" borderId="27" xfId="0" applyFont="1" applyFill="1" applyBorder="1"/>
    <xf numFmtId="0" fontId="2" fillId="17" borderId="27" xfId="0" applyFont="1" applyFill="1" applyBorder="1"/>
    <xf numFmtId="0" fontId="2" fillId="27" borderId="27" xfId="0" applyFont="1" applyFill="1" applyBorder="1"/>
    <xf numFmtId="0" fontId="2" fillId="4" borderId="28" xfId="0" applyFont="1" applyFill="1" applyBorder="1"/>
    <xf numFmtId="0" fontId="2" fillId="12" borderId="26" xfId="0" applyFont="1" applyFill="1" applyBorder="1"/>
    <xf numFmtId="0" fontId="2" fillId="16" borderId="25" xfId="0" applyFont="1" applyFill="1" applyBorder="1"/>
    <xf numFmtId="0" fontId="2" fillId="0" borderId="27" xfId="0" applyFont="1" applyBorder="1"/>
    <xf numFmtId="0" fontId="2" fillId="0" borderId="39" xfId="0" applyFont="1" applyBorder="1"/>
    <xf numFmtId="0" fontId="2" fillId="13" borderId="1" xfId="0" applyFont="1" applyFill="1" applyBorder="1" applyAlignment="1">
      <alignment horizontal="center"/>
    </xf>
    <xf numFmtId="0" fontId="3" fillId="5" borderId="40" xfId="0" applyFont="1" applyFill="1" applyBorder="1" applyAlignment="1">
      <alignment horizontal="center" vertical="center"/>
    </xf>
    <xf numFmtId="0" fontId="3" fillId="5" borderId="4" xfId="0" applyFont="1" applyFill="1" applyBorder="1" applyAlignment="1">
      <alignment horizontal="center" vertical="center"/>
    </xf>
    <xf numFmtId="0" fontId="2" fillId="13" borderId="1" xfId="0" applyFont="1" applyFill="1" applyBorder="1" applyAlignment="1">
      <alignment horizontal="center" vertical="center"/>
    </xf>
    <xf numFmtId="0" fontId="2" fillId="10" borderId="1" xfId="0" applyFont="1" applyFill="1" applyBorder="1" applyAlignment="1">
      <alignment horizontal="center"/>
    </xf>
    <xf numFmtId="0" fontId="2" fillId="7" borderId="8" xfId="0" applyFont="1" applyFill="1" applyBorder="1" applyAlignment="1">
      <alignment vertical="top"/>
    </xf>
    <xf numFmtId="0" fontId="2" fillId="8" borderId="8" xfId="0" applyFont="1" applyFill="1" applyBorder="1"/>
    <xf numFmtId="0" fontId="2" fillId="8" borderId="1" xfId="0" applyFont="1" applyFill="1" applyBorder="1"/>
    <xf numFmtId="0" fontId="2" fillId="11" borderId="40" xfId="0" applyFont="1" applyFill="1" applyBorder="1" applyAlignment="1">
      <alignment horizontal="center" vertical="center"/>
    </xf>
    <xf numFmtId="0" fontId="2" fillId="11" borderId="40" xfId="0" applyFont="1" applyFill="1" applyBorder="1"/>
    <xf numFmtId="0" fontId="2" fillId="0" borderId="40" xfId="0" applyFont="1" applyBorder="1" applyAlignment="1">
      <alignment horizontal="left"/>
    </xf>
    <xf numFmtId="0" fontId="3" fillId="6" borderId="4" xfId="0" applyFont="1" applyFill="1" applyBorder="1"/>
    <xf numFmtId="0" fontId="2" fillId="18" borderId="4" xfId="0" applyFont="1" applyFill="1" applyBorder="1" applyAlignment="1">
      <alignment horizontal="center" vertical="center"/>
    </xf>
    <xf numFmtId="0" fontId="2" fillId="4" borderId="40" xfId="0" applyFont="1" applyFill="1" applyBorder="1" applyAlignment="1">
      <alignment horizontal="left" vertical="center"/>
    </xf>
    <xf numFmtId="0" fontId="2" fillId="4" borderId="40" xfId="0" applyFont="1" applyFill="1" applyBorder="1" applyAlignment="1">
      <alignment horizontal="left" indent="5"/>
    </xf>
    <xf numFmtId="0" fontId="3" fillId="8" borderId="4" xfId="0" applyFont="1" applyFill="1" applyBorder="1"/>
    <xf numFmtId="0" fontId="3" fillId="0" borderId="4" xfId="0" applyFont="1" applyBorder="1"/>
    <xf numFmtId="0" fontId="2" fillId="12" borderId="40" xfId="0" applyFont="1" applyFill="1" applyBorder="1" applyAlignment="1">
      <alignment horizontal="left" indent="4"/>
    </xf>
    <xf numFmtId="0" fontId="2" fillId="8" borderId="40" xfId="0" applyFont="1" applyFill="1" applyBorder="1" applyAlignment="1">
      <alignment horizontal="left"/>
    </xf>
    <xf numFmtId="0" fontId="2" fillId="16" borderId="40" xfId="0" applyFont="1" applyFill="1" applyBorder="1"/>
    <xf numFmtId="0" fontId="2" fillId="16" borderId="4" xfId="0" applyFont="1" applyFill="1" applyBorder="1"/>
    <xf numFmtId="0" fontId="2" fillId="16" borderId="1" xfId="0" applyFont="1" applyFill="1" applyBorder="1"/>
    <xf numFmtId="0" fontId="2" fillId="16" borderId="4" xfId="0" applyFont="1" applyFill="1" applyBorder="1" applyAlignment="1">
      <alignment horizontal="left" indent="4"/>
    </xf>
    <xf numFmtId="0" fontId="2" fillId="4" borderId="40" xfId="0" applyFont="1" applyFill="1" applyBorder="1" applyAlignment="1">
      <alignment horizontal="left"/>
    </xf>
    <xf numFmtId="0" fontId="2" fillId="16" borderId="4" xfId="0" applyFont="1" applyFill="1" applyBorder="1" applyAlignment="1">
      <alignment horizontal="center" vertical="center"/>
    </xf>
    <xf numFmtId="0" fontId="2" fillId="0" borderId="8" xfId="0" applyFont="1" applyBorder="1"/>
    <xf numFmtId="0" fontId="2" fillId="11" borderId="4" xfId="0" applyFont="1" applyFill="1" applyBorder="1"/>
    <xf numFmtId="0" fontId="3" fillId="12" borderId="4" xfId="0" applyFont="1" applyFill="1" applyBorder="1" applyAlignment="1">
      <alignment horizontal="center" vertical="center"/>
    </xf>
    <xf numFmtId="0" fontId="2" fillId="4" borderId="40" xfId="0" applyFont="1" applyFill="1" applyBorder="1" applyAlignment="1">
      <alignment horizontal="center" vertical="center"/>
    </xf>
    <xf numFmtId="0" fontId="2" fillId="6" borderId="4" xfId="0" applyFont="1" applyFill="1" applyBorder="1"/>
    <xf numFmtId="0" fontId="2" fillId="4" borderId="40" xfId="0" applyFont="1" applyFill="1" applyBorder="1" applyAlignment="1">
      <alignment horizontal="left" indent="7"/>
    </xf>
    <xf numFmtId="0" fontId="2" fillId="8" borderId="40" xfId="0" applyFont="1" applyFill="1" applyBorder="1" applyAlignment="1">
      <alignment horizontal="left" indent="3"/>
    </xf>
    <xf numFmtId="0" fontId="2" fillId="0" borderId="40" xfId="0" applyFont="1" applyBorder="1" applyAlignment="1">
      <alignment horizontal="left" indent="3"/>
    </xf>
    <xf numFmtId="0" fontId="2" fillId="4" borderId="40" xfId="0" applyFont="1" applyFill="1" applyBorder="1" applyAlignment="1">
      <alignment horizontal="left" indent="3"/>
    </xf>
    <xf numFmtId="0" fontId="2" fillId="0" borderId="40" xfId="0" applyFont="1" applyBorder="1" applyAlignment="1">
      <alignment horizontal="left" indent="8"/>
    </xf>
    <xf numFmtId="0" fontId="2" fillId="12" borderId="40" xfId="0" applyFont="1" applyFill="1" applyBorder="1" applyAlignment="1">
      <alignment horizontal="left" indent="8"/>
    </xf>
    <xf numFmtId="0" fontId="2" fillId="16" borderId="4" xfId="0" applyFont="1" applyFill="1" applyBorder="1" applyAlignment="1">
      <alignment horizontal="left" indent="6"/>
    </xf>
    <xf numFmtId="0" fontId="2" fillId="11" borderId="40" xfId="0" applyFont="1" applyFill="1" applyBorder="1" applyAlignment="1">
      <alignment horizontal="center"/>
    </xf>
    <xf numFmtId="0" fontId="2" fillId="11" borderId="4" xfId="0" applyFont="1" applyFill="1" applyBorder="1" applyAlignment="1">
      <alignment horizontal="center"/>
    </xf>
    <xf numFmtId="0" fontId="2" fillId="9" borderId="40" xfId="0" applyFont="1" applyFill="1" applyBorder="1"/>
    <xf numFmtId="0" fontId="2" fillId="8" borderId="8" xfId="0" applyFont="1" applyFill="1" applyBorder="1" applyAlignment="1">
      <alignment vertical="top"/>
    </xf>
    <xf numFmtId="0" fontId="2" fillId="4" borderId="40" xfId="0" applyFont="1" applyFill="1" applyBorder="1" applyAlignment="1">
      <alignment horizontal="left" indent="6"/>
    </xf>
    <xf numFmtId="0" fontId="2" fillId="12" borderId="40" xfId="0" applyFont="1" applyFill="1" applyBorder="1" applyAlignment="1">
      <alignment horizontal="left" indent="10"/>
    </xf>
    <xf numFmtId="0" fontId="2" fillId="0" borderId="40" xfId="0" applyFont="1" applyBorder="1" applyAlignment="1">
      <alignment horizontal="left" indent="10"/>
    </xf>
    <xf numFmtId="0" fontId="2" fillId="8" borderId="40" xfId="0" applyFont="1" applyFill="1" applyBorder="1" applyAlignment="1">
      <alignment horizontal="left" indent="10"/>
    </xf>
    <xf numFmtId="0" fontId="2" fillId="14" borderId="40" xfId="0" applyFont="1" applyFill="1" applyBorder="1"/>
    <xf numFmtId="0" fontId="2" fillId="14" borderId="40" xfId="0" applyFont="1" applyFill="1" applyBorder="1" applyAlignment="1">
      <alignment horizontal="left" indent="6"/>
    </xf>
    <xf numFmtId="0" fontId="2" fillId="14" borderId="4" xfId="0" applyFont="1" applyFill="1" applyBorder="1"/>
    <xf numFmtId="0" fontId="2" fillId="17" borderId="4" xfId="0" applyFont="1" applyFill="1" applyBorder="1"/>
    <xf numFmtId="0" fontId="2" fillId="17" borderId="1" xfId="0" applyFont="1" applyFill="1" applyBorder="1"/>
    <xf numFmtId="0" fontId="2" fillId="17" borderId="4" xfId="0" applyFont="1" applyFill="1" applyBorder="1" applyAlignment="1">
      <alignment horizontal="left" indent="6"/>
    </xf>
    <xf numFmtId="0" fontId="2" fillId="17" borderId="4" xfId="0" applyFont="1" applyFill="1" applyBorder="1" applyAlignment="1">
      <alignment horizontal="center" vertical="center"/>
    </xf>
    <xf numFmtId="0" fontId="2" fillId="11" borderId="40" xfId="0" applyFont="1" applyFill="1" applyBorder="1" applyAlignment="1">
      <alignment horizontal="left"/>
    </xf>
    <xf numFmtId="0" fontId="2" fillId="16" borderId="4" xfId="0" applyFont="1" applyFill="1" applyBorder="1" applyAlignment="1">
      <alignment horizontal="center"/>
    </xf>
    <xf numFmtId="0" fontId="2" fillId="24" borderId="1" xfId="0" applyFont="1" applyFill="1" applyBorder="1"/>
    <xf numFmtId="0" fontId="2" fillId="21" borderId="40" xfId="0" applyFont="1" applyFill="1" applyBorder="1" applyAlignment="1">
      <alignment horizontal="center"/>
    </xf>
    <xf numFmtId="0" fontId="2" fillId="21" borderId="4" xfId="0" applyFont="1" applyFill="1" applyBorder="1" applyAlignment="1">
      <alignment horizontal="center"/>
    </xf>
    <xf numFmtId="0" fontId="2" fillId="26" borderId="4" xfId="0" applyFont="1" applyFill="1" applyBorder="1" applyAlignment="1">
      <alignment horizontal="center"/>
    </xf>
    <xf numFmtId="0" fontId="2" fillId="26" borderId="4" xfId="0" applyFont="1" applyFill="1" applyBorder="1"/>
    <xf numFmtId="0" fontId="2" fillId="17" borderId="40" xfId="0" applyFont="1" applyFill="1" applyBorder="1"/>
    <xf numFmtId="0" fontId="2" fillId="21" borderId="40" xfId="0" applyFont="1" applyFill="1" applyBorder="1"/>
    <xf numFmtId="0" fontId="2" fillId="21" borderId="4" xfId="0" applyFont="1" applyFill="1" applyBorder="1"/>
    <xf numFmtId="0" fontId="2" fillId="17" borderId="4" xfId="0" applyFont="1" applyFill="1" applyBorder="1" applyAlignment="1">
      <alignment horizontal="left" indent="8"/>
    </xf>
    <xf numFmtId="0" fontId="2" fillId="0" borderId="8" xfId="0" applyFont="1" applyBorder="1" applyAlignment="1">
      <alignment vertical="top"/>
    </xf>
    <xf numFmtId="0" fontId="2" fillId="19" borderId="40" xfId="0" applyFont="1" applyFill="1" applyBorder="1" applyAlignment="1">
      <alignment vertical="center" wrapText="1"/>
    </xf>
    <xf numFmtId="0" fontId="2" fillId="8" borderId="54" xfId="0" applyFont="1" applyFill="1" applyBorder="1" applyAlignment="1">
      <alignment horizontal="center"/>
    </xf>
    <xf numFmtId="0" fontId="2" fillId="0" borderId="55" xfId="0" applyFont="1" applyBorder="1"/>
    <xf numFmtId="0" fontId="2" fillId="11" borderId="40" xfId="0" applyNumberFormat="1" applyFont="1" applyFill="1" applyBorder="1"/>
    <xf numFmtId="0" fontId="2" fillId="4" borderId="55" xfId="0" applyFont="1" applyFill="1" applyBorder="1"/>
    <xf numFmtId="0" fontId="2" fillId="11" borderId="4" xfId="0" applyNumberFormat="1" applyFont="1" applyFill="1" applyBorder="1"/>
    <xf numFmtId="0" fontId="2" fillId="0" borderId="54" xfId="0" applyFont="1" applyBorder="1" applyAlignment="1">
      <alignment horizontal="center"/>
    </xf>
    <xf numFmtId="0" fontId="2" fillId="0" borderId="40" xfId="0" applyFont="1" applyBorder="1" applyAlignment="1">
      <alignment vertical="center" wrapText="1"/>
    </xf>
    <xf numFmtId="0" fontId="2" fillId="8" borderId="55" xfId="0" applyFont="1" applyFill="1" applyBorder="1"/>
    <xf numFmtId="0" fontId="3" fillId="16" borderId="40" xfId="0" applyFont="1" applyFill="1" applyBorder="1"/>
    <xf numFmtId="0" fontId="3" fillId="16" borderId="4" xfId="0" applyFont="1" applyFill="1" applyBorder="1"/>
    <xf numFmtId="0" fontId="3" fillId="16" borderId="1" xfId="0" applyFont="1" applyFill="1" applyBorder="1"/>
    <xf numFmtId="0" fontId="3" fillId="16" borderId="4" xfId="0" applyFont="1" applyFill="1" applyBorder="1" applyAlignment="1">
      <alignment horizontal="center"/>
    </xf>
    <xf numFmtId="0" fontId="3" fillId="11" borderId="40" xfId="0" applyFont="1" applyFill="1" applyBorder="1"/>
    <xf numFmtId="0" fontId="3" fillId="11" borderId="4" xfId="0" applyFont="1" applyFill="1" applyBorder="1"/>
    <xf numFmtId="0" fontId="2" fillId="15" borderId="40" xfId="0" applyFont="1" applyFill="1" applyBorder="1"/>
    <xf numFmtId="0" fontId="2" fillId="15" borderId="40" xfId="0" applyFont="1" applyFill="1" applyBorder="1" applyAlignment="1">
      <alignment horizontal="left" indent="6"/>
    </xf>
    <xf numFmtId="0" fontId="2" fillId="15" borderId="4" xfId="0" applyFont="1" applyFill="1" applyBorder="1" applyAlignment="1">
      <alignment horizontal="center"/>
    </xf>
    <xf numFmtId="0" fontId="2" fillId="15" borderId="4" xfId="0" applyFont="1" applyFill="1" applyBorder="1"/>
    <xf numFmtId="0" fontId="2" fillId="20" borderId="40" xfId="0" applyFont="1" applyFill="1" applyBorder="1"/>
    <xf numFmtId="0" fontId="2" fillId="20" borderId="4" xfId="0" applyFont="1" applyFill="1" applyBorder="1"/>
    <xf numFmtId="0" fontId="2" fillId="20" borderId="40" xfId="0" applyFont="1" applyFill="1" applyBorder="1" applyAlignment="1">
      <alignment horizontal="left" indent="6"/>
    </xf>
    <xf numFmtId="0" fontId="2" fillId="20" borderId="4" xfId="0" applyFont="1" applyFill="1" applyBorder="1" applyAlignment="1">
      <alignment horizontal="center"/>
    </xf>
    <xf numFmtId="0" fontId="2" fillId="16" borderId="40" xfId="0" applyNumberFormat="1" applyFont="1" applyFill="1" applyBorder="1"/>
    <xf numFmtId="0" fontId="2" fillId="0" borderId="40" xfId="0" applyFont="1" applyBorder="1" applyAlignment="1">
      <alignment horizontal="left" vertical="center" indent="7"/>
    </xf>
    <xf numFmtId="0" fontId="2" fillId="17" borderId="40" xfId="0" applyNumberFormat="1" applyFont="1" applyFill="1" applyBorder="1"/>
    <xf numFmtId="0" fontId="2" fillId="17" borderId="40" xfId="0" applyFont="1" applyFill="1" applyBorder="1" applyAlignment="1">
      <alignment horizontal="left" vertical="center"/>
    </xf>
    <xf numFmtId="0" fontId="2" fillId="17" borderId="40" xfId="0" applyFont="1" applyFill="1" applyBorder="1" applyAlignment="1">
      <alignment horizontal="left" indent="4"/>
    </xf>
    <xf numFmtId="0" fontId="2" fillId="17" borderId="4" xfId="0" applyFont="1" applyFill="1" applyBorder="1" applyAlignment="1">
      <alignment horizontal="center"/>
    </xf>
    <xf numFmtId="0" fontId="2" fillId="9" borderId="40" xfId="0" applyNumberFormat="1" applyFont="1" applyFill="1" applyBorder="1"/>
    <xf numFmtId="0" fontId="2" fillId="8" borderId="40" xfId="0" applyNumberFormat="1" applyFont="1" applyFill="1" applyBorder="1"/>
    <xf numFmtId="0" fontId="2" fillId="0" borderId="40" xfId="0" applyNumberFormat="1" applyFont="1" applyBorder="1"/>
    <xf numFmtId="0" fontId="2" fillId="8" borderId="40" xfId="0" applyFont="1" applyFill="1" applyBorder="1" applyAlignment="1">
      <alignment horizontal="left" vertical="center" indent="9"/>
    </xf>
    <xf numFmtId="0" fontId="2" fillId="12" borderId="40" xfId="0" applyFont="1" applyFill="1" applyBorder="1" applyAlignment="1">
      <alignment horizontal="left" indent="9"/>
    </xf>
    <xf numFmtId="0" fontId="2" fillId="17" borderId="8" xfId="0" applyFont="1" applyFill="1" applyBorder="1"/>
    <xf numFmtId="0" fontId="2" fillId="17" borderId="40" xfId="0" applyFont="1" applyFill="1" applyBorder="1" applyAlignment="1">
      <alignment horizontal="left" indent="7"/>
    </xf>
    <xf numFmtId="0" fontId="2" fillId="13" borderId="4" xfId="0" applyFont="1" applyFill="1" applyBorder="1" applyAlignment="1">
      <alignment horizontal="center"/>
    </xf>
    <xf numFmtId="0" fontId="2" fillId="8" borderId="4" xfId="0" applyNumberFormat="1" applyFont="1" applyFill="1" applyBorder="1" applyAlignment="1">
      <alignment horizontal="center"/>
    </xf>
    <xf numFmtId="0" fontId="2" fillId="4" borderId="56" xfId="0" applyFont="1" applyFill="1" applyBorder="1"/>
    <xf numFmtId="0" fontId="2" fillId="4" borderId="57" xfId="0" applyFont="1" applyFill="1" applyBorder="1"/>
    <xf numFmtId="0" fontId="2" fillId="7" borderId="57" xfId="0" applyFont="1" applyFill="1" applyBorder="1"/>
    <xf numFmtId="0" fontId="2" fillId="0" borderId="57" xfId="0" applyFont="1" applyBorder="1" applyAlignment="1">
      <alignment horizontal="left" indent="5"/>
    </xf>
    <xf numFmtId="0" fontId="2" fillId="8" borderId="57" xfId="0" applyFont="1" applyFill="1" applyBorder="1" applyAlignment="1">
      <alignment horizontal="left" indent="5"/>
    </xf>
    <xf numFmtId="0" fontId="2" fillId="0" borderId="57" xfId="0" applyFont="1" applyBorder="1"/>
    <xf numFmtId="0" fontId="2" fillId="8" borderId="57" xfId="0" applyFont="1" applyFill="1" applyBorder="1"/>
    <xf numFmtId="0" fontId="2" fillId="32" borderId="58" xfId="0" applyNumberFormat="1" applyFont="1" applyFill="1" applyBorder="1"/>
    <xf numFmtId="0" fontId="2" fillId="32" borderId="59" xfId="0" applyFont="1" applyFill="1" applyBorder="1" applyAlignment="1">
      <alignment horizontal="center" vertical="center"/>
    </xf>
    <xf numFmtId="0" fontId="2" fillId="32" borderId="59" xfId="0" applyFont="1" applyFill="1" applyBorder="1"/>
    <xf numFmtId="0" fontId="2" fillId="32" borderId="57" xfId="0" applyFont="1" applyFill="1" applyBorder="1"/>
    <xf numFmtId="0" fontId="2" fillId="32" borderId="4" xfId="0" applyFont="1" applyFill="1" applyBorder="1" applyAlignment="1">
      <alignment horizontal="center"/>
    </xf>
    <xf numFmtId="0" fontId="2" fillId="32" borderId="4" xfId="0" applyFont="1" applyFill="1" applyBorder="1"/>
    <xf numFmtId="0" fontId="2" fillId="17" borderId="57" xfId="0" applyFont="1" applyFill="1" applyBorder="1"/>
    <xf numFmtId="0" fontId="0" fillId="12" borderId="4" xfId="0" applyFont="1" applyFill="1" applyBorder="1" applyAlignment="1">
      <alignment horizontal="center" vertical="center"/>
    </xf>
    <xf numFmtId="0" fontId="2" fillId="17" borderId="60" xfId="0" applyFont="1" applyFill="1" applyBorder="1"/>
    <xf numFmtId="0" fontId="2" fillId="16" borderId="57" xfId="0" applyFont="1" applyFill="1" applyBorder="1"/>
    <xf numFmtId="0" fontId="2" fillId="4" borderId="58" xfId="0" applyFont="1" applyFill="1" applyBorder="1"/>
    <xf numFmtId="0" fontId="2" fillId="12" borderId="40" xfId="0" applyFont="1" applyFill="1" applyBorder="1" applyAlignment="1">
      <alignment horizontal="left" indent="11"/>
    </xf>
    <xf numFmtId="0" fontId="2" fillId="8" borderId="40" xfId="0" applyFont="1" applyFill="1" applyBorder="1" applyAlignment="1">
      <alignment horizontal="left" indent="11"/>
    </xf>
    <xf numFmtId="0" fontId="2" fillId="0" borderId="40" xfId="0" applyFont="1" applyBorder="1" applyAlignment="1">
      <alignment horizontal="left" indent="11"/>
    </xf>
    <xf numFmtId="0" fontId="2" fillId="17" borderId="4" xfId="0" applyFont="1" applyFill="1" applyBorder="1" applyAlignment="1">
      <alignment horizontal="left" indent="11"/>
    </xf>
    <xf numFmtId="0" fontId="2" fillId="17" borderId="40" xfId="0" applyFont="1" applyFill="1" applyBorder="1" applyAlignment="1">
      <alignment horizontal="left" indent="11"/>
    </xf>
    <xf numFmtId="0" fontId="2" fillId="7" borderId="58" xfId="0" applyFont="1" applyFill="1" applyBorder="1"/>
    <xf numFmtId="0" fontId="2" fillId="0" borderId="40" xfId="0" applyFont="1" applyBorder="1" applyAlignment="1">
      <alignment horizontal="left" vertical="top"/>
    </xf>
    <xf numFmtId="0" fontId="2" fillId="8" borderId="40" xfId="0" applyFont="1" applyFill="1" applyBorder="1" applyAlignment="1"/>
    <xf numFmtId="0" fontId="2" fillId="0" borderId="40" xfId="0" applyFont="1" applyBorder="1" applyAlignment="1">
      <alignment vertical="top"/>
    </xf>
    <xf numFmtId="0" fontId="2" fillId="17" borderId="4" xfId="0" applyFont="1" applyFill="1" applyBorder="1" applyAlignment="1">
      <alignment vertical="top"/>
    </xf>
    <xf numFmtId="0" fontId="2" fillId="14" borderId="40" xfId="0" applyFont="1" applyFill="1" applyBorder="1" applyAlignment="1">
      <alignment horizontal="left" indent="8"/>
    </xf>
    <xf numFmtId="0" fontId="2" fillId="4" borderId="40" xfId="0" applyFont="1" applyFill="1" applyBorder="1" applyAlignment="1">
      <alignment horizontal="left" indent="8"/>
    </xf>
    <xf numFmtId="0" fontId="2" fillId="8" borderId="40" xfId="0" applyFont="1" applyFill="1" applyBorder="1" applyAlignment="1">
      <alignment horizontal="left" vertical="center" indent="8"/>
    </xf>
    <xf numFmtId="0" fontId="2" fillId="0" borderId="40" xfId="0" applyFont="1" applyBorder="1" applyAlignment="1">
      <alignment horizontal="left" indent="12"/>
    </xf>
    <xf numFmtId="0" fontId="2" fillId="12" borderId="40" xfId="0" applyFont="1" applyFill="1" applyBorder="1" applyAlignment="1">
      <alignment horizontal="left" indent="12"/>
    </xf>
    <xf numFmtId="0" fontId="2" fillId="8" borderId="40" xfId="0" applyFont="1" applyFill="1" applyBorder="1" applyAlignment="1">
      <alignment horizontal="left" indent="12"/>
    </xf>
    <xf numFmtId="0" fontId="2" fillId="4" borderId="40" xfId="0" applyFont="1" applyFill="1" applyBorder="1" applyAlignment="1">
      <alignment horizontal="left" indent="9"/>
    </xf>
    <xf numFmtId="0" fontId="2" fillId="0" borderId="40" xfId="0" applyFont="1" applyBorder="1" applyAlignment="1">
      <alignment horizontal="left" indent="14"/>
    </xf>
    <xf numFmtId="0" fontId="2" fillId="8" borderId="40" xfId="0" applyFont="1" applyFill="1" applyBorder="1" applyAlignment="1">
      <alignment horizontal="left" indent="14"/>
    </xf>
    <xf numFmtId="0" fontId="2" fillId="8" borderId="40" xfId="0" applyFont="1" applyFill="1" applyBorder="1" applyAlignment="1">
      <alignment horizontal="left" indent="13"/>
    </xf>
    <xf numFmtId="0" fontId="2" fillId="0" borderId="40" xfId="0" applyFont="1" applyBorder="1" applyAlignment="1">
      <alignment horizontal="left" indent="13"/>
    </xf>
    <xf numFmtId="0" fontId="2" fillId="11" borderId="2" xfId="0" applyFont="1" applyFill="1" applyBorder="1"/>
    <xf numFmtId="0" fontId="3" fillId="5" borderId="10" xfId="0" applyFont="1" applyFill="1" applyBorder="1" applyAlignment="1">
      <alignment horizontal="center" vertical="center" wrapText="1"/>
    </xf>
    <xf numFmtId="0" fontId="3" fillId="5" borderId="0" xfId="1" applyFont="1" applyFill="1" applyBorder="1" applyAlignment="1">
      <alignment horizontal="center" vertical="center"/>
    </xf>
    <xf numFmtId="0" fontId="3" fillId="4" borderId="0" xfId="1" applyFont="1" applyFill="1" applyBorder="1" applyAlignment="1">
      <alignment horizontal="center" vertical="center"/>
    </xf>
    <xf numFmtId="0" fontId="2" fillId="8" borderId="61" xfId="0" applyFont="1" applyFill="1" applyBorder="1" applyAlignment="1">
      <alignment horizontal="center" vertical="center"/>
    </xf>
    <xf numFmtId="0" fontId="2" fillId="0" borderId="53" xfId="0" applyFont="1" applyBorder="1" applyAlignment="1">
      <alignment horizontal="center" vertical="center"/>
    </xf>
    <xf numFmtId="0" fontId="2" fillId="8" borderId="53" xfId="0" applyFont="1" applyFill="1" applyBorder="1" applyAlignment="1">
      <alignment horizontal="center" vertical="center"/>
    </xf>
    <xf numFmtId="0" fontId="2" fillId="4" borderId="53" xfId="0" applyFont="1" applyFill="1" applyBorder="1" applyAlignment="1">
      <alignment horizontal="center" vertical="center"/>
    </xf>
    <xf numFmtId="0" fontId="2" fillId="12" borderId="53" xfId="0" applyFont="1" applyFill="1" applyBorder="1" applyAlignment="1">
      <alignment horizontal="center" vertical="center"/>
    </xf>
    <xf numFmtId="0" fontId="2" fillId="16" borderId="53" xfId="0" applyFont="1" applyFill="1" applyBorder="1"/>
    <xf numFmtId="0" fontId="2" fillId="16" borderId="53" xfId="0" applyFont="1" applyFill="1" applyBorder="1" applyAlignment="1">
      <alignment horizontal="center" vertical="center"/>
    </xf>
    <xf numFmtId="0" fontId="2" fillId="0" borderId="61" xfId="0" applyFont="1" applyBorder="1" applyAlignment="1">
      <alignment horizontal="center" vertical="center"/>
    </xf>
    <xf numFmtId="0" fontId="2" fillId="8" borderId="61" xfId="0" applyFont="1" applyFill="1" applyBorder="1" applyAlignment="1">
      <alignment horizontal="center"/>
    </xf>
    <xf numFmtId="0" fontId="2" fillId="0" borderId="53" xfId="0" applyFont="1" applyBorder="1" applyAlignment="1">
      <alignment horizontal="center"/>
    </xf>
    <xf numFmtId="0" fontId="2" fillId="8" borderId="53" xfId="0" applyFont="1" applyFill="1" applyBorder="1" applyAlignment="1">
      <alignment horizontal="center"/>
    </xf>
    <xf numFmtId="0" fontId="2" fillId="14" borderId="53" xfId="0" applyFont="1" applyFill="1" applyBorder="1" applyAlignment="1">
      <alignment horizontal="center" vertical="center"/>
    </xf>
    <xf numFmtId="0" fontId="2" fillId="17" borderId="53" xfId="0" applyFont="1" applyFill="1" applyBorder="1"/>
    <xf numFmtId="0" fontId="2" fillId="4" borderId="53" xfId="0" applyFont="1" applyFill="1" applyBorder="1" applyAlignment="1">
      <alignment horizontal="center"/>
    </xf>
    <xf numFmtId="0" fontId="2" fillId="12" borderId="53" xfId="0" applyFont="1" applyFill="1" applyBorder="1" applyAlignment="1">
      <alignment horizontal="center"/>
    </xf>
    <xf numFmtId="0" fontId="2" fillId="16" borderId="53" xfId="0" applyFont="1" applyFill="1" applyBorder="1" applyAlignment="1">
      <alignment horizontal="center"/>
    </xf>
    <xf numFmtId="0" fontId="2" fillId="0" borderId="61" xfId="0" applyFont="1" applyBorder="1" applyAlignment="1">
      <alignment horizontal="center"/>
    </xf>
    <xf numFmtId="0" fontId="3" fillId="16" borderId="53" xfId="0" applyFont="1" applyFill="1" applyBorder="1"/>
    <xf numFmtId="0" fontId="2" fillId="15" borderId="53" xfId="0" applyFont="1" applyFill="1" applyBorder="1" applyAlignment="1">
      <alignment horizontal="center"/>
    </xf>
    <xf numFmtId="0" fontId="2" fillId="17" borderId="53" xfId="0" applyFont="1" applyFill="1" applyBorder="1" applyAlignment="1">
      <alignment horizontal="center"/>
    </xf>
    <xf numFmtId="0" fontId="2" fillId="32" borderId="53" xfId="0" applyFont="1" applyFill="1" applyBorder="1" applyAlignment="1">
      <alignment horizontal="center"/>
    </xf>
    <xf numFmtId="0" fontId="0" fillId="12" borderId="53" xfId="0" applyFont="1" applyFill="1" applyBorder="1"/>
    <xf numFmtId="0" fontId="2" fillId="14" borderId="53" xfId="0" applyFont="1" applyFill="1" applyBorder="1" applyAlignment="1">
      <alignment horizontal="center"/>
    </xf>
    <xf numFmtId="0" fontId="25" fillId="16" borderId="1" xfId="0" applyFont="1" applyFill="1" applyBorder="1"/>
    <xf numFmtId="0" fontId="2" fillId="14" borderId="41" xfId="0" applyFont="1" applyFill="1" applyBorder="1" applyAlignment="1">
      <alignment horizontal="center" vertical="center"/>
    </xf>
    <xf numFmtId="0" fontId="0" fillId="33" borderId="1" xfId="0" applyFont="1" applyFill="1" applyBorder="1"/>
    <xf numFmtId="0" fontId="2" fillId="7" borderId="62" xfId="0" applyFont="1" applyFill="1" applyBorder="1"/>
    <xf numFmtId="0" fontId="2" fillId="12" borderId="44" xfId="0" applyFont="1" applyFill="1" applyBorder="1" applyAlignment="1">
      <alignment horizontal="left" indent="10"/>
    </xf>
    <xf numFmtId="0" fontId="2" fillId="8" borderId="44" xfId="0" applyFont="1" applyFill="1" applyBorder="1" applyAlignment="1">
      <alignment horizontal="left" indent="10"/>
    </xf>
    <xf numFmtId="0" fontId="0" fillId="25" borderId="44" xfId="0" applyFont="1" applyFill="1" applyBorder="1"/>
    <xf numFmtId="0" fontId="2" fillId="25" borderId="44" xfId="0" applyFont="1" applyFill="1" applyBorder="1"/>
    <xf numFmtId="0" fontId="2" fillId="34" borderId="44" xfId="0" applyFont="1" applyFill="1" applyBorder="1"/>
    <xf numFmtId="0" fontId="2" fillId="4" borderId="44" xfId="0" applyFont="1" applyFill="1" applyBorder="1" applyAlignment="1">
      <alignment horizontal="left" indent="8"/>
    </xf>
    <xf numFmtId="0" fontId="2" fillId="8" borderId="44" xfId="0" applyFont="1" applyFill="1" applyBorder="1" applyAlignment="1">
      <alignment horizontal="left" indent="12"/>
    </xf>
    <xf numFmtId="0" fontId="2" fillId="4" borderId="53" xfId="0" applyFont="1" applyFill="1" applyBorder="1"/>
    <xf numFmtId="0" fontId="2" fillId="8" borderId="44" xfId="0" applyFont="1" applyFill="1" applyBorder="1" applyAlignment="1">
      <alignment horizontal="left" indent="7"/>
    </xf>
    <xf numFmtId="0" fontId="2" fillId="0" borderId="44" xfId="0" applyFont="1" applyBorder="1" applyAlignment="1">
      <alignment horizontal="left" indent="7"/>
    </xf>
    <xf numFmtId="0" fontId="2" fillId="4" borderId="44" xfId="0" applyFont="1" applyFill="1" applyBorder="1" applyAlignment="1">
      <alignment horizontal="left" indent="7"/>
    </xf>
    <xf numFmtId="0" fontId="2" fillId="4" borderId="41" xfId="0" applyFont="1" applyFill="1" applyBorder="1" applyAlignment="1">
      <alignment horizontal="center"/>
    </xf>
    <xf numFmtId="0" fontId="2" fillId="8" borderId="44" xfId="0" applyFont="1" applyFill="1" applyBorder="1" applyAlignment="1">
      <alignment horizontal="left" indent="13"/>
    </xf>
    <xf numFmtId="0" fontId="2" fillId="0" borderId="44" xfId="0" applyFont="1" applyBorder="1" applyAlignment="1">
      <alignment horizontal="left" indent="13"/>
    </xf>
    <xf numFmtId="0" fontId="2" fillId="0" borderId="44" xfId="0" applyFont="1" applyBorder="1" applyAlignment="1">
      <alignment horizontal="left" indent="10"/>
    </xf>
    <xf numFmtId="0" fontId="2" fillId="4" borderId="43" xfId="0" applyFont="1" applyFill="1" applyBorder="1"/>
    <xf numFmtId="0" fontId="2" fillId="8" borderId="53" xfId="0" applyFont="1" applyFill="1" applyBorder="1"/>
    <xf numFmtId="0" fontId="2" fillId="0" borderId="53" xfId="0" applyFont="1" applyBorder="1"/>
    <xf numFmtId="0" fontId="3" fillId="9" borderId="63" xfId="0" applyFont="1" applyFill="1" applyBorder="1" applyAlignment="1">
      <alignment horizontal="center" vertical="center" wrapText="1"/>
    </xf>
    <xf numFmtId="0" fontId="0" fillId="0" borderId="42" xfId="0" applyFont="1" applyFill="1" applyBorder="1"/>
    <xf numFmtId="0" fontId="2" fillId="0" borderId="40" xfId="0" applyFont="1" applyFill="1" applyBorder="1"/>
    <xf numFmtId="0" fontId="0" fillId="0" borderId="41" xfId="0" applyFont="1" applyFill="1" applyBorder="1"/>
    <xf numFmtId="0" fontId="2" fillId="0" borderId="40" xfId="0" applyFont="1" applyFill="1" applyBorder="1" applyAlignment="1">
      <alignment horizontal="left" indent="4"/>
    </xf>
    <xf numFmtId="0" fontId="2" fillId="0" borderId="41" xfId="0" applyFont="1" applyFill="1" applyBorder="1" applyAlignment="1">
      <alignment horizontal="center" vertical="center"/>
    </xf>
    <xf numFmtId="0" fontId="2" fillId="0" borderId="40" xfId="0" applyFont="1" applyFill="1" applyBorder="1" applyAlignment="1">
      <alignment vertical="top"/>
    </xf>
    <xf numFmtId="0" fontId="2" fillId="0" borderId="1" xfId="0" applyFont="1" applyFill="1" applyBorder="1"/>
    <xf numFmtId="0" fontId="2" fillId="0" borderId="9" xfId="0" applyFont="1" applyFill="1" applyBorder="1" applyAlignment="1">
      <alignment horizontal="center" vertical="center"/>
    </xf>
    <xf numFmtId="0" fontId="2" fillId="0" borderId="40" xfId="0" applyFont="1" applyFill="1" applyBorder="1" applyAlignment="1">
      <alignment horizontal="left"/>
    </xf>
    <xf numFmtId="0" fontId="2" fillId="0" borderId="40" xfId="0" applyFont="1" applyFill="1" applyBorder="1" applyAlignment="1">
      <alignment horizontal="left" indent="10"/>
    </xf>
    <xf numFmtId="0" fontId="2" fillId="0" borderId="40" xfId="0" applyFont="1" applyFill="1" applyBorder="1" applyAlignment="1">
      <alignment horizontal="left" indent="6"/>
    </xf>
    <xf numFmtId="0" fontId="2" fillId="0" borderId="40" xfId="0" applyFont="1" applyFill="1" applyBorder="1" applyAlignment="1">
      <alignment horizontal="left" indent="9"/>
    </xf>
    <xf numFmtId="0" fontId="2" fillId="0" borderId="40" xfId="0" applyFont="1" applyFill="1" applyBorder="1" applyAlignment="1">
      <alignment horizontal="left" indent="8"/>
    </xf>
    <xf numFmtId="0" fontId="2" fillId="0" borderId="47" xfId="0" applyFont="1" applyFill="1" applyBorder="1" applyAlignment="1">
      <alignment horizontal="left" indent="5"/>
    </xf>
    <xf numFmtId="0" fontId="2" fillId="0" borderId="44" xfId="0" applyFont="1" applyFill="1" applyBorder="1" applyAlignment="1">
      <alignment horizontal="left" indent="5"/>
    </xf>
    <xf numFmtId="0" fontId="2" fillId="0" borderId="40" xfId="0" applyFont="1" applyFill="1" applyBorder="1" applyAlignment="1">
      <alignment horizontal="left" indent="5"/>
    </xf>
    <xf numFmtId="0" fontId="2" fillId="0" borderId="44" xfId="0" applyFont="1" applyFill="1" applyBorder="1" applyAlignment="1">
      <alignment horizontal="left"/>
    </xf>
    <xf numFmtId="0" fontId="2" fillId="0" borderId="47" xfId="0" applyFont="1" applyFill="1" applyBorder="1"/>
    <xf numFmtId="0" fontId="0" fillId="0" borderId="53" xfId="0" applyFont="1" applyFill="1" applyBorder="1"/>
    <xf numFmtId="0" fontId="2" fillId="0" borderId="53" xfId="0" applyFont="1" applyFill="1" applyBorder="1"/>
    <xf numFmtId="0" fontId="2" fillId="0" borderId="40" xfId="0" applyFont="1" applyFill="1" applyBorder="1" applyAlignment="1">
      <alignment horizontal="left" vertical="center" indent="7"/>
    </xf>
    <xf numFmtId="0" fontId="2" fillId="0" borderId="40" xfId="0" applyFont="1" applyFill="1" applyBorder="1" applyAlignment="1">
      <alignment horizontal="left" indent="7"/>
    </xf>
    <xf numFmtId="0" fontId="2" fillId="0" borderId="44" xfId="0" applyFont="1" applyFill="1" applyBorder="1" applyAlignment="1">
      <alignment horizontal="left" indent="10"/>
    </xf>
    <xf numFmtId="0" fontId="0" fillId="0" borderId="4" xfId="0" applyFont="1" applyFill="1" applyBorder="1" applyAlignment="1">
      <alignment horizontal="center" vertical="center"/>
    </xf>
    <xf numFmtId="0" fontId="2" fillId="0" borderId="47" xfId="0" applyFont="1" applyFill="1" applyBorder="1" applyAlignment="1">
      <alignment horizontal="left" indent="6"/>
    </xf>
    <xf numFmtId="2" fontId="2" fillId="0" borderId="4" xfId="0" applyNumberFormat="1" applyFont="1" applyFill="1" applyBorder="1" applyAlignment="1">
      <alignment horizontal="center"/>
    </xf>
    <xf numFmtId="0" fontId="2" fillId="24" borderId="4" xfId="0" applyFont="1" applyFill="1" applyBorder="1"/>
    <xf numFmtId="0" fontId="0" fillId="24" borderId="42" xfId="0" applyFont="1" applyFill="1" applyBorder="1"/>
    <xf numFmtId="0" fontId="2" fillId="17" borderId="42" xfId="0" applyFont="1" applyFill="1" applyBorder="1"/>
    <xf numFmtId="0" fontId="2" fillId="17" borderId="49" xfId="0" applyFont="1" applyFill="1" applyBorder="1"/>
    <xf numFmtId="0" fontId="2" fillId="0" borderId="0" xfId="0" applyFont="1" applyFill="1" applyBorder="1" applyAlignment="1">
      <alignment horizontal="center" vertical="center"/>
    </xf>
    <xf numFmtId="0" fontId="1" fillId="22" borderId="33" xfId="0" applyFont="1" applyFill="1" applyBorder="1" applyAlignment="1">
      <alignment horizontal="center" vertical="center" wrapText="1"/>
    </xf>
    <xf numFmtId="0" fontId="0" fillId="22" borderId="33" xfId="0" applyFill="1" applyBorder="1" applyAlignment="1">
      <alignment horizontal="center" vertical="center" wrapText="1"/>
    </xf>
    <xf numFmtId="0" fontId="16" fillId="0" borderId="33" xfId="0" applyFont="1" applyBorder="1" applyAlignment="1">
      <alignment horizontal="left" vertical="center"/>
    </xf>
    <xf numFmtId="0" fontId="14" fillId="6" borderId="33" xfId="0" applyFont="1" applyFill="1" applyBorder="1" applyAlignment="1">
      <alignment horizontal="left" vertical="center" wrapText="1"/>
    </xf>
    <xf numFmtId="0" fontId="1" fillId="0" borderId="33" xfId="0" applyFont="1" applyBorder="1" applyAlignment="1">
      <alignment horizontal="left" vertical="center" wrapText="1"/>
    </xf>
    <xf numFmtId="0" fontId="0" fillId="0" borderId="33" xfId="0" applyBorder="1" applyAlignment="1">
      <alignment horizontal="left" vertical="center" wrapText="1"/>
    </xf>
    <xf numFmtId="3" fontId="0" fillId="0" borderId="30" xfId="0" applyNumberFormat="1" applyBorder="1" applyAlignment="1">
      <alignment horizontal="center" vertical="center"/>
    </xf>
    <xf numFmtId="0" fontId="1" fillId="22" borderId="33" xfId="0" applyFont="1" applyFill="1" applyBorder="1" applyAlignment="1">
      <alignment horizontal="left" vertical="center" wrapText="1"/>
    </xf>
    <xf numFmtId="0" fontId="0" fillId="22" borderId="33" xfId="0" applyFill="1" applyBorder="1" applyAlignment="1">
      <alignment horizontal="left" vertical="center" wrapText="1"/>
    </xf>
    <xf numFmtId="3" fontId="1" fillId="0" borderId="21" xfId="0" applyNumberFormat="1" applyFont="1" applyBorder="1" applyAlignment="1">
      <alignment horizontal="center" vertical="center"/>
    </xf>
    <xf numFmtId="3" fontId="1" fillId="0" borderId="22" xfId="0" applyNumberFormat="1" applyFont="1" applyBorder="1" applyAlignment="1">
      <alignment horizontal="center" vertical="center"/>
    </xf>
    <xf numFmtId="3" fontId="1" fillId="0" borderId="23" xfId="0" applyNumberFormat="1" applyFont="1" applyBorder="1" applyAlignment="1">
      <alignment horizontal="center" vertical="center"/>
    </xf>
    <xf numFmtId="3" fontId="0" fillId="0" borderId="21" xfId="0" applyNumberFormat="1" applyBorder="1" applyAlignment="1">
      <alignment horizontal="center" vertical="center"/>
    </xf>
    <xf numFmtId="3" fontId="0" fillId="0" borderId="22" xfId="0" applyNumberFormat="1" applyBorder="1" applyAlignment="1">
      <alignment horizontal="center" vertical="center"/>
    </xf>
    <xf numFmtId="3" fontId="0" fillId="0" borderId="23" xfId="0" applyNumberFormat="1" applyBorder="1" applyAlignment="1">
      <alignment horizontal="center" vertical="center"/>
    </xf>
    <xf numFmtId="0" fontId="13" fillId="28" borderId="30" xfId="0" applyFont="1" applyFill="1" applyBorder="1" applyAlignment="1">
      <alignment horizontal="left" vertical="center"/>
    </xf>
    <xf numFmtId="0" fontId="13" fillId="28" borderId="31" xfId="0" applyFont="1" applyFill="1" applyBorder="1" applyAlignment="1">
      <alignment horizontal="left" vertical="center"/>
    </xf>
    <xf numFmtId="0" fontId="13" fillId="28" borderId="32" xfId="0" applyFont="1" applyFill="1" applyBorder="1" applyAlignment="1">
      <alignment horizontal="left" vertical="center"/>
    </xf>
    <xf numFmtId="3" fontId="0" fillId="0" borderId="29" xfId="0" applyNumberFormat="1" applyBorder="1" applyAlignment="1">
      <alignment horizontal="center" vertical="center"/>
    </xf>
    <xf numFmtId="3" fontId="1" fillId="29" borderId="21" xfId="0" applyNumberFormat="1" applyFont="1" applyFill="1" applyBorder="1" applyAlignment="1">
      <alignment horizontal="center" vertical="center" wrapText="1"/>
    </xf>
    <xf numFmtId="3" fontId="1" fillId="29" borderId="23" xfId="0" applyNumberFormat="1" applyFont="1" applyFill="1" applyBorder="1" applyAlignment="1">
      <alignment horizontal="center" vertical="center" wrapText="1"/>
    </xf>
    <xf numFmtId="3" fontId="14" fillId="0" borderId="21" xfId="0" applyNumberFormat="1" applyFont="1" applyBorder="1" applyAlignment="1">
      <alignment horizontal="center" vertical="center"/>
    </xf>
    <xf numFmtId="3" fontId="14" fillId="0" borderId="23" xfId="0" applyNumberFormat="1" applyFont="1" applyBorder="1" applyAlignment="1">
      <alignment horizontal="center" vertical="center"/>
    </xf>
    <xf numFmtId="0" fontId="2" fillId="34" borderId="4" xfId="0" applyFont="1" applyFill="1" applyBorder="1"/>
  </cellXfs>
  <cellStyles count="4">
    <cellStyle name="60% - Accent3" xfId="1" builtinId="40"/>
    <cellStyle name="Normal" xfId="0" builtinId="0"/>
    <cellStyle name="Normal 2" xfId="2" xr:uid="{737DEDAF-9936-4308-8CDF-DE5A3DD37512}"/>
    <cellStyle name="標準 3" xfId="3" xr:uid="{09EDDA42-017F-4F2C-B152-CB0BE9048A05}"/>
  </cellStyles>
  <dxfs count="798">
    <dxf>
      <font>
        <b/>
        <i val="0"/>
        <strike val="0"/>
        <condense val="0"/>
        <extend val="0"/>
        <outline val="0"/>
        <shadow val="0"/>
        <u val="none"/>
        <vertAlign val="baseline"/>
        <sz val="11"/>
        <color theme="1"/>
        <name val="Calibri"/>
        <family val="2"/>
        <scheme val="minor"/>
      </font>
      <fill>
        <patternFill patternType="solid">
          <fgColor indexed="64"/>
          <bgColor rgb="FF00B0F0"/>
        </patternFill>
      </fill>
      <alignment horizontal="center" vertical="center" textRotation="0" wrapText="0" indent="0" justifyLastLine="0" shrinkToFit="0" readingOrder="0"/>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patternType="solid">
          <fgColor auto="1"/>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C0006"/>
      </font>
      <fill>
        <patternFill>
          <bgColor rgb="FFFFC7CE"/>
        </patternFill>
      </fill>
    </dxf>
    <dxf>
      <border outline="0">
        <top style="thick">
          <color auto="1"/>
        </top>
      </border>
    </dxf>
    <dxf>
      <font>
        <b/>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center" textRotation="0" wrapText="0" indent="0" justifyLastLine="0" shrinkToFit="0" readingOrder="0"/>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bgColor theme="1"/>
        </patternFill>
      </fill>
    </dxf>
    <dxf>
      <font>
        <b/>
        <i val="0"/>
        <color rgb="FF90EE90"/>
      </font>
      <fill>
        <patternFill>
          <bgColor theme="1"/>
        </patternFill>
      </fill>
    </dxf>
    <dxf>
      <font>
        <color rgb="FF90EE90"/>
      </font>
      <fill>
        <patternFill>
          <bgColor theme="1"/>
        </patternFill>
      </fill>
    </dxf>
    <dxf>
      <font>
        <color rgb="FF90EE90"/>
      </font>
      <fill>
        <patternFill>
          <bgColor theme="1"/>
        </patternFill>
      </fill>
    </dxf>
    <dxf>
      <font>
        <color rgb="FF90EE90"/>
      </font>
      <fill>
        <patternFill patternType="solid">
          <fgColor auto="1"/>
          <bgColor theme="1"/>
        </patternFill>
      </fill>
    </dxf>
    <dxf>
      <font>
        <color rgb="FF90EE90"/>
      </font>
      <fill>
        <patternFill>
          <bgColor theme="1"/>
        </patternFill>
      </fill>
    </dxf>
  </dxfs>
  <tableStyles count="0" defaultTableStyle="TableStyleMedium2" defaultPivotStyle="PivotStyleLight16"/>
  <colors>
    <mruColors>
      <color rgb="FF90EE9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2.xml"/><Relationship Id="rId7" Type="http://schemas.openxmlformats.org/officeDocument/2006/relationships/worksheet" Target="worksheets/sheet6.xml"/><Relationship Id="rId12" Type="http://schemas.microsoft.com/office/2007/relationships/slicerCache" Target="slicerCaches/slicerCache2.xml"/><Relationship Id="rId17" Type="http://schemas.openxmlformats.org/officeDocument/2006/relationships/calcChain" Target="calcChain.xml"/><Relationship Id="rId2" Type="http://schemas.openxmlformats.org/officeDocument/2006/relationships/worksheet" Target="worksheets/sheet1.xml"/><Relationship Id="rId16" Type="http://schemas.openxmlformats.org/officeDocument/2006/relationships/sheetMetadata" Target="metadata.xml"/><Relationship Id="rId1" Type="http://schemas.openxmlformats.org/officeDocument/2006/relationships/chartsheet" Target="chartsheets/sheet1.xml"/><Relationship Id="rId6" Type="http://schemas.openxmlformats.org/officeDocument/2006/relationships/worksheet" Target="worksheets/sheet5.xml"/><Relationship Id="rId11" Type="http://schemas.microsoft.com/office/2007/relationships/slicerCache" Target="slicerCaches/slicerCache1.xml"/><Relationship Id="rId5" Type="http://schemas.openxmlformats.org/officeDocument/2006/relationships/worksheet" Target="worksheets/sheet4.xml"/><Relationship Id="rId15"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3.xml"/><Relationship Id="rId9" Type="http://schemas.openxmlformats.org/officeDocument/2006/relationships/worksheet" Target="worksheets/sheet8.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'CG - MAIN'!$P$16:$P$120</c:f>
              <c:strCache>
                <c:ptCount val="105"/>
                <c:pt idx="0">
                  <c:v>Column4</c:v>
                </c:pt>
                <c:pt idx="1">
                  <c:v>91777,996</c:v>
                </c:pt>
                <c:pt idx="2">
                  <c:v>17790</c:v>
                </c:pt>
                <c:pt idx="3">
                  <c:v>34998,45</c:v>
                </c:pt>
                <c:pt idx="4">
                  <c:v>27730</c:v>
                </c:pt>
                <c:pt idx="5">
                  <c:v>81,94</c:v>
                </c:pt>
                <c:pt idx="6">
                  <c:v>3796</c:v>
                </c:pt>
                <c:pt idx="7">
                  <c:v>17621,19</c:v>
                </c:pt>
                <c:pt idx="8">
                  <c:v>5485,66</c:v>
                </c:pt>
                <c:pt idx="9">
                  <c:v>2961,25</c:v>
                </c:pt>
                <c:pt idx="10">
                  <c:v>700,1973</c:v>
                </c:pt>
                <c:pt idx="11">
                  <c:v>8914,78</c:v>
                </c:pt>
                <c:pt idx="12">
                  <c:v>38855,68</c:v>
                </c:pt>
                <c:pt idx="13">
                  <c:v>3541,55</c:v>
                </c:pt>
                <c:pt idx="14">
                  <c:v>434,17</c:v>
                </c:pt>
                <c:pt idx="15">
                  <c:v>52425,62</c:v>
                </c:pt>
                <c:pt idx="16">
                  <c:v>2230,58</c:v>
                </c:pt>
                <c:pt idx="17">
                  <c:v>1240,86</c:v>
                </c:pt>
                <c:pt idx="18">
                  <c:v>24961,11</c:v>
                </c:pt>
                <c:pt idx="19">
                  <c:v>744,65</c:v>
                </c:pt>
                <c:pt idx="20">
                  <c:v>30431,07</c:v>
                </c:pt>
                <c:pt idx="21">
                  <c:v>12405,16</c:v>
                </c:pt>
                <c:pt idx="22">
                  <c:v>45,61</c:v>
                </c:pt>
                <c:pt idx="23">
                  <c:v>17405,39</c:v>
                </c:pt>
                <c:pt idx="24">
                  <c:v>21925</c:v>
                </c:pt>
                <c:pt idx="25">
                  <c:v>15,54</c:v>
                </c:pt>
                <c:pt idx="26">
                  <c:v>1101,24</c:v>
                </c:pt>
                <c:pt idx="27">
                  <c:v>6212,5</c:v>
                </c:pt>
                <c:pt idx="28">
                  <c:v>12041,68</c:v>
                </c:pt>
                <c:pt idx="29">
                  <c:v>12950</c:v>
                </c:pt>
                <c:pt idx="30">
                  <c:v>2220</c:v>
                </c:pt>
                <c:pt idx="31">
                  <c:v>10451,12</c:v>
                </c:pt>
                <c:pt idx="32">
                  <c:v>87320</c:v>
                </c:pt>
                <c:pt idx="33">
                  <c:v>5355</c:v>
                </c:pt>
                <c:pt idx="34">
                  <c:v>81,75</c:v>
                </c:pt>
                <c:pt idx="35">
                  <c:v>66605</c:v>
                </c:pt>
                <c:pt idx="36">
                  <c:v>11230,71</c:v>
                </c:pt>
                <c:pt idx="37">
                  <c:v>396</c:v>
                </c:pt>
                <c:pt idx="38">
                  <c:v>1828</c:v>
                </c:pt>
                <c:pt idx="39">
                  <c:v>499</c:v>
                </c:pt>
                <c:pt idx="40">
                  <c:v>8790</c:v>
                </c:pt>
                <c:pt idx="41">
                  <c:v>692,25</c:v>
                </c:pt>
                <c:pt idx="42">
                  <c:v>91822,1</c:v>
                </c:pt>
                <c:pt idx="43">
                  <c:v>2996,74</c:v>
                </c:pt>
                <c:pt idx="44">
                  <c:v>26218,93</c:v>
                </c:pt>
                <c:pt idx="45">
                  <c:v>265,56</c:v>
                </c:pt>
                <c:pt idx="46">
                  <c:v>349,46</c:v>
                </c:pt>
                <c:pt idx="47">
                  <c:v>1391,78</c:v>
                </c:pt>
                <c:pt idx="48">
                  <c:v>3508,44</c:v>
                </c:pt>
                <c:pt idx="49">
                  <c:v>57186</c:v>
                </c:pt>
                <c:pt idx="50">
                  <c:v>32,26</c:v>
                </c:pt>
                <c:pt idx="51">
                  <c:v>868,46</c:v>
                </c:pt>
                <c:pt idx="52">
                  <c:v>396,14</c:v>
                </c:pt>
                <c:pt idx="53">
                  <c:v>6746,67</c:v>
                </c:pt>
                <c:pt idx="54">
                  <c:v>688,75</c:v>
                </c:pt>
                <c:pt idx="55">
                  <c:v>10033,21</c:v>
                </c:pt>
                <c:pt idx="56">
                  <c:v>2082,5</c:v>
                </c:pt>
                <c:pt idx="57">
                  <c:v>4731,75</c:v>
                </c:pt>
                <c:pt idx="58">
                  <c:v>1908,5</c:v>
                </c:pt>
                <c:pt idx="59">
                  <c:v>0,25</c:v>
                </c:pt>
                <c:pt idx="60">
                  <c:v>3640</c:v>
                </c:pt>
                <c:pt idx="61">
                  <c:v>6430</c:v>
                </c:pt>
                <c:pt idx="62">
                  <c:v>15488,13</c:v>
                </c:pt>
                <c:pt idx="63">
                  <c:v>3033,35</c:v>
                </c:pt>
                <c:pt idx="64">
                  <c:v>36551,82</c:v>
                </c:pt>
                <c:pt idx="65">
                  <c:v>14550</c:v>
                </c:pt>
                <c:pt idx="66">
                  <c:v>3872,38</c:v>
                </c:pt>
                <c:pt idx="67">
                  <c:v>17424,77</c:v>
                </c:pt>
                <c:pt idx="68">
                  <c:v>5808,1</c:v>
                </c:pt>
                <c:pt idx="69">
                  <c:v>476</c:v>
                </c:pt>
                <c:pt idx="70">
                  <c:v>3604,5</c:v>
                </c:pt>
                <c:pt idx="71">
                  <c:v>3369,83</c:v>
                </c:pt>
                <c:pt idx="72">
                  <c:v>3180</c:v>
                </c:pt>
                <c:pt idx="73">
                  <c:v>3780</c:v>
                </c:pt>
                <c:pt idx="74">
                  <c:v>2430</c:v>
                </c:pt>
                <c:pt idx="75">
                  <c:v>1981,14</c:v>
                </c:pt>
                <c:pt idx="76">
                  <c:v>208</c:v>
                </c:pt>
                <c:pt idx="77">
                  <c:v>3024,32</c:v>
                </c:pt>
                <c:pt idx="78">
                  <c:v>1169,18</c:v>
                </c:pt>
                <c:pt idx="79">
                  <c:v>3954</c:v>
                </c:pt>
                <c:pt idx="80">
                  <c:v>2002,27</c:v>
                </c:pt>
                <c:pt idx="81">
                  <c:v>22407,5</c:v>
                </c:pt>
                <c:pt idx="86">
                  <c:v>277,77</c:v>
                </c:pt>
                <c:pt idx="87">
                  <c:v>936</c:v>
                </c:pt>
                <c:pt idx="91">
                  <c:v>1826</c:v>
                </c:pt>
                <c:pt idx="92">
                  <c:v>4244,19</c:v>
                </c:pt>
                <c:pt idx="93">
                  <c:v>556</c:v>
                </c:pt>
                <c:pt idx="94">
                  <c:v>4605,75</c:v>
                </c:pt>
                <c:pt idx="95">
                  <c:v>27199,75</c:v>
                </c:pt>
                <c:pt idx="96">
                  <c:v>3840</c:v>
                </c:pt>
                <c:pt idx="97">
                  <c:v>840</c:v>
                </c:pt>
                <c:pt idx="98">
                  <c:v>1040</c:v>
                </c:pt>
                <c:pt idx="99">
                  <c:v>862,95</c:v>
                </c:pt>
                <c:pt idx="100">
                  <c:v>1188</c:v>
                </c:pt>
                <c:pt idx="101">
                  <c:v>6696</c:v>
                </c:pt>
                <c:pt idx="102">
                  <c:v>940</c:v>
                </c:pt>
                <c:pt idx="103">
                  <c:v>33900</c:v>
                </c:pt>
                <c:pt idx="104">
                  <c:v>1135,65</c:v>
                </c:pt>
              </c:strCache>
            </c:strRef>
          </c:tx>
          <c:spPr>
            <a:solidFill>
              <a:schemeClr val="accent1"/>
            </a:solidFill>
            <a:ln>
              <a:noFill/>
            </a:ln>
            <a:effectLst/>
          </c:spPr>
          <c:invertIfNegative val="0"/>
          <c:val>
            <c:numRef>
              <c:f>'CG - MAIN'!$P$121:$P$1943</c:f>
              <c:numCache>
                <c:formatCode>General</c:formatCode>
                <c:ptCount val="1823"/>
              </c:numCache>
            </c:numRef>
          </c:val>
          <c:extLst>
            <c:ext xmlns:c15="http://schemas.microsoft.com/office/drawing/2012/chart" uri="{02D57815-91ED-43cb-92C2-25804820EDAC}">
              <c15:filteredCategoryTitle>
                <c15:cat>
                  <c:multiLvlStrRef>
                    <c:extLst>
                      <c:ext uri="{02D57815-91ED-43cb-92C2-25804820EDAC}">
                        <c15:formulaRef>
                          <c15:sqref>'CG - MAIN'!$L$121:$O$1943</c15:sqref>
                        </c15:formulaRef>
                      </c:ext>
                    </c:extLst>
                  </c:multiLvlStrRef>
                </c15:cat>
              </c15:filteredCategoryTitle>
            </c:ext>
            <c:ext xmlns:c16="http://schemas.microsoft.com/office/drawing/2014/chart" uri="{C3380CC4-5D6E-409C-BE32-E72D297353CC}">
              <c16:uniqueId val="{00000000-3CEE-4F40-98CC-069AF8E1E98D}"/>
            </c:ext>
          </c:extLst>
        </c:ser>
        <c:ser>
          <c:idx val="1"/>
          <c:order val="1"/>
          <c:tx>
            <c:strRef>
              <c:f>'CG - MAIN'!$Q$16:$Q$120</c:f>
              <c:strCache>
                <c:ptCount val="105"/>
                <c:pt idx="0">
                  <c:v>total_penjualan</c:v>
                </c:pt>
                <c:pt idx="1">
                  <c:v>207</c:v>
                </c:pt>
                <c:pt idx="2">
                  <c:v>83</c:v>
                </c:pt>
                <c:pt idx="3">
                  <c:v>69</c:v>
                </c:pt>
                <c:pt idx="4">
                  <c:v>49</c:v>
                </c:pt>
                <c:pt idx="5">
                  <c:v>15</c:v>
                </c:pt>
                <c:pt idx="6">
                  <c:v>15</c:v>
                </c:pt>
                <c:pt idx="7">
                  <c:v>8</c:v>
                </c:pt>
                <c:pt idx="8">
                  <c:v>68</c:v>
                </c:pt>
                <c:pt idx="9">
                  <c:v>113</c:v>
                </c:pt>
                <c:pt idx="10">
                  <c:v>24</c:v>
                </c:pt>
                <c:pt idx="11">
                  <c:v>122</c:v>
                </c:pt>
                <c:pt idx="12">
                  <c:v>106</c:v>
                </c:pt>
                <c:pt idx="13">
                  <c:v>33</c:v>
                </c:pt>
                <c:pt idx="14">
                  <c:v>153</c:v>
                </c:pt>
                <c:pt idx="15">
                  <c:v>55</c:v>
                </c:pt>
                <c:pt idx="16">
                  <c:v>25</c:v>
                </c:pt>
                <c:pt idx="17">
                  <c:v>33</c:v>
                </c:pt>
                <c:pt idx="18">
                  <c:v>58</c:v>
                </c:pt>
                <c:pt idx="19">
                  <c:v>23</c:v>
                </c:pt>
                <c:pt idx="20">
                  <c:v>137</c:v>
                </c:pt>
                <c:pt idx="21">
                  <c:v>127</c:v>
                </c:pt>
                <c:pt idx="22">
                  <c:v>119</c:v>
                </c:pt>
                <c:pt idx="23">
                  <c:v>70</c:v>
                </c:pt>
                <c:pt idx="24">
                  <c:v>1</c:v>
                </c:pt>
                <c:pt idx="25">
                  <c:v>1</c:v>
                </c:pt>
                <c:pt idx="26">
                  <c:v>8</c:v>
                </c:pt>
                <c:pt idx="27">
                  <c:v>4</c:v>
                </c:pt>
                <c:pt idx="28">
                  <c:v>20</c:v>
                </c:pt>
                <c:pt idx="29">
                  <c:v>22</c:v>
                </c:pt>
                <c:pt idx="30">
                  <c:v>12</c:v>
                </c:pt>
                <c:pt idx="31">
                  <c:v>52</c:v>
                </c:pt>
                <c:pt idx="32">
                  <c:v>22</c:v>
                </c:pt>
                <c:pt idx="33">
                  <c:v>25</c:v>
                </c:pt>
                <c:pt idx="34">
                  <c:v>74</c:v>
                </c:pt>
                <c:pt idx="35">
                  <c:v>31</c:v>
                </c:pt>
                <c:pt idx="36">
                  <c:v>26</c:v>
                </c:pt>
                <c:pt idx="37">
                  <c:v>16</c:v>
                </c:pt>
                <c:pt idx="38">
                  <c:v>6</c:v>
                </c:pt>
                <c:pt idx="39">
                  <c:v>0</c:v>
                </c:pt>
                <c:pt idx="40">
                  <c:v>305</c:v>
                </c:pt>
                <c:pt idx="41">
                  <c:v>49</c:v>
                </c:pt>
                <c:pt idx="42">
                  <c:v>8</c:v>
                </c:pt>
                <c:pt idx="43">
                  <c:v>3</c:v>
                </c:pt>
                <c:pt idx="44">
                  <c:v>1</c:v>
                </c:pt>
                <c:pt idx="45">
                  <c:v>0</c:v>
                </c:pt>
                <c:pt idx="46">
                  <c:v>0</c:v>
                </c:pt>
                <c:pt idx="47">
                  <c:v>0</c:v>
                </c:pt>
                <c:pt idx="48">
                  <c:v>17</c:v>
                </c:pt>
                <c:pt idx="49">
                  <c:v>14</c:v>
                </c:pt>
                <c:pt idx="50">
                  <c:v>25</c:v>
                </c:pt>
                <c:pt idx="51">
                  <c:v>9</c:v>
                </c:pt>
                <c:pt idx="52">
                  <c:v>1</c:v>
                </c:pt>
                <c:pt idx="53">
                  <c:v>2</c:v>
                </c:pt>
                <c:pt idx="54">
                  <c:v>3</c:v>
                </c:pt>
                <c:pt idx="55">
                  <c:v>0</c:v>
                </c:pt>
                <c:pt idx="56">
                  <c:v>0</c:v>
                </c:pt>
                <c:pt idx="57">
                  <c:v>0</c:v>
                </c:pt>
                <c:pt idx="58">
                  <c:v>4</c:v>
                </c:pt>
                <c:pt idx="59">
                  <c:v>7</c:v>
                </c:pt>
                <c:pt idx="60">
                  <c:v>56</c:v>
                </c:pt>
                <c:pt idx="61">
                  <c:v>39</c:v>
                </c:pt>
                <c:pt idx="62">
                  <c:v>4</c:v>
                </c:pt>
                <c:pt idx="63">
                  <c:v>12</c:v>
                </c:pt>
                <c:pt idx="64">
                  <c:v>3</c:v>
                </c:pt>
                <c:pt idx="65">
                  <c:v>2</c:v>
                </c:pt>
                <c:pt idx="66">
                  <c:v>3</c:v>
                </c:pt>
                <c:pt idx="67">
                  <c:v>9</c:v>
                </c:pt>
                <c:pt idx="68">
                  <c:v>0</c:v>
                </c:pt>
                <c:pt idx="69">
                  <c:v>0</c:v>
                </c:pt>
                <c:pt idx="70">
                  <c:v>62</c:v>
                </c:pt>
                <c:pt idx="71">
                  <c:v>21</c:v>
                </c:pt>
                <c:pt idx="72">
                  <c:v>30</c:v>
                </c:pt>
                <c:pt idx="73">
                  <c:v>45</c:v>
                </c:pt>
                <c:pt idx="74">
                  <c:v>112</c:v>
                </c:pt>
                <c:pt idx="75">
                  <c:v>25</c:v>
                </c:pt>
                <c:pt idx="76">
                  <c:v>28</c:v>
                </c:pt>
                <c:pt idx="77">
                  <c:v>28</c:v>
                </c:pt>
                <c:pt idx="78">
                  <c:v>10</c:v>
                </c:pt>
                <c:pt idx="79">
                  <c:v>5</c:v>
                </c:pt>
                <c:pt idx="80">
                  <c:v>1</c:v>
                </c:pt>
                <c:pt idx="81">
                  <c:v>75</c:v>
                </c:pt>
                <c:pt idx="82">
                  <c:v>2</c:v>
                </c:pt>
                <c:pt idx="83">
                  <c:v>33</c:v>
                </c:pt>
                <c:pt idx="84">
                  <c:v>35</c:v>
                </c:pt>
                <c:pt idx="85">
                  <c:v>101</c:v>
                </c:pt>
                <c:pt idx="86">
                  <c:v>115</c:v>
                </c:pt>
                <c:pt idx="87">
                  <c:v>94</c:v>
                </c:pt>
                <c:pt idx="88">
                  <c:v>27</c:v>
                </c:pt>
                <c:pt idx="89">
                  <c:v>17</c:v>
                </c:pt>
                <c:pt idx="90">
                  <c:v>14</c:v>
                </c:pt>
                <c:pt idx="91">
                  <c:v>11</c:v>
                </c:pt>
                <c:pt idx="92">
                  <c:v>39</c:v>
                </c:pt>
                <c:pt idx="93">
                  <c:v>27</c:v>
                </c:pt>
                <c:pt idx="94">
                  <c:v>28</c:v>
                </c:pt>
                <c:pt idx="95">
                  <c:v>19</c:v>
                </c:pt>
                <c:pt idx="96">
                  <c:v>1</c:v>
                </c:pt>
                <c:pt idx="97">
                  <c:v>3</c:v>
                </c:pt>
                <c:pt idx="98">
                  <c:v>66</c:v>
                </c:pt>
                <c:pt idx="99">
                  <c:v>40</c:v>
                </c:pt>
                <c:pt idx="100">
                  <c:v>30</c:v>
                </c:pt>
                <c:pt idx="101">
                  <c:v>15</c:v>
                </c:pt>
                <c:pt idx="102">
                  <c:v>41</c:v>
                </c:pt>
                <c:pt idx="103">
                  <c:v>60</c:v>
                </c:pt>
                <c:pt idx="104">
                  <c:v>49</c:v>
                </c:pt>
              </c:strCache>
            </c:strRef>
          </c:tx>
          <c:spPr>
            <a:solidFill>
              <a:schemeClr val="accent2"/>
            </a:solidFill>
            <a:ln>
              <a:noFill/>
            </a:ln>
            <a:effectLst/>
          </c:spPr>
          <c:invertIfNegative val="0"/>
          <c:val>
            <c:numRef>
              <c:f>'CG - MAIN'!$Q$121:$Q$1943</c:f>
              <c:numCache>
                <c:formatCode>General</c:formatCode>
                <c:ptCount val="1823"/>
                <c:pt idx="0">
                  <c:v>13</c:v>
                </c:pt>
                <c:pt idx="1">
                  <c:v>56</c:v>
                </c:pt>
                <c:pt idx="2">
                  <c:v>0</c:v>
                </c:pt>
                <c:pt idx="3">
                  <c:v>0</c:v>
                </c:pt>
                <c:pt idx="4">
                  <c:v>0</c:v>
                </c:pt>
                <c:pt idx="5">
                  <c:v>0</c:v>
                </c:pt>
                <c:pt idx="6">
                  <c:v>41</c:v>
                </c:pt>
                <c:pt idx="7">
                  <c:v>11</c:v>
                </c:pt>
                <c:pt idx="8">
                  <c:v>89</c:v>
                </c:pt>
                <c:pt idx="9">
                  <c:v>168</c:v>
                </c:pt>
                <c:pt idx="10">
                  <c:v>20</c:v>
                </c:pt>
                <c:pt idx="11">
                  <c:v>16</c:v>
                </c:pt>
                <c:pt idx="12">
                  <c:v>24</c:v>
                </c:pt>
                <c:pt idx="13">
                  <c:v>244</c:v>
                </c:pt>
                <c:pt idx="14">
                  <c:v>35</c:v>
                </c:pt>
                <c:pt idx="15">
                  <c:v>50</c:v>
                </c:pt>
                <c:pt idx="16">
                  <c:v>18</c:v>
                </c:pt>
                <c:pt idx="17">
                  <c:v>19</c:v>
                </c:pt>
                <c:pt idx="18">
                  <c:v>58</c:v>
                </c:pt>
              </c:numCache>
            </c:numRef>
          </c:val>
          <c:extLst>
            <c:ext xmlns:c15="http://schemas.microsoft.com/office/drawing/2012/chart" uri="{02D57815-91ED-43cb-92C2-25804820EDAC}">
              <c15:filteredCategoryTitle>
                <c15:cat>
                  <c:multiLvlStrRef>
                    <c:extLst>
                      <c:ext uri="{02D57815-91ED-43cb-92C2-25804820EDAC}">
                        <c15:formulaRef>
                          <c15:sqref>'CG - MAIN'!$L$121:$O$1943</c15:sqref>
                        </c15:formulaRef>
                      </c:ext>
                    </c:extLst>
                  </c:multiLvlStrRef>
                </c15:cat>
              </c15:filteredCategoryTitle>
            </c:ext>
            <c:ext xmlns:c16="http://schemas.microsoft.com/office/drawing/2014/chart" uri="{C3380CC4-5D6E-409C-BE32-E72D297353CC}">
              <c16:uniqueId val="{00000001-3CEE-4F40-98CC-069AF8E1E98D}"/>
            </c:ext>
          </c:extLst>
        </c:ser>
        <c:ser>
          <c:idx val="2"/>
          <c:order val="2"/>
          <c:tx>
            <c:strRef>
              <c:f>'CG - MAIN'!$R$16:$R$120</c:f>
              <c:strCache>
                <c:ptCount val="105"/>
                <c:pt idx="0">
                  <c:v>menu_code</c:v>
                </c:pt>
                <c:pt idx="1">
                  <c:v>CGGP0001  </c:v>
                </c:pt>
                <c:pt idx="2">
                  <c:v>CGGP0002  </c:v>
                </c:pt>
                <c:pt idx="3">
                  <c:v>CGGP0003  </c:v>
                </c:pt>
                <c:pt idx="4">
                  <c:v>CGGP0004  </c:v>
                </c:pt>
                <c:pt idx="5">
                  <c:v>CGGP0005  </c:v>
                </c:pt>
                <c:pt idx="6">
                  <c:v>CGDG0001  </c:v>
                </c:pt>
                <c:pt idx="7">
                  <c:v>CGDG0002  </c:v>
                </c:pt>
                <c:pt idx="8">
                  <c:v>CGSD0001  </c:v>
                </c:pt>
                <c:pt idx="9">
                  <c:v>CGSD0002  </c:v>
                </c:pt>
                <c:pt idx="10">
                  <c:v>CGSD0013  </c:v>
                </c:pt>
                <c:pt idx="11">
                  <c:v>CGSD0012  </c:v>
                </c:pt>
                <c:pt idx="12">
                  <c:v>CGGB0001  </c:v>
                </c:pt>
                <c:pt idx="13">
                  <c:v>CGGB0002  </c:v>
                </c:pt>
                <c:pt idx="14">
                  <c:v>CGGB0003  </c:v>
                </c:pt>
                <c:pt idx="15">
                  <c:v>CGGB0004  </c:v>
                </c:pt>
                <c:pt idx="16">
                  <c:v>CGGB0005  </c:v>
                </c:pt>
                <c:pt idx="17">
                  <c:v>CGGB0006  </c:v>
                </c:pt>
                <c:pt idx="18">
                  <c:v>CGGB0008  </c:v>
                </c:pt>
                <c:pt idx="19">
                  <c:v>CGGB0007  </c:v>
                </c:pt>
                <c:pt idx="20">
                  <c:v>CGTP0001  </c:v>
                </c:pt>
                <c:pt idx="21">
                  <c:v>CGTP0003  </c:v>
                </c:pt>
                <c:pt idx="22">
                  <c:v>CGTP0002  </c:v>
                </c:pt>
                <c:pt idx="23">
                  <c:v>CGTP0004  </c:v>
                </c:pt>
                <c:pt idx="24">
                  <c:v>CGTP0008  </c:v>
                </c:pt>
                <c:pt idx="25">
                  <c:v>CGTP0007  </c:v>
                </c:pt>
                <c:pt idx="26">
                  <c:v>CGTP0006  </c:v>
                </c:pt>
                <c:pt idx="27">
                  <c:v>CGTP0005  </c:v>
                </c:pt>
                <c:pt idx="28">
                  <c:v>CGSD0015  </c:v>
                </c:pt>
                <c:pt idx="29">
                  <c:v>CGSD0016  </c:v>
                </c:pt>
                <c:pt idx="30">
                  <c:v>CGSD0017  </c:v>
                </c:pt>
                <c:pt idx="31">
                  <c:v>CGSD0005  </c:v>
                </c:pt>
                <c:pt idx="32">
                  <c:v>CGSD0007  </c:v>
                </c:pt>
                <c:pt idx="33">
                  <c:v>CGSD0009  </c:v>
                </c:pt>
                <c:pt idx="34">
                  <c:v>CGSD0010  </c:v>
                </c:pt>
                <c:pt idx="35">
                  <c:v>CGSD0006  </c:v>
                </c:pt>
                <c:pt idx="36">
                  <c:v>CGSD0018  </c:v>
                </c:pt>
                <c:pt idx="37">
                  <c:v>CGSD0011  </c:v>
                </c:pt>
                <c:pt idx="38">
                  <c:v>CGSD0020  </c:v>
                </c:pt>
                <c:pt idx="39">
                  <c:v>CGEX0030  </c:v>
                </c:pt>
                <c:pt idx="40">
                  <c:v>CGEX0001  </c:v>
                </c:pt>
                <c:pt idx="41">
                  <c:v>CGEX0002  </c:v>
                </c:pt>
                <c:pt idx="42">
                  <c:v>CGEX0003  </c:v>
                </c:pt>
                <c:pt idx="43">
                  <c:v>CGEX0004  </c:v>
                </c:pt>
                <c:pt idx="44">
                  <c:v>CGEX0005  </c:v>
                </c:pt>
                <c:pt idx="45">
                  <c:v>CGEX0006  </c:v>
                </c:pt>
                <c:pt idx="46">
                  <c:v>CGEX0007  </c:v>
                </c:pt>
                <c:pt idx="47">
                  <c:v>CGEX0008  </c:v>
                </c:pt>
                <c:pt idx="48">
                  <c:v>CGEX0036  </c:v>
                </c:pt>
                <c:pt idx="49">
                  <c:v>CGEX0009  </c:v>
                </c:pt>
                <c:pt idx="50">
                  <c:v>CGEX0010  </c:v>
                </c:pt>
                <c:pt idx="51">
                  <c:v>CGEX0011  </c:v>
                </c:pt>
                <c:pt idx="52">
                  <c:v>CGEX0012  </c:v>
                </c:pt>
                <c:pt idx="53">
                  <c:v>CGEX0013  </c:v>
                </c:pt>
                <c:pt idx="54">
                  <c:v>CGEX0040  </c:v>
                </c:pt>
                <c:pt idx="55">
                  <c:v>CGEX0038  </c:v>
                </c:pt>
                <c:pt idx="56">
                  <c:v>CGEX0020  </c:v>
                </c:pt>
                <c:pt idx="57">
                  <c:v>CGEX0039  </c:v>
                </c:pt>
                <c:pt idx="58">
                  <c:v>CGEX0014  </c:v>
                </c:pt>
                <c:pt idx="59">
                  <c:v>CGEX0019  </c:v>
                </c:pt>
                <c:pt idx="60">
                  <c:v>CGEX0027  </c:v>
                </c:pt>
                <c:pt idx="61">
                  <c:v>CGEX0028  </c:v>
                </c:pt>
                <c:pt idx="62">
                  <c:v>CGEX0031  </c:v>
                </c:pt>
                <c:pt idx="63">
                  <c:v>CGEX0032  </c:v>
                </c:pt>
                <c:pt idx="64">
                  <c:v>CGEX0035  </c:v>
                </c:pt>
                <c:pt idx="65">
                  <c:v>CGEX0034  </c:v>
                </c:pt>
                <c:pt idx="66">
                  <c:v>CGEX0033  </c:v>
                </c:pt>
                <c:pt idx="67">
                  <c:v>CGEX0018  </c:v>
                </c:pt>
                <c:pt idx="68">
                  <c:v>CGEX0037  </c:v>
                </c:pt>
                <c:pt idx="69">
                  <c:v>CGJG0005  </c:v>
                </c:pt>
                <c:pt idx="70">
                  <c:v>CGRN0004  </c:v>
                </c:pt>
                <c:pt idx="71">
                  <c:v>CGRN0005  </c:v>
                </c:pt>
                <c:pt idx="72">
                  <c:v>CGSD0014  </c:v>
                </c:pt>
                <c:pt idx="73">
                  <c:v>CGRN0009  </c:v>
                </c:pt>
                <c:pt idx="74">
                  <c:v>CGRN0002  </c:v>
                </c:pt>
                <c:pt idx="75">
                  <c:v>CGRN0011  </c:v>
                </c:pt>
                <c:pt idx="76">
                  <c:v>CGRN0010  </c:v>
                </c:pt>
                <c:pt idx="77">
                  <c:v>CGRN0001  </c:v>
                </c:pt>
                <c:pt idx="78">
                  <c:v>CGDG0003  </c:v>
                </c:pt>
                <c:pt idx="79">
                  <c:v>CGDG0004  </c:v>
                </c:pt>
                <c:pt idx="80">
                  <c:v>CGDG0005  </c:v>
                </c:pt>
                <c:pt idx="81">
                  <c:v>CGGP0007  </c:v>
                </c:pt>
                <c:pt idx="82">
                  <c:v>CGGP0008  </c:v>
                </c:pt>
                <c:pt idx="83">
                  <c:v>CGRN0006  </c:v>
                </c:pt>
                <c:pt idx="84">
                  <c:v>CGRN0003  </c:v>
                </c:pt>
                <c:pt idx="85">
                  <c:v>CGRN0008  </c:v>
                </c:pt>
                <c:pt idx="86">
                  <c:v>CGRN0007  </c:v>
                </c:pt>
                <c:pt idx="87">
                  <c:v>CGKM0001  </c:v>
                </c:pt>
                <c:pt idx="88">
                  <c:v>CGDR0005  </c:v>
                </c:pt>
                <c:pt idx="89">
                  <c:v>CGDR0006  </c:v>
                </c:pt>
                <c:pt idx="90">
                  <c:v>CGDR0007  </c:v>
                </c:pt>
                <c:pt idx="91">
                  <c:v>CGDR0008  </c:v>
                </c:pt>
                <c:pt idx="92">
                  <c:v>CGJG0001  </c:v>
                </c:pt>
                <c:pt idx="93">
                  <c:v>CGJG0002  </c:v>
                </c:pt>
                <c:pt idx="94">
                  <c:v>CGJG0003  </c:v>
                </c:pt>
                <c:pt idx="95">
                  <c:v>CGJG0004  </c:v>
                </c:pt>
                <c:pt idx="96">
                  <c:v>CGSD0019  </c:v>
                </c:pt>
                <c:pt idx="97">
                  <c:v>CGGP0009  </c:v>
                </c:pt>
                <c:pt idx="98">
                  <c:v>CGPS0001  </c:v>
                </c:pt>
                <c:pt idx="99">
                  <c:v>CGPS0002  </c:v>
                </c:pt>
                <c:pt idx="100">
                  <c:v>CGPS0003  </c:v>
                </c:pt>
                <c:pt idx="101">
                  <c:v>CGPS0004  </c:v>
                </c:pt>
                <c:pt idx="102">
                  <c:v>CGPS0007  </c:v>
                </c:pt>
                <c:pt idx="103">
                  <c:v>CGPS0008  </c:v>
                </c:pt>
                <c:pt idx="104">
                  <c:v>CGPS0005  </c:v>
                </c:pt>
              </c:strCache>
            </c:strRef>
          </c:tx>
          <c:spPr>
            <a:solidFill>
              <a:schemeClr val="accent3"/>
            </a:solidFill>
            <a:ln>
              <a:noFill/>
            </a:ln>
            <a:effectLst/>
          </c:spPr>
          <c:invertIfNegative val="0"/>
          <c:val>
            <c:numRef>
              <c:f>'CG - MAIN'!$R$121:$R$1943</c:f>
              <c:numCache>
                <c:formatCode>General</c:formatCode>
                <c:ptCount val="18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5="http://schemas.microsoft.com/office/drawing/2012/chart" uri="{02D57815-91ED-43cb-92C2-25804820EDAC}">
              <c15:filteredCategoryTitle>
                <c15:cat>
                  <c:multiLvlStrRef>
                    <c:extLst>
                      <c:ext uri="{02D57815-91ED-43cb-92C2-25804820EDAC}">
                        <c15:formulaRef>
                          <c15:sqref>'CG - MAIN'!$L$121:$O$1943</c15:sqref>
                        </c15:formulaRef>
                      </c:ext>
                    </c:extLst>
                  </c:multiLvlStrRef>
                </c15:cat>
              </c15:filteredCategoryTitle>
            </c:ext>
            <c:ext xmlns:c16="http://schemas.microsoft.com/office/drawing/2014/chart" uri="{C3380CC4-5D6E-409C-BE32-E72D297353CC}">
              <c16:uniqueId val="{00000002-3CEE-4F40-98CC-069AF8E1E98D}"/>
            </c:ext>
          </c:extLst>
        </c:ser>
        <c:ser>
          <c:idx val="3"/>
          <c:order val="3"/>
          <c:tx>
            <c:strRef>
              <c:f>'CG - MAIN'!$S$16:$S$120</c:f>
              <c:strCache>
                <c:ptCount val="105"/>
                <c:pt idx="0">
                  <c:v>menu_name</c:v>
                </c:pt>
                <c:pt idx="1">
                  <c:v>CHADOL SIGNATURE TASTY BEEF (REGULAR)</c:v>
                </c:pt>
                <c:pt idx="2">
                  <c:v>CHADOL SIGNATURE TASTY BEEF (LARGE)</c:v>
                </c:pt>
                <c:pt idx="3">
                  <c:v>CHADOL SIGNATURE TOKUSEN WAGYU (REGULAR)</c:v>
                </c:pt>
                <c:pt idx="4">
                  <c:v>CHADOL SIGNATURE TOKUSEN WAGYU (LARGE)</c:v>
                </c:pt>
                <c:pt idx="5">
                  <c:v>CHADOL PRIME</c:v>
                </c:pt>
                <c:pt idx="6">
                  <c:v>CHICKEN DAKGALBI REGULER</c:v>
                </c:pt>
                <c:pt idx="7">
                  <c:v>CHICKEN DAKGALBI LARGE</c:v>
                </c:pt>
                <c:pt idx="8">
                  <c:v>ChaGu Spicy Chicken</c:v>
                </c:pt>
                <c:pt idx="9">
                  <c:v>ChaGu Soy Garlic Chicken</c:v>
                </c:pt>
                <c:pt idx="10">
                  <c:v>Spicy BBQ Chicken</c:v>
                </c:pt>
                <c:pt idx="11">
                  <c:v>Bburinkle Cheese Chicke</c:v>
                </c:pt>
                <c:pt idx="12">
                  <c:v>Original Gimbap</c:v>
                </c:pt>
                <c:pt idx="13">
                  <c:v>Vegetable Gimbap</c:v>
                </c:pt>
                <c:pt idx="14">
                  <c:v>Bulgogi Gimbap</c:v>
                </c:pt>
                <c:pt idx="15">
                  <c:v>Tuna Mayo Gimbap</c:v>
                </c:pt>
                <c:pt idx="16">
                  <c:v>Spicy Tuna Mayo Gimbap</c:v>
                </c:pt>
                <c:pt idx="17">
                  <c:v>Cheese Gimbap</c:v>
                </c:pt>
                <c:pt idx="18">
                  <c:v>Beef Ham Cheese Gimbap</c:v>
                </c:pt>
                <c:pt idx="19">
                  <c:v>Beef Ham Gimbap</c:v>
                </c:pt>
                <c:pt idx="20">
                  <c:v>Tokpokki Original</c:v>
                </c:pt>
                <c:pt idx="21">
                  <c:v>Rappokki</c:v>
                </c:pt>
                <c:pt idx="22">
                  <c:v>Rose Tokpokki</c:v>
                </c:pt>
                <c:pt idx="23">
                  <c:v>Chapokki</c:v>
                </c:pt>
                <c:pt idx="24">
                  <c:v>Chijeu Chapokki</c:v>
                </c:pt>
                <c:pt idx="25">
                  <c:v>Chijeu Rappokki</c:v>
                </c:pt>
                <c:pt idx="26">
                  <c:v>	Chijeu Rose Tokpokki</c:v>
                </c:pt>
                <c:pt idx="27">
                  <c:v>ChijeuTokpokki </c:v>
                </c:pt>
                <c:pt idx="28">
                  <c:v>Original Chicken Katsu</c:v>
                </c:pt>
                <c:pt idx="29">
                  <c:v>Bburinkle Cheese Chicken Katsu</c:v>
                </c:pt>
                <c:pt idx="30">
                  <c:v>Spicy BBQ Chicken Katsu</c:v>
                </c:pt>
                <c:pt idx="31">
                  <c:v>Pajeon</c:v>
                </c:pt>
                <c:pt idx="32">
                  <c:v>Vegetable Twigim</c:v>
                </c:pt>
                <c:pt idx="33">
                  <c:v>ENOKI TWIGIM</c:v>
                </c:pt>
                <c:pt idx="34">
                  <c:v>Mixed Twigim</c:v>
                </c:pt>
                <c:pt idx="35">
                  <c:v>Gimmari</c:v>
                </c:pt>
                <c:pt idx="36">
                  <c:v>Nori Twigim</c:v>
                </c:pt>
                <c:pt idx="37">
                  <c:v>Tofu Kimchi</c:v>
                </c:pt>
                <c:pt idx="38">
                  <c:v>FRIED MANDU 6 PCS</c:v>
                </c:pt>
                <c:pt idx="39">
                  <c:v>ADD MAYONAISE</c:v>
                </c:pt>
                <c:pt idx="40">
                  <c:v>ADD RICE</c:v>
                </c:pt>
                <c:pt idx="41">
                  <c:v>Add Kimchi 100 g</c:v>
                </c:pt>
                <c:pt idx="42">
                  <c:v>Add Egg (Finale Fried Rice)</c:v>
                </c:pt>
                <c:pt idx="43">
                  <c:v>Add Minari 50 g</c:v>
                </c:pt>
                <c:pt idx="44">
                  <c:v>	Add Enoki 50 g</c:v>
                </c:pt>
                <c:pt idx="45">
                  <c:v>Add Daun Bawang 50 g</c:v>
                </c:pt>
                <c:pt idx="46">
                  <c:v>Add Tauge Namul Gujeolpan 50 g</c:v>
                </c:pt>
                <c:pt idx="47">
                  <c:v>	Add Shiitake Marinated 30 g</c:v>
                </c:pt>
                <c:pt idx="48">
                  <c:v>PURPLE RICE</c:v>
                </c:pt>
                <c:pt idx="49">
                  <c:v>Add Sunny Lettuce 60 g</c:v>
                </c:pt>
                <c:pt idx="50">
                  <c:v>Add Wrap 8 pcs</c:v>
                </c:pt>
                <c:pt idx="51">
                  <c:v>Add Sliced Beef 100 g</c:v>
                </c:pt>
                <c:pt idx="52">
                  <c:v>Add Tokusen Wagyu 100g</c:v>
                </c:pt>
                <c:pt idx="53">
                  <c:v>ADD CHADOL BULGOGI 150GR</c:v>
                </c:pt>
                <c:pt idx="54">
                  <c:v>ADD SEAWED AND EGG SOUP</c:v>
                </c:pt>
                <c:pt idx="55">
                  <c:v>ADD EOMUK BOKKEUM 30GR</c:v>
                </c:pt>
                <c:pt idx="56">
                  <c:v>Add Shimeji 30 g</c:v>
                </c:pt>
                <c:pt idx="57">
                  <c:v>ADD SAMGOGI SAUCE 20 G</c:v>
                </c:pt>
                <c:pt idx="58">
                  <c:v>Add Egg Gyeranjim</c:v>
                </c:pt>
                <c:pt idx="59">
                  <c:v>Add Bulgogi Sauce 20g</c:v>
                </c:pt>
                <c:pt idx="60">
                  <c:v>Add Cabe Rawit Merah Iris</c:v>
                </c:pt>
                <c:pt idx="61">
                  <c:v>Add Mozzarella</c:v>
                </c:pt>
                <c:pt idx="62">
                  <c:v>ADD PERILLA LEAF 8 PCS</c:v>
                </c:pt>
                <c:pt idx="63">
                  <c:v>ADD RADISH SLICE 16 PCS</c:v>
                </c:pt>
                <c:pt idx="64">
                  <c:v>ADD BBQ WAGYU TOKUSEN 100 G</c:v>
                </c:pt>
                <c:pt idx="65">
                  <c:v>ADD BBQ TASTY BEEF 100 G</c:v>
                </c:pt>
                <c:pt idx="66">
                  <c:v>ADD BAWANG PUTIH SLICE</c:v>
                </c:pt>
                <c:pt idx="67">
                  <c:v>ADD TWIGIM SAUCE</c:v>
                </c:pt>
                <c:pt idx="68">
                  <c:v>ADD MACARONI SALAD 30 G</c:v>
                </c:pt>
                <c:pt idx="69">
                  <c:v>Add Beef Jjugumi 100 G</c:v>
                </c:pt>
                <c:pt idx="70">
                  <c:v>Bulgogi Bibimbap</c:v>
                </c:pt>
                <c:pt idx="71">
                  <c:v>Vegetabe Bibimbap</c:v>
                </c:pt>
                <c:pt idx="72">
                  <c:v>	Jumeokbap Ball</c:v>
                </c:pt>
                <c:pt idx="73">
                  <c:v>Chicken Japchae</c:v>
                </c:pt>
                <c:pt idx="74">
                  <c:v>Beef Japchae</c:v>
                </c:pt>
                <c:pt idx="75">
                  <c:v>	Chicken Kimchi Fried Rice</c:v>
                </c:pt>
                <c:pt idx="76">
                  <c:v>	Spicy Buldak Fried Rice</c:v>
                </c:pt>
                <c:pt idx="77">
                  <c:v>	Beef Kimchi Fried Rice</c:v>
                </c:pt>
                <c:pt idx="78">
                  <c:v>Fried Ramyeon (Dakgalbi)</c:v>
                </c:pt>
                <c:pt idx="79">
                  <c:v>Fried Rice (Dakgalbi)</c:v>
                </c:pt>
                <c:pt idx="80">
                  <c:v>Tokpokki (Dakgalbi)</c:v>
                </c:pt>
                <c:pt idx="81">
                  <c:v>Finale Kimchi Fried Rice</c:v>
                </c:pt>
                <c:pt idx="82">
                  <c:v>	Finale Doenjang Porridge</c:v>
                </c:pt>
                <c:pt idx="83">
                  <c:v>Beef Doenjang Jjigae (NO Rice)</c:v>
                </c:pt>
                <c:pt idx="84">
                  <c:v>Beef Doenjang Jjigae (With Rice)</c:v>
                </c:pt>
                <c:pt idx="85">
                  <c:v>Sundubu Jjigae (No Rice)</c:v>
                </c:pt>
                <c:pt idx="86">
                  <c:v>Sundubu Jjigae (With Rice)</c:v>
                </c:pt>
                <c:pt idx="87">
                  <c:v>Yummy Kids Meal</c:v>
                </c:pt>
                <c:pt idx="88">
                  <c:v>Soy Garlic Chicken &amp; Tofu Kimchi K-Bento</c:v>
                </c:pt>
                <c:pt idx="89">
                  <c:v>Spicy Chicken &amp; Tofu Kimchi K-Bento	</c:v>
                </c:pt>
                <c:pt idx="90">
                  <c:v>Bulgogi &amp; Tofu Kimchi K-Bento</c:v>
                </c:pt>
                <c:pt idx="91">
                  <c:v>Dakgalbi &amp; Tofu Kimchi K-Bento</c:v>
                </c:pt>
                <c:pt idx="92">
                  <c:v>	Jjugumi</c:v>
                </c:pt>
                <c:pt idx="93">
                  <c:v>	Chadol Jjugumi</c:v>
                </c:pt>
                <c:pt idx="94">
                  <c:v>Rose Jjugumi</c:v>
                </c:pt>
                <c:pt idx="95">
                  <c:v>Rose Chadol Jjugumi</c:v>
                </c:pt>
                <c:pt idx="96">
                  <c:v>BANCAN SET</c:v>
                </c:pt>
                <c:pt idx="97">
                  <c:v>WAGYU FIRE KIMCHI</c:v>
                </c:pt>
                <c:pt idx="98">
                  <c:v>SOY GARLIC CHICKEN SET</c:v>
                </c:pt>
                <c:pt idx="99">
                  <c:v>SPICY YANGNYEOM CHICKEN SET</c:v>
                </c:pt>
                <c:pt idx="100">
                  <c:v>BBURINKLE CHEESE CHICKEN SET</c:v>
                </c:pt>
                <c:pt idx="101">
                  <c:v>SPICY MALA CHICKEN SET</c:v>
                </c:pt>
                <c:pt idx="102">
                  <c:v>BEEF KIMCHI SET</c:v>
                </c:pt>
                <c:pt idx="103">
                  <c:v>BEEF BULGOGI SET</c:v>
                </c:pt>
                <c:pt idx="104">
                  <c:v>WAGYU TOKUSEN BBQ SET</c:v>
                </c:pt>
              </c:strCache>
            </c:strRef>
          </c:tx>
          <c:spPr>
            <a:solidFill>
              <a:schemeClr val="accent4"/>
            </a:solidFill>
            <a:ln>
              <a:noFill/>
            </a:ln>
            <a:effectLst/>
          </c:spPr>
          <c:invertIfNegative val="0"/>
          <c:val>
            <c:numRef>
              <c:f>'CG - MAIN'!$S$121:$S$1943</c:f>
              <c:numCache>
                <c:formatCode>General</c:formatCode>
                <c:ptCount val="18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5="http://schemas.microsoft.com/office/drawing/2012/chart" uri="{02D57815-91ED-43cb-92C2-25804820EDAC}">
              <c15:filteredCategoryTitle>
                <c15:cat>
                  <c:multiLvlStrRef>
                    <c:extLst>
                      <c:ext uri="{02D57815-91ED-43cb-92C2-25804820EDAC}">
                        <c15:formulaRef>
                          <c15:sqref>'CG - MAIN'!$L$121:$O$1943</c15:sqref>
                        </c15:formulaRef>
                      </c:ext>
                    </c:extLst>
                  </c:multiLvlStrRef>
                </c15:cat>
              </c15:filteredCategoryTitle>
            </c:ext>
            <c:ext xmlns:c16="http://schemas.microsoft.com/office/drawing/2014/chart" uri="{C3380CC4-5D6E-409C-BE32-E72D297353CC}">
              <c16:uniqueId val="{00000003-3CEE-4F40-98CC-069AF8E1E98D}"/>
            </c:ext>
          </c:extLst>
        </c:ser>
        <c:ser>
          <c:idx val="4"/>
          <c:order val="4"/>
          <c:tx>
            <c:strRef>
              <c:f>'CG - MAIN'!$T$16:$T$120</c:f>
              <c:strCache>
                <c:ptCount val="105"/>
                <c:pt idx="0">
                  <c:v>ingredients_code</c:v>
                </c:pt>
                <c:pt idx="1">
                  <c:v>FMP00004</c:v>
                </c:pt>
                <c:pt idx="2">
                  <c:v>FVF00001</c:v>
                </c:pt>
                <c:pt idx="3">
                  <c:v>FVF00017</c:v>
                </c:pt>
                <c:pt idx="4">
                  <c:v>FVF00003</c:v>
                </c:pt>
                <c:pt idx="5">
                  <c:v>FSS00013</c:v>
                </c:pt>
                <c:pt idx="6">
                  <c:v>FFF00007</c:v>
                </c:pt>
                <c:pt idx="7">
                  <c:v>FVF00002</c:v>
                </c:pt>
                <c:pt idx="8">
                  <c:v>FSS00010</c:v>
                </c:pt>
                <c:pt idx="9">
                  <c:v>FSS00016</c:v>
                </c:pt>
                <c:pt idx="10">
                  <c:v>FSS00017</c:v>
                </c:pt>
                <c:pt idx="11">
                  <c:v>FGR00043</c:v>
                </c:pt>
                <c:pt idx="12">
                  <c:v>FVF00019</c:v>
                </c:pt>
                <c:pt idx="13">
                  <c:v>FVF00020</c:v>
                </c:pt>
                <c:pt idx="14">
                  <c:v>FVF00025</c:v>
                </c:pt>
                <c:pt idx="15">
                  <c:v>FFF00005</c:v>
                </c:pt>
                <c:pt idx="16">
                  <c:v>FSS00011</c:v>
                </c:pt>
                <c:pt idx="17">
                  <c:v>FSS00004</c:v>
                </c:pt>
                <c:pt idx="18">
                  <c:v>FVF00004</c:v>
                </c:pt>
                <c:pt idx="19">
                  <c:v>FSS00001</c:v>
                </c:pt>
                <c:pt idx="20">
                  <c:v>FVF00005</c:v>
                </c:pt>
                <c:pt idx="21">
                  <c:v>CKPF0001</c:v>
                </c:pt>
                <c:pt idx="22">
                  <c:v>CKRD0006</c:v>
                </c:pt>
                <c:pt idx="23">
                  <c:v>CKPF0004</c:v>
                </c:pt>
                <c:pt idx="24">
                  <c:v>FMP00009</c:v>
                </c:pt>
                <c:pt idx="25">
                  <c:v>FGR00021</c:v>
                </c:pt>
                <c:pt idx="26">
                  <c:v>FGR00011</c:v>
                </c:pt>
                <c:pt idx="27">
                  <c:v>FVF00022</c:v>
                </c:pt>
                <c:pt idx="28">
                  <c:v>FMP00015</c:v>
                </c:pt>
                <c:pt idx="29">
                  <c:v>FVF00006</c:v>
                </c:pt>
                <c:pt idx="30">
                  <c:v>FVF00030</c:v>
                </c:pt>
                <c:pt idx="31">
                  <c:v>CKPF0027</c:v>
                </c:pt>
                <c:pt idx="32">
                  <c:v>FGR00003</c:v>
                </c:pt>
                <c:pt idx="33">
                  <c:v>CKPF0009</c:v>
                </c:pt>
                <c:pt idx="34">
                  <c:v>PKG00003</c:v>
                </c:pt>
                <c:pt idx="35">
                  <c:v>FFF00024</c:v>
                </c:pt>
                <c:pt idx="36">
                  <c:v>CKPF0010</c:v>
                </c:pt>
                <c:pt idx="37">
                  <c:v>CKPD0047</c:v>
                </c:pt>
                <c:pt idx="38">
                  <c:v>CKPD0044</c:v>
                </c:pt>
                <c:pt idx="39">
                  <c:v>PKG00014</c:v>
                </c:pt>
                <c:pt idx="40">
                  <c:v>FVF00008</c:v>
                </c:pt>
                <c:pt idx="41">
                  <c:v>FGR00004</c:v>
                </c:pt>
                <c:pt idx="42">
                  <c:v>FGR00101</c:v>
                </c:pt>
                <c:pt idx="43">
                  <c:v>FSS00019</c:v>
                </c:pt>
                <c:pt idx="44">
                  <c:v>FVF00007</c:v>
                </c:pt>
                <c:pt idx="45">
                  <c:v>FSS00023</c:v>
                </c:pt>
                <c:pt idx="46">
                  <c:v>FSS00014</c:v>
                </c:pt>
                <c:pt idx="47">
                  <c:v>FSS00003</c:v>
                </c:pt>
                <c:pt idx="48">
                  <c:v>FVF00012</c:v>
                </c:pt>
                <c:pt idx="49">
                  <c:v>FGR00019</c:v>
                </c:pt>
                <c:pt idx="50">
                  <c:v>FGR00027</c:v>
                </c:pt>
                <c:pt idx="51">
                  <c:v>FGR00017</c:v>
                </c:pt>
                <c:pt idx="52">
                  <c:v>FGR00023</c:v>
                </c:pt>
                <c:pt idx="53">
                  <c:v>FVF00010</c:v>
                </c:pt>
                <c:pt idx="54">
                  <c:v>FVF00016</c:v>
                </c:pt>
                <c:pt idx="55">
                  <c:v>FGR00095</c:v>
                </c:pt>
                <c:pt idx="56">
                  <c:v>FFF00002</c:v>
                </c:pt>
                <c:pt idx="57">
                  <c:v>FSP00003</c:v>
                </c:pt>
                <c:pt idx="58">
                  <c:v>FGR00007</c:v>
                </c:pt>
                <c:pt idx="59">
                  <c:v>FSS00007</c:v>
                </c:pt>
                <c:pt idx="60">
                  <c:v>FGR00031</c:v>
                </c:pt>
                <c:pt idx="61">
                  <c:v>FMP00005</c:v>
                </c:pt>
                <c:pt idx="62">
                  <c:v>FFF00001</c:v>
                </c:pt>
                <c:pt idx="63">
                  <c:v>FVF00018</c:v>
                </c:pt>
                <c:pt idx="64">
                  <c:v>CKPF0002</c:v>
                </c:pt>
                <c:pt idx="65">
                  <c:v>FGR00040</c:v>
                </c:pt>
                <c:pt idx="66">
                  <c:v>FSP00014</c:v>
                </c:pt>
                <c:pt idx="67">
                  <c:v>FGR00006</c:v>
                </c:pt>
                <c:pt idx="68">
                  <c:v>FGR00005</c:v>
                </c:pt>
                <c:pt idx="69">
                  <c:v>CKPF0012</c:v>
                </c:pt>
                <c:pt idx="70">
                  <c:v>FGR00014</c:v>
                </c:pt>
                <c:pt idx="71">
                  <c:v>FVF00023</c:v>
                </c:pt>
                <c:pt idx="72">
                  <c:v>FGR00068</c:v>
                </c:pt>
                <c:pt idx="73">
                  <c:v>FMP00022</c:v>
                </c:pt>
                <c:pt idx="74">
                  <c:v>FGR00079</c:v>
                </c:pt>
                <c:pt idx="75">
                  <c:v>FVF00011</c:v>
                </c:pt>
                <c:pt idx="76">
                  <c:v>CKPF0034</c:v>
                </c:pt>
                <c:pt idx="77">
                  <c:v>CKPD0011</c:v>
                </c:pt>
                <c:pt idx="78">
                  <c:v>FSP00002</c:v>
                </c:pt>
                <c:pt idx="79">
                  <c:v>CKPF0014</c:v>
                </c:pt>
                <c:pt idx="80">
                  <c:v>FVF00014</c:v>
                </c:pt>
                <c:pt idx="81">
                  <c:v>FVF00024</c:v>
                </c:pt>
                <c:pt idx="82">
                  <c:v>FFF00028</c:v>
                </c:pt>
                <c:pt idx="83">
                  <c:v>CWVF0017</c:v>
                </c:pt>
                <c:pt idx="84">
                  <c:v>FGR00102</c:v>
                </c:pt>
                <c:pt idx="85">
                  <c:v>FGR00104</c:v>
                </c:pt>
                <c:pt idx="86">
                  <c:v>FSP00013</c:v>
                </c:pt>
                <c:pt idx="87">
                  <c:v>FVF00046</c:v>
                </c:pt>
                <c:pt idx="88">
                  <c:v>FGR00103</c:v>
                </c:pt>
                <c:pt idx="89">
                  <c:v>FFF00027</c:v>
                </c:pt>
                <c:pt idx="90">
                  <c:v>FSP00018</c:v>
                </c:pt>
                <c:pt idx="91">
                  <c:v>CKPF0032</c:v>
                </c:pt>
                <c:pt idx="92">
                  <c:v>FVF00009</c:v>
                </c:pt>
                <c:pt idx="93">
                  <c:v>FGR00044</c:v>
                </c:pt>
                <c:pt idx="94">
                  <c:v>CKPF0003</c:v>
                </c:pt>
                <c:pt idx="95">
                  <c:v>FGR00033</c:v>
                </c:pt>
                <c:pt idx="96">
                  <c:v>CKPF0005</c:v>
                </c:pt>
                <c:pt idx="97">
                  <c:v>CKSF0027</c:v>
                </c:pt>
                <c:pt idx="98">
                  <c:v>FVF00015</c:v>
                </c:pt>
                <c:pt idx="99">
                  <c:v>FSP00001</c:v>
                </c:pt>
                <c:pt idx="100">
                  <c:v>FSS00006</c:v>
                </c:pt>
                <c:pt idx="101">
                  <c:v>CKPF0026</c:v>
                </c:pt>
                <c:pt idx="102">
                  <c:v>FSP00006</c:v>
                </c:pt>
                <c:pt idx="103">
                  <c:v>FSF00005</c:v>
                </c:pt>
                <c:pt idx="104">
                  <c:v>FGR00015</c:v>
                </c:pt>
              </c:strCache>
            </c:strRef>
          </c:tx>
          <c:spPr>
            <a:solidFill>
              <a:schemeClr val="accent5"/>
            </a:solidFill>
            <a:ln>
              <a:noFill/>
            </a:ln>
            <a:effectLst/>
          </c:spPr>
          <c:invertIfNegative val="0"/>
          <c:val>
            <c:numRef>
              <c:f>'CG - MAIN'!$T$121:$T$1943</c:f>
              <c:numCache>
                <c:formatCode>General</c:formatCode>
                <c:ptCount val="18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5="http://schemas.microsoft.com/office/drawing/2012/chart" uri="{02D57815-91ED-43cb-92C2-25804820EDAC}">
              <c15:filteredCategoryTitle>
                <c15:cat>
                  <c:multiLvlStrRef>
                    <c:extLst>
                      <c:ext uri="{02D57815-91ED-43cb-92C2-25804820EDAC}">
                        <c15:formulaRef>
                          <c15:sqref>'CG - MAIN'!$L$121:$O$1943</c15:sqref>
                        </c15:formulaRef>
                      </c:ext>
                    </c:extLst>
                  </c:multiLvlStrRef>
                </c15:cat>
              </c15:filteredCategoryTitle>
            </c:ext>
            <c:ext xmlns:c16="http://schemas.microsoft.com/office/drawing/2014/chart" uri="{C3380CC4-5D6E-409C-BE32-E72D297353CC}">
              <c16:uniqueId val="{00000004-3CEE-4F40-98CC-069AF8E1E98D}"/>
            </c:ext>
          </c:extLst>
        </c:ser>
        <c:ser>
          <c:idx val="5"/>
          <c:order val="5"/>
          <c:tx>
            <c:strRef>
              <c:f>'CG - MAIN'!$U$16:$U$120</c:f>
              <c:strCache>
                <c:ptCount val="105"/>
                <c:pt idx="0">
                  <c:v>ingredients</c:v>
                </c:pt>
                <c:pt idx="1">
                  <c:v>Beef Brisket / Short Plate                </c:v>
                </c:pt>
                <c:pt idx="2">
                  <c:v>Minari                                                 </c:v>
                </c:pt>
                <c:pt idx="3">
                  <c:v>Daun bawang besar                         </c:v>
                </c:pt>
                <c:pt idx="4">
                  <c:v>Enoki                                                    </c:v>
                </c:pt>
                <c:pt idx="5">
                  <c:v>Lada hitam bubuk</c:v>
                </c:pt>
                <c:pt idx="6">
                  <c:v>Gujeolpan wrap (Kulit Kebab/Tortilla)</c:v>
                </c:pt>
                <c:pt idx="7">
                  <c:v>Shitakee</c:v>
                </c:pt>
                <c:pt idx="8">
                  <c:v>Black sesame oil</c:v>
                </c:pt>
                <c:pt idx="9">
                  <c:v>Garam halus</c:v>
                </c:pt>
                <c:pt idx="10">
                  <c:v>Ajinomoto</c:v>
                </c:pt>
                <c:pt idx="11">
                  <c:v>Minyak goreng</c:v>
                </c:pt>
                <c:pt idx="12">
                  <c:v>Bawang bombay</c:v>
                </c:pt>
                <c:pt idx="13">
                  <c:v>Bawang putih</c:v>
                </c:pt>
                <c:pt idx="14">
                  <c:v>Jahe</c:v>
                </c:pt>
                <c:pt idx="15">
                  <c:v>Frozen liquid whole egg</c:v>
                </c:pt>
                <c:pt idx="16">
                  <c:v>Katsuodashi</c:v>
                </c:pt>
                <c:pt idx="17">
                  <c:v>Jin ganjang (soy sauce)</c:v>
                </c:pt>
                <c:pt idx="18">
                  <c:v>Tauge</c:v>
                </c:pt>
                <c:pt idx="19">
                  <c:v>Gochugaru</c:v>
                </c:pt>
                <c:pt idx="20">
                  <c:v>Sawi putih</c:v>
                </c:pt>
                <c:pt idx="21">
                  <c:v>CK kimchi base 1kg</c:v>
                </c:pt>
                <c:pt idx="22">
                  <c:v>Garlic powder</c:v>
                </c:pt>
                <c:pt idx="23">
                  <c:v>CK Bulgogi Sauce</c:v>
                </c:pt>
                <c:pt idx="24">
                  <c:v>TOKUSEN WAGYU BRISKET NE CUT 2</c:v>
                </c:pt>
                <c:pt idx="25">
                  <c:v>Paya tenderizer</c:v>
                </c:pt>
                <c:pt idx="26">
                  <c:v>Wijen Putih</c:v>
                </c:pt>
                <c:pt idx="27">
                  <c:v>Salada keriting</c:v>
                </c:pt>
                <c:pt idx="28">
                  <c:v>PAHA BONELESS SKINLESS FREE SIZE 2 KG</c:v>
                </c:pt>
                <c:pt idx="29">
                  <c:v>Kol Trim</c:v>
                </c:pt>
                <c:pt idx="30">
                  <c:v>Kentang</c:v>
                </c:pt>
                <c:pt idx="31">
                  <c:v>CK Sauce dakgalbi</c:v>
                </c:pt>
                <c:pt idx="32">
                  <c:v>Teok </c:v>
                </c:pt>
                <c:pt idx="33">
                  <c:v>CK SPICY CHICKEN SAUCE 1 K / CK Gangjeong Sauce</c:v>
                </c:pt>
                <c:pt idx="34">
                  <c:v>GREASE PAPER LAMINATED 33x33</c:v>
                </c:pt>
                <c:pt idx="35">
                  <c:v>KAARAGE GARLIC MINI</c:v>
                </c:pt>
                <c:pt idx="36">
                  <c:v>CK SOY GARLIC SAUCE 1 KG</c:v>
                </c:pt>
                <c:pt idx="37">
                  <c:v>CK Spicy BBQ Powder 500 g</c:v>
                </c:pt>
                <c:pt idx="38">
                  <c:v>CK BBURINKLE POWDER 500 G</c:v>
                </c:pt>
                <c:pt idx="39">
                  <c:v>STICKER GIMBAP</c:v>
                </c:pt>
                <c:pt idx="40">
                  <c:v>Kyuri</c:v>
                </c:pt>
                <c:pt idx="41">
                  <c:v>YAKI NORI 280 G 100 LBR</c:v>
                </c:pt>
                <c:pt idx="42">
                  <c:v>Beras Japonica</c:v>
                </c:pt>
                <c:pt idx="43">
                  <c:v>Gula</c:v>
                </c:pt>
                <c:pt idx="44">
                  <c:v>wortel </c:v>
                </c:pt>
                <c:pt idx="45">
                  <c:v>Dashida Beef</c:v>
                </c:pt>
                <c:pt idx="46">
                  <c:v>Kecap Manis</c:v>
                </c:pt>
                <c:pt idx="47">
                  <c:v>Corn Syrup</c:v>
                </c:pt>
                <c:pt idx="48">
                  <c:v>Gobo Kupas</c:v>
                </c:pt>
                <c:pt idx="49">
                  <c:v>Telur Utuh</c:v>
                </c:pt>
                <c:pt idx="50">
                  <c:v>Pewarna Kuning</c:v>
                </c:pt>
                <c:pt idx="51">
                  <c:v>Minyak Goreng</c:v>
                </c:pt>
                <c:pt idx="52">
                  <c:v>Cuka</c:v>
                </c:pt>
                <c:pt idx="53">
                  <c:v>Lobak Kupas</c:v>
                </c:pt>
                <c:pt idx="54">
                  <c:v>Beet ungu</c:v>
                </c:pt>
                <c:pt idx="55">
                  <c:v>Tepung EASY MIX</c:v>
                </c:pt>
                <c:pt idx="56">
                  <c:v>Kani Stick</c:v>
                </c:pt>
                <c:pt idx="57">
                  <c:v>Mayonaise</c:v>
                </c:pt>
                <c:pt idx="58">
                  <c:v>Tuna Can</c:v>
                </c:pt>
                <c:pt idx="59">
                  <c:v>CAPSICUM CHILI OIL 30 G</c:v>
                </c:pt>
                <c:pt idx="60">
                  <c:v>CREAM CHEESE ANCHOR 1 KG</c:v>
                </c:pt>
                <c:pt idx="61">
                  <c:v>BEEF HAM LOAF 4 KG</c:v>
                </c:pt>
                <c:pt idx="62">
                  <c:v>EOMUK (ODENG) 1 KG</c:v>
                </c:pt>
                <c:pt idx="63">
                  <c:v>Daun Bawang Cung</c:v>
                </c:pt>
                <c:pt idx="64">
                  <c:v>	CK TOKPOKKI BASE 1 KG</c:v>
                </c:pt>
                <c:pt idx="65">
                  <c:v>WIP Mie Instan Al Dente</c:v>
                </c:pt>
                <c:pt idx="66">
                  <c:v>CIRIO PASSATA SIEVED TOMATO 2,5 KG</c:v>
                </c:pt>
                <c:pt idx="67">
                  <c:v>	SUSU UHT 1 L</c:v>
                </c:pt>
                <c:pt idx="68">
                  <c:v>COOKING CREAM 1 L</c:v>
                </c:pt>
                <c:pt idx="69">
                  <c:v>CK FRIED GIMMARI 30 PCS</c:v>
                </c:pt>
                <c:pt idx="70">
                  <c:v>TEPUNG TERIGU SEGITIGA BIRU 1 KG</c:v>
                </c:pt>
                <c:pt idx="71">
                  <c:v>UBI CILEMBU KUNING</c:v>
                </c:pt>
                <c:pt idx="72">
                  <c:v>MOZZARELLA J-PIZZA 1 KG</c:v>
                </c:pt>
                <c:pt idx="73">
                  <c:v>DADA BONELESS SKINLESS 130-150 GR/PCS</c:v>
                </c:pt>
                <c:pt idx="74">
                  <c:v>BREAD CRUMB FROZEN 4 x 2 KG</c:v>
                </c:pt>
                <c:pt idx="75">
                  <c:v>WIP Kucai Trim</c:v>
                </c:pt>
                <c:pt idx="76">
                  <c:v>WIP Ebi Sangrai</c:v>
                </c:pt>
                <c:pt idx="77">
                  <c:v>CK Tepung Pajeon</c:v>
                </c:pt>
                <c:pt idx="78">
                  <c:v>Doenjang Paste</c:v>
                </c:pt>
                <c:pt idx="79">
                  <c:v>CK Twigim Sauce</c:v>
                </c:pt>
                <c:pt idx="80">
                  <c:v>Cabe rawit Slice</c:v>
                </c:pt>
                <c:pt idx="81">
                  <c:v>TAHU CINA PADAT 420 G</c:v>
                </c:pt>
                <c:pt idx="82">
                  <c:v>MANDU 24 PCS/PACK</c:v>
                </c:pt>
                <c:pt idx="83">
                  <c:v>	WIP Daun Bawang Cung</c:v>
                </c:pt>
                <c:pt idx="84">
                  <c:v>Beras Hitam (Mlatiharjo)</c:v>
                </c:pt>
                <c:pt idx="85">
                  <c:v>Seaweed (DRY)</c:v>
                </c:pt>
                <c:pt idx="86">
                  <c:v>Samjang Sauce Base</c:v>
                </c:pt>
                <c:pt idx="87">
                  <c:v>DAUN PERILLA 9-10CM @10LEMBAR</c:v>
                </c:pt>
                <c:pt idx="88">
                  <c:v>MACARONI</c:v>
                </c:pt>
                <c:pt idx="89">
                  <c:v>MIXED VEGETABLES</c:v>
                </c:pt>
                <c:pt idx="90">
                  <c:v>KEWPIE MAYO (PRO USE)</c:v>
                </c:pt>
                <c:pt idx="91">
                  <c:v>CK BIBIMBAP SAUCE 500 G</c:v>
                </c:pt>
                <c:pt idx="92">
                  <c:v>Zucchini</c:v>
                </c:pt>
                <c:pt idx="93">
                  <c:v>NORI TABUR / SEASONED LAVER POWDER 1KG</c:v>
                </c:pt>
                <c:pt idx="94">
                  <c:v>CK Japchae Sauce Base</c:v>
                </c:pt>
                <c:pt idx="95">
                  <c:v>Dangmyeon </c:v>
                </c:pt>
                <c:pt idx="96">
                  <c:v>CK Kimchi Fried Rice Base</c:v>
                </c:pt>
                <c:pt idx="97">
                  <c:v>Sauce Dakgalbi (CK)</c:v>
                </c:pt>
                <c:pt idx="98">
                  <c:v>Cabe Merah Besar (Cut 5mm)</c:v>
                </c:pt>
                <c:pt idx="99">
                  <c:v>Gochujang</c:v>
                </c:pt>
                <c:pt idx="100">
                  <c:v>	ANCHOVY DASHIDA (DASHIDA IKAN TERI) 500 G</c:v>
                </c:pt>
                <c:pt idx="101">
                  <c:v>CK BASE SUNDUBU JJIGAE 1 KG</c:v>
                </c:pt>
                <c:pt idx="102">
                  <c:v>SAOS TOMAT DEL MONTE 1 KG</c:v>
                </c:pt>
                <c:pt idx="103">
                  <c:v>Jjugumi (Baby Octopus)</c:v>
                </c:pt>
                <c:pt idx="104">
                  <c:v>Tepung Tapioka</c:v>
                </c:pt>
              </c:strCache>
            </c:strRef>
          </c:tx>
          <c:spPr>
            <a:solidFill>
              <a:schemeClr val="accent6"/>
            </a:solidFill>
            <a:ln>
              <a:noFill/>
            </a:ln>
            <a:effectLst/>
          </c:spPr>
          <c:invertIfNegative val="0"/>
          <c:val>
            <c:numRef>
              <c:f>'CG - MAIN'!$U$121:$U$1943</c:f>
              <c:numCache>
                <c:formatCode>General</c:formatCode>
                <c:ptCount val="18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numCache>
            </c:numRef>
          </c:val>
          <c:extLst>
            <c:ext xmlns:c15="http://schemas.microsoft.com/office/drawing/2012/chart" uri="{02D57815-91ED-43cb-92C2-25804820EDAC}">
              <c15:filteredCategoryTitle>
                <c15:cat>
                  <c:multiLvlStrRef>
                    <c:extLst>
                      <c:ext uri="{02D57815-91ED-43cb-92C2-25804820EDAC}">
                        <c15:formulaRef>
                          <c15:sqref>'CG - MAIN'!$L$121:$O$1943</c15:sqref>
                        </c15:formulaRef>
                      </c:ext>
                    </c:extLst>
                  </c:multiLvlStrRef>
                </c15:cat>
              </c15:filteredCategoryTitle>
            </c:ext>
            <c:ext xmlns:c16="http://schemas.microsoft.com/office/drawing/2014/chart" uri="{C3380CC4-5D6E-409C-BE32-E72D297353CC}">
              <c16:uniqueId val="{00000005-3CEE-4F40-98CC-069AF8E1E98D}"/>
            </c:ext>
          </c:extLst>
        </c:ser>
        <c:ser>
          <c:idx val="6"/>
          <c:order val="6"/>
          <c:tx>
            <c:strRef>
              <c:f>'CG - MAIN'!$V$16:$V$120</c:f>
              <c:strCache>
                <c:ptCount val="105"/>
                <c:pt idx="0">
                  <c:v>total _usage_item</c:v>
                </c:pt>
                <c:pt idx="1">
                  <c:v>91777,996</c:v>
                </c:pt>
                <c:pt idx="2">
                  <c:v>17790</c:v>
                </c:pt>
                <c:pt idx="3">
                  <c:v>34998,45</c:v>
                </c:pt>
                <c:pt idx="4">
                  <c:v>27730</c:v>
                </c:pt>
                <c:pt idx="5">
                  <c:v>81,94</c:v>
                </c:pt>
                <c:pt idx="6">
                  <c:v>3796</c:v>
                </c:pt>
                <c:pt idx="7">
                  <c:v>17621,19</c:v>
                </c:pt>
                <c:pt idx="8">
                  <c:v>5485,66</c:v>
                </c:pt>
                <c:pt idx="9">
                  <c:v>2961,25</c:v>
                </c:pt>
                <c:pt idx="10">
                  <c:v>700,1973</c:v>
                </c:pt>
                <c:pt idx="11">
                  <c:v>8914,78</c:v>
                </c:pt>
                <c:pt idx="12">
                  <c:v>38855,68</c:v>
                </c:pt>
                <c:pt idx="13">
                  <c:v>3541,55</c:v>
                </c:pt>
                <c:pt idx="14">
                  <c:v>434,17</c:v>
                </c:pt>
                <c:pt idx="15">
                  <c:v>52425,62</c:v>
                </c:pt>
                <c:pt idx="16">
                  <c:v>2230,58</c:v>
                </c:pt>
                <c:pt idx="17">
                  <c:v>1240,86</c:v>
                </c:pt>
                <c:pt idx="18">
                  <c:v>24961,11</c:v>
                </c:pt>
                <c:pt idx="19">
                  <c:v>744,65</c:v>
                </c:pt>
                <c:pt idx="20">
                  <c:v>30431,07</c:v>
                </c:pt>
                <c:pt idx="21">
                  <c:v>12405,16</c:v>
                </c:pt>
                <c:pt idx="22">
                  <c:v>45,61</c:v>
                </c:pt>
                <c:pt idx="23">
                  <c:v>17405,39</c:v>
                </c:pt>
                <c:pt idx="24">
                  <c:v>21925</c:v>
                </c:pt>
                <c:pt idx="25">
                  <c:v>15,54</c:v>
                </c:pt>
                <c:pt idx="26">
                  <c:v>1101,24</c:v>
                </c:pt>
                <c:pt idx="27">
                  <c:v>6212,5</c:v>
                </c:pt>
                <c:pt idx="28">
                  <c:v>12041,68</c:v>
                </c:pt>
                <c:pt idx="29">
                  <c:v>12950</c:v>
                </c:pt>
                <c:pt idx="30">
                  <c:v>2220</c:v>
                </c:pt>
                <c:pt idx="31">
                  <c:v>10451,12</c:v>
                </c:pt>
                <c:pt idx="32">
                  <c:v>87320</c:v>
                </c:pt>
                <c:pt idx="33">
                  <c:v>5355</c:v>
                </c:pt>
                <c:pt idx="34">
                  <c:v>81,75</c:v>
                </c:pt>
                <c:pt idx="35">
                  <c:v>66605</c:v>
                </c:pt>
                <c:pt idx="36">
                  <c:v>11230,71</c:v>
                </c:pt>
                <c:pt idx="37">
                  <c:v>396</c:v>
                </c:pt>
                <c:pt idx="38">
                  <c:v>1828</c:v>
                </c:pt>
                <c:pt idx="39">
                  <c:v>499</c:v>
                </c:pt>
                <c:pt idx="40">
                  <c:v>8790</c:v>
                </c:pt>
                <c:pt idx="41">
                  <c:v>692,25</c:v>
                </c:pt>
                <c:pt idx="42">
                  <c:v>91822,1</c:v>
                </c:pt>
                <c:pt idx="43">
                  <c:v>2996,74</c:v>
                </c:pt>
                <c:pt idx="44">
                  <c:v>26218,93</c:v>
                </c:pt>
                <c:pt idx="45">
                  <c:v>265,56</c:v>
                </c:pt>
                <c:pt idx="46">
                  <c:v>349,46</c:v>
                </c:pt>
                <c:pt idx="47">
                  <c:v>1391,78</c:v>
                </c:pt>
                <c:pt idx="48">
                  <c:v>3508,44</c:v>
                </c:pt>
                <c:pt idx="49">
                  <c:v>57186</c:v>
                </c:pt>
                <c:pt idx="50">
                  <c:v>32,26</c:v>
                </c:pt>
                <c:pt idx="51">
                  <c:v>868,46</c:v>
                </c:pt>
                <c:pt idx="52">
                  <c:v>396,14</c:v>
                </c:pt>
                <c:pt idx="53">
                  <c:v>6746,67</c:v>
                </c:pt>
                <c:pt idx="54">
                  <c:v>688,75</c:v>
                </c:pt>
                <c:pt idx="55">
                  <c:v>10033,21</c:v>
                </c:pt>
                <c:pt idx="56">
                  <c:v>2082,5</c:v>
                </c:pt>
                <c:pt idx="57">
                  <c:v>4731,75</c:v>
                </c:pt>
                <c:pt idx="58">
                  <c:v>1908,5</c:v>
                </c:pt>
                <c:pt idx="59">
                  <c:v>0,25</c:v>
                </c:pt>
                <c:pt idx="60">
                  <c:v>3640</c:v>
                </c:pt>
                <c:pt idx="61">
                  <c:v>6430</c:v>
                </c:pt>
                <c:pt idx="62">
                  <c:v>15488,13</c:v>
                </c:pt>
                <c:pt idx="63">
                  <c:v>3033,35</c:v>
                </c:pt>
                <c:pt idx="64">
                  <c:v>36551,82</c:v>
                </c:pt>
                <c:pt idx="65">
                  <c:v>14550</c:v>
                </c:pt>
                <c:pt idx="66">
                  <c:v>3872,38</c:v>
                </c:pt>
                <c:pt idx="67">
                  <c:v>17424,77</c:v>
                </c:pt>
                <c:pt idx="68">
                  <c:v>5808,1</c:v>
                </c:pt>
                <c:pt idx="69">
                  <c:v>476</c:v>
                </c:pt>
                <c:pt idx="70">
                  <c:v>3604,5</c:v>
                </c:pt>
                <c:pt idx="71">
                  <c:v>3369,83</c:v>
                </c:pt>
                <c:pt idx="72">
                  <c:v>3180</c:v>
                </c:pt>
                <c:pt idx="73">
                  <c:v>3780</c:v>
                </c:pt>
                <c:pt idx="74">
                  <c:v>2430</c:v>
                </c:pt>
                <c:pt idx="75">
                  <c:v>1981,14</c:v>
                </c:pt>
                <c:pt idx="76">
                  <c:v>208</c:v>
                </c:pt>
                <c:pt idx="77">
                  <c:v>3024,32</c:v>
                </c:pt>
                <c:pt idx="78">
                  <c:v>1169,18</c:v>
                </c:pt>
                <c:pt idx="79">
                  <c:v>3954</c:v>
                </c:pt>
                <c:pt idx="80">
                  <c:v>2002,27</c:v>
                </c:pt>
                <c:pt idx="81">
                  <c:v>22407,5</c:v>
                </c:pt>
                <c:pt idx="82">
                  <c:v>0</c:v>
                </c:pt>
                <c:pt idx="83">
                  <c:v>0</c:v>
                </c:pt>
                <c:pt idx="84">
                  <c:v>0</c:v>
                </c:pt>
                <c:pt idx="85">
                  <c:v>0</c:v>
                </c:pt>
                <c:pt idx="86">
                  <c:v>277,77</c:v>
                </c:pt>
                <c:pt idx="87">
                  <c:v>936</c:v>
                </c:pt>
                <c:pt idx="88">
                  <c:v>0</c:v>
                </c:pt>
                <c:pt idx="89">
                  <c:v>0</c:v>
                </c:pt>
                <c:pt idx="90">
                  <c:v>0</c:v>
                </c:pt>
                <c:pt idx="91">
                  <c:v>1826</c:v>
                </c:pt>
                <c:pt idx="92">
                  <c:v>4244,19</c:v>
                </c:pt>
                <c:pt idx="93">
                  <c:v>556</c:v>
                </c:pt>
                <c:pt idx="94">
                  <c:v>4605,75</c:v>
                </c:pt>
                <c:pt idx="95">
                  <c:v>27199,75</c:v>
                </c:pt>
                <c:pt idx="96">
                  <c:v>3840</c:v>
                </c:pt>
                <c:pt idx="97">
                  <c:v>840</c:v>
                </c:pt>
                <c:pt idx="98">
                  <c:v>1040</c:v>
                </c:pt>
                <c:pt idx="99">
                  <c:v>862,95</c:v>
                </c:pt>
                <c:pt idx="100">
                  <c:v>1188</c:v>
                </c:pt>
                <c:pt idx="101">
                  <c:v>6696</c:v>
                </c:pt>
                <c:pt idx="102">
                  <c:v>940</c:v>
                </c:pt>
                <c:pt idx="103">
                  <c:v>33900</c:v>
                </c:pt>
                <c:pt idx="104">
                  <c:v>1135,65</c:v>
                </c:pt>
              </c:strCache>
            </c:strRef>
          </c:tx>
          <c:spPr>
            <a:solidFill>
              <a:schemeClr val="accent1">
                <a:lumMod val="60000"/>
              </a:schemeClr>
            </a:solidFill>
            <a:ln>
              <a:noFill/>
            </a:ln>
            <a:effectLst/>
          </c:spPr>
          <c:invertIfNegative val="0"/>
          <c:val>
            <c:numRef>
              <c:f>'CG - MAIN'!$V$121:$V$1943</c:f>
              <c:numCache>
                <c:formatCode>General</c:formatCode>
                <c:ptCount val="1823"/>
                <c:pt idx="0">
                  <c:v>259.70999999999998</c:v>
                </c:pt>
                <c:pt idx="1">
                  <c:v>940</c:v>
                </c:pt>
                <c:pt idx="2">
                  <c:v>13.02</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numCache>
            </c:numRef>
          </c:val>
          <c:extLst>
            <c:ext xmlns:c15="http://schemas.microsoft.com/office/drawing/2012/chart" uri="{02D57815-91ED-43cb-92C2-25804820EDAC}">
              <c15:filteredCategoryTitle>
                <c15:cat>
                  <c:multiLvlStrRef>
                    <c:extLst>
                      <c:ext uri="{02D57815-91ED-43cb-92C2-25804820EDAC}">
                        <c15:formulaRef>
                          <c15:sqref>'CG - MAIN'!$L$121:$O$1943</c15:sqref>
                        </c15:formulaRef>
                      </c:ext>
                    </c:extLst>
                  </c:multiLvlStrRef>
                </c15:cat>
              </c15:filteredCategoryTitle>
            </c:ext>
            <c:ext xmlns:c16="http://schemas.microsoft.com/office/drawing/2014/chart" uri="{C3380CC4-5D6E-409C-BE32-E72D297353CC}">
              <c16:uniqueId val="{00000006-3CEE-4F40-98CC-069AF8E1E98D}"/>
            </c:ext>
          </c:extLst>
        </c:ser>
        <c:ser>
          <c:idx val="7"/>
          <c:order val="7"/>
          <c:tx>
            <c:strRef>
              <c:f>'CG - MAIN'!$W$16:$W$120</c:f>
              <c:strCache>
                <c:ptCount val="105"/>
                <c:pt idx="0">
                  <c:v>UOM</c:v>
                </c:pt>
                <c:pt idx="1">
                  <c:v>GR</c:v>
                </c:pt>
                <c:pt idx="2">
                  <c:v>GR</c:v>
                </c:pt>
                <c:pt idx="3">
                  <c:v>GR</c:v>
                </c:pt>
                <c:pt idx="4">
                  <c:v>GR</c:v>
                </c:pt>
                <c:pt idx="5">
                  <c:v>GR</c:v>
                </c:pt>
                <c:pt idx="6">
                  <c:v>PCS</c:v>
                </c:pt>
                <c:pt idx="7">
                  <c:v>GR</c:v>
                </c:pt>
                <c:pt idx="8">
                  <c:v>GR</c:v>
                </c:pt>
                <c:pt idx="9">
                  <c:v>GR</c:v>
                </c:pt>
                <c:pt idx="10">
                  <c:v>GR</c:v>
                </c:pt>
                <c:pt idx="11">
                  <c:v>GR</c:v>
                </c:pt>
                <c:pt idx="12">
                  <c:v>GR</c:v>
                </c:pt>
                <c:pt idx="13">
                  <c:v>GR</c:v>
                </c:pt>
                <c:pt idx="14">
                  <c:v>GR</c:v>
                </c:pt>
                <c:pt idx="15">
                  <c:v>GR</c:v>
                </c:pt>
                <c:pt idx="16">
                  <c:v>GR</c:v>
                </c:pt>
                <c:pt idx="17">
                  <c:v>GR</c:v>
                </c:pt>
                <c:pt idx="18">
                  <c:v>GR</c:v>
                </c:pt>
                <c:pt idx="19">
                  <c:v>GR</c:v>
                </c:pt>
                <c:pt idx="20">
                  <c:v>GR</c:v>
                </c:pt>
                <c:pt idx="21">
                  <c:v>GR</c:v>
                </c:pt>
                <c:pt idx="22">
                  <c:v>GR</c:v>
                </c:pt>
                <c:pt idx="23">
                  <c:v>GR</c:v>
                </c:pt>
                <c:pt idx="24">
                  <c:v>GR</c:v>
                </c:pt>
                <c:pt idx="25">
                  <c:v>GR</c:v>
                </c:pt>
                <c:pt idx="26">
                  <c:v>GR</c:v>
                </c:pt>
                <c:pt idx="27">
                  <c:v>GR</c:v>
                </c:pt>
                <c:pt idx="28">
                  <c:v>GR</c:v>
                </c:pt>
                <c:pt idx="29">
                  <c:v>GR</c:v>
                </c:pt>
                <c:pt idx="30">
                  <c:v>GR</c:v>
                </c:pt>
                <c:pt idx="31">
                  <c:v>GR</c:v>
                </c:pt>
                <c:pt idx="32">
                  <c:v>GR</c:v>
                </c:pt>
                <c:pt idx="33">
                  <c:v>GR</c:v>
                </c:pt>
                <c:pt idx="34">
                  <c:v>LEMBAR</c:v>
                </c:pt>
                <c:pt idx="35">
                  <c:v>GR</c:v>
                </c:pt>
                <c:pt idx="36">
                  <c:v>GR</c:v>
                </c:pt>
                <c:pt idx="37">
                  <c:v>GR</c:v>
                </c:pt>
                <c:pt idx="38">
                  <c:v>GR</c:v>
                </c:pt>
                <c:pt idx="39">
                  <c:v>PCS</c:v>
                </c:pt>
                <c:pt idx="40">
                  <c:v>GR</c:v>
                </c:pt>
                <c:pt idx="41">
                  <c:v>LEMBAR</c:v>
                </c:pt>
                <c:pt idx="42">
                  <c:v>GR</c:v>
                </c:pt>
                <c:pt idx="43">
                  <c:v>GR</c:v>
                </c:pt>
                <c:pt idx="44">
                  <c:v>GR</c:v>
                </c:pt>
                <c:pt idx="45">
                  <c:v>GR</c:v>
                </c:pt>
                <c:pt idx="46">
                  <c:v>GR</c:v>
                </c:pt>
                <c:pt idx="47">
                  <c:v>GR</c:v>
                </c:pt>
                <c:pt idx="48">
                  <c:v>GR</c:v>
                </c:pt>
                <c:pt idx="49">
                  <c:v>GR</c:v>
                </c:pt>
                <c:pt idx="50">
                  <c:v>GR</c:v>
                </c:pt>
                <c:pt idx="51">
                  <c:v>GR</c:v>
                </c:pt>
                <c:pt idx="52">
                  <c:v>GR</c:v>
                </c:pt>
                <c:pt idx="53">
                  <c:v>GR</c:v>
                </c:pt>
                <c:pt idx="54">
                  <c:v>GR</c:v>
                </c:pt>
                <c:pt idx="55">
                  <c:v>GR</c:v>
                </c:pt>
                <c:pt idx="56">
                  <c:v>GR</c:v>
                </c:pt>
                <c:pt idx="57">
                  <c:v>GR</c:v>
                </c:pt>
                <c:pt idx="58">
                  <c:v>GR</c:v>
                </c:pt>
                <c:pt idx="59">
                  <c:v>GR</c:v>
                </c:pt>
                <c:pt idx="60">
                  <c:v>GR</c:v>
                </c:pt>
                <c:pt idx="61">
                  <c:v>GR</c:v>
                </c:pt>
                <c:pt idx="62">
                  <c:v>GR</c:v>
                </c:pt>
                <c:pt idx="63">
                  <c:v>GR</c:v>
                </c:pt>
                <c:pt idx="64">
                  <c:v>GR</c:v>
                </c:pt>
                <c:pt idx="65">
                  <c:v>GR</c:v>
                </c:pt>
                <c:pt idx="66">
                  <c:v>GR</c:v>
                </c:pt>
                <c:pt idx="67">
                  <c:v>GR</c:v>
                </c:pt>
                <c:pt idx="68">
                  <c:v>GR</c:v>
                </c:pt>
                <c:pt idx="69">
                  <c:v>GR</c:v>
                </c:pt>
                <c:pt idx="70">
                  <c:v>PCS</c:v>
                </c:pt>
                <c:pt idx="71">
                  <c:v>GR</c:v>
                </c:pt>
                <c:pt idx="72">
                  <c:v>GR</c:v>
                </c:pt>
                <c:pt idx="73">
                  <c:v>GR</c:v>
                </c:pt>
                <c:pt idx="74">
                  <c:v>GR</c:v>
                </c:pt>
                <c:pt idx="75">
                  <c:v>GR</c:v>
                </c:pt>
                <c:pt idx="76">
                  <c:v>GR</c:v>
                </c:pt>
                <c:pt idx="77">
                  <c:v>GR</c:v>
                </c:pt>
                <c:pt idx="78">
                  <c:v>GR</c:v>
                </c:pt>
                <c:pt idx="79">
                  <c:v>GR</c:v>
                </c:pt>
                <c:pt idx="80">
                  <c:v>GR</c:v>
                </c:pt>
                <c:pt idx="81">
                  <c:v>GR</c:v>
                </c:pt>
                <c:pt idx="82">
                  <c:v>GR</c:v>
                </c:pt>
                <c:pt idx="83">
                  <c:v>GR</c:v>
                </c:pt>
                <c:pt idx="84">
                  <c:v>GR</c:v>
                </c:pt>
                <c:pt idx="85">
                  <c:v>GR</c:v>
                </c:pt>
                <c:pt idx="86">
                  <c:v>GR</c:v>
                </c:pt>
                <c:pt idx="87">
                  <c:v>GR</c:v>
                </c:pt>
                <c:pt idx="88">
                  <c:v>GR</c:v>
                </c:pt>
                <c:pt idx="89">
                  <c:v>GR</c:v>
                </c:pt>
                <c:pt idx="90">
                  <c:v>GR</c:v>
                </c:pt>
                <c:pt idx="91">
                  <c:v>GR</c:v>
                </c:pt>
                <c:pt idx="92">
                  <c:v>GR</c:v>
                </c:pt>
                <c:pt idx="93">
                  <c:v>GR</c:v>
                </c:pt>
                <c:pt idx="94">
                  <c:v>GR</c:v>
                </c:pt>
                <c:pt idx="95">
                  <c:v>GR</c:v>
                </c:pt>
                <c:pt idx="96">
                  <c:v>GR</c:v>
                </c:pt>
                <c:pt idx="97">
                  <c:v>GR</c:v>
                </c:pt>
                <c:pt idx="98">
                  <c:v>GR</c:v>
                </c:pt>
                <c:pt idx="99">
                  <c:v>GR</c:v>
                </c:pt>
                <c:pt idx="100">
                  <c:v>GR</c:v>
                </c:pt>
                <c:pt idx="101">
                  <c:v>GR</c:v>
                </c:pt>
                <c:pt idx="102">
                  <c:v>GR</c:v>
                </c:pt>
                <c:pt idx="103">
                  <c:v>GR</c:v>
                </c:pt>
                <c:pt idx="104">
                  <c:v>GR</c:v>
                </c:pt>
              </c:strCache>
            </c:strRef>
          </c:tx>
          <c:spPr>
            <a:solidFill>
              <a:schemeClr val="accent2">
                <a:lumMod val="60000"/>
              </a:schemeClr>
            </a:solidFill>
            <a:ln>
              <a:noFill/>
            </a:ln>
            <a:effectLst/>
          </c:spPr>
          <c:invertIfNegative val="0"/>
          <c:val>
            <c:numRef>
              <c:f>'CG - MAIN'!$W$121:$W$1943</c:f>
              <c:numCache>
                <c:formatCode>General</c:formatCode>
                <c:ptCount val="18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5="http://schemas.microsoft.com/office/drawing/2012/chart" uri="{02D57815-91ED-43cb-92C2-25804820EDAC}">
              <c15:filteredCategoryTitle>
                <c15:cat>
                  <c:multiLvlStrRef>
                    <c:extLst>
                      <c:ext uri="{02D57815-91ED-43cb-92C2-25804820EDAC}">
                        <c15:formulaRef>
                          <c15:sqref>'CG - MAIN'!$L$121:$O$1943</c15:sqref>
                        </c15:formulaRef>
                      </c:ext>
                    </c:extLst>
                  </c:multiLvlStrRef>
                </c15:cat>
              </c15:filteredCategoryTitle>
            </c:ext>
            <c:ext xmlns:c16="http://schemas.microsoft.com/office/drawing/2014/chart" uri="{C3380CC4-5D6E-409C-BE32-E72D297353CC}">
              <c16:uniqueId val="{00000007-3CEE-4F40-98CC-069AF8E1E98D}"/>
            </c:ext>
          </c:extLst>
        </c:ser>
        <c:ser>
          <c:idx val="8"/>
          <c:order val="8"/>
          <c:tx>
            <c:strRef>
              <c:f>'CG - MAIN'!$X$16:$X$120</c:f>
              <c:strCache>
                <c:ptCount val="105"/>
                <c:pt idx="0">
                  <c:v>yield</c:v>
                </c:pt>
                <c:pt idx="1">
                  <c:v>97%</c:v>
                </c:pt>
                <c:pt idx="2">
                  <c:v>85%</c:v>
                </c:pt>
                <c:pt idx="3">
                  <c:v>79%</c:v>
                </c:pt>
                <c:pt idx="4">
                  <c:v>87%</c:v>
                </c:pt>
                <c:pt idx="5">
                  <c:v>100%</c:v>
                </c:pt>
                <c:pt idx="6">
                  <c:v>100%</c:v>
                </c:pt>
                <c:pt idx="7">
                  <c:v>83%</c:v>
                </c:pt>
                <c:pt idx="8">
                  <c:v>97%</c:v>
                </c:pt>
                <c:pt idx="9">
                  <c:v>100%</c:v>
                </c:pt>
                <c:pt idx="10">
                  <c:v>100%</c:v>
                </c:pt>
                <c:pt idx="11">
                  <c:v>93%</c:v>
                </c:pt>
                <c:pt idx="12">
                  <c:v>84%</c:v>
                </c:pt>
                <c:pt idx="13">
                  <c:v>93%</c:v>
                </c:pt>
                <c:pt idx="14">
                  <c:v>89%</c:v>
                </c:pt>
                <c:pt idx="15">
                  <c:v>99%</c:v>
                </c:pt>
                <c:pt idx="16">
                  <c:v>100%</c:v>
                </c:pt>
                <c:pt idx="17">
                  <c:v>97%</c:v>
                </c:pt>
                <c:pt idx="18">
                  <c:v>100%</c:v>
                </c:pt>
                <c:pt idx="19">
                  <c:v>100%</c:v>
                </c:pt>
                <c:pt idx="20">
                  <c:v>89%</c:v>
                </c:pt>
                <c:pt idx="21">
                  <c:v>97%</c:v>
                </c:pt>
                <c:pt idx="22">
                  <c:v>100%</c:v>
                </c:pt>
                <c:pt idx="23">
                  <c:v>97%</c:v>
                </c:pt>
                <c:pt idx="24">
                  <c:v>90%</c:v>
                </c:pt>
                <c:pt idx="25">
                  <c:v>100%</c:v>
                </c:pt>
                <c:pt idx="26">
                  <c:v>100%</c:v>
                </c:pt>
                <c:pt idx="27">
                  <c:v>89%</c:v>
                </c:pt>
                <c:pt idx="28">
                  <c:v>95%</c:v>
                </c:pt>
                <c:pt idx="29">
                  <c:v>86%</c:v>
                </c:pt>
                <c:pt idx="30">
                  <c:v>88%</c:v>
                </c:pt>
                <c:pt idx="31">
                  <c:v>97%</c:v>
                </c:pt>
                <c:pt idx="32">
                  <c:v>100%</c:v>
                </c:pt>
                <c:pt idx="33">
                  <c:v>97%</c:v>
                </c:pt>
                <c:pt idx="34">
                  <c:v>100%</c:v>
                </c:pt>
                <c:pt idx="35">
                  <c:v>80%</c:v>
                </c:pt>
                <c:pt idx="36">
                  <c:v>97%</c:v>
                </c:pt>
                <c:pt idx="37">
                  <c:v>100%</c:v>
                </c:pt>
                <c:pt idx="38">
                  <c:v>100%</c:v>
                </c:pt>
                <c:pt idx="39">
                  <c:v>100%</c:v>
                </c:pt>
                <c:pt idx="40">
                  <c:v>58%</c:v>
                </c:pt>
                <c:pt idx="41">
                  <c:v>100%</c:v>
                </c:pt>
                <c:pt idx="42">
                  <c:v>100%</c:v>
                </c:pt>
                <c:pt idx="43">
                  <c:v>100%</c:v>
                </c:pt>
                <c:pt idx="44">
                  <c:v>100%</c:v>
                </c:pt>
                <c:pt idx="45">
                  <c:v>86%</c:v>
                </c:pt>
                <c:pt idx="46">
                  <c:v>100%</c:v>
                </c:pt>
                <c:pt idx="47">
                  <c:v>97%</c:v>
                </c:pt>
                <c:pt idx="48">
                  <c:v>97%</c:v>
                </c:pt>
                <c:pt idx="49">
                  <c:v>94%</c:v>
                </c:pt>
                <c:pt idx="50">
                  <c:v>86%</c:v>
                </c:pt>
                <c:pt idx="51">
                  <c:v>100%</c:v>
                </c:pt>
                <c:pt idx="52">
                  <c:v>93%</c:v>
                </c:pt>
                <c:pt idx="53">
                  <c:v>100%</c:v>
                </c:pt>
                <c:pt idx="54">
                  <c:v>87%</c:v>
                </c:pt>
                <c:pt idx="55">
                  <c:v>76%</c:v>
                </c:pt>
                <c:pt idx="56">
                  <c:v>100%</c:v>
                </c:pt>
                <c:pt idx="57">
                  <c:v>100%</c:v>
                </c:pt>
                <c:pt idx="58">
                  <c:v>100%</c:v>
                </c:pt>
                <c:pt idx="59">
                  <c:v>73%</c:v>
                </c:pt>
                <c:pt idx="60">
                  <c:v>100%</c:v>
                </c:pt>
                <c:pt idx="61">
                  <c:v>97%</c:v>
                </c:pt>
                <c:pt idx="62">
                  <c:v>78%</c:v>
                </c:pt>
                <c:pt idx="63">
                  <c:v>100%</c:v>
                </c:pt>
                <c:pt idx="64">
                  <c:v>70%</c:v>
                </c:pt>
                <c:pt idx="65">
                  <c:v>97%</c:v>
                </c:pt>
                <c:pt idx="66">
                  <c:v>100%</c:v>
                </c:pt>
                <c:pt idx="67">
                  <c:v>100%</c:v>
                </c:pt>
                <c:pt idx="68">
                  <c:v>100%</c:v>
                </c:pt>
                <c:pt idx="69">
                  <c:v>100%</c:v>
                </c:pt>
                <c:pt idx="70">
                  <c:v>100%</c:v>
                </c:pt>
                <c:pt idx="71">
                  <c:v>100%</c:v>
                </c:pt>
                <c:pt idx="72">
                  <c:v>84%</c:v>
                </c:pt>
                <c:pt idx="73">
                  <c:v>100%</c:v>
                </c:pt>
                <c:pt idx="74">
                  <c:v>100%</c:v>
                </c:pt>
                <c:pt idx="75">
                  <c:v>79%</c:v>
                </c:pt>
                <c:pt idx="76">
                  <c:v>100%</c:v>
                </c:pt>
                <c:pt idx="77">
                  <c:v>100%</c:v>
                </c:pt>
                <c:pt idx="78">
                  <c:v>97%</c:v>
                </c:pt>
                <c:pt idx="79">
                  <c:v>97%</c:v>
                </c:pt>
                <c:pt idx="80">
                  <c:v>84%</c:v>
                </c:pt>
                <c:pt idx="81">
                  <c:v>99%</c:v>
                </c:pt>
                <c:pt idx="82">
                  <c:v>100%</c:v>
                </c:pt>
                <c:pt idx="83">
                  <c:v>97%</c:v>
                </c:pt>
                <c:pt idx="84">
                  <c:v>93%</c:v>
                </c:pt>
                <c:pt idx="85">
                  <c:v>100%</c:v>
                </c:pt>
                <c:pt idx="86">
                  <c:v>97%</c:v>
                </c:pt>
                <c:pt idx="87">
                  <c:v>100%</c:v>
                </c:pt>
                <c:pt idx="88">
                  <c:v>97%</c:v>
                </c:pt>
                <c:pt idx="89">
                  <c:v>97%</c:v>
                </c:pt>
                <c:pt idx="90">
                  <c:v>88%</c:v>
                </c:pt>
                <c:pt idx="91">
                  <c:v>97%</c:v>
                </c:pt>
                <c:pt idx="92">
                  <c:v>97%</c:v>
                </c:pt>
                <c:pt idx="93">
                  <c:v>100%</c:v>
                </c:pt>
                <c:pt idx="94">
                  <c:v>97%</c:v>
                </c:pt>
                <c:pt idx="95">
                  <c:v>97%</c:v>
                </c:pt>
                <c:pt idx="96">
                  <c:v>63%</c:v>
                </c:pt>
                <c:pt idx="97">
                  <c:v>100%</c:v>
                </c:pt>
                <c:pt idx="98">
                  <c:v>100%</c:v>
                </c:pt>
                <c:pt idx="99">
                  <c:v>100%</c:v>
                </c:pt>
                <c:pt idx="100">
                  <c:v>100%</c:v>
                </c:pt>
                <c:pt idx="101">
                  <c:v>100%</c:v>
                </c:pt>
                <c:pt idx="102">
                  <c:v>100%</c:v>
                </c:pt>
                <c:pt idx="103">
                  <c:v>100%</c:v>
                </c:pt>
                <c:pt idx="104">
                  <c:v>100%</c:v>
                </c:pt>
              </c:strCache>
            </c:strRef>
          </c:tx>
          <c:spPr>
            <a:solidFill>
              <a:schemeClr val="accent3">
                <a:lumMod val="60000"/>
              </a:schemeClr>
            </a:solidFill>
            <a:ln>
              <a:noFill/>
            </a:ln>
            <a:effectLst/>
          </c:spPr>
          <c:invertIfNegative val="0"/>
          <c:val>
            <c:numRef>
              <c:f>'CG - MAIN'!$X$121:$X$1943</c:f>
              <c:numCache>
                <c:formatCode>0%</c:formatCode>
                <c:ptCount val="1823"/>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Cache>
            </c:numRef>
          </c:val>
          <c:extLst>
            <c:ext xmlns:c15="http://schemas.microsoft.com/office/drawing/2012/chart" uri="{02D57815-91ED-43cb-92C2-25804820EDAC}">
              <c15:filteredCategoryTitle>
                <c15:cat>
                  <c:multiLvlStrRef>
                    <c:extLst>
                      <c:ext uri="{02D57815-91ED-43cb-92C2-25804820EDAC}">
                        <c15:formulaRef>
                          <c15:sqref>'CG - MAIN'!$L$121:$O$1943</c15:sqref>
                        </c15:formulaRef>
                      </c:ext>
                    </c:extLst>
                  </c:multiLvlStrRef>
                </c15:cat>
              </c15:filteredCategoryTitle>
            </c:ext>
            <c:ext xmlns:c16="http://schemas.microsoft.com/office/drawing/2014/chart" uri="{C3380CC4-5D6E-409C-BE32-E72D297353CC}">
              <c16:uniqueId val="{00000008-3CEE-4F40-98CC-069AF8E1E98D}"/>
            </c:ext>
          </c:extLst>
        </c:ser>
        <c:ser>
          <c:idx val="9"/>
          <c:order val="9"/>
          <c:tx>
            <c:strRef>
              <c:f>'CG - MAIN'!$Y$16:$Y$120</c:f>
              <c:strCache>
                <c:ptCount val="105"/>
                <c:pt idx="0">
                  <c:v>buffer_Stock</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pt idx="24">
                  <c:v>10%</c:v>
                </c:pt>
                <c:pt idx="25">
                  <c:v>10%</c:v>
                </c:pt>
                <c:pt idx="26">
                  <c:v>10%</c:v>
                </c:pt>
                <c:pt idx="27">
                  <c:v>10%</c:v>
                </c:pt>
                <c:pt idx="28">
                  <c:v>10%</c:v>
                </c:pt>
                <c:pt idx="29">
                  <c:v>10%</c:v>
                </c:pt>
                <c:pt idx="30">
                  <c:v>10%</c:v>
                </c:pt>
                <c:pt idx="31">
                  <c:v>10%</c:v>
                </c:pt>
                <c:pt idx="32">
                  <c:v>10%</c:v>
                </c:pt>
                <c:pt idx="33">
                  <c:v>10%</c:v>
                </c:pt>
                <c:pt idx="34">
                  <c:v>10%</c:v>
                </c:pt>
                <c:pt idx="35">
                  <c:v>10%</c:v>
                </c:pt>
                <c:pt idx="36">
                  <c:v>10%</c:v>
                </c:pt>
                <c:pt idx="37">
                  <c:v>10%</c:v>
                </c:pt>
                <c:pt idx="38">
                  <c:v>10%</c:v>
                </c:pt>
                <c:pt idx="39">
                  <c:v>10%</c:v>
                </c:pt>
                <c:pt idx="40">
                  <c:v>10%</c:v>
                </c:pt>
                <c:pt idx="41">
                  <c:v>10%</c:v>
                </c:pt>
                <c:pt idx="42">
                  <c:v>10%</c:v>
                </c:pt>
                <c:pt idx="43">
                  <c:v>10%</c:v>
                </c:pt>
                <c:pt idx="44">
                  <c:v>10%</c:v>
                </c:pt>
                <c:pt idx="45">
                  <c:v>10%</c:v>
                </c:pt>
                <c:pt idx="46">
                  <c:v>10%</c:v>
                </c:pt>
                <c:pt idx="47">
                  <c:v>10%</c:v>
                </c:pt>
                <c:pt idx="48">
                  <c:v>10%</c:v>
                </c:pt>
                <c:pt idx="49">
                  <c:v>10%</c:v>
                </c:pt>
                <c:pt idx="50">
                  <c:v>10%</c:v>
                </c:pt>
                <c:pt idx="51">
                  <c:v>10%</c:v>
                </c:pt>
                <c:pt idx="52">
                  <c:v>10%</c:v>
                </c:pt>
                <c:pt idx="53">
                  <c:v>10%</c:v>
                </c:pt>
                <c:pt idx="54">
                  <c:v>10%</c:v>
                </c:pt>
                <c:pt idx="55">
                  <c:v>10%</c:v>
                </c:pt>
                <c:pt idx="56">
                  <c:v>10%</c:v>
                </c:pt>
                <c:pt idx="57">
                  <c:v>10%</c:v>
                </c:pt>
                <c:pt idx="58">
                  <c:v>10%</c:v>
                </c:pt>
                <c:pt idx="59">
                  <c:v>10%</c:v>
                </c:pt>
                <c:pt idx="60">
                  <c:v>10%</c:v>
                </c:pt>
                <c:pt idx="61">
                  <c:v>10%</c:v>
                </c:pt>
                <c:pt idx="62">
                  <c:v>10%</c:v>
                </c:pt>
                <c:pt idx="63">
                  <c:v>10%</c:v>
                </c:pt>
                <c:pt idx="64">
                  <c:v>10%</c:v>
                </c:pt>
                <c:pt idx="65">
                  <c:v>10%</c:v>
                </c:pt>
                <c:pt idx="66">
                  <c:v>10%</c:v>
                </c:pt>
                <c:pt idx="67">
                  <c:v>10%</c:v>
                </c:pt>
                <c:pt idx="68">
                  <c:v>10%</c:v>
                </c:pt>
                <c:pt idx="69">
                  <c:v>10%</c:v>
                </c:pt>
                <c:pt idx="70">
                  <c:v>10%</c:v>
                </c:pt>
                <c:pt idx="71">
                  <c:v>10%</c:v>
                </c:pt>
                <c:pt idx="72">
                  <c:v>10%</c:v>
                </c:pt>
                <c:pt idx="73">
                  <c:v>10%</c:v>
                </c:pt>
                <c:pt idx="74">
                  <c:v>10%</c:v>
                </c:pt>
                <c:pt idx="75">
                  <c:v>10%</c:v>
                </c:pt>
                <c:pt idx="76">
                  <c:v>10%</c:v>
                </c:pt>
                <c:pt idx="77">
                  <c:v>10%</c:v>
                </c:pt>
                <c:pt idx="78">
                  <c:v>10%</c:v>
                </c:pt>
                <c:pt idx="79">
                  <c:v>10%</c:v>
                </c:pt>
                <c:pt idx="80">
                  <c:v>10%</c:v>
                </c:pt>
                <c:pt idx="81">
                  <c:v>10%</c:v>
                </c:pt>
                <c:pt idx="82">
                  <c:v>10%</c:v>
                </c:pt>
                <c:pt idx="83">
                  <c:v>10%</c:v>
                </c:pt>
                <c:pt idx="84">
                  <c:v>10%</c:v>
                </c:pt>
                <c:pt idx="85">
                  <c:v>10%</c:v>
                </c:pt>
                <c:pt idx="86">
                  <c:v>10%</c:v>
                </c:pt>
                <c:pt idx="87">
                  <c:v>10%</c:v>
                </c:pt>
                <c:pt idx="88">
                  <c:v>10%</c:v>
                </c:pt>
                <c:pt idx="89">
                  <c:v>10%</c:v>
                </c:pt>
                <c:pt idx="90">
                  <c:v>10%</c:v>
                </c:pt>
                <c:pt idx="91">
                  <c:v>10%</c:v>
                </c:pt>
                <c:pt idx="92">
                  <c:v>10%</c:v>
                </c:pt>
                <c:pt idx="93">
                  <c:v>10%</c:v>
                </c:pt>
                <c:pt idx="94">
                  <c:v>10%</c:v>
                </c:pt>
                <c:pt idx="95">
                  <c:v>10%</c:v>
                </c:pt>
                <c:pt idx="96">
                  <c:v>10%</c:v>
                </c:pt>
                <c:pt idx="97">
                  <c:v>10%</c:v>
                </c:pt>
                <c:pt idx="98">
                  <c:v>10%</c:v>
                </c:pt>
                <c:pt idx="99">
                  <c:v>10%</c:v>
                </c:pt>
                <c:pt idx="100">
                  <c:v>10%</c:v>
                </c:pt>
                <c:pt idx="101">
                  <c:v>10%</c:v>
                </c:pt>
                <c:pt idx="102">
                  <c:v>10%</c:v>
                </c:pt>
                <c:pt idx="103">
                  <c:v>10%</c:v>
                </c:pt>
                <c:pt idx="104">
                  <c:v>10%</c:v>
                </c:pt>
              </c:strCache>
            </c:strRef>
          </c:tx>
          <c:spPr>
            <a:solidFill>
              <a:schemeClr val="accent4">
                <a:lumMod val="60000"/>
              </a:schemeClr>
            </a:solidFill>
            <a:ln>
              <a:noFill/>
            </a:ln>
            <a:effectLst/>
          </c:spPr>
          <c:invertIfNegative val="0"/>
          <c:val>
            <c:numRef>
              <c:f>'CG - MAIN'!$Y$121:$Y$1943</c:f>
              <c:numCache>
                <c:formatCode>0%</c:formatCode>
                <c:ptCount val="1823"/>
                <c:pt idx="0">
                  <c:v>0.1</c:v>
                </c:pt>
                <c:pt idx="1">
                  <c:v>0.1</c:v>
                </c:pt>
                <c:pt idx="2">
                  <c:v>0.1</c:v>
                </c:pt>
                <c:pt idx="3">
                  <c:v>0.1</c:v>
                </c:pt>
                <c:pt idx="4">
                  <c:v>0.1</c:v>
                </c:pt>
                <c:pt idx="5">
                  <c:v>0.1</c:v>
                </c:pt>
                <c:pt idx="6">
                  <c:v>0.1</c:v>
                </c:pt>
                <c:pt idx="7">
                  <c:v>0.1</c:v>
                </c:pt>
                <c:pt idx="8">
                  <c:v>0.1</c:v>
                </c:pt>
                <c:pt idx="9">
                  <c:v>0.1</c:v>
                </c:pt>
                <c:pt idx="10">
                  <c:v>0.1</c:v>
                </c:pt>
                <c:pt idx="11">
                  <c:v>0.1</c:v>
                </c:pt>
                <c:pt idx="12">
                  <c:v>0.1</c:v>
                </c:pt>
                <c:pt idx="13">
                  <c:v>0.1</c:v>
                </c:pt>
                <c:pt idx="14">
                  <c:v>0.1</c:v>
                </c:pt>
                <c:pt idx="15">
                  <c:v>0.1</c:v>
                </c:pt>
                <c:pt idx="16">
                  <c:v>0.1</c:v>
                </c:pt>
                <c:pt idx="17">
                  <c:v>0.1</c:v>
                </c:pt>
                <c:pt idx="18">
                  <c:v>0.1</c:v>
                </c:pt>
                <c:pt idx="19">
                  <c:v>0.1</c:v>
                </c:pt>
              </c:numCache>
            </c:numRef>
          </c:val>
          <c:extLst>
            <c:ext xmlns:c15="http://schemas.microsoft.com/office/drawing/2012/chart" uri="{02D57815-91ED-43cb-92C2-25804820EDAC}">
              <c15:filteredCategoryTitle>
                <c15:cat>
                  <c:multiLvlStrRef>
                    <c:extLst>
                      <c:ext uri="{02D57815-91ED-43cb-92C2-25804820EDAC}">
                        <c15:formulaRef>
                          <c15:sqref>'CG - MAIN'!$L$121:$O$1943</c15:sqref>
                        </c15:formulaRef>
                      </c:ext>
                    </c:extLst>
                  </c:multiLvlStrRef>
                </c15:cat>
              </c15:filteredCategoryTitle>
            </c:ext>
            <c:ext xmlns:c16="http://schemas.microsoft.com/office/drawing/2014/chart" uri="{C3380CC4-5D6E-409C-BE32-E72D297353CC}">
              <c16:uniqueId val="{00000009-3CEE-4F40-98CC-069AF8E1E98D}"/>
            </c:ext>
          </c:extLst>
        </c:ser>
        <c:ser>
          <c:idx val="10"/>
          <c:order val="10"/>
          <c:tx>
            <c:strRef>
              <c:f>'CG - MAIN'!$Z$16:$Z$120</c:f>
              <c:strCache>
                <c:ptCount val="105"/>
                <c:pt idx="0">
                  <c:v>Estimasi_Jumlah_Ingredients_yang_harus_dipesan</c:v>
                </c:pt>
                <c:pt idx="1">
                  <c:v>104078,14</c:v>
                </c:pt>
                <c:pt idx="2">
                  <c:v>23057,62</c:v>
                </c:pt>
                <c:pt idx="3">
                  <c:v>48713,52</c:v>
                </c:pt>
                <c:pt idx="4">
                  <c:v>35060,92</c:v>
                </c:pt>
                <c:pt idx="5">
                  <c:v>90,13</c:v>
                </c:pt>
                <c:pt idx="6">
                  <c:v>4175,6</c:v>
                </c:pt>
                <c:pt idx="7">
                  <c:v>23353,38</c:v>
                </c:pt>
                <c:pt idx="8">
                  <c:v>6220,85</c:v>
                </c:pt>
                <c:pt idx="9">
                  <c:v>3257,38</c:v>
                </c:pt>
                <c:pt idx="10">
                  <c:v>770,22</c:v>
                </c:pt>
                <c:pt idx="11">
                  <c:v>10569,37</c:v>
                </c:pt>
                <c:pt idx="12">
                  <c:v>50785,7</c:v>
                </c:pt>
                <c:pt idx="13">
                  <c:v>4184,88</c:v>
                </c:pt>
                <c:pt idx="14">
                  <c:v>536,61</c:v>
                </c:pt>
                <c:pt idx="15">
                  <c:v>58156,7</c:v>
                </c:pt>
                <c:pt idx="16">
                  <c:v>2453,64</c:v>
                </c:pt>
                <c:pt idx="17">
                  <c:v>1407,16</c:v>
                </c:pt>
                <c:pt idx="18">
                  <c:v>27457,22</c:v>
                </c:pt>
                <c:pt idx="19">
                  <c:v>819,12</c:v>
                </c:pt>
                <c:pt idx="20">
                  <c:v>37611,43</c:v>
                </c:pt>
                <c:pt idx="21">
                  <c:v>14067,71</c:v>
                </c:pt>
                <c:pt idx="22">
                  <c:v>50,17</c:v>
                </c:pt>
                <c:pt idx="23">
                  <c:v>19738,07</c:v>
                </c:pt>
                <c:pt idx="24">
                  <c:v>26797,22</c:v>
                </c:pt>
                <c:pt idx="25">
                  <c:v>17,09</c:v>
                </c:pt>
                <c:pt idx="26">
                  <c:v>1211,36</c:v>
                </c:pt>
                <c:pt idx="27">
                  <c:v>7678,37</c:v>
                </c:pt>
                <c:pt idx="28">
                  <c:v>13943</c:v>
                </c:pt>
                <c:pt idx="29">
                  <c:v>16563,95</c:v>
                </c:pt>
                <c:pt idx="30">
                  <c:v>2775</c:v>
                </c:pt>
                <c:pt idx="31">
                  <c:v>11851,79</c:v>
                </c:pt>
                <c:pt idx="32">
                  <c:v>96052</c:v>
                </c:pt>
                <c:pt idx="33">
                  <c:v>6072,68</c:v>
                </c:pt>
                <c:pt idx="34">
                  <c:v>89,93</c:v>
                </c:pt>
                <c:pt idx="35">
                  <c:v>91581,88</c:v>
                </c:pt>
                <c:pt idx="36">
                  <c:v>12735,86</c:v>
                </c:pt>
                <c:pt idx="37">
                  <c:v>435,6</c:v>
                </c:pt>
                <c:pt idx="38">
                  <c:v>2010,8</c:v>
                </c:pt>
                <c:pt idx="39">
                  <c:v>548,9</c:v>
                </c:pt>
                <c:pt idx="40">
                  <c:v>16553,67</c:v>
                </c:pt>
                <c:pt idx="41">
                  <c:v>761,48</c:v>
                </c:pt>
                <c:pt idx="42">
                  <c:v>101004,31</c:v>
                </c:pt>
                <c:pt idx="43">
                  <c:v>3296,41</c:v>
                </c:pt>
                <c:pt idx="44">
                  <c:v>28840,82</c:v>
                </c:pt>
                <c:pt idx="45">
                  <c:v>341,58</c:v>
                </c:pt>
                <c:pt idx="46">
                  <c:v>384,41</c:v>
                </c:pt>
                <c:pt idx="47">
                  <c:v>1578,31</c:v>
                </c:pt>
                <c:pt idx="48">
                  <c:v>3978,64</c:v>
                </c:pt>
                <c:pt idx="49">
                  <c:v>67234,5</c:v>
                </c:pt>
                <c:pt idx="50">
                  <c:v>41,23</c:v>
                </c:pt>
                <c:pt idx="51">
                  <c:v>955,31</c:v>
                </c:pt>
                <c:pt idx="52">
                  <c:v>469,66</c:v>
                </c:pt>
                <c:pt idx="53">
                  <c:v>7421,34</c:v>
                </c:pt>
                <c:pt idx="54">
                  <c:v>870,83</c:v>
                </c:pt>
                <c:pt idx="55">
                  <c:v>14575,45</c:v>
                </c:pt>
                <c:pt idx="56">
                  <c:v>2290,75</c:v>
                </c:pt>
                <c:pt idx="57">
                  <c:v>5204,93</c:v>
                </c:pt>
                <c:pt idx="58">
                  <c:v>2099,35</c:v>
                </c:pt>
                <c:pt idx="59">
                  <c:v>0,38</c:v>
                </c:pt>
                <c:pt idx="60">
                  <c:v>4004</c:v>
                </c:pt>
                <c:pt idx="61">
                  <c:v>7291,75</c:v>
                </c:pt>
                <c:pt idx="62">
                  <c:v>21842,23</c:v>
                </c:pt>
                <c:pt idx="63">
                  <c:v>3336,69</c:v>
                </c:pt>
                <c:pt idx="64">
                  <c:v>57851,8</c:v>
                </c:pt>
                <c:pt idx="65">
                  <c:v>16500</c:v>
                </c:pt>
                <c:pt idx="66">
                  <c:v>4259,62</c:v>
                </c:pt>
                <c:pt idx="67">
                  <c:v>19167,25</c:v>
                </c:pt>
                <c:pt idx="68">
                  <c:v>6388,91</c:v>
                </c:pt>
                <c:pt idx="69">
                  <c:v>523,6</c:v>
                </c:pt>
                <c:pt idx="70">
                  <c:v>3964,95</c:v>
                </c:pt>
                <c:pt idx="71">
                  <c:v>3706,81</c:v>
                </c:pt>
                <c:pt idx="72">
                  <c:v>4164,29</c:v>
                </c:pt>
                <c:pt idx="73">
                  <c:v>4158</c:v>
                </c:pt>
                <c:pt idx="74">
                  <c:v>2673</c:v>
                </c:pt>
                <c:pt idx="75">
                  <c:v>2758,55</c:v>
                </c:pt>
                <c:pt idx="76">
                  <c:v>228,8</c:v>
                </c:pt>
                <c:pt idx="77">
                  <c:v>3326,75</c:v>
                </c:pt>
                <c:pt idx="78">
                  <c:v>1325,87</c:v>
                </c:pt>
                <c:pt idx="79">
                  <c:v>4483,92</c:v>
                </c:pt>
                <c:pt idx="80">
                  <c:v>2620,46</c:v>
                </c:pt>
                <c:pt idx="81">
                  <c:v>24947,62</c:v>
                </c:pt>
                <c:pt idx="82">
                  <c:v>0</c:v>
                </c:pt>
                <c:pt idx="83">
                  <c:v>0</c:v>
                </c:pt>
                <c:pt idx="84">
                  <c:v>0</c:v>
                </c:pt>
                <c:pt idx="85">
                  <c:v>0</c:v>
                </c:pt>
                <c:pt idx="86">
                  <c:v>315</c:v>
                </c:pt>
                <c:pt idx="87">
                  <c:v>1029,6</c:v>
                </c:pt>
                <c:pt idx="88">
                  <c:v>0</c:v>
                </c:pt>
                <c:pt idx="89">
                  <c:v>0</c:v>
                </c:pt>
                <c:pt idx="90">
                  <c:v>0</c:v>
                </c:pt>
                <c:pt idx="91">
                  <c:v>2070,72</c:v>
                </c:pt>
                <c:pt idx="92">
                  <c:v>4813</c:v>
                </c:pt>
                <c:pt idx="93">
                  <c:v>611,6</c:v>
                </c:pt>
                <c:pt idx="94">
                  <c:v>5223,02</c:v>
                </c:pt>
                <c:pt idx="95">
                  <c:v>30845,08</c:v>
                </c:pt>
                <c:pt idx="96">
                  <c:v>6758,4</c:v>
                </c:pt>
                <c:pt idx="97">
                  <c:v>924</c:v>
                </c:pt>
                <c:pt idx="98">
                  <c:v>1144</c:v>
                </c:pt>
                <c:pt idx="99">
                  <c:v>949,25</c:v>
                </c:pt>
                <c:pt idx="100">
                  <c:v>1306,8</c:v>
                </c:pt>
                <c:pt idx="101">
                  <c:v>7365,6</c:v>
                </c:pt>
                <c:pt idx="102">
                  <c:v>1034</c:v>
                </c:pt>
                <c:pt idx="103">
                  <c:v>37290</c:v>
                </c:pt>
                <c:pt idx="104">
                  <c:v>1249,22</c:v>
                </c:pt>
              </c:strCache>
            </c:strRef>
          </c:tx>
          <c:spPr>
            <a:solidFill>
              <a:schemeClr val="accent5">
                <a:lumMod val="60000"/>
              </a:schemeClr>
            </a:solidFill>
            <a:ln>
              <a:noFill/>
            </a:ln>
            <a:effectLst/>
          </c:spPr>
          <c:invertIfNegative val="0"/>
          <c:val>
            <c:numRef>
              <c:f>'CG - MAIN'!$Z$121:$Z$1943</c:f>
              <c:numCache>
                <c:formatCode>General</c:formatCode>
                <c:ptCount val="1823"/>
                <c:pt idx="0">
                  <c:v>285.68</c:v>
                </c:pt>
                <c:pt idx="1">
                  <c:v>1034</c:v>
                </c:pt>
                <c:pt idx="2">
                  <c:v>14.32</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5="http://schemas.microsoft.com/office/drawing/2012/chart" uri="{02D57815-91ED-43cb-92C2-25804820EDAC}">
              <c15:filteredCategoryTitle>
                <c15:cat>
                  <c:multiLvlStrRef>
                    <c:extLst>
                      <c:ext uri="{02D57815-91ED-43cb-92C2-25804820EDAC}">
                        <c15:formulaRef>
                          <c15:sqref>'CG - MAIN'!$L$121:$O$1943</c15:sqref>
                        </c15:formulaRef>
                      </c:ext>
                    </c:extLst>
                  </c:multiLvlStrRef>
                </c15:cat>
              </c15:filteredCategoryTitle>
            </c:ext>
            <c:ext xmlns:c16="http://schemas.microsoft.com/office/drawing/2014/chart" uri="{C3380CC4-5D6E-409C-BE32-E72D297353CC}">
              <c16:uniqueId val="{0000000A-3CEE-4F40-98CC-069AF8E1E98D}"/>
            </c:ext>
          </c:extLst>
        </c:ser>
        <c:ser>
          <c:idx val="11"/>
          <c:order val="11"/>
          <c:tx>
            <c:strRef>
              <c:f>'CG - MAIN'!$AA$16:$AA$120</c:f>
              <c:strCache>
                <c:ptCount val="105"/>
                <c:pt idx="0">
                  <c:v>UOM</c:v>
                </c:pt>
                <c:pt idx="1">
                  <c:v>GR</c:v>
                </c:pt>
                <c:pt idx="2">
                  <c:v>GR</c:v>
                </c:pt>
                <c:pt idx="3">
                  <c:v>GR</c:v>
                </c:pt>
                <c:pt idx="4">
                  <c:v>GR</c:v>
                </c:pt>
                <c:pt idx="5">
                  <c:v>GR</c:v>
                </c:pt>
                <c:pt idx="6">
                  <c:v>PCS</c:v>
                </c:pt>
                <c:pt idx="7">
                  <c:v>GR</c:v>
                </c:pt>
                <c:pt idx="8">
                  <c:v>GR</c:v>
                </c:pt>
                <c:pt idx="9">
                  <c:v>GR</c:v>
                </c:pt>
                <c:pt idx="10">
                  <c:v>GR</c:v>
                </c:pt>
                <c:pt idx="11">
                  <c:v>GR</c:v>
                </c:pt>
                <c:pt idx="12">
                  <c:v>GR</c:v>
                </c:pt>
                <c:pt idx="13">
                  <c:v>GR</c:v>
                </c:pt>
                <c:pt idx="14">
                  <c:v>GR</c:v>
                </c:pt>
                <c:pt idx="15">
                  <c:v>GR</c:v>
                </c:pt>
                <c:pt idx="16">
                  <c:v>GR</c:v>
                </c:pt>
                <c:pt idx="17">
                  <c:v>GR</c:v>
                </c:pt>
                <c:pt idx="18">
                  <c:v>GR</c:v>
                </c:pt>
                <c:pt idx="19">
                  <c:v>GR</c:v>
                </c:pt>
                <c:pt idx="20">
                  <c:v>GR</c:v>
                </c:pt>
                <c:pt idx="21">
                  <c:v>GR</c:v>
                </c:pt>
                <c:pt idx="22">
                  <c:v>GR</c:v>
                </c:pt>
                <c:pt idx="23">
                  <c:v>GR</c:v>
                </c:pt>
                <c:pt idx="24">
                  <c:v>GR</c:v>
                </c:pt>
                <c:pt idx="25">
                  <c:v>GR</c:v>
                </c:pt>
                <c:pt idx="26">
                  <c:v>GR</c:v>
                </c:pt>
                <c:pt idx="27">
                  <c:v>GR</c:v>
                </c:pt>
                <c:pt idx="28">
                  <c:v>GR</c:v>
                </c:pt>
                <c:pt idx="29">
                  <c:v>GR</c:v>
                </c:pt>
                <c:pt idx="30">
                  <c:v>GR</c:v>
                </c:pt>
                <c:pt idx="31">
                  <c:v>GR</c:v>
                </c:pt>
                <c:pt idx="32">
                  <c:v>GR</c:v>
                </c:pt>
                <c:pt idx="33">
                  <c:v>GR</c:v>
                </c:pt>
                <c:pt idx="34">
                  <c:v>LEMBAR</c:v>
                </c:pt>
                <c:pt idx="35">
                  <c:v>GR</c:v>
                </c:pt>
                <c:pt idx="36">
                  <c:v>GR</c:v>
                </c:pt>
                <c:pt idx="37">
                  <c:v>GR</c:v>
                </c:pt>
                <c:pt idx="38">
                  <c:v>GR</c:v>
                </c:pt>
                <c:pt idx="39">
                  <c:v>PCS</c:v>
                </c:pt>
                <c:pt idx="40">
                  <c:v>GR</c:v>
                </c:pt>
                <c:pt idx="41">
                  <c:v>LEMBAR</c:v>
                </c:pt>
                <c:pt idx="42">
                  <c:v>GR</c:v>
                </c:pt>
                <c:pt idx="43">
                  <c:v>GR</c:v>
                </c:pt>
                <c:pt idx="44">
                  <c:v>GR</c:v>
                </c:pt>
                <c:pt idx="45">
                  <c:v>GR</c:v>
                </c:pt>
                <c:pt idx="46">
                  <c:v>GR</c:v>
                </c:pt>
                <c:pt idx="47">
                  <c:v>GR</c:v>
                </c:pt>
                <c:pt idx="48">
                  <c:v>GR</c:v>
                </c:pt>
                <c:pt idx="49">
                  <c:v>GR</c:v>
                </c:pt>
                <c:pt idx="50">
                  <c:v>GR</c:v>
                </c:pt>
                <c:pt idx="51">
                  <c:v>GR</c:v>
                </c:pt>
                <c:pt idx="52">
                  <c:v>GR</c:v>
                </c:pt>
                <c:pt idx="53">
                  <c:v>GR</c:v>
                </c:pt>
                <c:pt idx="54">
                  <c:v>GR</c:v>
                </c:pt>
                <c:pt idx="55">
                  <c:v>GR</c:v>
                </c:pt>
                <c:pt idx="56">
                  <c:v>GR</c:v>
                </c:pt>
                <c:pt idx="57">
                  <c:v>GR</c:v>
                </c:pt>
                <c:pt idx="58">
                  <c:v>GR</c:v>
                </c:pt>
                <c:pt idx="59">
                  <c:v>GR</c:v>
                </c:pt>
                <c:pt idx="60">
                  <c:v>GR</c:v>
                </c:pt>
                <c:pt idx="61">
                  <c:v>GR</c:v>
                </c:pt>
                <c:pt idx="62">
                  <c:v>GR</c:v>
                </c:pt>
                <c:pt idx="63">
                  <c:v>GR</c:v>
                </c:pt>
                <c:pt idx="64">
                  <c:v>GR</c:v>
                </c:pt>
                <c:pt idx="65">
                  <c:v>GR</c:v>
                </c:pt>
                <c:pt idx="66">
                  <c:v>GR</c:v>
                </c:pt>
                <c:pt idx="67">
                  <c:v>GR</c:v>
                </c:pt>
                <c:pt idx="68">
                  <c:v>GR</c:v>
                </c:pt>
                <c:pt idx="69">
                  <c:v>GR</c:v>
                </c:pt>
                <c:pt idx="70">
                  <c:v>PCS</c:v>
                </c:pt>
                <c:pt idx="71">
                  <c:v>GR</c:v>
                </c:pt>
                <c:pt idx="72">
                  <c:v>GR</c:v>
                </c:pt>
                <c:pt idx="73">
                  <c:v>GR</c:v>
                </c:pt>
                <c:pt idx="74">
                  <c:v>GR</c:v>
                </c:pt>
                <c:pt idx="75">
                  <c:v>GR</c:v>
                </c:pt>
                <c:pt idx="76">
                  <c:v>GR</c:v>
                </c:pt>
                <c:pt idx="77">
                  <c:v>GR</c:v>
                </c:pt>
                <c:pt idx="78">
                  <c:v>GR</c:v>
                </c:pt>
                <c:pt idx="79">
                  <c:v>GR</c:v>
                </c:pt>
                <c:pt idx="80">
                  <c:v>GR</c:v>
                </c:pt>
                <c:pt idx="81">
                  <c:v>GR</c:v>
                </c:pt>
                <c:pt idx="82">
                  <c:v>GR</c:v>
                </c:pt>
                <c:pt idx="83">
                  <c:v>GR</c:v>
                </c:pt>
                <c:pt idx="84">
                  <c:v>GR</c:v>
                </c:pt>
                <c:pt idx="85">
                  <c:v>GR</c:v>
                </c:pt>
                <c:pt idx="86">
                  <c:v>GR</c:v>
                </c:pt>
                <c:pt idx="87">
                  <c:v>GR</c:v>
                </c:pt>
                <c:pt idx="88">
                  <c:v>GR</c:v>
                </c:pt>
                <c:pt idx="89">
                  <c:v>GR</c:v>
                </c:pt>
                <c:pt idx="90">
                  <c:v>GR</c:v>
                </c:pt>
                <c:pt idx="91">
                  <c:v>GR</c:v>
                </c:pt>
                <c:pt idx="92">
                  <c:v>GR</c:v>
                </c:pt>
                <c:pt idx="93">
                  <c:v>GR</c:v>
                </c:pt>
                <c:pt idx="94">
                  <c:v>GR</c:v>
                </c:pt>
                <c:pt idx="95">
                  <c:v>GR</c:v>
                </c:pt>
                <c:pt idx="96">
                  <c:v>GR</c:v>
                </c:pt>
                <c:pt idx="97">
                  <c:v>GR</c:v>
                </c:pt>
                <c:pt idx="98">
                  <c:v>GR</c:v>
                </c:pt>
                <c:pt idx="99">
                  <c:v>GR</c:v>
                </c:pt>
                <c:pt idx="100">
                  <c:v>GR</c:v>
                </c:pt>
                <c:pt idx="101">
                  <c:v>GR</c:v>
                </c:pt>
                <c:pt idx="102">
                  <c:v>GR</c:v>
                </c:pt>
                <c:pt idx="103">
                  <c:v>GR</c:v>
                </c:pt>
                <c:pt idx="104">
                  <c:v>GR</c:v>
                </c:pt>
              </c:strCache>
            </c:strRef>
          </c:tx>
          <c:spPr>
            <a:solidFill>
              <a:schemeClr val="accent6">
                <a:lumMod val="60000"/>
              </a:schemeClr>
            </a:solidFill>
            <a:ln>
              <a:noFill/>
            </a:ln>
            <a:effectLst/>
          </c:spPr>
          <c:invertIfNegative val="0"/>
          <c:val>
            <c:numRef>
              <c:f>'CG - MAIN'!$AA$121:$AA$1943</c:f>
              <c:numCache>
                <c:formatCode>General</c:formatCode>
                <c:ptCount val="18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5="http://schemas.microsoft.com/office/drawing/2012/chart" uri="{02D57815-91ED-43cb-92C2-25804820EDAC}">
              <c15:filteredCategoryTitle>
                <c15:cat>
                  <c:multiLvlStrRef>
                    <c:extLst>
                      <c:ext uri="{02D57815-91ED-43cb-92C2-25804820EDAC}">
                        <c15:formulaRef>
                          <c15:sqref>'CG - MAIN'!$L$121:$O$1943</c15:sqref>
                        </c15:formulaRef>
                      </c:ext>
                    </c:extLst>
                  </c:multiLvlStrRef>
                </c15:cat>
              </c15:filteredCategoryTitle>
            </c:ext>
            <c:ext xmlns:c16="http://schemas.microsoft.com/office/drawing/2014/chart" uri="{C3380CC4-5D6E-409C-BE32-E72D297353CC}">
              <c16:uniqueId val="{0000000B-3CEE-4F40-98CC-069AF8E1E98D}"/>
            </c:ext>
          </c:extLst>
        </c:ser>
        <c:ser>
          <c:idx val="12"/>
          <c:order val="12"/>
          <c:tx>
            <c:strRef>
              <c:f>'CG - MAIN'!$AB$16:$AB$120</c:f>
              <c:strCache>
                <c:ptCount val="105"/>
                <c:pt idx="0">
                  <c:v>UOM</c:v>
                </c:pt>
                <c:pt idx="1">
                  <c:v>CGRD0001  </c:v>
                </c:pt>
                <c:pt idx="2">
                  <c:v>CGEX0001  </c:v>
                </c:pt>
                <c:pt idx="3">
                  <c:v>CGRD0004  </c:v>
                </c:pt>
                <c:pt idx="4">
                  <c:v>CGPK0020  </c:v>
                </c:pt>
                <c:pt idx="5">
                  <c:v>CGKD0004  </c:v>
                </c:pt>
                <c:pt idx="6">
                  <c:v>CGGP0001  </c:v>
                </c:pt>
                <c:pt idx="7">
                  <c:v>CGPK0004  </c:v>
                </c:pt>
                <c:pt idx="8">
                  <c:v>CGRD0002  </c:v>
                </c:pt>
                <c:pt idx="9">
                  <c:v>CGPK0012  </c:v>
                </c:pt>
                <c:pt idx="10">
                  <c:v>CGRD0003  </c:v>
                </c:pt>
                <c:pt idx="11">
                  <c:v>CGGB0003  </c:v>
                </c:pt>
                <c:pt idx="12">
                  <c:v>CGKD0003  </c:v>
                </c:pt>
                <c:pt idx="13">
                  <c:v>CGRN0007  </c:v>
                </c:pt>
                <c:pt idx="14">
                  <c:v>CGPK0016  </c:v>
                </c:pt>
                <c:pt idx="15">
                  <c:v>CGGP0007  </c:v>
                </c:pt>
                <c:pt idx="16">
                  <c:v>CGSD0012  </c:v>
                </c:pt>
                <c:pt idx="17">
                  <c:v>CGPK0015  </c:v>
                </c:pt>
                <c:pt idx="18">
                  <c:v>CGGP0003  </c:v>
                </c:pt>
                <c:pt idx="19">
                  <c:v>CGGP0002  </c:v>
                </c:pt>
                <c:pt idx="20">
                  <c:v>CGPK0019  </c:v>
                </c:pt>
                <c:pt idx="21">
                  <c:v>CGPS0002  </c:v>
                </c:pt>
                <c:pt idx="22">
                  <c:v>CGTP0003  </c:v>
                </c:pt>
                <c:pt idx="23">
                  <c:v>CGTP0004  </c:v>
                </c:pt>
                <c:pt idx="24">
                  <c:v>CGRN0002  </c:v>
                </c:pt>
                <c:pt idx="25">
                  <c:v>CGPS0001  </c:v>
                </c:pt>
                <c:pt idx="26">
                  <c:v>CGPS0006  </c:v>
                </c:pt>
                <c:pt idx="27">
                  <c:v>CGSD0001  </c:v>
                </c:pt>
                <c:pt idx="28">
                  <c:v>CGSD0002  </c:v>
                </c:pt>
                <c:pt idx="29">
                  <c:v>CGPR0074  </c:v>
                </c:pt>
                <c:pt idx="30">
                  <c:v>CGRN0008  </c:v>
                </c:pt>
                <c:pt idx="31">
                  <c:v>CGTP0002  </c:v>
                </c:pt>
                <c:pt idx="32">
                  <c:v>CGPR0045  </c:v>
                </c:pt>
                <c:pt idx="33">
                  <c:v>CGSD0010  </c:v>
                </c:pt>
                <c:pt idx="34">
                  <c:v>CGPK0001  </c:v>
                </c:pt>
                <c:pt idx="35">
                  <c:v>CGTP0001  </c:v>
                </c:pt>
                <c:pt idx="36">
                  <c:v>CGPS0008  </c:v>
                </c:pt>
                <c:pt idx="37">
                  <c:v>CGKD0015  </c:v>
                </c:pt>
                <c:pt idx="38">
                  <c:v>CGKM0001  </c:v>
                </c:pt>
                <c:pt idx="39">
                  <c:v>CGKD0010  </c:v>
                </c:pt>
                <c:pt idx="40">
                  <c:v>CGPR0081  </c:v>
                </c:pt>
                <c:pt idx="41">
                  <c:v>CGPK0005  </c:v>
                </c:pt>
                <c:pt idx="42">
                  <c:v>CGPS0005  </c:v>
                </c:pt>
                <c:pt idx="43">
                  <c:v>CGEX0027  </c:v>
                </c:pt>
                <c:pt idx="44">
                  <c:v>CGPR0080  </c:v>
                </c:pt>
                <c:pt idx="45">
                  <c:v>CGGB0008  </c:v>
                </c:pt>
                <c:pt idx="46">
                  <c:v>CGGP0004  </c:v>
                </c:pt>
                <c:pt idx="47">
                  <c:v>CGGB0001  </c:v>
                </c:pt>
                <c:pt idx="48">
                  <c:v>CGPR0082  </c:v>
                </c:pt>
                <c:pt idx="49">
                  <c:v>CGGB0003  </c:v>
                </c:pt>
                <c:pt idx="50">
                  <c:v>CGKD0001  </c:v>
                </c:pt>
                <c:pt idx="51">
                  <c:v>CGRN0004  </c:v>
                </c:pt>
                <c:pt idx="52">
                  <c:v>CGRN0010  </c:v>
                </c:pt>
                <c:pt idx="53">
                  <c:v>CGPK0006  </c:v>
                </c:pt>
                <c:pt idx="54">
                  <c:v>CGRN0008  </c:v>
                </c:pt>
                <c:pt idx="55">
                  <c:v>CGSD0005  </c:v>
                </c:pt>
                <c:pt idx="56">
                  <c:v>CGGB0004  </c:v>
                </c:pt>
                <c:pt idx="57">
                  <c:v>CGGB0001  </c:v>
                </c:pt>
                <c:pt idx="58">
                  <c:v>CGPS0003  </c:v>
                </c:pt>
                <c:pt idx="59">
                  <c:v>CGKD0009  </c:v>
                </c:pt>
                <c:pt idx="60">
                  <c:v>CGPS0007  </c:v>
                </c:pt>
                <c:pt idx="61">
                  <c:v>CGJG0001  </c:v>
                </c:pt>
                <c:pt idx="62">
                  <c:v>CGRN0009  </c:v>
                </c:pt>
                <c:pt idx="63">
                  <c:v>CGEX0002  </c:v>
                </c:pt>
                <c:pt idx="64">
                  <c:v>CGEX0036  </c:v>
                </c:pt>
                <c:pt idx="65">
                  <c:v>CGSD0006  </c:v>
                </c:pt>
                <c:pt idx="66">
                  <c:v>CGPR0085  </c:v>
                </c:pt>
                <c:pt idx="67">
                  <c:v>CGPK0011  </c:v>
                </c:pt>
                <c:pt idx="68">
                  <c:v>CGEX0028  </c:v>
                </c:pt>
                <c:pt idx="69">
                  <c:v>CGKD0008  </c:v>
                </c:pt>
                <c:pt idx="70">
                  <c:v>CGRN0001  </c:v>
                </c:pt>
                <c:pt idx="71">
                  <c:v>CGSD0014  </c:v>
                </c:pt>
                <c:pt idx="72">
                  <c:v>CGKD0012  </c:v>
                </c:pt>
                <c:pt idx="73">
                  <c:v>CGGB0005  </c:v>
                </c:pt>
                <c:pt idx="74">
                  <c:v>CGSD0020  </c:v>
                </c:pt>
                <c:pt idx="75">
                  <c:v>CGPR0079  </c:v>
                </c:pt>
                <c:pt idx="76">
                  <c:v>CGSD0009  </c:v>
                </c:pt>
                <c:pt idx="77">
                  <c:v>CGSD0012  </c:v>
                </c:pt>
                <c:pt idx="78">
                  <c:v>CGGP0005  </c:v>
                </c:pt>
                <c:pt idx="79">
                  <c:v>CGKD0005  </c:v>
                </c:pt>
                <c:pt idx="80">
                  <c:v>CGPS0004  </c:v>
                </c:pt>
                <c:pt idx="81">
                  <c:v>CGJG0002  </c:v>
                </c:pt>
                <c:pt idx="82">
                  <c:v>CGJG0003  </c:v>
                </c:pt>
                <c:pt idx="83">
                  <c:v>CGSD0018  </c:v>
                </c:pt>
                <c:pt idx="84">
                  <c:v>CGPR0086  </c:v>
                </c:pt>
                <c:pt idx="85">
                  <c:v>CGSD0013  </c:v>
                </c:pt>
                <c:pt idx="86">
                  <c:v>CGKD0006  </c:v>
                </c:pt>
                <c:pt idx="87">
                  <c:v>CGPR0078  </c:v>
                </c:pt>
                <c:pt idx="88">
                  <c:v>CGRN0004  </c:v>
                </c:pt>
                <c:pt idx="89">
                  <c:v>CGSD0016  </c:v>
                </c:pt>
                <c:pt idx="90">
                  <c:v>CGDG0001  </c:v>
                </c:pt>
                <c:pt idx="91">
                  <c:v>CGPK0007  </c:v>
                </c:pt>
                <c:pt idx="92">
                  <c:v>CGPR0075  </c:v>
                </c:pt>
                <c:pt idx="93">
                  <c:v>CGTP0001  </c:v>
                </c:pt>
                <c:pt idx="94">
                  <c:v>CGKD0011  </c:v>
                </c:pt>
                <c:pt idx="95">
                  <c:v>CGRN0003  </c:v>
                </c:pt>
                <c:pt idx="96">
                  <c:v>CGTP0003  </c:v>
                </c:pt>
                <c:pt idx="97">
                  <c:v>CGEX0009  </c:v>
                </c:pt>
                <c:pt idx="98">
                  <c:v>CGKD0002  </c:v>
                </c:pt>
                <c:pt idx="99">
                  <c:v>CGRN0006  </c:v>
                </c:pt>
                <c:pt idx="100">
                  <c:v>CGRN0007  </c:v>
                </c:pt>
                <c:pt idx="101">
                  <c:v>CGSD0002  </c:v>
                </c:pt>
                <c:pt idx="102">
                  <c:v>CGEX0010  </c:v>
                </c:pt>
                <c:pt idx="103">
                  <c:v>CGGB0006  </c:v>
                </c:pt>
                <c:pt idx="104">
                  <c:v>CGSD0015  </c:v>
                </c:pt>
              </c:strCache>
            </c:strRef>
          </c:tx>
          <c:spPr>
            <a:solidFill>
              <a:schemeClr val="accent1">
                <a:lumMod val="80000"/>
                <a:lumOff val="20000"/>
              </a:schemeClr>
            </a:solidFill>
            <a:ln>
              <a:noFill/>
            </a:ln>
            <a:effectLst/>
          </c:spPr>
          <c:invertIfNegative val="0"/>
          <c:val>
            <c:numRef>
              <c:f>'CG - MAIN'!$AB$121:$AB$1943</c:f>
              <c:numCache>
                <c:formatCode>General</c:formatCode>
                <c:ptCount val="18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numCache>
            </c:numRef>
          </c:val>
          <c:extLst>
            <c:ext xmlns:c15="http://schemas.microsoft.com/office/drawing/2012/chart" uri="{02D57815-91ED-43cb-92C2-25804820EDAC}">
              <c15:filteredCategoryTitle>
                <c15:cat>
                  <c:multiLvlStrRef>
                    <c:extLst>
                      <c:ext uri="{02D57815-91ED-43cb-92C2-25804820EDAC}">
                        <c15:formulaRef>
                          <c15:sqref>'CG - MAIN'!$L$121:$O$1943</c15:sqref>
                        </c15:formulaRef>
                      </c:ext>
                    </c:extLst>
                  </c:multiLvlStrRef>
                </c15:cat>
              </c15:filteredCategoryTitle>
            </c:ext>
            <c:ext xmlns:c16="http://schemas.microsoft.com/office/drawing/2014/chart" uri="{C3380CC4-5D6E-409C-BE32-E72D297353CC}">
              <c16:uniqueId val="{0000000C-3CEE-4F40-98CC-069AF8E1E98D}"/>
            </c:ext>
          </c:extLst>
        </c:ser>
        <c:ser>
          <c:idx val="13"/>
          <c:order val="13"/>
          <c:tx>
            <c:strRef>
              <c:f>'CG - MAIN'!$AC$16:$AC$120</c:f>
              <c:strCache>
                <c:ptCount val="105"/>
                <c:pt idx="0">
                  <c:v>UOM</c:v>
                </c:pt>
                <c:pt idx="1">
                  <c:v>COLD CORN TEA</c:v>
                </c:pt>
                <c:pt idx="2">
                  <c:v>RICE</c:v>
                </c:pt>
                <c:pt idx="3">
                  <c:v>MINERAL WATER</c:v>
                </c:pt>
                <c:pt idx="4">
                  <c:v>PACKAGING FEE</c:v>
                </c:pt>
                <c:pt idx="5">
                  <c:v>MUSCAT (GREEN GRAPE) K-DRINK</c:v>
                </c:pt>
                <c:pt idx="6">
                  <c:v>CHADOL SIGNATURE TASTY BEEF (REGULAR)</c:v>
                </c:pt>
                <c:pt idx="7">
                  <c:v>PLASTIK KECIL</c:v>
                </c:pt>
                <c:pt idx="8">
                  <c:v>HOT CORN TEA</c:v>
                </c:pt>
                <c:pt idx="9">
                  <c:v>LUNCH BOX S</c:v>
                </c:pt>
                <c:pt idx="10">
                  <c:v>LEMON TEA</c:v>
                </c:pt>
                <c:pt idx="11">
                  <c:v>BULGOGI GIMBAP</c:v>
                </c:pt>
                <c:pt idx="12">
                  <c:v>PEACH K-DRINK</c:v>
                </c:pt>
                <c:pt idx="13">
                  <c:v>SUNDUBU JJIGAE (WITH RICE)</c:v>
                </c:pt>
                <c:pt idx="14">
                  <c:v>PAPER BOWL CHADOL</c:v>
                </c:pt>
                <c:pt idx="15">
                  <c:v>FINALE KIMCHI FRIED RICE</c:v>
                </c:pt>
                <c:pt idx="16">
                  <c:v>BBURINKLE CHEESE CHICKEN</c:v>
                </c:pt>
                <c:pt idx="17">
                  <c:v>GREASE PAPER</c:v>
                </c:pt>
                <c:pt idx="18">
                  <c:v>CHADOL SIGNATURE TOKUSEN WAGYU (REGULAR)</c:v>
                </c:pt>
                <c:pt idx="19">
                  <c:v>CHADOL SIGNATURE TASTY BEEF (LARGE)</c:v>
                </c:pt>
                <c:pt idx="20">
                  <c:v>STICKER GIMBAP</c:v>
                </c:pt>
                <c:pt idx="21">
                  <c:v>SPICY YANGNYEOM CHICKEN SET</c:v>
                </c:pt>
                <c:pt idx="22">
                  <c:v>RAPOKKI</c:v>
                </c:pt>
                <c:pt idx="23">
                  <c:v>CHAPOKKI</c:v>
                </c:pt>
                <c:pt idx="24">
                  <c:v>BEEF JAPCHAE</c:v>
                </c:pt>
                <c:pt idx="25">
                  <c:v>SOY GARLIC CHICKEN SET</c:v>
                </c:pt>
                <c:pt idx="26">
                  <c:v>TASTY BEEF BBQ SET</c:v>
                </c:pt>
                <c:pt idx="27">
                  <c:v>SPICY CHICKEN</c:v>
                </c:pt>
                <c:pt idx="28">
                  <c:v>SOY GARLIC CHICKEN</c:v>
                </c:pt>
                <c:pt idx="29">
                  <c:v>#FYP SUNDUBU JJIGAE (WITH RICE)</c:v>
                </c:pt>
                <c:pt idx="30">
                  <c:v>SUNDUBU JJIGAE (NO RICE)</c:v>
                </c:pt>
                <c:pt idx="31">
                  <c:v>ROSE TOKPOKKI</c:v>
                </c:pt>
                <c:pt idx="32">
                  <c:v>PROMO CHADOL SIG TASTY BEEF (REG) 99K</c:v>
                </c:pt>
                <c:pt idx="33">
                  <c:v>MIXED TWIGIM</c:v>
                </c:pt>
                <c:pt idx="34">
                  <c:v>LUNCH BOX M</c:v>
                </c:pt>
                <c:pt idx="35">
                  <c:v>ORIGINAL TOKPOKKI</c:v>
                </c:pt>
                <c:pt idx="36">
                  <c:v>BEEF BULGOGI SET</c:v>
                </c:pt>
                <c:pt idx="37">
                  <c:v>LYCHEE K-DRINK</c:v>
                </c:pt>
                <c:pt idx="38">
                  <c:v>YUMMY KIDS MEAL</c:v>
                </c:pt>
                <c:pt idx="39">
                  <c:v>JEJU ORANGE K-DRINK</c:v>
                </c:pt>
                <c:pt idx="40">
                  <c:v>#FYP CHAPOKKI</c:v>
                </c:pt>
                <c:pt idx="41">
                  <c:v>PLASTIK BESAR</c:v>
                </c:pt>
                <c:pt idx="42">
                  <c:v>WAGYU TOKUSEN BBQ SET</c:v>
                </c:pt>
                <c:pt idx="43">
                  <c:v>ADD CABE RAWIT MERAH IRIS</c:v>
                </c:pt>
                <c:pt idx="44">
                  <c:v>#FYP BEEF JAPCHAE</c:v>
                </c:pt>
                <c:pt idx="45">
                  <c:v>HAM &amp; CHEESE GIMBAP</c:v>
                </c:pt>
                <c:pt idx="46">
                  <c:v>CHADOL SIGNATURE TOKUSEN WAGYU (LARGE)</c:v>
                </c:pt>
                <c:pt idx="47">
                  <c:v>ORIGINAL GIMBAP</c:v>
                </c:pt>
                <c:pt idx="48">
                  <c:v>#FYP BULGOGI GIMBAP</c:v>
                </c:pt>
                <c:pt idx="49">
                  <c:v>BULGOGI GIMBAP</c:v>
                </c:pt>
                <c:pt idx="50">
                  <c:v>WATERMELON K-DRINK</c:v>
                </c:pt>
                <c:pt idx="51">
                  <c:v>BULGOGI BIBIMBAP</c:v>
                </c:pt>
                <c:pt idx="52">
                  <c:v>SPICY BULDAK FRIED RICE</c:v>
                </c:pt>
                <c:pt idx="53">
                  <c:v>SUMPIT TAKE AWAY</c:v>
                </c:pt>
                <c:pt idx="54">
                  <c:v>SUNDUBU JJIGAE (NO RICE)</c:v>
                </c:pt>
                <c:pt idx="55">
                  <c:v>PAJEON</c:v>
                </c:pt>
                <c:pt idx="56">
                  <c:v>TUNA MAYO GIMBAP</c:v>
                </c:pt>
                <c:pt idx="57">
                  <c:v>ORIGINAL GIMBAP</c:v>
                </c:pt>
                <c:pt idx="58">
                  <c:v>BBURINKLE CHEESE CHICKEN SET</c:v>
                </c:pt>
                <c:pt idx="59">
                  <c:v>MANGO K-DRINK</c:v>
                </c:pt>
                <c:pt idx="60">
                  <c:v>BEEF KIMCHI SET</c:v>
                </c:pt>
                <c:pt idx="61">
                  <c:v>JJUGUMI</c:v>
                </c:pt>
                <c:pt idx="62">
                  <c:v>CHICKEN JAPCHAE</c:v>
                </c:pt>
                <c:pt idx="63">
                  <c:v>ADD KIMCHI 100 G</c:v>
                </c:pt>
                <c:pt idx="64">
                  <c:v>PURPLE RICE</c:v>
                </c:pt>
                <c:pt idx="65">
                  <c:v>GIMMARI</c:v>
                </c:pt>
                <c:pt idx="66">
                  <c:v>FREE BBURINKLE CHEESE CHICKEN SET</c:v>
                </c:pt>
                <c:pt idx="67">
                  <c:v>BENTO BOX 4S</c:v>
                </c:pt>
                <c:pt idx="68">
                  <c:v>ADD MOZZARELLA</c:v>
                </c:pt>
                <c:pt idx="69">
                  <c:v>STRAWBERRY K-DRINK</c:v>
                </c:pt>
                <c:pt idx="70">
                  <c:v>BEEF KIMCHI FRIED RICE</c:v>
                </c:pt>
                <c:pt idx="71">
                  <c:v>JUMEOKBAP BALL</c:v>
                </c:pt>
                <c:pt idx="72">
                  <c:v>GRAPES (PURPLE GRAPES) K-DRINK</c:v>
                </c:pt>
                <c:pt idx="73">
                  <c:v>SPICY TUNA GIMBAP</c:v>
                </c:pt>
                <c:pt idx="74">
                  <c:v>FRIED MANDU 6 PCS</c:v>
                </c:pt>
                <c:pt idx="75">
                  <c:v>#FYP BULGOGI BIBIMBAP</c:v>
                </c:pt>
                <c:pt idx="76">
                  <c:v>ENOKI TWIGIM</c:v>
                </c:pt>
                <c:pt idx="77">
                  <c:v>BBURINKLE CHEESE CHICKEN</c:v>
                </c:pt>
                <c:pt idx="78">
                  <c:v>CHADOL PRIME</c:v>
                </c:pt>
                <c:pt idx="79">
                  <c:v>KOREAN PEAR K-DRINK</c:v>
                </c:pt>
                <c:pt idx="80">
                  <c:v>SPICY MALA CHICKEN SET</c:v>
                </c:pt>
                <c:pt idx="81">
                  <c:v>CHADOL JJUGUMI</c:v>
                </c:pt>
                <c:pt idx="82">
                  <c:v>ROSE JJUGUMI</c:v>
                </c:pt>
                <c:pt idx="83">
                  <c:v>NORI TWIGIM</c:v>
                </c:pt>
                <c:pt idx="84">
                  <c:v>FREE SPICY MALA CHICKEN SET</c:v>
                </c:pt>
                <c:pt idx="85">
                  <c:v>SPICY BBQ CHICKEN</c:v>
                </c:pt>
                <c:pt idx="86">
                  <c:v>ICE AMERICANO K-DRINK</c:v>
                </c:pt>
                <c:pt idx="87">
                  <c:v>#FYP SPICY BULDAK FRIED RICE</c:v>
                </c:pt>
                <c:pt idx="88">
                  <c:v>BULGOGI BIBIMBAP</c:v>
                </c:pt>
                <c:pt idx="89">
                  <c:v>BBURINKLE CHEESE CHICKEN KATSU</c:v>
                </c:pt>
                <c:pt idx="90">
                  <c:v>CHICKEN DAKGALBI REGULER</c:v>
                </c:pt>
                <c:pt idx="91">
                  <c:v>SENDOK TAKE AWAY</c:v>
                </c:pt>
                <c:pt idx="92">
                  <c:v>#FYP BEEF DOENJANG JJIGAE (WITH RICE)</c:v>
                </c:pt>
                <c:pt idx="93">
                  <c:v>ORIGINAL TOKPOKKI</c:v>
                </c:pt>
                <c:pt idx="94">
                  <c:v>HONEY YUJA K-DRINK</c:v>
                </c:pt>
                <c:pt idx="95">
                  <c:v>BEEF DOENJANG JJIGAE (WITH RICE)</c:v>
                </c:pt>
                <c:pt idx="96">
                  <c:v>RAPOKKI</c:v>
                </c:pt>
                <c:pt idx="97">
                  <c:v>ADD SUNNY LETTUCE 60 G</c:v>
                </c:pt>
                <c:pt idx="98">
                  <c:v>KIWI K-DRINK</c:v>
                </c:pt>
                <c:pt idx="99">
                  <c:v>BEEF DOENJANG JJIGAE (NO RICE)</c:v>
                </c:pt>
                <c:pt idx="100">
                  <c:v>SUNDUBU JJIGAE (WITH RICE)</c:v>
                </c:pt>
                <c:pt idx="101">
                  <c:v>SOY GARLIC CHICKEN</c:v>
                </c:pt>
                <c:pt idx="102">
                  <c:v>ADD WRAP 8 PCS</c:v>
                </c:pt>
                <c:pt idx="103">
                  <c:v>CHEESE GIMBAP</c:v>
                </c:pt>
                <c:pt idx="104">
                  <c:v>ORIGINAL CHICKEN KATSU</c:v>
                </c:pt>
              </c:strCache>
            </c:strRef>
          </c:tx>
          <c:spPr>
            <a:solidFill>
              <a:schemeClr val="accent2">
                <a:lumMod val="80000"/>
                <a:lumOff val="20000"/>
              </a:schemeClr>
            </a:solidFill>
            <a:ln>
              <a:noFill/>
            </a:ln>
            <a:effectLst/>
          </c:spPr>
          <c:invertIfNegative val="0"/>
          <c:val>
            <c:numRef>
              <c:f>'CG - MAIN'!$AC$121:$AC$1943</c:f>
              <c:numCache>
                <c:formatCode>General</c:formatCode>
                <c:ptCount val="18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numCache>
            </c:numRef>
          </c:val>
          <c:extLst>
            <c:ext xmlns:c15="http://schemas.microsoft.com/office/drawing/2012/chart" uri="{02D57815-91ED-43cb-92C2-25804820EDAC}">
              <c15:filteredCategoryTitle>
                <c15:cat>
                  <c:multiLvlStrRef>
                    <c:extLst>
                      <c:ext uri="{02D57815-91ED-43cb-92C2-25804820EDAC}">
                        <c15:formulaRef>
                          <c15:sqref>'CG - MAIN'!$L$121:$O$1943</c15:sqref>
                        </c15:formulaRef>
                      </c:ext>
                    </c:extLst>
                  </c:multiLvlStrRef>
                </c15:cat>
              </c15:filteredCategoryTitle>
            </c:ext>
            <c:ext xmlns:c16="http://schemas.microsoft.com/office/drawing/2014/chart" uri="{C3380CC4-5D6E-409C-BE32-E72D297353CC}">
              <c16:uniqueId val="{0000000D-3CEE-4F40-98CC-069AF8E1E98D}"/>
            </c:ext>
          </c:extLst>
        </c:ser>
        <c:ser>
          <c:idx val="14"/>
          <c:order val="14"/>
          <c:tx>
            <c:strRef>
              <c:f>'CG - MAIN'!$AD$16:$AD$120</c:f>
              <c:strCache>
                <c:ptCount val="105"/>
                <c:pt idx="0">
                  <c:v>UOM</c:v>
                </c:pt>
                <c:pt idx="1">
                  <c:v>CGRD0001  </c:v>
                </c:pt>
                <c:pt idx="2">
                  <c:v>CGPK0020  </c:v>
                </c:pt>
                <c:pt idx="3">
                  <c:v>CGPK0004  </c:v>
                </c:pt>
                <c:pt idx="4">
                  <c:v>CGRD0002  </c:v>
                </c:pt>
                <c:pt idx="5">
                  <c:v>CGPK0012  </c:v>
                </c:pt>
                <c:pt idx="6">
                  <c:v>CGRD0003  </c:v>
                </c:pt>
                <c:pt idx="7">
                  <c:v>CGPK0016  </c:v>
                </c:pt>
                <c:pt idx="8">
                  <c:v>CGPK0015  </c:v>
                </c:pt>
                <c:pt idx="9">
                  <c:v>CGPK0019  </c:v>
                </c:pt>
                <c:pt idx="10">
                  <c:v>CGPR0074  </c:v>
                </c:pt>
                <c:pt idx="11">
                  <c:v>CGPR0045  </c:v>
                </c:pt>
                <c:pt idx="12">
                  <c:v>CGPK0001  </c:v>
                </c:pt>
                <c:pt idx="13">
                  <c:v>CGPR0081  </c:v>
                </c:pt>
                <c:pt idx="14">
                  <c:v>CGPK0005  </c:v>
                </c:pt>
                <c:pt idx="15">
                  <c:v>CGPR0080  </c:v>
                </c:pt>
                <c:pt idx="16">
                  <c:v>CGPR0082  </c:v>
                </c:pt>
                <c:pt idx="17">
                  <c:v>CGPK0006  </c:v>
                </c:pt>
                <c:pt idx="18">
                  <c:v>CGPR0085  </c:v>
                </c:pt>
                <c:pt idx="19">
                  <c:v>CGPK0011  </c:v>
                </c:pt>
                <c:pt idx="20">
                  <c:v>CGPR0079  </c:v>
                </c:pt>
                <c:pt idx="21">
                  <c:v>CGPR0086  </c:v>
                </c:pt>
                <c:pt idx="22">
                  <c:v>CGPR0078  </c:v>
                </c:pt>
                <c:pt idx="23">
                  <c:v>CGPK0007  </c:v>
                </c:pt>
                <c:pt idx="24">
                  <c:v>CGPR0075  </c:v>
                </c:pt>
                <c:pt idx="25">
                  <c:v>CGPR0028  </c:v>
                </c:pt>
                <c:pt idx="26">
                  <c:v>CGPR0076  </c:v>
                </c:pt>
                <c:pt idx="27">
                  <c:v>CGPK0003  </c:v>
                </c:pt>
                <c:pt idx="28">
                  <c:v>CGPK0021  </c:v>
                </c:pt>
                <c:pt idx="29">
                  <c:v>CGPK0009  </c:v>
                </c:pt>
                <c:pt idx="30">
                  <c:v>CGPK0018  </c:v>
                </c:pt>
                <c:pt idx="31">
                  <c:v>CGPK0002  </c:v>
                </c:pt>
                <c:pt idx="32">
                  <c:v>CGPR0077  </c:v>
                </c:pt>
                <c:pt idx="33">
                  <c:v>CGPK0006  </c:v>
                </c:pt>
                <c:pt idx="34">
                  <c:v>CGPR0030  </c:v>
                </c:pt>
                <c:pt idx="35">
                  <c:v>CGPK0008  </c:v>
                </c:pt>
                <c:pt idx="36">
                  <c:v>CGPK0013  </c:v>
                </c:pt>
                <c:pt idx="37">
                  <c:v>CGPK0007  </c:v>
                </c:pt>
                <c:pt idx="38">
                  <c:v>CGPK0020  </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strCache>
            </c:strRef>
          </c:tx>
          <c:spPr>
            <a:solidFill>
              <a:schemeClr val="accent3">
                <a:lumMod val="80000"/>
                <a:lumOff val="20000"/>
              </a:schemeClr>
            </a:solidFill>
            <a:ln>
              <a:noFill/>
            </a:ln>
            <a:effectLst/>
          </c:spPr>
          <c:invertIfNegative val="0"/>
          <c:val>
            <c:numRef>
              <c:f>'CG - MAIN'!$AD$121:$AD$1943</c:f>
              <c:numCache>
                <c:formatCode>General</c:formatCode>
                <c:ptCount val="1823"/>
              </c:numCache>
            </c:numRef>
          </c:val>
          <c:extLst>
            <c:ext xmlns:c15="http://schemas.microsoft.com/office/drawing/2012/chart" uri="{02D57815-91ED-43cb-92C2-25804820EDAC}">
              <c15:filteredCategoryTitle>
                <c15:cat>
                  <c:multiLvlStrRef>
                    <c:extLst>
                      <c:ext uri="{02D57815-91ED-43cb-92C2-25804820EDAC}">
                        <c15:formulaRef>
                          <c15:sqref>'CG - MAIN'!$L$121:$O$1943</c15:sqref>
                        </c15:formulaRef>
                      </c:ext>
                    </c:extLst>
                  </c:multiLvlStrRef>
                </c15:cat>
              </c15:filteredCategoryTitle>
            </c:ext>
            <c:ext xmlns:c16="http://schemas.microsoft.com/office/drawing/2014/chart" uri="{C3380CC4-5D6E-409C-BE32-E72D297353CC}">
              <c16:uniqueId val="{0000000E-3CEE-4F40-98CC-069AF8E1E98D}"/>
            </c:ext>
          </c:extLst>
        </c:ser>
        <c:ser>
          <c:idx val="15"/>
          <c:order val="15"/>
          <c:tx>
            <c:strRef>
              <c:f>'CG - MAIN'!$AE$16:$AE$120</c:f>
              <c:strCache>
                <c:ptCount val="105"/>
                <c:pt idx="0">
                  <c:v>UOM</c:v>
                </c:pt>
                <c:pt idx="1">
                  <c:v>COLD CORN TEA</c:v>
                </c:pt>
                <c:pt idx="2">
                  <c:v>PACKAGING FEE</c:v>
                </c:pt>
                <c:pt idx="3">
                  <c:v>PLASTIK KECIL</c:v>
                </c:pt>
                <c:pt idx="4">
                  <c:v>HOT CORN TEA</c:v>
                </c:pt>
                <c:pt idx="5">
                  <c:v>LUNCH BOX S</c:v>
                </c:pt>
                <c:pt idx="6">
                  <c:v>LEMON TEA</c:v>
                </c:pt>
                <c:pt idx="7">
                  <c:v>PAPER BOWL CHADOL</c:v>
                </c:pt>
                <c:pt idx="8">
                  <c:v>GREASE PAPER</c:v>
                </c:pt>
                <c:pt idx="9">
                  <c:v>STICKER GIMBAP</c:v>
                </c:pt>
                <c:pt idx="10">
                  <c:v>#FYP SUNDUBU JJIGAE (WITH RICE)</c:v>
                </c:pt>
                <c:pt idx="11">
                  <c:v>PROMO CHADOL SIG TASTY BEEF (REG) 99K</c:v>
                </c:pt>
                <c:pt idx="12">
                  <c:v>LUNCH BOX M</c:v>
                </c:pt>
                <c:pt idx="13">
                  <c:v>#FYP CHAPOKKI</c:v>
                </c:pt>
                <c:pt idx="14">
                  <c:v>PLASTIK BESAR</c:v>
                </c:pt>
                <c:pt idx="15">
                  <c:v>#FYP BEEF JAPCHAE</c:v>
                </c:pt>
                <c:pt idx="16">
                  <c:v>#FYP BULGOGI GIMBAP</c:v>
                </c:pt>
                <c:pt idx="17">
                  <c:v>SUMPIT TAKE AWAY</c:v>
                </c:pt>
                <c:pt idx="18">
                  <c:v>FREE BBURINKLE CHEESE CHICKEN SET</c:v>
                </c:pt>
                <c:pt idx="19">
                  <c:v>BENTO BOX 4S</c:v>
                </c:pt>
                <c:pt idx="20">
                  <c:v>#FYP BULGOGI BIBIMBAP</c:v>
                </c:pt>
                <c:pt idx="21">
                  <c:v>FREE SPICY MALA CHICKEN SET</c:v>
                </c:pt>
                <c:pt idx="22">
                  <c:v>#FYP SPICY BULDAK FRIED RICE</c:v>
                </c:pt>
                <c:pt idx="23">
                  <c:v>SENDOK TAKE AWAY</c:v>
                </c:pt>
                <c:pt idx="24">
                  <c:v>#FYP BEEF DOENJANG JJIGAE (WITH RICE)</c:v>
                </c:pt>
                <c:pt idx="25">
                  <c:v>BIRTHDAY KOREAN DRINK</c:v>
                </c:pt>
                <c:pt idx="26">
                  <c:v>#FYP BEEF KIMCHI FRIED RICE</c:v>
                </c:pt>
                <c:pt idx="27">
                  <c:v>BENTO BOX 5S</c:v>
                </c:pt>
                <c:pt idx="28">
                  <c:v>TA CHARGE PROMO</c:v>
                </c:pt>
                <c:pt idx="29">
                  <c:v>SAUCE CUP</c:v>
                </c:pt>
                <c:pt idx="30">
                  <c:v>STICKER BENTO BOX</c:v>
                </c:pt>
                <c:pt idx="31">
                  <c:v>PAPER BOWL</c:v>
                </c:pt>
                <c:pt idx="32">
                  <c:v>#FYP CHICKEN KIMCHI FRIED RICE</c:v>
                </c:pt>
                <c:pt idx="33">
                  <c:v>SUMPIT TAKE AWAY</c:v>
                </c:pt>
                <c:pt idx="34">
                  <c:v>FREE MOZZARELLA</c:v>
                </c:pt>
                <c:pt idx="35">
                  <c:v>GARPU TAKE AWAY</c:v>
                </c:pt>
                <c:pt idx="36">
                  <c:v>CUP PLASTIK K-DRINK</c:v>
                </c:pt>
                <c:pt idx="37">
                  <c:v>SENDOK TAKE AWAY</c:v>
                </c:pt>
                <c:pt idx="38">
                  <c:v>PACKAGING FEE</c:v>
                </c:pt>
                <c:pt idx="39">
                  <c:v>Tidak Ditemukan</c:v>
                </c:pt>
                <c:pt idx="40">
                  <c:v>Tidak Ditemukan</c:v>
                </c:pt>
                <c:pt idx="41">
                  <c:v>Tidak Ditemukan</c:v>
                </c:pt>
                <c:pt idx="42">
                  <c:v>Tidak Ditemukan</c:v>
                </c:pt>
                <c:pt idx="43">
                  <c:v>Tidak Ditemukan</c:v>
                </c:pt>
                <c:pt idx="44">
                  <c:v>Tidak Ditemukan</c:v>
                </c:pt>
                <c:pt idx="45">
                  <c:v>Tidak Ditemukan</c:v>
                </c:pt>
                <c:pt idx="46">
                  <c:v>Tidak Ditemukan</c:v>
                </c:pt>
                <c:pt idx="47">
                  <c:v>Tidak Ditemukan</c:v>
                </c:pt>
                <c:pt idx="48">
                  <c:v>Tidak Ditemukan</c:v>
                </c:pt>
                <c:pt idx="49">
                  <c:v>Tidak Ditemukan</c:v>
                </c:pt>
                <c:pt idx="50">
                  <c:v>Tidak Ditemukan</c:v>
                </c:pt>
                <c:pt idx="51">
                  <c:v>Tidak Ditemukan</c:v>
                </c:pt>
                <c:pt idx="52">
                  <c:v>Tidak Ditemukan</c:v>
                </c:pt>
                <c:pt idx="53">
                  <c:v>Tidak Ditemukan</c:v>
                </c:pt>
                <c:pt idx="54">
                  <c:v>Tidak Ditemukan</c:v>
                </c:pt>
                <c:pt idx="55">
                  <c:v>Tidak Ditemukan</c:v>
                </c:pt>
                <c:pt idx="56">
                  <c:v>Tidak Ditemukan</c:v>
                </c:pt>
                <c:pt idx="57">
                  <c:v>Tidak Ditemukan</c:v>
                </c:pt>
                <c:pt idx="58">
                  <c:v>Tidak Ditemukan</c:v>
                </c:pt>
                <c:pt idx="59">
                  <c:v>Tidak Ditemukan</c:v>
                </c:pt>
                <c:pt idx="60">
                  <c:v>Tidak Ditemukan</c:v>
                </c:pt>
                <c:pt idx="61">
                  <c:v>Tidak Ditemukan</c:v>
                </c:pt>
                <c:pt idx="62">
                  <c:v>Tidak Ditemukan</c:v>
                </c:pt>
                <c:pt idx="63">
                  <c:v>Tidak Ditemukan</c:v>
                </c:pt>
                <c:pt idx="64">
                  <c:v>Tidak Ditemukan</c:v>
                </c:pt>
                <c:pt idx="65">
                  <c:v>Tidak Ditemukan</c:v>
                </c:pt>
                <c:pt idx="66">
                  <c:v>Tidak Ditemukan</c:v>
                </c:pt>
                <c:pt idx="67">
                  <c:v>Tidak Ditemukan</c:v>
                </c:pt>
                <c:pt idx="68">
                  <c:v>Tidak Ditemukan</c:v>
                </c:pt>
                <c:pt idx="69">
                  <c:v>Tidak Ditemukan</c:v>
                </c:pt>
                <c:pt idx="70">
                  <c:v>Tidak Ditemukan</c:v>
                </c:pt>
                <c:pt idx="71">
                  <c:v>Tidak Ditemukan</c:v>
                </c:pt>
                <c:pt idx="72">
                  <c:v>Tidak Ditemukan</c:v>
                </c:pt>
                <c:pt idx="73">
                  <c:v>Tidak Ditemukan</c:v>
                </c:pt>
                <c:pt idx="74">
                  <c:v>Tidak Ditemukan</c:v>
                </c:pt>
                <c:pt idx="75">
                  <c:v>Tidak Ditemukan</c:v>
                </c:pt>
                <c:pt idx="76">
                  <c:v>Tidak Ditemukan</c:v>
                </c:pt>
                <c:pt idx="77">
                  <c:v>Tidak Ditemukan</c:v>
                </c:pt>
                <c:pt idx="78">
                  <c:v>Tidak Ditemukan</c:v>
                </c:pt>
                <c:pt idx="79">
                  <c:v>Tidak Ditemukan</c:v>
                </c:pt>
                <c:pt idx="80">
                  <c:v>Tidak Ditemukan</c:v>
                </c:pt>
                <c:pt idx="81">
                  <c:v>Tidak Ditemukan</c:v>
                </c:pt>
                <c:pt idx="82">
                  <c:v>Tidak Ditemukan</c:v>
                </c:pt>
                <c:pt idx="83">
                  <c:v>Tidak Ditemukan</c:v>
                </c:pt>
                <c:pt idx="84">
                  <c:v>Tidak Ditemukan</c:v>
                </c:pt>
                <c:pt idx="85">
                  <c:v>Tidak Ditemukan</c:v>
                </c:pt>
                <c:pt idx="86">
                  <c:v>Tidak Ditemukan</c:v>
                </c:pt>
                <c:pt idx="87">
                  <c:v>Tidak Ditemukan</c:v>
                </c:pt>
                <c:pt idx="88">
                  <c:v>Tidak Ditemukan</c:v>
                </c:pt>
                <c:pt idx="89">
                  <c:v>Tidak Ditemukan</c:v>
                </c:pt>
                <c:pt idx="90">
                  <c:v>Tidak Ditemukan</c:v>
                </c:pt>
                <c:pt idx="91">
                  <c:v>Tidak Ditemukan</c:v>
                </c:pt>
                <c:pt idx="92">
                  <c:v>Tidak Ditemukan</c:v>
                </c:pt>
                <c:pt idx="93">
                  <c:v>Tidak Ditemukan</c:v>
                </c:pt>
                <c:pt idx="94">
                  <c:v>Tidak Ditemukan</c:v>
                </c:pt>
                <c:pt idx="95">
                  <c:v>Tidak Ditemukan</c:v>
                </c:pt>
                <c:pt idx="96">
                  <c:v>Tidak Ditemukan</c:v>
                </c:pt>
                <c:pt idx="97">
                  <c:v>Tidak Ditemukan</c:v>
                </c:pt>
                <c:pt idx="98">
                  <c:v>Tidak Ditemukan</c:v>
                </c:pt>
                <c:pt idx="99">
                  <c:v>Tidak Ditemukan</c:v>
                </c:pt>
                <c:pt idx="100">
                  <c:v>Tidak Ditemukan</c:v>
                </c:pt>
                <c:pt idx="101">
                  <c:v>Tidak Ditemukan</c:v>
                </c:pt>
                <c:pt idx="102">
                  <c:v>Tidak Ditemukan</c:v>
                </c:pt>
                <c:pt idx="103">
                  <c:v>Tidak Ditemukan</c:v>
                </c:pt>
                <c:pt idx="104">
                  <c:v>Tidak Ditemukan</c:v>
                </c:pt>
              </c:strCache>
            </c:strRef>
          </c:tx>
          <c:spPr>
            <a:solidFill>
              <a:schemeClr val="accent4">
                <a:lumMod val="80000"/>
                <a:lumOff val="20000"/>
              </a:schemeClr>
            </a:solidFill>
            <a:ln>
              <a:noFill/>
            </a:ln>
            <a:effectLst/>
          </c:spPr>
          <c:invertIfNegative val="0"/>
          <c:val>
            <c:numRef>
              <c:f>'CG - MAIN'!$AE$121:$AE$1943</c:f>
              <c:numCache>
                <c:formatCode>General</c:formatCode>
                <c:ptCount val="18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numCache>
            </c:numRef>
          </c:val>
          <c:extLst>
            <c:ext xmlns:c15="http://schemas.microsoft.com/office/drawing/2012/chart" uri="{02D57815-91ED-43cb-92C2-25804820EDAC}">
              <c15:filteredCategoryTitle>
                <c15:cat>
                  <c:multiLvlStrRef>
                    <c:extLst>
                      <c:ext uri="{02D57815-91ED-43cb-92C2-25804820EDAC}">
                        <c15:formulaRef>
                          <c15:sqref>'CG - MAIN'!$L$121:$O$1943</c15:sqref>
                        </c15:formulaRef>
                      </c:ext>
                    </c:extLst>
                  </c:multiLvlStrRef>
                </c15:cat>
              </c15:filteredCategoryTitle>
            </c:ext>
            <c:ext xmlns:c16="http://schemas.microsoft.com/office/drawing/2014/chart" uri="{C3380CC4-5D6E-409C-BE32-E72D297353CC}">
              <c16:uniqueId val="{0000000F-3CEE-4F40-98CC-069AF8E1E98D}"/>
            </c:ext>
          </c:extLst>
        </c:ser>
        <c:dLbls>
          <c:showLegendKey val="0"/>
          <c:showVal val="0"/>
          <c:showCatName val="0"/>
          <c:showSerName val="0"/>
          <c:showPercent val="0"/>
          <c:showBubbleSize val="0"/>
        </c:dLbls>
        <c:gapWidth val="219"/>
        <c:overlap val="-27"/>
        <c:axId val="883455744"/>
        <c:axId val="883458240"/>
      </c:barChart>
      <c:catAx>
        <c:axId val="8834557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3458240"/>
        <c:crosses val="autoZero"/>
        <c:auto val="1"/>
        <c:lblAlgn val="ctr"/>
        <c:lblOffset val="100"/>
        <c:noMultiLvlLbl val="0"/>
      </c:catAx>
      <c:valAx>
        <c:axId val="883458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3455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ID"/>
              <a:t>5 Top VS 5 Low Menu</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3162788576928349E-2"/>
          <c:y val="0.15823012335238421"/>
          <c:w val="0.94572093520225831"/>
          <c:h val="0.44319793588113521"/>
        </c:manualLayout>
      </c:layout>
      <c:bar3DChart>
        <c:barDir val="bar"/>
        <c:grouping val="clustered"/>
        <c:varyColors val="0"/>
        <c:ser>
          <c:idx val="0"/>
          <c:order val="0"/>
          <c:tx>
            <c:strRef>
              <c:f>'CG - MAIN'!$AW$17</c:f>
              <c:strCache>
                <c:ptCount val="1"/>
                <c:pt idx="0">
                  <c:v>ADD RICE</c:v>
                </c:pt>
              </c:strCache>
            </c:strRef>
          </c:tx>
          <c:spPr>
            <a:solidFill>
              <a:schemeClr val="accent1"/>
            </a:solidFill>
            <a:ln>
              <a:noFill/>
            </a:ln>
            <a:effectLst/>
            <a:sp3d/>
          </c:spPr>
          <c:invertIfNegative val="0"/>
          <c:val>
            <c:numRef>
              <c:f>'CG - MAIN'!$AV$17:$AW$17</c:f>
              <c:numCache>
                <c:formatCode>General</c:formatCode>
                <c:ptCount val="2"/>
                <c:pt idx="0" formatCode="0">
                  <c:v>305.00560000000002</c:v>
                </c:pt>
                <c:pt idx="1">
                  <c:v>0</c:v>
                </c:pt>
              </c:numCache>
            </c:numRef>
          </c:val>
          <c:extLst>
            <c:ext xmlns:c16="http://schemas.microsoft.com/office/drawing/2014/chart" uri="{C3380CC4-5D6E-409C-BE32-E72D297353CC}">
              <c16:uniqueId val="{00000000-1E8C-479F-85A0-6F7447A74B11}"/>
            </c:ext>
          </c:extLst>
        </c:ser>
        <c:ser>
          <c:idx val="1"/>
          <c:order val="1"/>
          <c:tx>
            <c:strRef>
              <c:f>'CG - MAIN'!$AW$18</c:f>
              <c:strCache>
                <c:ptCount val="1"/>
                <c:pt idx="0">
                  <c:v>CHADOL SIGNATURE TASTY BEEF (REGULAR)</c:v>
                </c:pt>
              </c:strCache>
            </c:strRef>
          </c:tx>
          <c:spPr>
            <a:solidFill>
              <a:schemeClr val="accent2"/>
            </a:solidFill>
            <a:ln>
              <a:noFill/>
            </a:ln>
            <a:effectLst/>
            <a:sp3d/>
          </c:spPr>
          <c:invertIfNegative val="0"/>
          <c:val>
            <c:numRef>
              <c:f>'CG - MAIN'!$AV$18:$AW$18</c:f>
              <c:numCache>
                <c:formatCode>General</c:formatCode>
                <c:ptCount val="2"/>
                <c:pt idx="0" formatCode="0">
                  <c:v>207.0017</c:v>
                </c:pt>
                <c:pt idx="1">
                  <c:v>0</c:v>
                </c:pt>
              </c:numCache>
            </c:numRef>
          </c:val>
          <c:extLst>
            <c:ext xmlns:c16="http://schemas.microsoft.com/office/drawing/2014/chart" uri="{C3380CC4-5D6E-409C-BE32-E72D297353CC}">
              <c16:uniqueId val="{00000001-1E8C-479F-85A0-6F7447A74B11}"/>
            </c:ext>
          </c:extLst>
        </c:ser>
        <c:ser>
          <c:idx val="2"/>
          <c:order val="2"/>
          <c:tx>
            <c:strRef>
              <c:f>'CG - MAIN'!$AW$19</c:f>
              <c:strCache>
                <c:ptCount val="1"/>
                <c:pt idx="0">
                  <c:v>Bulgogi Gimbap</c:v>
                </c:pt>
              </c:strCache>
            </c:strRef>
          </c:tx>
          <c:spPr>
            <a:solidFill>
              <a:schemeClr val="accent3"/>
            </a:solidFill>
            <a:ln>
              <a:noFill/>
            </a:ln>
            <a:effectLst/>
            <a:sp3d/>
          </c:spPr>
          <c:invertIfNegative val="0"/>
          <c:val>
            <c:numRef>
              <c:f>'CG - MAIN'!$AV$19:$AW$19</c:f>
              <c:numCache>
                <c:formatCode>General</c:formatCode>
                <c:ptCount val="2"/>
                <c:pt idx="0" formatCode="0">
                  <c:v>153.00299999999999</c:v>
                </c:pt>
                <c:pt idx="1">
                  <c:v>0</c:v>
                </c:pt>
              </c:numCache>
            </c:numRef>
          </c:val>
          <c:extLst>
            <c:ext xmlns:c16="http://schemas.microsoft.com/office/drawing/2014/chart" uri="{C3380CC4-5D6E-409C-BE32-E72D297353CC}">
              <c16:uniqueId val="{00000002-1E8C-479F-85A0-6F7447A74B11}"/>
            </c:ext>
          </c:extLst>
        </c:ser>
        <c:ser>
          <c:idx val="3"/>
          <c:order val="3"/>
          <c:tx>
            <c:strRef>
              <c:f>'CG - MAIN'!$AW$20</c:f>
              <c:strCache>
                <c:ptCount val="1"/>
                <c:pt idx="0">
                  <c:v>Tokpokki Original</c:v>
                </c:pt>
              </c:strCache>
            </c:strRef>
          </c:tx>
          <c:spPr>
            <a:solidFill>
              <a:schemeClr val="accent4"/>
            </a:solidFill>
            <a:ln>
              <a:noFill/>
            </a:ln>
            <a:effectLst/>
            <a:sp3d/>
          </c:spPr>
          <c:invertIfNegative val="0"/>
          <c:val>
            <c:numRef>
              <c:f>'CG - MAIN'!$AV$20:$AW$20</c:f>
              <c:numCache>
                <c:formatCode>General</c:formatCode>
                <c:ptCount val="2"/>
                <c:pt idx="0" formatCode="0">
                  <c:v>137.00360000000001</c:v>
                </c:pt>
                <c:pt idx="1">
                  <c:v>0</c:v>
                </c:pt>
              </c:numCache>
            </c:numRef>
          </c:val>
          <c:extLst>
            <c:ext xmlns:c16="http://schemas.microsoft.com/office/drawing/2014/chart" uri="{C3380CC4-5D6E-409C-BE32-E72D297353CC}">
              <c16:uniqueId val="{00000003-1E8C-479F-85A0-6F7447A74B11}"/>
            </c:ext>
          </c:extLst>
        </c:ser>
        <c:ser>
          <c:idx val="4"/>
          <c:order val="4"/>
          <c:tx>
            <c:strRef>
              <c:f>'CG - MAIN'!$AW$21</c:f>
              <c:strCache>
                <c:ptCount val="1"/>
                <c:pt idx="0">
                  <c:v>Rappokki</c:v>
                </c:pt>
              </c:strCache>
            </c:strRef>
          </c:tx>
          <c:spPr>
            <a:solidFill>
              <a:schemeClr val="accent5"/>
            </a:solidFill>
            <a:ln>
              <a:noFill/>
            </a:ln>
            <a:effectLst/>
            <a:sp3d/>
          </c:spPr>
          <c:invertIfNegative val="0"/>
          <c:val>
            <c:numRef>
              <c:f>'CG - MAIN'!$AV$21:$AW$21</c:f>
              <c:numCache>
                <c:formatCode>General</c:formatCode>
                <c:ptCount val="2"/>
                <c:pt idx="0" formatCode="0">
                  <c:v>127.00369999999999</c:v>
                </c:pt>
                <c:pt idx="1">
                  <c:v>0</c:v>
                </c:pt>
              </c:numCache>
            </c:numRef>
          </c:val>
          <c:extLst>
            <c:ext xmlns:c16="http://schemas.microsoft.com/office/drawing/2014/chart" uri="{C3380CC4-5D6E-409C-BE32-E72D297353CC}">
              <c16:uniqueId val="{00000004-1E8C-479F-85A0-6F7447A74B11}"/>
            </c:ext>
          </c:extLst>
        </c:ser>
        <c:ser>
          <c:idx val="5"/>
          <c:order val="5"/>
          <c:tx>
            <c:strRef>
              <c:f>'CG - MAIN'!$AW$22</c:f>
              <c:strCache>
                <c:ptCount val="1"/>
                <c:pt idx="0">
                  <c:v>ADD MAYONAISE</c:v>
                </c:pt>
              </c:strCache>
            </c:strRef>
          </c:tx>
          <c:spPr>
            <a:solidFill>
              <a:schemeClr val="accent6"/>
            </a:solidFill>
            <a:ln>
              <a:noFill/>
            </a:ln>
            <a:effectLst/>
            <a:sp3d/>
          </c:spPr>
          <c:invertIfNegative val="0"/>
          <c:val>
            <c:numRef>
              <c:f>'CG - MAIN'!$AV$22:$AW$22</c:f>
              <c:numCache>
                <c:formatCode>General</c:formatCode>
                <c:ptCount val="2"/>
                <c:pt idx="0" formatCode="0">
                  <c:v>5.4999999999999997E-3</c:v>
                </c:pt>
                <c:pt idx="1">
                  <c:v>0</c:v>
                </c:pt>
              </c:numCache>
            </c:numRef>
          </c:val>
          <c:extLst>
            <c:ext xmlns:c16="http://schemas.microsoft.com/office/drawing/2014/chart" uri="{C3380CC4-5D6E-409C-BE32-E72D297353CC}">
              <c16:uniqueId val="{00000005-1E8C-479F-85A0-6F7447A74B11}"/>
            </c:ext>
          </c:extLst>
        </c:ser>
        <c:ser>
          <c:idx val="6"/>
          <c:order val="6"/>
          <c:tx>
            <c:strRef>
              <c:f>'CG - MAIN'!$AW$23</c:f>
              <c:strCache>
                <c:ptCount val="1"/>
                <c:pt idx="0">
                  <c:v>Add Daun Bawang 50 g</c:v>
                </c:pt>
              </c:strCache>
            </c:strRef>
          </c:tx>
          <c:spPr>
            <a:solidFill>
              <a:schemeClr val="accent1">
                <a:lumMod val="60000"/>
              </a:schemeClr>
            </a:solidFill>
            <a:ln>
              <a:noFill/>
            </a:ln>
            <a:effectLst/>
            <a:sp3d/>
          </c:spPr>
          <c:invertIfNegative val="0"/>
          <c:val>
            <c:numRef>
              <c:f>'CG - MAIN'!$AV$23:$AW$23</c:f>
              <c:numCache>
                <c:formatCode>General</c:formatCode>
                <c:ptCount val="2"/>
                <c:pt idx="0" formatCode="0">
                  <c:v>6.1000000000000004E-3</c:v>
                </c:pt>
                <c:pt idx="1">
                  <c:v>0</c:v>
                </c:pt>
              </c:numCache>
            </c:numRef>
          </c:val>
          <c:extLst>
            <c:ext xmlns:c16="http://schemas.microsoft.com/office/drawing/2014/chart" uri="{C3380CC4-5D6E-409C-BE32-E72D297353CC}">
              <c16:uniqueId val="{00000006-1E8C-479F-85A0-6F7447A74B11}"/>
            </c:ext>
          </c:extLst>
        </c:ser>
        <c:ser>
          <c:idx val="7"/>
          <c:order val="7"/>
          <c:tx>
            <c:strRef>
              <c:f>'CG - MAIN'!$AW$24</c:f>
              <c:strCache>
                <c:ptCount val="1"/>
                <c:pt idx="0">
                  <c:v>Add Tauge Namul Gujeolpan 50 g</c:v>
                </c:pt>
              </c:strCache>
            </c:strRef>
          </c:tx>
          <c:spPr>
            <a:solidFill>
              <a:schemeClr val="accent2">
                <a:lumMod val="60000"/>
              </a:schemeClr>
            </a:solidFill>
            <a:ln>
              <a:noFill/>
            </a:ln>
            <a:effectLst/>
            <a:sp3d/>
          </c:spPr>
          <c:invertIfNegative val="0"/>
          <c:val>
            <c:numRef>
              <c:f>'CG - MAIN'!$AV$24:$AW$24</c:f>
              <c:numCache>
                <c:formatCode>General</c:formatCode>
                <c:ptCount val="2"/>
                <c:pt idx="0" formatCode="0">
                  <c:v>6.1999999999999998E-3</c:v>
                </c:pt>
                <c:pt idx="1">
                  <c:v>0</c:v>
                </c:pt>
              </c:numCache>
            </c:numRef>
          </c:val>
          <c:extLst>
            <c:ext xmlns:c16="http://schemas.microsoft.com/office/drawing/2014/chart" uri="{C3380CC4-5D6E-409C-BE32-E72D297353CC}">
              <c16:uniqueId val="{00000007-1E8C-479F-85A0-6F7447A74B11}"/>
            </c:ext>
          </c:extLst>
        </c:ser>
        <c:ser>
          <c:idx val="8"/>
          <c:order val="8"/>
          <c:tx>
            <c:strRef>
              <c:f>'CG - MAIN'!$AW$25</c:f>
              <c:strCache>
                <c:ptCount val="1"/>
                <c:pt idx="0">
                  <c:v>	Add Shiitake Marinated 30 g</c:v>
                </c:pt>
              </c:strCache>
            </c:strRef>
          </c:tx>
          <c:spPr>
            <a:solidFill>
              <a:schemeClr val="accent3">
                <a:lumMod val="60000"/>
              </a:schemeClr>
            </a:solidFill>
            <a:ln>
              <a:noFill/>
            </a:ln>
            <a:effectLst/>
            <a:sp3d/>
          </c:spPr>
          <c:invertIfNegative val="0"/>
          <c:val>
            <c:numRef>
              <c:f>'CG - MAIN'!$AV$25:$AW$25</c:f>
              <c:numCache>
                <c:formatCode>General</c:formatCode>
                <c:ptCount val="2"/>
                <c:pt idx="0" formatCode="0">
                  <c:v>6.3E-3</c:v>
                </c:pt>
                <c:pt idx="1">
                  <c:v>0</c:v>
                </c:pt>
              </c:numCache>
            </c:numRef>
          </c:val>
          <c:extLst>
            <c:ext xmlns:c16="http://schemas.microsoft.com/office/drawing/2014/chart" uri="{C3380CC4-5D6E-409C-BE32-E72D297353CC}">
              <c16:uniqueId val="{00000008-1E8C-479F-85A0-6F7447A74B11}"/>
            </c:ext>
          </c:extLst>
        </c:ser>
        <c:ser>
          <c:idx val="9"/>
          <c:order val="9"/>
          <c:tx>
            <c:strRef>
              <c:f>'CG - MAIN'!$AW$26</c:f>
              <c:strCache>
                <c:ptCount val="1"/>
                <c:pt idx="0">
                  <c:v>ADD EOMUK BOKKEUM 30GR</c:v>
                </c:pt>
              </c:strCache>
            </c:strRef>
          </c:tx>
          <c:spPr>
            <a:solidFill>
              <a:schemeClr val="accent4">
                <a:lumMod val="60000"/>
              </a:schemeClr>
            </a:solidFill>
            <a:ln>
              <a:noFill/>
            </a:ln>
            <a:effectLst/>
            <a:sp3d/>
          </c:spPr>
          <c:invertIfNegative val="0"/>
          <c:val>
            <c:numRef>
              <c:f>'CG - MAIN'!$AV$26:$AW$26</c:f>
              <c:numCache>
                <c:formatCode>General</c:formatCode>
                <c:ptCount val="2"/>
                <c:pt idx="0" formatCode="0">
                  <c:v>7.1000000000000004E-3</c:v>
                </c:pt>
                <c:pt idx="1">
                  <c:v>0</c:v>
                </c:pt>
              </c:numCache>
            </c:numRef>
          </c:val>
          <c:extLst>
            <c:ext xmlns:c16="http://schemas.microsoft.com/office/drawing/2014/chart" uri="{C3380CC4-5D6E-409C-BE32-E72D297353CC}">
              <c16:uniqueId val="{00000009-1E8C-479F-85A0-6F7447A74B11}"/>
            </c:ext>
          </c:extLst>
        </c:ser>
        <c:dLbls>
          <c:showLegendKey val="0"/>
          <c:showVal val="0"/>
          <c:showCatName val="0"/>
          <c:showSerName val="0"/>
          <c:showPercent val="0"/>
          <c:showBubbleSize val="0"/>
        </c:dLbls>
        <c:gapWidth val="150"/>
        <c:shape val="box"/>
        <c:axId val="837594847"/>
        <c:axId val="837595263"/>
        <c:axId val="0"/>
      </c:bar3DChart>
      <c:catAx>
        <c:axId val="837594847"/>
        <c:scaling>
          <c:orientation val="minMax"/>
        </c:scaling>
        <c:delete val="1"/>
        <c:axPos val="l"/>
        <c:numFmt formatCode="General" sourceLinked="1"/>
        <c:majorTickMark val="none"/>
        <c:minorTickMark val="none"/>
        <c:tickLblPos val="nextTo"/>
        <c:crossAx val="837595263"/>
        <c:crosses val="autoZero"/>
        <c:auto val="1"/>
        <c:lblAlgn val="ctr"/>
        <c:lblOffset val="100"/>
        <c:noMultiLvlLbl val="0"/>
      </c:catAx>
      <c:valAx>
        <c:axId val="837595263"/>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7594847"/>
        <c:crosses val="autoZero"/>
        <c:crossBetween val="between"/>
      </c:valAx>
      <c:spPr>
        <a:noFill/>
        <a:ln>
          <a:noFill/>
        </a:ln>
        <a:effectLst/>
      </c:spPr>
    </c:plotArea>
    <c:legend>
      <c:legendPos val="b"/>
      <c:layout>
        <c:manualLayout>
          <c:xMode val="edge"/>
          <c:yMode val="edge"/>
          <c:x val="1.3838672968442319E-2"/>
          <c:y val="0.67757135710087635"/>
          <c:w val="0.95488079519494651"/>
          <c:h val="0.2948423192904358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5 top VS 5 Low Ingredients</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5465337022316195E-2"/>
          <c:y val="0.131232973935135"/>
          <c:w val="0.9344521813138229"/>
          <c:h val="0.43929938131600627"/>
        </c:manualLayout>
      </c:layout>
      <c:bar3DChart>
        <c:barDir val="bar"/>
        <c:grouping val="clustered"/>
        <c:varyColors val="0"/>
        <c:ser>
          <c:idx val="0"/>
          <c:order val="0"/>
          <c:tx>
            <c:strRef>
              <c:f>'CG - MAIN'!$AU$17</c:f>
              <c:strCache>
                <c:ptCount val="1"/>
                <c:pt idx="0">
                  <c:v>Beras Japonica</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'CG - MAIN'!$AT$17:$AU$17</c:f>
              <c:numCache>
                <c:formatCode>General</c:formatCode>
                <c:ptCount val="2"/>
                <c:pt idx="0" formatCode="0">
                  <c:v>91822.105800000019</c:v>
                </c:pt>
                <c:pt idx="1">
                  <c:v>0</c:v>
                </c:pt>
              </c:numCache>
            </c:numRef>
          </c:val>
          <c:extLst>
            <c:ext xmlns:c16="http://schemas.microsoft.com/office/drawing/2014/chart" uri="{C3380CC4-5D6E-409C-BE32-E72D297353CC}">
              <c16:uniqueId val="{00000000-6077-484A-989A-EC3EE25597B7}"/>
            </c:ext>
          </c:extLst>
        </c:ser>
        <c:ser>
          <c:idx val="1"/>
          <c:order val="1"/>
          <c:tx>
            <c:strRef>
              <c:f>'CG - MAIN'!$AU$18</c:f>
              <c:strCache>
                <c:ptCount val="1"/>
                <c:pt idx="0">
                  <c:v>Beef Brisket / Short Plate                </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'CG - MAIN'!$AT$18:$AU$18</c:f>
              <c:numCache>
                <c:formatCode>General</c:formatCode>
                <c:ptCount val="2"/>
                <c:pt idx="0" formatCode="0">
                  <c:v>91777.997699999993</c:v>
                </c:pt>
                <c:pt idx="1">
                  <c:v>0</c:v>
                </c:pt>
              </c:numCache>
            </c:numRef>
          </c:val>
          <c:extLst>
            <c:ext xmlns:c16="http://schemas.microsoft.com/office/drawing/2014/chart" uri="{C3380CC4-5D6E-409C-BE32-E72D297353CC}">
              <c16:uniqueId val="{00000001-6077-484A-989A-EC3EE25597B7}"/>
            </c:ext>
          </c:extLst>
        </c:ser>
        <c:ser>
          <c:idx val="2"/>
          <c:order val="2"/>
          <c:tx>
            <c:strRef>
              <c:f>'CG - MAIN'!$AU$19</c:f>
              <c:strCache>
                <c:ptCount val="1"/>
                <c:pt idx="0">
                  <c:v>Teok </c:v>
                </c:pt>
              </c:strCache>
            </c:strRef>
          </c:tx>
          <c:spPr>
            <a:solidFill>
              <a:schemeClr val="accent3"/>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'CG - MAIN'!$AT$19:$AU$19</c:f>
              <c:numCache>
                <c:formatCode>General</c:formatCode>
                <c:ptCount val="2"/>
                <c:pt idx="0" formatCode="0">
                  <c:v>87320.004799999995</c:v>
                </c:pt>
                <c:pt idx="1">
                  <c:v>0</c:v>
                </c:pt>
              </c:numCache>
            </c:numRef>
          </c:val>
          <c:extLst>
            <c:ext xmlns:c16="http://schemas.microsoft.com/office/drawing/2014/chart" uri="{C3380CC4-5D6E-409C-BE32-E72D297353CC}">
              <c16:uniqueId val="{00000002-6077-484A-989A-EC3EE25597B7}"/>
            </c:ext>
          </c:extLst>
        </c:ser>
        <c:ser>
          <c:idx val="3"/>
          <c:order val="3"/>
          <c:tx>
            <c:strRef>
              <c:f>'CG - MAIN'!$AU$20</c:f>
              <c:strCache>
                <c:ptCount val="1"/>
                <c:pt idx="0">
                  <c:v>KAARAGE GARLIC MINI</c:v>
                </c:pt>
              </c:strCache>
            </c:strRef>
          </c:tx>
          <c:spPr>
            <a:solidFill>
              <a:schemeClr val="accent4"/>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'CG - MAIN'!$AT$20:$AU$20</c:f>
              <c:numCache>
                <c:formatCode>General</c:formatCode>
                <c:ptCount val="2"/>
                <c:pt idx="0" formatCode="0">
                  <c:v>66605.005099999995</c:v>
                </c:pt>
                <c:pt idx="1">
                  <c:v>0</c:v>
                </c:pt>
              </c:numCache>
            </c:numRef>
          </c:val>
          <c:extLst>
            <c:ext xmlns:c16="http://schemas.microsoft.com/office/drawing/2014/chart" uri="{C3380CC4-5D6E-409C-BE32-E72D297353CC}">
              <c16:uniqueId val="{00000003-6077-484A-989A-EC3EE25597B7}"/>
            </c:ext>
          </c:extLst>
        </c:ser>
        <c:ser>
          <c:idx val="4"/>
          <c:order val="4"/>
          <c:tx>
            <c:strRef>
              <c:f>'CG - MAIN'!$AU$21</c:f>
              <c:strCache>
                <c:ptCount val="1"/>
                <c:pt idx="0">
                  <c:v>Telur Utuh</c:v>
                </c:pt>
              </c:strCache>
            </c:strRef>
          </c:tx>
          <c:spPr>
            <a:solidFill>
              <a:schemeClr val="accent5"/>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'CG - MAIN'!$AT$21:$AU$21</c:f>
              <c:numCache>
                <c:formatCode>General</c:formatCode>
                <c:ptCount val="2"/>
                <c:pt idx="0" formatCode="0">
                  <c:v>57186.006499999996</c:v>
                </c:pt>
                <c:pt idx="1">
                  <c:v>0</c:v>
                </c:pt>
              </c:numCache>
            </c:numRef>
          </c:val>
          <c:extLst>
            <c:ext xmlns:c16="http://schemas.microsoft.com/office/drawing/2014/chart" uri="{C3380CC4-5D6E-409C-BE32-E72D297353CC}">
              <c16:uniqueId val="{00000004-6077-484A-989A-EC3EE25597B7}"/>
            </c:ext>
          </c:extLst>
        </c:ser>
        <c:ser>
          <c:idx val="5"/>
          <c:order val="5"/>
          <c:tx>
            <c:strRef>
              <c:f>'CG - MAIN'!$AU$22</c:f>
              <c:strCache>
                <c:ptCount val="1"/>
                <c:pt idx="0">
                  <c:v>MANDU 24 PCS/PACK</c:v>
                </c:pt>
              </c:strCache>
            </c:strRef>
          </c:tx>
          <c:spPr>
            <a:solidFill>
              <a:schemeClr val="accent6"/>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'CG - MAIN'!$AT$22:$AU$22</c:f>
              <c:numCache>
                <c:formatCode>General</c:formatCode>
                <c:ptCount val="2"/>
                <c:pt idx="0" formatCode="0">
                  <c:v>9.7999999999999997E-3</c:v>
                </c:pt>
                <c:pt idx="1">
                  <c:v>0</c:v>
                </c:pt>
              </c:numCache>
            </c:numRef>
          </c:val>
          <c:extLst>
            <c:ext xmlns:c16="http://schemas.microsoft.com/office/drawing/2014/chart" uri="{C3380CC4-5D6E-409C-BE32-E72D297353CC}">
              <c16:uniqueId val="{00000005-6077-484A-989A-EC3EE25597B7}"/>
            </c:ext>
          </c:extLst>
        </c:ser>
        <c:ser>
          <c:idx val="6"/>
          <c:order val="6"/>
          <c:tx>
            <c:strRef>
              <c:f>'CG - MAIN'!$AU$23</c:f>
              <c:strCache>
                <c:ptCount val="1"/>
                <c:pt idx="0">
                  <c:v>	WIP Daun Bawang Cung</c:v>
                </c:pt>
              </c:strCache>
            </c:strRef>
          </c:tx>
          <c:spPr>
            <a:solidFill>
              <a:schemeClr val="accent1">
                <a:lumMod val="6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'CG - MAIN'!$AT$23:$AU$23</c:f>
              <c:numCache>
                <c:formatCode>General</c:formatCode>
                <c:ptCount val="2"/>
                <c:pt idx="0" formatCode="0">
                  <c:v>9.9000000000000008E-3</c:v>
                </c:pt>
                <c:pt idx="1">
                  <c:v>0</c:v>
                </c:pt>
              </c:numCache>
            </c:numRef>
          </c:val>
          <c:extLst>
            <c:ext xmlns:c16="http://schemas.microsoft.com/office/drawing/2014/chart" uri="{C3380CC4-5D6E-409C-BE32-E72D297353CC}">
              <c16:uniqueId val="{00000006-6077-484A-989A-EC3EE25597B7}"/>
            </c:ext>
          </c:extLst>
        </c:ser>
        <c:ser>
          <c:idx val="7"/>
          <c:order val="7"/>
          <c:tx>
            <c:strRef>
              <c:f>'CG - MAIN'!$AU$24</c:f>
              <c:strCache>
                <c:ptCount val="1"/>
                <c:pt idx="0">
                  <c:v>Beras Hitam (Mlatiharjo)</c:v>
                </c:pt>
              </c:strCache>
            </c:strRef>
          </c:tx>
          <c:spPr>
            <a:solidFill>
              <a:schemeClr val="accent2">
                <a:lumMod val="6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'CG - MAIN'!$AT$24:$AU$24</c:f>
              <c:numCache>
                <c:formatCode>General</c:formatCode>
                <c:ptCount val="2"/>
                <c:pt idx="0" formatCode="0">
                  <c:v>0.01</c:v>
                </c:pt>
                <c:pt idx="1">
                  <c:v>0</c:v>
                </c:pt>
              </c:numCache>
            </c:numRef>
          </c:val>
          <c:extLst>
            <c:ext xmlns:c16="http://schemas.microsoft.com/office/drawing/2014/chart" uri="{C3380CC4-5D6E-409C-BE32-E72D297353CC}">
              <c16:uniqueId val="{00000007-6077-484A-989A-EC3EE25597B7}"/>
            </c:ext>
          </c:extLst>
        </c:ser>
        <c:ser>
          <c:idx val="8"/>
          <c:order val="8"/>
          <c:tx>
            <c:strRef>
              <c:f>'CG - MAIN'!$AU$25</c:f>
              <c:strCache>
                <c:ptCount val="1"/>
                <c:pt idx="0">
                  <c:v>Seaweed (DRY)</c:v>
                </c:pt>
              </c:strCache>
            </c:strRef>
          </c:tx>
          <c:spPr>
            <a:solidFill>
              <a:schemeClr val="accent3">
                <a:lumMod val="6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'CG - MAIN'!$AT$25:$AU$25</c:f>
              <c:numCache>
                <c:formatCode>General</c:formatCode>
                <c:ptCount val="2"/>
                <c:pt idx="0" formatCode="0">
                  <c:v>1.01E-2</c:v>
                </c:pt>
                <c:pt idx="1">
                  <c:v>0</c:v>
                </c:pt>
              </c:numCache>
            </c:numRef>
          </c:val>
          <c:extLst>
            <c:ext xmlns:c16="http://schemas.microsoft.com/office/drawing/2014/chart" uri="{C3380CC4-5D6E-409C-BE32-E72D297353CC}">
              <c16:uniqueId val="{00000008-6077-484A-989A-EC3EE25597B7}"/>
            </c:ext>
          </c:extLst>
        </c:ser>
        <c:ser>
          <c:idx val="9"/>
          <c:order val="9"/>
          <c:tx>
            <c:strRef>
              <c:f>'CG - MAIN'!$AU$26</c:f>
              <c:strCache>
                <c:ptCount val="1"/>
                <c:pt idx="0">
                  <c:v>MACARONI</c:v>
                </c:pt>
              </c:strCache>
            </c:strRef>
          </c:tx>
          <c:spPr>
            <a:solidFill>
              <a:schemeClr val="accent4">
                <a:lumMod val="6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'CG - MAIN'!$AT$26:$AU$26</c:f>
              <c:numCache>
                <c:formatCode>General</c:formatCode>
                <c:ptCount val="2"/>
                <c:pt idx="0" formatCode="0">
                  <c:v>1.04E-2</c:v>
                </c:pt>
                <c:pt idx="1">
                  <c:v>0</c:v>
                </c:pt>
              </c:numCache>
            </c:numRef>
          </c:val>
          <c:extLst>
            <c:ext xmlns:c16="http://schemas.microsoft.com/office/drawing/2014/chart" uri="{C3380CC4-5D6E-409C-BE32-E72D297353CC}">
              <c16:uniqueId val="{00000009-6077-484A-989A-EC3EE25597B7}"/>
            </c:ext>
          </c:extLst>
        </c:ser>
        <c:dLbls>
          <c:showLegendKey val="0"/>
          <c:showVal val="1"/>
          <c:showCatName val="0"/>
          <c:showSerName val="0"/>
          <c:showPercent val="0"/>
          <c:showBubbleSize val="0"/>
        </c:dLbls>
        <c:gapWidth val="150"/>
        <c:shape val="box"/>
        <c:axId val="1256228751"/>
        <c:axId val="1256229583"/>
        <c:axId val="0"/>
      </c:bar3DChart>
      <c:catAx>
        <c:axId val="1256228751"/>
        <c:scaling>
          <c:orientation val="minMax"/>
        </c:scaling>
        <c:delete val="1"/>
        <c:axPos val="l"/>
        <c:numFmt formatCode="General" sourceLinked="1"/>
        <c:majorTickMark val="none"/>
        <c:minorTickMark val="none"/>
        <c:tickLblPos val="nextTo"/>
        <c:crossAx val="1256229583"/>
        <c:crosses val="autoZero"/>
        <c:auto val="1"/>
        <c:lblAlgn val="ctr"/>
        <c:lblOffset val="100"/>
        <c:noMultiLvlLbl val="0"/>
      </c:catAx>
      <c:valAx>
        <c:axId val="1256229583"/>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6228751"/>
        <c:crosses val="autoZero"/>
        <c:crossBetween val="between"/>
      </c:valAx>
      <c:spPr>
        <a:noFill/>
        <a:ln>
          <a:noFill/>
        </a:ln>
        <a:effectLst/>
      </c:spPr>
    </c:plotArea>
    <c:legend>
      <c:legendPos val="b"/>
      <c:layout>
        <c:manualLayout>
          <c:xMode val="edge"/>
          <c:yMode val="edge"/>
          <c:x val="3.5121090341174839E-2"/>
          <c:y val="0.67518610783224742"/>
          <c:w val="0.9332924301855211"/>
          <c:h val="0.2977462454296704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A026A5B-DFF5-428F-8C2B-F07212A27299}">
  <sheetPr codeName="Chart1"/>
  <sheetViews>
    <sheetView zoomScale="60"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editAs="oneCell">
    <xdr:from>
      <xdr:col>15</xdr:col>
      <xdr:colOff>1534584</xdr:colOff>
      <xdr:row>0</xdr:row>
      <xdr:rowOff>95250</xdr:rowOff>
    </xdr:from>
    <xdr:to>
      <xdr:col>20</xdr:col>
      <xdr:colOff>878418</xdr:colOff>
      <xdr:row>14</xdr:row>
      <xdr:rowOff>317500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20</xdr:col>
      <xdr:colOff>1079500</xdr:colOff>
      <xdr:row>0</xdr:row>
      <xdr:rowOff>126998</xdr:rowOff>
    </xdr:from>
    <xdr:to>
      <xdr:col>27</xdr:col>
      <xdr:colOff>52914</xdr:colOff>
      <xdr:row>14</xdr:row>
      <xdr:rowOff>328084</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298450</xdr:colOff>
          <xdr:row>15</xdr:row>
          <xdr:rowOff>76200</xdr:rowOff>
        </xdr:from>
        <xdr:to>
          <xdr:col>15</xdr:col>
          <xdr:colOff>1841500</xdr:colOff>
          <xdr:row>16</xdr:row>
          <xdr:rowOff>107950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D" sz="1100" b="1" i="0" u="none" strike="noStrike" baseline="0">
                  <a:solidFill>
                    <a:srgbClr val="000000"/>
                  </a:solidFill>
                  <a:latin typeface="Calibri"/>
                  <a:ea typeface="Calibri"/>
                  <a:cs typeface="Calibri"/>
                </a:rPr>
                <a:t>Reset Total_Penjualan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266700</xdr:colOff>
          <xdr:row>17</xdr:row>
          <xdr:rowOff>76200</xdr:rowOff>
        </xdr:from>
        <xdr:to>
          <xdr:col>15</xdr:col>
          <xdr:colOff>1841500</xdr:colOff>
          <xdr:row>20</xdr:row>
          <xdr:rowOff>31750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D" sz="1100" b="1" i="0" u="none" strike="noStrike" baseline="0">
                  <a:solidFill>
                    <a:srgbClr val="000000"/>
                  </a:solidFill>
                  <a:latin typeface="Calibri"/>
                  <a:ea typeface="Calibri"/>
                  <a:cs typeface="Calibri"/>
                </a:rPr>
                <a:t>Center_Button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508000</xdr:colOff>
          <xdr:row>15</xdr:row>
          <xdr:rowOff>31750</xdr:rowOff>
        </xdr:from>
        <xdr:to>
          <xdr:col>34</xdr:col>
          <xdr:colOff>508000</xdr:colOff>
          <xdr:row>15</xdr:row>
          <xdr:rowOff>482600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D" sz="1100" b="0" i="0" u="none" strike="noStrike" baseline="0">
                  <a:solidFill>
                    <a:srgbClr val="000000"/>
                  </a:solidFill>
                  <a:latin typeface="Calibri"/>
                  <a:ea typeface="Calibri"/>
                  <a:cs typeface="Calibri"/>
                </a:rPr>
                <a:t>RESET  TOTAL_PENJUALAN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501650</xdr:colOff>
          <xdr:row>16</xdr:row>
          <xdr:rowOff>114300</xdr:rowOff>
        </xdr:from>
        <xdr:to>
          <xdr:col>34</xdr:col>
          <xdr:colOff>501650</xdr:colOff>
          <xdr:row>19</xdr:row>
          <xdr:rowOff>19050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D" sz="1100" b="0" i="0" u="none" strike="noStrike" baseline="0">
                  <a:solidFill>
                    <a:srgbClr val="000000"/>
                  </a:solidFill>
                  <a:latin typeface="Calibri"/>
                  <a:ea typeface="Calibri"/>
                  <a:cs typeface="Calibri"/>
                </a:rPr>
                <a:t>RESET STOCK_TERSEDIA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514350</xdr:colOff>
          <xdr:row>20</xdr:row>
          <xdr:rowOff>38100</xdr:rowOff>
        </xdr:from>
        <xdr:to>
          <xdr:col>34</xdr:col>
          <xdr:colOff>501650</xdr:colOff>
          <xdr:row>23</xdr:row>
          <xdr:rowOff>6350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D" sz="1100" b="0" i="0" u="none" strike="noStrike" baseline="0">
                  <a:solidFill>
                    <a:srgbClr val="000000"/>
                  </a:solidFill>
                  <a:latin typeface="Calibri"/>
                  <a:ea typeface="Calibri"/>
                  <a:cs typeface="Calibri"/>
                </a:rPr>
                <a:t>RESET BUFFER_STOCK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222250</xdr:colOff>
          <xdr:row>21</xdr:row>
          <xdr:rowOff>12700</xdr:rowOff>
        </xdr:from>
        <xdr:to>
          <xdr:col>15</xdr:col>
          <xdr:colOff>1841500</xdr:colOff>
          <xdr:row>24</xdr:row>
          <xdr:rowOff>31750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D" sz="1100" b="1" i="0" u="none" strike="noStrike" baseline="0">
                  <a:solidFill>
                    <a:srgbClr val="000000"/>
                  </a:solidFill>
                  <a:latin typeface="Calibri"/>
                  <a:ea typeface="Calibri"/>
                  <a:cs typeface="Calibri"/>
                </a:rPr>
                <a:t>get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241300</xdr:colOff>
          <xdr:row>27</xdr:row>
          <xdr:rowOff>127000</xdr:rowOff>
        </xdr:from>
        <xdr:to>
          <xdr:col>15</xdr:col>
          <xdr:colOff>1809750</xdr:colOff>
          <xdr:row>30</xdr:row>
          <xdr:rowOff>139700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D" sz="1100" b="1" i="0" u="none" strike="noStrike" baseline="0">
                  <a:solidFill>
                    <a:srgbClr val="000000"/>
                  </a:solidFill>
                  <a:latin typeface="Calibri"/>
                  <a:ea typeface="Calibri"/>
                  <a:cs typeface="Calibri"/>
                </a:rPr>
                <a:t>print out penggunaan estimasi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254000</xdr:colOff>
          <xdr:row>31</xdr:row>
          <xdr:rowOff>158750</xdr:rowOff>
        </xdr:from>
        <xdr:to>
          <xdr:col>15</xdr:col>
          <xdr:colOff>1778000</xdr:colOff>
          <xdr:row>34</xdr:row>
          <xdr:rowOff>146050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D" sz="1100" b="1" i="0" u="none" strike="noStrike" baseline="0">
                  <a:solidFill>
                    <a:srgbClr val="000000"/>
                  </a:solidFill>
                  <a:latin typeface="Calibri"/>
                  <a:ea typeface="Calibri"/>
                  <a:cs typeface="Calibri"/>
                </a:rPr>
                <a:t>masukkan data ke form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260350</xdr:colOff>
          <xdr:row>35</xdr:row>
          <xdr:rowOff>177800</xdr:rowOff>
        </xdr:from>
        <xdr:to>
          <xdr:col>15</xdr:col>
          <xdr:colOff>1765300</xdr:colOff>
          <xdr:row>38</xdr:row>
          <xdr:rowOff>171450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D" sz="1100" b="1" i="0" u="none" strike="noStrike" baseline="0">
                  <a:solidFill>
                    <a:srgbClr val="000000"/>
                  </a:solidFill>
                  <a:latin typeface="Calibri"/>
                  <a:ea typeface="Calibri"/>
                  <a:cs typeface="Calibri"/>
                </a:rPr>
                <a:t>print out PDF form order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50800</xdr:colOff>
          <xdr:row>24</xdr:row>
          <xdr:rowOff>82550</xdr:rowOff>
        </xdr:from>
        <xdr:to>
          <xdr:col>15</xdr:col>
          <xdr:colOff>1892300</xdr:colOff>
          <xdr:row>27</xdr:row>
          <xdr:rowOff>82550</xdr:rowOff>
        </xdr:to>
        <xdr:sp macro="" textlink="">
          <xdr:nvSpPr>
            <xdr:cNvPr id="1039" name="ProgressLabel"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2</xdr:col>
      <xdr:colOff>279400</xdr:colOff>
      <xdr:row>2</xdr:row>
      <xdr:rowOff>139700</xdr:rowOff>
    </xdr:from>
    <xdr:to>
      <xdr:col>5</xdr:col>
      <xdr:colOff>190500</xdr:colOff>
      <xdr:row>16</xdr:row>
      <xdr:rowOff>73025</xdr:rowOff>
    </xdr:to>
    <mc:AlternateContent xmlns:mc="http://schemas.openxmlformats.org/markup-compatibility/2006" xmlns:sle15="http://schemas.microsoft.com/office/drawing/2012/slicer">
      <mc:Choice Requires="sle15">
        <xdr:graphicFrame macro="">
          <xdr:nvGraphicFramePr>
            <xdr:cNvPr id="2" name="Item Code">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Item Code"/>
            </a:graphicData>
          </a:graphic>
        </xdr:graphicFrame>
      </mc:Choice>
      <mc:Fallback xmlns="">
        <xdr:sp macro="" textlink="">
          <xdr:nvSpPr>
            <xdr:cNvPr id="0" name=""/>
            <xdr:cNvSpPr>
              <a:spLocks noTextEdit="1"/>
            </xdr:cNvSpPr>
          </xdr:nvSpPr>
          <xdr:spPr>
            <a:xfrm>
              <a:off x="4997450" y="508000"/>
              <a:ext cx="1828800" cy="2524125"/>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285750</xdr:colOff>
      <xdr:row>2</xdr:row>
      <xdr:rowOff>177800</xdr:rowOff>
    </xdr:from>
    <xdr:to>
      <xdr:col>8</xdr:col>
      <xdr:colOff>590550</xdr:colOff>
      <xdr:row>9</xdr:row>
      <xdr:rowOff>63499</xdr:rowOff>
    </xdr:to>
    <mc:AlternateContent xmlns:mc="http://schemas.openxmlformats.org/markup-compatibility/2006" xmlns:sle15="http://schemas.microsoft.com/office/drawing/2012/slicer">
      <mc:Choice Requires="sle15">
        <xdr:graphicFrame macro="">
          <xdr:nvGraphicFramePr>
            <xdr:cNvPr id="3" name="Item Name">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0/slicer">
              <sle:slicer xmlns:sle="http://schemas.microsoft.com/office/drawing/2010/slicer" name="Item Name"/>
            </a:graphicData>
          </a:graphic>
        </xdr:graphicFrame>
      </mc:Choice>
      <mc:Fallback xmlns="">
        <xdr:sp macro="" textlink="">
          <xdr:nvSpPr>
            <xdr:cNvPr id="0" name=""/>
            <xdr:cNvSpPr>
              <a:spLocks noTextEdit="1"/>
            </xdr:cNvSpPr>
          </xdr:nvSpPr>
          <xdr:spPr>
            <a:xfrm>
              <a:off x="6921500" y="546100"/>
              <a:ext cx="4381500" cy="1187449"/>
            </a:xfrm>
            <a:prstGeom prst="rect">
              <a:avLst/>
            </a:prstGeom>
            <a:solidFill>
              <a:prstClr val="white"/>
            </a:solidFill>
            <a:ln w="1">
              <a:solidFill>
                <a:prstClr val="green"/>
              </a:solidFill>
            </a:ln>
          </xdr:spPr>
          <xdr:txBody>
            <a:bodyPr vertOverflow="clip" horzOverflow="clip"/>
            <a:lstStyle/>
            <a:p>
              <a:r>
                <a:rPr lang="en-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PPIC-TARA\Desktop\OUTLET%20FORM%20ORDER\FORM%20ORDER%20-%20TEMPLATE\TEMPLATE%20FORM%20SR%20BRAND%20CHADOL%20UPDATE_14%20OKTOBER%2020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K"/>
      <sheetName val="WH"/>
      <sheetName val="MASTER UOM"/>
      <sheetName val="MASTER ITEM"/>
      <sheetName val="DO WH"/>
      <sheetName val="DO CK"/>
    </sheetNames>
    <sheetDataSet>
      <sheetData sheetId="0"/>
      <sheetData sheetId="1"/>
      <sheetData sheetId="2"/>
      <sheetData sheetId="3">
        <row r="2">
          <cell r="F2" t="str">
            <v>PKG00008</v>
          </cell>
          <cell r="G2" t="str">
            <v>SAUCE CUP TUTUP SAMBUNG 35 ML (50 PCS)</v>
          </cell>
          <cell r="H2">
            <v>165</v>
          </cell>
          <cell r="I2">
            <v>0</v>
          </cell>
          <cell r="J2">
            <v>0</v>
          </cell>
          <cell r="K2" t="str">
            <v>pcs</v>
          </cell>
          <cell r="L2" t="str">
            <v>kelipatan order 50 pcs</v>
          </cell>
        </row>
        <row r="3">
          <cell r="F3" t="str">
            <v>PKG00051</v>
          </cell>
          <cell r="G3" t="str">
            <v>CUP PLASTIK 16R (K-DRINK) 1000 PCS</v>
          </cell>
          <cell r="H3">
            <v>0</v>
          </cell>
          <cell r="I3">
            <v>0</v>
          </cell>
          <cell r="J3">
            <v>0</v>
          </cell>
          <cell r="K3" t="str">
            <v>pcs</v>
          </cell>
          <cell r="L3" t="str">
            <v>kelipatan order 50 pcs</v>
          </cell>
        </row>
        <row r="4">
          <cell r="F4" t="str">
            <v>PKG00052</v>
          </cell>
          <cell r="G4" t="str">
            <v>LID FLAT CUP 93mm 1000 PCS</v>
          </cell>
          <cell r="H4">
            <v>0</v>
          </cell>
          <cell r="I4">
            <v>0</v>
          </cell>
          <cell r="J4">
            <v>0</v>
          </cell>
          <cell r="K4" t="str">
            <v>pcs</v>
          </cell>
          <cell r="L4" t="str">
            <v>kelipatan order 50 pcs</v>
          </cell>
        </row>
        <row r="5">
          <cell r="F5" t="str">
            <v>CETS0026</v>
          </cell>
          <cell r="G5" t="str">
            <v>PLASTIK SAMPAH 90 x 120 (5 LEMBAR)</v>
          </cell>
          <cell r="H5">
            <v>1349</v>
          </cell>
          <cell r="I5">
            <v>0</v>
          </cell>
          <cell r="J5">
            <v>0</v>
          </cell>
          <cell r="K5" t="str">
            <v>pack</v>
          </cell>
          <cell r="L5" t="str">
            <v>kelipatan order 5 pack</v>
          </cell>
        </row>
        <row r="6">
          <cell r="F6" t="str">
            <v>NCGK0001</v>
          </cell>
          <cell r="G6" t="str">
            <v>PLASTIK PE 2 KG 20 x 35 (Kitchen)</v>
          </cell>
          <cell r="H6">
            <v>0</v>
          </cell>
          <cell r="I6">
            <v>0</v>
          </cell>
          <cell r="J6">
            <v>0</v>
          </cell>
          <cell r="K6" t="str">
            <v>pack</v>
          </cell>
          <cell r="L6" t="str">
            <v>kelipatan order 5 pack</v>
          </cell>
        </row>
        <row r="7">
          <cell r="F7" t="str">
            <v>NCGK0003</v>
          </cell>
          <cell r="G7" t="str">
            <v>PLASTIK PE 1 KG 15 x 30</v>
          </cell>
          <cell r="H7">
            <v>115.7895</v>
          </cell>
          <cell r="I7">
            <v>0</v>
          </cell>
          <cell r="J7">
            <v>0</v>
          </cell>
          <cell r="K7" t="str">
            <v>pack</v>
          </cell>
          <cell r="L7" t="str">
            <v>kelipatan order 5 pack</v>
          </cell>
        </row>
        <row r="8">
          <cell r="F8" t="str">
            <v>NCGK0008</v>
          </cell>
          <cell r="G8" t="str">
            <v>PLASTIK PE 1/4 KG 10x20</v>
          </cell>
          <cell r="H8">
            <v>47.619</v>
          </cell>
          <cell r="I8">
            <v>0</v>
          </cell>
          <cell r="J8">
            <v>0</v>
          </cell>
          <cell r="K8" t="str">
            <v>pack</v>
          </cell>
          <cell r="L8" t="str">
            <v>kelipatan order 5 pack</v>
          </cell>
        </row>
        <row r="9">
          <cell r="F9" t="str">
            <v>FSS00010</v>
          </cell>
          <cell r="G9" t="str">
            <v>BLACK SESAME OIL 5 L</v>
          </cell>
          <cell r="H9">
            <v>170000</v>
          </cell>
          <cell r="I9">
            <v>0</v>
          </cell>
          <cell r="J9">
            <v>0</v>
          </cell>
          <cell r="K9" t="str">
            <v>liter</v>
          </cell>
          <cell r="L9" t="str">
            <v>kelipatan order 5 liter</v>
          </cell>
        </row>
        <row r="10">
          <cell r="F10" t="str">
            <v>PKG00014</v>
          </cell>
          <cell r="G10" t="str">
            <v>STICKER GIMBAP</v>
          </cell>
          <cell r="H10">
            <v>240</v>
          </cell>
          <cell r="I10">
            <v>0</v>
          </cell>
          <cell r="J10">
            <v>0</v>
          </cell>
          <cell r="K10" t="str">
            <v>pcs</v>
          </cell>
          <cell r="L10" t="str">
            <v>kelipatan order 48 pcs</v>
          </cell>
        </row>
        <row r="11">
          <cell r="F11" t="str">
            <v>NCGS0001</v>
          </cell>
          <cell r="G11" t="str">
            <v>TISSUE COCKTAIL NAPKIN 11x11 (48 PACK)</v>
          </cell>
          <cell r="H11">
            <v>4604.125</v>
          </cell>
          <cell r="I11">
            <v>0</v>
          </cell>
          <cell r="J11">
            <v>0</v>
          </cell>
          <cell r="K11" t="str">
            <v>pack</v>
          </cell>
          <cell r="L11" t="str">
            <v>kelipatan order 48 pack/ctn</v>
          </cell>
        </row>
        <row r="12">
          <cell r="F12" t="str">
            <v>FSS00007</v>
          </cell>
          <cell r="G12" t="str">
            <v>CAPSICUM CHILI OIL 30 G</v>
          </cell>
          <cell r="H12">
            <v>0</v>
          </cell>
          <cell r="I12">
            <v>0</v>
          </cell>
          <cell r="J12">
            <v>0</v>
          </cell>
          <cell r="K12" t="str">
            <v>gr</v>
          </cell>
          <cell r="L12" t="str">
            <v>kelipatan order 30 gr</v>
          </cell>
        </row>
        <row r="13">
          <cell r="F13" t="str">
            <v>FSP00002</v>
          </cell>
          <cell r="G13" t="str">
            <v>DOENJANG PASTE 1 KG</v>
          </cell>
          <cell r="H13">
            <v>25400</v>
          </cell>
          <cell r="I13">
            <v>0</v>
          </cell>
          <cell r="J13">
            <v>0</v>
          </cell>
          <cell r="K13" t="str">
            <v>kg</v>
          </cell>
          <cell r="L13" t="str">
            <v>kelipatan order 3 kg</v>
          </cell>
        </row>
        <row r="14">
          <cell r="F14" t="str">
            <v>FSP00013</v>
          </cell>
          <cell r="G14" t="str">
            <v>SAMJANG PASTE 3 KG</v>
          </cell>
          <cell r="H14">
            <v>0</v>
          </cell>
          <cell r="I14">
            <v>0</v>
          </cell>
          <cell r="J14">
            <v>0</v>
          </cell>
          <cell r="K14" t="str">
            <v>kg</v>
          </cell>
          <cell r="L14" t="str">
            <v>kelipatan order 3 kg</v>
          </cell>
        </row>
        <row r="15">
          <cell r="F15" t="str">
            <v>CECM0022</v>
          </cell>
          <cell r="G15" t="str">
            <v>RACUN LALAT</v>
          </cell>
          <cell r="H15">
            <v>0</v>
          </cell>
          <cell r="I15">
            <v>0</v>
          </cell>
          <cell r="J15">
            <v>0</v>
          </cell>
          <cell r="K15" t="str">
            <v>pcs</v>
          </cell>
          <cell r="L15" t="str">
            <v>kelipatan order 25 pcs</v>
          </cell>
        </row>
        <row r="16">
          <cell r="F16" t="str">
            <v>PKG00010</v>
          </cell>
          <cell r="G16" t="str">
            <v>SENDOK TAKE AWAY PACK @ 25 PCS</v>
          </cell>
          <cell r="H16">
            <v>140</v>
          </cell>
          <cell r="I16">
            <v>0</v>
          </cell>
          <cell r="J16">
            <v>0</v>
          </cell>
          <cell r="K16" t="str">
            <v>pcs</v>
          </cell>
          <cell r="L16" t="str">
            <v>kelipatan order 25 pcs</v>
          </cell>
        </row>
        <row r="17">
          <cell r="F17" t="str">
            <v>FSP00012</v>
          </cell>
          <cell r="G17" t="str">
            <v>SAMBAL EXTRA PEDAS DEL MONTE @24 SACHET</v>
          </cell>
          <cell r="H17">
            <v>0</v>
          </cell>
          <cell r="I17">
            <v>0</v>
          </cell>
          <cell r="J17">
            <v>0</v>
          </cell>
          <cell r="K17" t="str">
            <v>pcs</v>
          </cell>
          <cell r="L17" t="str">
            <v>kelipatan order 24 pcs</v>
          </cell>
        </row>
        <row r="18">
          <cell r="F18" t="str">
            <v>PKG00003</v>
          </cell>
          <cell r="G18" t="str">
            <v>GREASE PAPER LAMINATED 33x33</v>
          </cell>
          <cell r="H18">
            <v>578</v>
          </cell>
          <cell r="I18">
            <v>0</v>
          </cell>
          <cell r="J18">
            <v>0</v>
          </cell>
          <cell r="K18" t="str">
            <v>pcs</v>
          </cell>
          <cell r="L18" t="str">
            <v>kelipatan order 2000 pcs</v>
          </cell>
        </row>
        <row r="19">
          <cell r="F19" t="str">
            <v>NCGK0006</v>
          </cell>
          <cell r="G19" t="str">
            <v>TISSUE SEE-U HANDTOWELS @ 20 PACK</v>
          </cell>
          <cell r="H19">
            <v>6355.75</v>
          </cell>
          <cell r="I19">
            <v>0</v>
          </cell>
          <cell r="J19">
            <v>0</v>
          </cell>
          <cell r="K19" t="str">
            <v>pack</v>
          </cell>
          <cell r="L19" t="str">
            <v>kelipatan order 20 pack/ctn</v>
          </cell>
        </row>
        <row r="20">
          <cell r="F20" t="str">
            <v>FSS00004</v>
          </cell>
          <cell r="G20" t="str">
            <v>JIN GANJANG (SOY SAUCE) 13 L</v>
          </cell>
          <cell r="H20">
            <v>25000</v>
          </cell>
          <cell r="I20">
            <v>0</v>
          </cell>
          <cell r="J20">
            <v>0</v>
          </cell>
          <cell r="K20" t="str">
            <v>liter</v>
          </cell>
          <cell r="L20" t="str">
            <v>kelipatan order 13 L</v>
          </cell>
        </row>
        <row r="21">
          <cell r="F21" t="str">
            <v>PKG00009</v>
          </cell>
          <cell r="G21" t="str">
            <v>SUMPIT TAKE AWAY PACK @100 PCS</v>
          </cell>
          <cell r="H21">
            <v>285</v>
          </cell>
          <cell r="I21">
            <v>0</v>
          </cell>
          <cell r="J21">
            <v>0</v>
          </cell>
          <cell r="K21" t="str">
            <v>pcs</v>
          </cell>
          <cell r="L21" t="str">
            <v>kelipatan order 100 pcs</v>
          </cell>
        </row>
        <row r="22">
          <cell r="F22" t="str">
            <v>PKG00036</v>
          </cell>
          <cell r="G22" t="str">
            <v>BOX TAKE AWAY POLOS S @ 1000 PCS</v>
          </cell>
          <cell r="H22">
            <v>0</v>
          </cell>
          <cell r="I22">
            <v>0</v>
          </cell>
          <cell r="J22">
            <v>0</v>
          </cell>
          <cell r="K22" t="str">
            <v>pcs</v>
          </cell>
          <cell r="L22" t="str">
            <v>kelipatan order 100 pcs</v>
          </cell>
        </row>
        <row r="23">
          <cell r="F23" t="str">
            <v>PKG00037</v>
          </cell>
          <cell r="G23" t="str">
            <v>PAPER BOWL 800 ML LOGO CHADOL + LID</v>
          </cell>
          <cell r="H23">
            <v>0</v>
          </cell>
          <cell r="I23">
            <v>0</v>
          </cell>
          <cell r="J23">
            <v>0</v>
          </cell>
          <cell r="K23" t="str">
            <v>pcs</v>
          </cell>
          <cell r="L23" t="str">
            <v>kelipatan order 100 pcs</v>
          </cell>
        </row>
        <row r="24">
          <cell r="F24" t="str">
            <v>PKG00038</v>
          </cell>
          <cell r="G24" t="str">
            <v>PAKET SENDOK GARPU TISU STERILE (KHUSUS EVENT &amp; CATERING)</v>
          </cell>
          <cell r="H24">
            <v>1500</v>
          </cell>
          <cell r="I24">
            <v>0</v>
          </cell>
          <cell r="J24">
            <v>0</v>
          </cell>
          <cell r="K24" t="str">
            <v>pcs</v>
          </cell>
          <cell r="L24" t="str">
            <v>kelipatan order 100 pcs</v>
          </cell>
        </row>
        <row r="25">
          <cell r="F25" t="str">
            <v>PKG00039</v>
          </cell>
          <cell r="G25" t="str">
            <v>LUNCH BOX M LOGO CHADOL 160 X 90 X 45 mm</v>
          </cell>
          <cell r="H25">
            <v>0</v>
          </cell>
          <cell r="I25">
            <v>0</v>
          </cell>
          <cell r="J25">
            <v>0</v>
          </cell>
          <cell r="K25" t="str">
            <v>pcs</v>
          </cell>
          <cell r="L25" t="str">
            <v>kelipatan order 100 pcs</v>
          </cell>
        </row>
        <row r="26">
          <cell r="F26" t="str">
            <v>PKG00050</v>
          </cell>
          <cell r="G26" t="str">
            <v>GREASE PAPER NEWSPAPER 20 X 20CM</v>
          </cell>
          <cell r="H26">
            <v>0</v>
          </cell>
          <cell r="I26">
            <v>0</v>
          </cell>
          <cell r="J26">
            <v>0</v>
          </cell>
          <cell r="K26" t="str">
            <v>pcs</v>
          </cell>
          <cell r="L26" t="str">
            <v>kelipatan order 100 pcs</v>
          </cell>
        </row>
        <row r="27">
          <cell r="F27" t="str">
            <v>PKG00070</v>
          </cell>
          <cell r="G27" t="str">
            <v>GREASE PAPER NEWSPAPER 25 X 27.5</v>
          </cell>
          <cell r="H27">
            <v>0</v>
          </cell>
          <cell r="I27">
            <v>0</v>
          </cell>
          <cell r="J27">
            <v>0</v>
          </cell>
          <cell r="K27" t="str">
            <v>pcs</v>
          </cell>
          <cell r="L27" t="str">
            <v>kelipatan order 100 pcs</v>
          </cell>
        </row>
        <row r="28">
          <cell r="F28" t="str">
            <v>OTH00064</v>
          </cell>
          <cell r="G28" t="str">
            <v>LILIN MEJA / TEALIGHT</v>
          </cell>
          <cell r="H28">
            <v>0</v>
          </cell>
          <cell r="I28">
            <v>0</v>
          </cell>
          <cell r="J28">
            <v>0</v>
          </cell>
          <cell r="K28" t="str">
            <v>pcs</v>
          </cell>
          <cell r="L28" t="str">
            <v>kelipatan order 10 pcs</v>
          </cell>
        </row>
        <row r="29">
          <cell r="F29" t="str">
            <v>PKG00054</v>
          </cell>
          <cell r="G29" t="str">
            <v>PLASTIK KLIP 5 X 8 CM</v>
          </cell>
          <cell r="H29">
            <v>0</v>
          </cell>
          <cell r="I29">
            <v>0</v>
          </cell>
          <cell r="J29">
            <v>0</v>
          </cell>
          <cell r="K29" t="str">
            <v>pack</v>
          </cell>
          <cell r="L29" t="str">
            <v>kelipatan order 10 pack</v>
          </cell>
        </row>
        <row r="30">
          <cell r="F30" t="str">
            <v>NCGK0005</v>
          </cell>
          <cell r="G30" t="str">
            <v>CLING WRAP 45 x 50 @ 6 ROLL</v>
          </cell>
          <cell r="H30">
            <v>142080</v>
          </cell>
          <cell r="I30">
            <v>0</v>
          </cell>
          <cell r="J30">
            <v>0</v>
          </cell>
          <cell r="K30" t="str">
            <v>roll</v>
          </cell>
          <cell r="L30" t="str">
            <v>kelipatan order 1 roll</v>
          </cell>
        </row>
        <row r="31">
          <cell r="F31" t="str">
            <v>CETS0025</v>
          </cell>
          <cell r="G31" t="str">
            <v>PLASTIK SAMPAH 60 x 100 (10 LEMBAR)</v>
          </cell>
          <cell r="H31">
            <v>674.5</v>
          </cell>
          <cell r="I31">
            <v>0</v>
          </cell>
          <cell r="J31">
            <v>0</v>
          </cell>
          <cell r="K31" t="str">
            <v>pack</v>
          </cell>
          <cell r="L31" t="str">
            <v>kelipatan order 1 pack</v>
          </cell>
        </row>
        <row r="32">
          <cell r="F32" t="str">
            <v>CETS0027</v>
          </cell>
          <cell r="G32" t="str">
            <v>PLASTIK KRESEK HITAM 35 (Utk Tong Sampah)</v>
          </cell>
          <cell r="H32">
            <v>381.82</v>
          </cell>
          <cell r="I32">
            <v>0</v>
          </cell>
          <cell r="J32">
            <v>0</v>
          </cell>
          <cell r="K32" t="str">
            <v>pack</v>
          </cell>
          <cell r="L32" t="str">
            <v>kelipatan order 1 pack</v>
          </cell>
        </row>
        <row r="33">
          <cell r="F33" t="str">
            <v>NCG00018</v>
          </cell>
          <cell r="G33" t="str">
            <v>SARUNG TANGAN PELASTIK</v>
          </cell>
          <cell r="H33">
            <v>0</v>
          </cell>
          <cell r="I33">
            <v>0</v>
          </cell>
          <cell r="J33">
            <v>0</v>
          </cell>
          <cell r="K33" t="str">
            <v>pack</v>
          </cell>
          <cell r="L33" t="str">
            <v>kelipatan order 1 pack</v>
          </cell>
        </row>
        <row r="34">
          <cell r="F34" t="str">
            <v>NCGK0009</v>
          </cell>
          <cell r="G34" t="str">
            <v>PLASTIK PE 10 KG 40 x 60</v>
          </cell>
          <cell r="H34">
            <v>582.35289999999998</v>
          </cell>
          <cell r="I34">
            <v>0</v>
          </cell>
          <cell r="J34">
            <v>0</v>
          </cell>
          <cell r="K34" t="str">
            <v>pack</v>
          </cell>
          <cell r="L34" t="str">
            <v>kelipatan order 1 pack</v>
          </cell>
        </row>
        <row r="35">
          <cell r="F35" t="str">
            <v>NCGK0011</v>
          </cell>
          <cell r="G35" t="str">
            <v>HAND GLOVES NITRILE SIZE M</v>
          </cell>
          <cell r="H35">
            <v>390</v>
          </cell>
          <cell r="I35">
            <v>0</v>
          </cell>
          <cell r="J35">
            <v>0</v>
          </cell>
          <cell r="K35" t="str">
            <v>pack</v>
          </cell>
          <cell r="L35" t="str">
            <v>kelipatan order 1 pack</v>
          </cell>
        </row>
        <row r="36">
          <cell r="F36" t="str">
            <v>NCGK0012</v>
          </cell>
          <cell r="G36" t="str">
            <v>HAND GLOVES NITRILE SIZE L</v>
          </cell>
          <cell r="H36">
            <v>390</v>
          </cell>
          <cell r="I36">
            <v>0</v>
          </cell>
          <cell r="J36">
            <v>0</v>
          </cell>
          <cell r="K36" t="str">
            <v>pack</v>
          </cell>
          <cell r="L36" t="str">
            <v>kelipatan order 1 pack</v>
          </cell>
        </row>
        <row r="37">
          <cell r="F37" t="str">
            <v>NCGS0002</v>
          </cell>
          <cell r="G37" t="str">
            <v>TUSUK GIGI ION @ 500 PCS</v>
          </cell>
          <cell r="H37">
            <v>12388</v>
          </cell>
          <cell r="I37">
            <v>0</v>
          </cell>
          <cell r="J37">
            <v>0</v>
          </cell>
          <cell r="K37" t="str">
            <v>pack</v>
          </cell>
          <cell r="L37" t="str">
            <v>kelipatan order 1 pack</v>
          </cell>
        </row>
        <row r="38">
          <cell r="F38" t="str">
            <v>OTH00092</v>
          </cell>
          <cell r="G38" t="str">
            <v>KABEL TIES 10 CM</v>
          </cell>
          <cell r="H38">
            <v>0</v>
          </cell>
          <cell r="I38">
            <v>0</v>
          </cell>
          <cell r="J38">
            <v>0</v>
          </cell>
          <cell r="K38" t="str">
            <v>pack</v>
          </cell>
          <cell r="L38" t="str">
            <v>kelipatan order 1 pack</v>
          </cell>
        </row>
        <row r="39">
          <cell r="F39" t="str">
            <v>PKG00012</v>
          </cell>
          <cell r="G39" t="str">
            <v>PLASTIK TAKE AWAY 24</v>
          </cell>
          <cell r="H39">
            <v>314.81479999999999</v>
          </cell>
          <cell r="I39">
            <v>0</v>
          </cell>
          <cell r="J39">
            <v>0</v>
          </cell>
          <cell r="K39" t="str">
            <v>pack</v>
          </cell>
          <cell r="L39" t="str">
            <v>kelipatan order 1 pack</v>
          </cell>
        </row>
        <row r="40">
          <cell r="F40" t="str">
            <v>PKG00013</v>
          </cell>
          <cell r="G40" t="str">
            <v>PLASTIK TAKE AWAY 28</v>
          </cell>
          <cell r="H40">
            <v>459.45949999999999</v>
          </cell>
          <cell r="I40">
            <v>0</v>
          </cell>
          <cell r="J40">
            <v>0</v>
          </cell>
          <cell r="K40" t="str">
            <v>pack</v>
          </cell>
          <cell r="L40" t="str">
            <v>kelipatan order 1 pack</v>
          </cell>
        </row>
        <row r="41">
          <cell r="F41" t="str">
            <v>PKG00032</v>
          </cell>
          <cell r="G41" t="str">
            <v>PLASTIK HD 2 KG 20 x 35 (UTK TAKE AWAY)</v>
          </cell>
          <cell r="H41">
            <v>5099</v>
          </cell>
          <cell r="I41">
            <v>0</v>
          </cell>
          <cell r="J41">
            <v>0</v>
          </cell>
          <cell r="K41" t="str">
            <v>pack</v>
          </cell>
          <cell r="L41" t="str">
            <v>kelipatan order 1 pack</v>
          </cell>
        </row>
        <row r="42">
          <cell r="F42" t="str">
            <v>PKG00047</v>
          </cell>
          <cell r="G42" t="str">
            <v>STICKER BENTO BOX</v>
          </cell>
          <cell r="H42">
            <v>0</v>
          </cell>
          <cell r="I42">
            <v>0</v>
          </cell>
          <cell r="J42">
            <v>0</v>
          </cell>
          <cell r="K42" t="str">
            <v>lembar</v>
          </cell>
          <cell r="L42" t="str">
            <v>kelipatan order 1 lembar</v>
          </cell>
        </row>
        <row r="43">
          <cell r="F43" t="str">
            <v>STA00115</v>
          </cell>
          <cell r="G43" t="str">
            <v>STICKER SAUCE</v>
          </cell>
          <cell r="H43">
            <v>0</v>
          </cell>
          <cell r="I43">
            <v>0</v>
          </cell>
          <cell r="J43">
            <v>0</v>
          </cell>
          <cell r="K43" t="str">
            <v>lembar</v>
          </cell>
          <cell r="L43" t="str">
            <v>kelipatan order 1 lembar</v>
          </cell>
        </row>
        <row r="44">
          <cell r="F44" t="str">
            <v>BTP00003</v>
          </cell>
          <cell r="G44" t="str">
            <v>LEMON TEA NESTEA 1 KG</v>
          </cell>
          <cell r="H44">
            <v>65000</v>
          </cell>
          <cell r="I44">
            <v>0</v>
          </cell>
          <cell r="J44">
            <v>0</v>
          </cell>
          <cell r="K44" t="str">
            <v>kg</v>
          </cell>
          <cell r="L44" t="str">
            <v>kelipatan order 1 kg</v>
          </cell>
        </row>
        <row r="45">
          <cell r="F45" t="str">
            <v>FGR00025</v>
          </cell>
          <cell r="G45" t="str">
            <v>TEPUNG BUMBU (TWIGIM) BEKSUL 1 KG</v>
          </cell>
          <cell r="H45">
            <v>31203.21</v>
          </cell>
          <cell r="I45">
            <v>0</v>
          </cell>
          <cell r="J45">
            <v>0</v>
          </cell>
          <cell r="K45" t="str">
            <v>kg</v>
          </cell>
          <cell r="L45" t="str">
            <v>kelipatan order 1 kg</v>
          </cell>
        </row>
        <row r="46">
          <cell r="F46" t="str">
            <v>FGR00044</v>
          </cell>
          <cell r="G46" t="str">
            <v>NORI TABUR / SEASONED LAVER POWDER 1KG</v>
          </cell>
          <cell r="H46">
            <v>0</v>
          </cell>
          <cell r="I46">
            <v>0</v>
          </cell>
          <cell r="J46">
            <v>0</v>
          </cell>
          <cell r="K46" t="str">
            <v>kg</v>
          </cell>
          <cell r="L46" t="str">
            <v>kelipatan order 1 kg</v>
          </cell>
        </row>
        <row r="47">
          <cell r="F47" t="str">
            <v>FSP00007</v>
          </cell>
          <cell r="G47" t="str">
            <v>SAMBAL EXTRA PEDAS DEL MONTE 1 KG</v>
          </cell>
          <cell r="H47">
            <v>25500</v>
          </cell>
          <cell r="I47">
            <v>0</v>
          </cell>
          <cell r="J47">
            <v>0</v>
          </cell>
          <cell r="K47" t="str">
            <v>kg</v>
          </cell>
          <cell r="L47" t="str">
            <v>kelipatan order 1 kg</v>
          </cell>
        </row>
        <row r="48">
          <cell r="F48" t="str">
            <v>FSS00001</v>
          </cell>
          <cell r="G48" t="str">
            <v>GOCHUGARU KASAR 1 KG</v>
          </cell>
          <cell r="H48">
            <v>88800</v>
          </cell>
          <cell r="I48">
            <v>0</v>
          </cell>
          <cell r="J48">
            <v>0</v>
          </cell>
          <cell r="K48" t="str">
            <v>kg</v>
          </cell>
          <cell r="L48" t="str">
            <v>kelipatan order 1 kg</v>
          </cell>
        </row>
        <row r="49">
          <cell r="F49" t="str">
            <v>PKG00046</v>
          </cell>
          <cell r="G49" t="str">
            <v>BOX PROPACK BB40A HMP 4 SEKAT</v>
          </cell>
          <cell r="H49">
            <v>0</v>
          </cell>
          <cell r="I49">
            <v>0</v>
          </cell>
          <cell r="J49">
            <v>0</v>
          </cell>
          <cell r="K49" t="str">
            <v>ctn</v>
          </cell>
          <cell r="L49" t="str">
            <v>kelipatan order 1 ctn</v>
          </cell>
        </row>
        <row r="50">
          <cell r="F50" t="str">
            <v>FSP00014</v>
          </cell>
          <cell r="G50" t="str">
            <v>CIRIO PASSATA SIEVED TOMATO 2,5 KG</v>
          </cell>
          <cell r="H50">
            <v>0</v>
          </cell>
          <cell r="I50">
            <v>0</v>
          </cell>
          <cell r="J50">
            <v>0</v>
          </cell>
          <cell r="K50" t="str">
            <v>can</v>
          </cell>
          <cell r="L50" t="str">
            <v>Kelipatan order 1 can</v>
          </cell>
        </row>
        <row r="51">
          <cell r="F51" t="str">
            <v>FSS00008</v>
          </cell>
          <cell r="G51" t="str">
            <v>ANCHOVY FISH SAUCE (KECAP IKAN TERI) 800 G</v>
          </cell>
          <cell r="H51">
            <v>39960</v>
          </cell>
          <cell r="I51">
            <v>0</v>
          </cell>
          <cell r="J51">
            <v>0</v>
          </cell>
          <cell r="K51" t="str">
            <v>bottle</v>
          </cell>
          <cell r="L51" t="str">
            <v>kelipatan order 1 bottle</v>
          </cell>
        </row>
        <row r="52">
          <cell r="F52" t="str">
            <v>FGR00006</v>
          </cell>
          <cell r="G52" t="str">
            <v>SUSU UHT 1 L</v>
          </cell>
          <cell r="H52">
            <v>16363</v>
          </cell>
          <cell r="I52">
            <v>0</v>
          </cell>
          <cell r="J52">
            <v>0</v>
          </cell>
          <cell r="K52" t="str">
            <v>pack</v>
          </cell>
          <cell r="L52" t="str">
            <v>kelipatan 12 L / ctn</v>
          </cell>
        </row>
        <row r="53">
          <cell r="F53" t="str">
            <v/>
          </cell>
          <cell r="G53" t="str">
            <v>FOOD TONG STAINLESS BERLUBANG 7"</v>
          </cell>
          <cell r="H53">
            <v>0</v>
          </cell>
          <cell r="I53">
            <v>0</v>
          </cell>
          <cell r="J53">
            <v>0</v>
          </cell>
          <cell r="K53" t="str">
            <v>pcs</v>
          </cell>
          <cell r="L53" t="str">
            <v>0</v>
          </cell>
        </row>
        <row r="54">
          <cell r="F54" t="str">
            <v>AFR00001</v>
          </cell>
          <cell r="G54" t="str">
            <v>MEJA TANPA LACI UOD 7061 N</v>
          </cell>
          <cell r="H54">
            <v>0</v>
          </cell>
          <cell r="I54">
            <v>0</v>
          </cell>
          <cell r="J54">
            <v>0</v>
          </cell>
          <cell r="K54" t="str">
            <v>unit</v>
          </cell>
          <cell r="L54" t="str">
            <v>0</v>
          </cell>
        </row>
        <row r="55">
          <cell r="F55" t="str">
            <v>AFR00002</v>
          </cell>
          <cell r="G55" t="str">
            <v>MEJA LIPAT 1,8 M KRISBOW</v>
          </cell>
          <cell r="H55">
            <v>0</v>
          </cell>
          <cell r="I55">
            <v>0</v>
          </cell>
          <cell r="J55">
            <v>0</v>
          </cell>
          <cell r="K55" t="str">
            <v>unit</v>
          </cell>
          <cell r="L55" t="str">
            <v>0</v>
          </cell>
        </row>
        <row r="56">
          <cell r="F56" t="str">
            <v>AFR00003</v>
          </cell>
          <cell r="G56" t="str">
            <v>BEL MEJA STAINLESS (NON ACTIVE)</v>
          </cell>
          <cell r="H56">
            <v>0</v>
          </cell>
          <cell r="I56">
            <v>0</v>
          </cell>
          <cell r="J56">
            <v>0</v>
          </cell>
          <cell r="K56" t="str">
            <v>pcs</v>
          </cell>
          <cell r="L56" t="str">
            <v>0</v>
          </cell>
        </row>
        <row r="57">
          <cell r="F57" t="str">
            <v>AFR00004</v>
          </cell>
          <cell r="G57" t="str">
            <v>RAK STARTER</v>
          </cell>
          <cell r="H57">
            <v>0</v>
          </cell>
          <cell r="I57">
            <v>0</v>
          </cell>
          <cell r="J57">
            <v>0</v>
          </cell>
          <cell r="K57" t="str">
            <v>unit</v>
          </cell>
          <cell r="L57" t="str">
            <v>0</v>
          </cell>
        </row>
        <row r="58">
          <cell r="F58" t="str">
            <v>AFR00005</v>
          </cell>
          <cell r="G58" t="str">
            <v>TIANG RAK STARTER</v>
          </cell>
          <cell r="H58">
            <v>0</v>
          </cell>
          <cell r="I58">
            <v>0</v>
          </cell>
          <cell r="J58">
            <v>0</v>
          </cell>
          <cell r="K58" t="str">
            <v>unit</v>
          </cell>
          <cell r="L58" t="str">
            <v>0</v>
          </cell>
        </row>
        <row r="59">
          <cell r="F59" t="str">
            <v>AFR00006</v>
          </cell>
          <cell r="G59" t="str">
            <v>VERTICAL BLINDS</v>
          </cell>
          <cell r="H59">
            <v>0</v>
          </cell>
          <cell r="I59">
            <v>0</v>
          </cell>
          <cell r="J59">
            <v>0</v>
          </cell>
          <cell r="K59" t="str">
            <v>pcs</v>
          </cell>
          <cell r="L59" t="str">
            <v>0</v>
          </cell>
        </row>
        <row r="60">
          <cell r="F60" t="str">
            <v>AFR00007</v>
          </cell>
          <cell r="G60" t="str">
            <v>KURSI ROPAN JOK WALNUT M REANUT</v>
          </cell>
          <cell r="H60">
            <v>0</v>
          </cell>
          <cell r="I60">
            <v>0</v>
          </cell>
          <cell r="J60">
            <v>0</v>
          </cell>
          <cell r="K60" t="str">
            <v>unit</v>
          </cell>
          <cell r="L60" t="str">
            <v>0</v>
          </cell>
        </row>
        <row r="61">
          <cell r="F61" t="str">
            <v>AFR00008</v>
          </cell>
          <cell r="G61" t="str">
            <v>KURSI SUNGKAI KK- C1 NATURAL DOFF HANGUKSU</v>
          </cell>
          <cell r="H61">
            <v>0</v>
          </cell>
          <cell r="I61">
            <v>0</v>
          </cell>
          <cell r="J61">
            <v>0</v>
          </cell>
          <cell r="K61" t="str">
            <v>pcs</v>
          </cell>
          <cell r="L61" t="str">
            <v>0</v>
          </cell>
        </row>
        <row r="62">
          <cell r="F62" t="str">
            <v>AFR00009</v>
          </cell>
          <cell r="G62" t="str">
            <v>KURSI STOOL CUSHION ORANGE CONOLY NY-12</v>
          </cell>
          <cell r="H62">
            <v>0</v>
          </cell>
          <cell r="I62">
            <v>0</v>
          </cell>
          <cell r="J62">
            <v>0</v>
          </cell>
          <cell r="K62" t="str">
            <v>unit</v>
          </cell>
          <cell r="L62" t="str">
            <v>0</v>
          </cell>
        </row>
        <row r="63">
          <cell r="F63" t="str">
            <v>AFR00010</v>
          </cell>
          <cell r="G63" t="str">
            <v>KURSI STOOL CUSHION HIJAU CONOLY NY-14</v>
          </cell>
          <cell r="H63">
            <v>0</v>
          </cell>
          <cell r="I63">
            <v>0</v>
          </cell>
          <cell r="J63">
            <v>0</v>
          </cell>
          <cell r="K63" t="str">
            <v>unit</v>
          </cell>
          <cell r="L63" t="str">
            <v>0</v>
          </cell>
        </row>
        <row r="64">
          <cell r="F64" t="str">
            <v>AFR00011</v>
          </cell>
          <cell r="G64" t="str">
            <v>LEMARI ARSIP 2 PINTU SWING HO</v>
          </cell>
          <cell r="H64">
            <v>0</v>
          </cell>
          <cell r="I64">
            <v>0</v>
          </cell>
          <cell r="J64">
            <v>0</v>
          </cell>
          <cell r="K64" t="str">
            <v>unit</v>
          </cell>
          <cell r="L64" t="str">
            <v>0</v>
          </cell>
        </row>
        <row r="65">
          <cell r="F65" t="str">
            <v>AFR00012</v>
          </cell>
          <cell r="G65" t="str">
            <v>KERANGKENG GAS</v>
          </cell>
          <cell r="H65">
            <v>0</v>
          </cell>
          <cell r="I65">
            <v>0</v>
          </cell>
          <cell r="J65">
            <v>0</v>
          </cell>
          <cell r="K65" t="str">
            <v>unit</v>
          </cell>
          <cell r="L65" t="str">
            <v>0</v>
          </cell>
        </row>
        <row r="66">
          <cell r="F66" t="str">
            <v>AFR00013</v>
          </cell>
          <cell r="G66" t="str">
            <v>KURSI STOOL 32 X 32 IKEA</v>
          </cell>
          <cell r="H66">
            <v>0</v>
          </cell>
          <cell r="I66">
            <v>0</v>
          </cell>
          <cell r="J66">
            <v>0</v>
          </cell>
          <cell r="K66" t="str">
            <v>unit</v>
          </cell>
          <cell r="L66" t="str">
            <v>0</v>
          </cell>
        </row>
        <row r="67">
          <cell r="F67" t="str">
            <v>AFR00014</v>
          </cell>
          <cell r="G67" t="str">
            <v>STOOL HAN GUKSU RUBER SOLID WOOD NIK-001 (PINK)</v>
          </cell>
          <cell r="H67">
            <v>0</v>
          </cell>
          <cell r="I67">
            <v>0</v>
          </cell>
          <cell r="J67">
            <v>0</v>
          </cell>
          <cell r="K67" t="str">
            <v>unit</v>
          </cell>
          <cell r="L67" t="str">
            <v>0</v>
          </cell>
        </row>
        <row r="68">
          <cell r="F68" t="str">
            <v>AFR00015</v>
          </cell>
          <cell r="G68" t="str">
            <v>CABINET DOKUMEN UFL1232</v>
          </cell>
          <cell r="H68">
            <v>0</v>
          </cell>
          <cell r="I68">
            <v>0</v>
          </cell>
          <cell r="J68">
            <v>0</v>
          </cell>
          <cell r="K68" t="str">
            <v>unit</v>
          </cell>
          <cell r="L68" t="str">
            <v>0</v>
          </cell>
        </row>
        <row r="69">
          <cell r="F69" t="str">
            <v>AFR00016</v>
          </cell>
          <cell r="G69" t="str">
            <v>LAPISAN DINDING STAINLESS</v>
          </cell>
          <cell r="H69">
            <v>0</v>
          </cell>
          <cell r="I69">
            <v>0</v>
          </cell>
          <cell r="J69">
            <v>0</v>
          </cell>
          <cell r="K69" t="str">
            <v>lembar</v>
          </cell>
          <cell r="L69" t="str">
            <v>0</v>
          </cell>
        </row>
        <row r="70">
          <cell r="F70" t="str">
            <v>AFR00017</v>
          </cell>
          <cell r="G70" t="str">
            <v>RAK BESI 5 TINGKATTACTIX  - SILVER</v>
          </cell>
          <cell r="H70">
            <v>0</v>
          </cell>
          <cell r="I70">
            <v>0</v>
          </cell>
          <cell r="J70">
            <v>0</v>
          </cell>
          <cell r="K70" t="str">
            <v>unit</v>
          </cell>
          <cell r="L70" t="str">
            <v>0</v>
          </cell>
        </row>
        <row r="71">
          <cell r="F71" t="str">
            <v>AFR00018</v>
          </cell>
          <cell r="G71" t="str">
            <v>STOOL HANGUKSU RUBER SOLID WOOD NIK001 (WHITE OAK)</v>
          </cell>
          <cell r="H71">
            <v>0</v>
          </cell>
          <cell r="I71">
            <v>0</v>
          </cell>
          <cell r="J71">
            <v>0</v>
          </cell>
          <cell r="K71" t="str">
            <v>unit</v>
          </cell>
          <cell r="L71" t="str">
            <v>0</v>
          </cell>
        </row>
        <row r="72">
          <cell r="F72" t="str">
            <v>AFR00019</v>
          </cell>
          <cell r="G72" t="str">
            <v>CABINER / LEMARI BESI 4 LACI</v>
          </cell>
          <cell r="H72">
            <v>0</v>
          </cell>
          <cell r="I72">
            <v>0</v>
          </cell>
          <cell r="J72">
            <v>0</v>
          </cell>
          <cell r="K72" t="str">
            <v>unit</v>
          </cell>
          <cell r="L72" t="str">
            <v>0</v>
          </cell>
        </row>
        <row r="73">
          <cell r="F73" t="str">
            <v>AFR00020</v>
          </cell>
          <cell r="G73" t="str">
            <v>MEJA 60 X 70</v>
          </cell>
          <cell r="H73">
            <v>0</v>
          </cell>
          <cell r="I73">
            <v>0</v>
          </cell>
          <cell r="J73">
            <v>0</v>
          </cell>
          <cell r="K73" t="str">
            <v>unit</v>
          </cell>
          <cell r="L73" t="str">
            <v>0</v>
          </cell>
        </row>
        <row r="74">
          <cell r="F74" t="str">
            <v>AFR00021</v>
          </cell>
          <cell r="G74" t="str">
            <v>MEJA 120 X 70</v>
          </cell>
          <cell r="H74">
            <v>0</v>
          </cell>
          <cell r="I74">
            <v>0</v>
          </cell>
          <cell r="J74">
            <v>0</v>
          </cell>
          <cell r="K74" t="str">
            <v>unit</v>
          </cell>
          <cell r="L74" t="str">
            <v>0</v>
          </cell>
        </row>
        <row r="75">
          <cell r="F75" t="str">
            <v>AITN00001</v>
          </cell>
          <cell r="G75" t="str">
            <v>SMARTPHONE XIAOMI 6/128GB</v>
          </cell>
          <cell r="H75">
            <v>0</v>
          </cell>
          <cell r="I75">
            <v>0</v>
          </cell>
          <cell r="J75">
            <v>0</v>
          </cell>
          <cell r="K75" t="str">
            <v>unit</v>
          </cell>
          <cell r="L75" t="str">
            <v>0</v>
          </cell>
        </row>
        <row r="76">
          <cell r="F76" t="str">
            <v>AITN00002</v>
          </cell>
          <cell r="G76" t="str">
            <v>MONITOR LED LM22-B200S</v>
          </cell>
          <cell r="H76">
            <v>0</v>
          </cell>
          <cell r="I76">
            <v>0</v>
          </cell>
          <cell r="J76">
            <v>0</v>
          </cell>
          <cell r="K76" t="str">
            <v>unit</v>
          </cell>
          <cell r="L76" t="str">
            <v>0</v>
          </cell>
        </row>
        <row r="77">
          <cell r="F77" t="str">
            <v>AITN00003</v>
          </cell>
          <cell r="G77" t="str">
            <v>SPEAKER JBL</v>
          </cell>
          <cell r="H77">
            <v>0</v>
          </cell>
          <cell r="I77">
            <v>0</v>
          </cell>
          <cell r="J77">
            <v>0</v>
          </cell>
          <cell r="K77" t="str">
            <v>unit</v>
          </cell>
          <cell r="L77" t="str">
            <v>0</v>
          </cell>
        </row>
        <row r="78">
          <cell r="F78" t="str">
            <v>AITN00004</v>
          </cell>
          <cell r="G78" t="str">
            <v>LAPTOP MSI MODERN 14 I3 1115G4 8GB</v>
          </cell>
          <cell r="H78">
            <v>0</v>
          </cell>
          <cell r="I78">
            <v>0</v>
          </cell>
          <cell r="J78">
            <v>0</v>
          </cell>
          <cell r="K78" t="str">
            <v>unit</v>
          </cell>
          <cell r="L78" t="str">
            <v>0</v>
          </cell>
        </row>
        <row r="79">
          <cell r="F79" t="str">
            <v>AITN00005</v>
          </cell>
          <cell r="G79" t="str">
            <v>LAPTOP ASUS VIVOBOOK i7-1165G7/4GB+4GB/512GB</v>
          </cell>
          <cell r="H79">
            <v>0</v>
          </cell>
          <cell r="I79">
            <v>0</v>
          </cell>
          <cell r="J79">
            <v>0</v>
          </cell>
          <cell r="K79" t="str">
            <v>unit</v>
          </cell>
          <cell r="L79" t="str">
            <v>0</v>
          </cell>
        </row>
        <row r="80">
          <cell r="F80" t="str">
            <v>AITN00006</v>
          </cell>
          <cell r="G80" t="str">
            <v>LAPTOP ASUS VIVOBOOK i3-1115G4/4GB/256GB</v>
          </cell>
          <cell r="H80">
            <v>0</v>
          </cell>
          <cell r="I80">
            <v>0</v>
          </cell>
          <cell r="J80">
            <v>0</v>
          </cell>
          <cell r="K80" t="str">
            <v>unit</v>
          </cell>
          <cell r="L80" t="str">
            <v>0</v>
          </cell>
        </row>
        <row r="81">
          <cell r="F81" t="str">
            <v>AITN00007</v>
          </cell>
          <cell r="G81" t="str">
            <v>LAPTOP ASUS VIVOBOOK i9 11900H 16GB/512GB</v>
          </cell>
          <cell r="H81">
            <v>0</v>
          </cell>
          <cell r="I81">
            <v>0</v>
          </cell>
          <cell r="J81">
            <v>0</v>
          </cell>
          <cell r="K81" t="str">
            <v>unit</v>
          </cell>
          <cell r="L81" t="str">
            <v>0</v>
          </cell>
        </row>
        <row r="82">
          <cell r="F82" t="str">
            <v>AITN00008</v>
          </cell>
          <cell r="G82" t="str">
            <v>TV LED TCL 75P635 SMART TV UHD 4K 75 INCH</v>
          </cell>
          <cell r="H82">
            <v>0</v>
          </cell>
          <cell r="I82">
            <v>0</v>
          </cell>
          <cell r="J82">
            <v>0</v>
          </cell>
          <cell r="K82" t="str">
            <v>unit</v>
          </cell>
          <cell r="L82" t="str">
            <v>0</v>
          </cell>
        </row>
        <row r="83">
          <cell r="F83" t="str">
            <v>AITN00009</v>
          </cell>
          <cell r="G83" t="str">
            <v>CCTV HIKVISION</v>
          </cell>
          <cell r="H83">
            <v>0</v>
          </cell>
          <cell r="I83">
            <v>0</v>
          </cell>
          <cell r="J83">
            <v>0</v>
          </cell>
          <cell r="K83" t="str">
            <v>unit</v>
          </cell>
          <cell r="L83" t="str">
            <v>0</v>
          </cell>
        </row>
        <row r="84">
          <cell r="F84" t="str">
            <v>AITN00010</v>
          </cell>
          <cell r="G84" t="str">
            <v>UPS KOMPUTER APC MS 900 VA480</v>
          </cell>
          <cell r="H84">
            <v>0</v>
          </cell>
          <cell r="I84">
            <v>0</v>
          </cell>
          <cell r="J84">
            <v>0</v>
          </cell>
          <cell r="K84" t="str">
            <v>unit</v>
          </cell>
          <cell r="L84" t="str">
            <v>0</v>
          </cell>
        </row>
        <row r="85">
          <cell r="F85" t="str">
            <v>AITN00011</v>
          </cell>
          <cell r="G85" t="str">
            <v>RACKMOUNT SWITCH HUB TP-LINK TL-SG1-16D</v>
          </cell>
          <cell r="H85">
            <v>0</v>
          </cell>
          <cell r="I85">
            <v>0</v>
          </cell>
          <cell r="J85">
            <v>0</v>
          </cell>
          <cell r="K85" t="str">
            <v>unit</v>
          </cell>
          <cell r="L85" t="str">
            <v>0</v>
          </cell>
        </row>
        <row r="86">
          <cell r="F86" t="str">
            <v>AITN00012</v>
          </cell>
          <cell r="G86" t="str">
            <v>PRINTER HPRTLAN</v>
          </cell>
          <cell r="H86">
            <v>0</v>
          </cell>
          <cell r="I86">
            <v>0</v>
          </cell>
          <cell r="J86">
            <v>0</v>
          </cell>
          <cell r="K86" t="str">
            <v>unit</v>
          </cell>
          <cell r="L86" t="str">
            <v>0</v>
          </cell>
        </row>
        <row r="87">
          <cell r="F87" t="str">
            <v>AITN00013</v>
          </cell>
          <cell r="G87" t="str">
            <v>POS ARTEMIS FOR TERMINAL ORDER</v>
          </cell>
          <cell r="H87">
            <v>0</v>
          </cell>
          <cell r="I87">
            <v>0</v>
          </cell>
          <cell r="J87">
            <v>0</v>
          </cell>
          <cell r="K87" t="str">
            <v>unit</v>
          </cell>
          <cell r="L87" t="str">
            <v>0</v>
          </cell>
        </row>
        <row r="88">
          <cell r="F88" t="str">
            <v>AITN00014</v>
          </cell>
          <cell r="G88" t="str">
            <v>POS ARTEMIS EC FOR CASHIER</v>
          </cell>
          <cell r="H88">
            <v>0</v>
          </cell>
          <cell r="I88">
            <v>0</v>
          </cell>
          <cell r="J88">
            <v>0</v>
          </cell>
          <cell r="K88" t="str">
            <v>unit</v>
          </cell>
          <cell r="L88" t="str">
            <v>0</v>
          </cell>
        </row>
        <row r="89">
          <cell r="F89" t="str">
            <v>AITN00015</v>
          </cell>
          <cell r="G89" t="str">
            <v>TV LED HOTOK TCL 50A28 GOOGLE TV 50 INCH</v>
          </cell>
          <cell r="H89">
            <v>0</v>
          </cell>
          <cell r="I89">
            <v>0</v>
          </cell>
          <cell r="J89">
            <v>0</v>
          </cell>
          <cell r="K89" t="str">
            <v>unit</v>
          </cell>
          <cell r="L89" t="str">
            <v>0</v>
          </cell>
        </row>
        <row r="90">
          <cell r="F90" t="str">
            <v>AITN00016</v>
          </cell>
          <cell r="G90" t="str">
            <v>CCTV C6N1080</v>
          </cell>
          <cell r="H90">
            <v>0</v>
          </cell>
          <cell r="I90">
            <v>0</v>
          </cell>
          <cell r="J90">
            <v>0</v>
          </cell>
          <cell r="K90" t="str">
            <v>unit</v>
          </cell>
          <cell r="L90" t="str">
            <v>0</v>
          </cell>
        </row>
        <row r="91">
          <cell r="F91" t="str">
            <v>AITN00017</v>
          </cell>
          <cell r="G91" t="str">
            <v>ASUS VIVOBOOK PRO 15 M3500QC</v>
          </cell>
          <cell r="H91">
            <v>0</v>
          </cell>
          <cell r="I91">
            <v>0</v>
          </cell>
          <cell r="J91">
            <v>0</v>
          </cell>
          <cell r="K91" t="str">
            <v>unit</v>
          </cell>
          <cell r="L91" t="str">
            <v>0</v>
          </cell>
        </row>
        <row r="92">
          <cell r="F92" t="str">
            <v>AITN00018</v>
          </cell>
          <cell r="G92" t="str">
            <v>PRINTER HP INK TANK 315</v>
          </cell>
          <cell r="H92">
            <v>0</v>
          </cell>
          <cell r="I92">
            <v>0</v>
          </cell>
          <cell r="J92">
            <v>0</v>
          </cell>
          <cell r="K92" t="str">
            <v>unit</v>
          </cell>
          <cell r="L92" t="str">
            <v>0</v>
          </cell>
        </row>
        <row r="93">
          <cell r="F93" t="str">
            <v>AITN00019</v>
          </cell>
          <cell r="G93" t="str">
            <v>TV LED TCL 65A28 GOOGLE TV UHD 4K 65 INCH</v>
          </cell>
          <cell r="H93">
            <v>0</v>
          </cell>
          <cell r="I93">
            <v>0</v>
          </cell>
          <cell r="J93">
            <v>0</v>
          </cell>
          <cell r="K93" t="str">
            <v>unit</v>
          </cell>
          <cell r="L93" t="str">
            <v>0</v>
          </cell>
        </row>
        <row r="94">
          <cell r="F94" t="str">
            <v>AITN00020</v>
          </cell>
          <cell r="G94" t="str">
            <v>UBIQUITI UNIFI AP LONG RANGE DUAL BAND</v>
          </cell>
          <cell r="H94">
            <v>0</v>
          </cell>
          <cell r="I94">
            <v>0</v>
          </cell>
          <cell r="J94">
            <v>0</v>
          </cell>
          <cell r="K94" t="str">
            <v>unit</v>
          </cell>
          <cell r="L94" t="str">
            <v>0</v>
          </cell>
        </row>
        <row r="95">
          <cell r="F95" t="str">
            <v>AITN00021</v>
          </cell>
          <cell r="G95" t="str">
            <v>TV LED TCL 55A28 GOOGLE TV UHD 4K 55 INCH</v>
          </cell>
          <cell r="H95">
            <v>0</v>
          </cell>
          <cell r="I95">
            <v>0</v>
          </cell>
          <cell r="J95">
            <v>0</v>
          </cell>
          <cell r="K95" t="str">
            <v>unit</v>
          </cell>
          <cell r="L95" t="str">
            <v>0</v>
          </cell>
        </row>
        <row r="96">
          <cell r="F96" t="str">
            <v>AITN00022</v>
          </cell>
          <cell r="G96" t="str">
            <v>PRINTER EPSON L1310 DOT MATRIX</v>
          </cell>
          <cell r="H96">
            <v>0</v>
          </cell>
          <cell r="I96">
            <v>0</v>
          </cell>
          <cell r="J96">
            <v>0</v>
          </cell>
          <cell r="K96" t="str">
            <v>unit</v>
          </cell>
          <cell r="L96" t="str">
            <v>0</v>
          </cell>
        </row>
        <row r="97">
          <cell r="F97" t="str">
            <v>AITN00023</v>
          </cell>
          <cell r="G97" t="str">
            <v>BARCODE PRINTER GT-820</v>
          </cell>
          <cell r="H97">
            <v>0</v>
          </cell>
          <cell r="I97">
            <v>0</v>
          </cell>
          <cell r="J97">
            <v>0</v>
          </cell>
          <cell r="K97" t="str">
            <v>unit</v>
          </cell>
          <cell r="L97" t="str">
            <v>0</v>
          </cell>
        </row>
        <row r="98">
          <cell r="F98" t="str">
            <v>AITN00024</v>
          </cell>
          <cell r="G98" t="str">
            <v>MODEM H1 WIFI 4G HIGH SPEED</v>
          </cell>
          <cell r="H98">
            <v>0</v>
          </cell>
          <cell r="I98">
            <v>0</v>
          </cell>
          <cell r="J98">
            <v>0</v>
          </cell>
          <cell r="K98" t="str">
            <v>unit</v>
          </cell>
          <cell r="L98" t="str">
            <v>0</v>
          </cell>
        </row>
        <row r="99">
          <cell r="F99" t="str">
            <v>AITN00025</v>
          </cell>
          <cell r="G99" t="str">
            <v>MIKROTIK ROUTERBOARD RB750GR 5 PORT GIGABIT</v>
          </cell>
          <cell r="H99">
            <v>0</v>
          </cell>
          <cell r="I99">
            <v>0</v>
          </cell>
          <cell r="J99">
            <v>0</v>
          </cell>
          <cell r="K99" t="str">
            <v>unit</v>
          </cell>
          <cell r="L99" t="str">
            <v>0</v>
          </cell>
        </row>
        <row r="100">
          <cell r="F100" t="str">
            <v>AITN00026</v>
          </cell>
          <cell r="G100" t="str">
            <v>SCREEN PROJECTOR 96 X 177 CM</v>
          </cell>
          <cell r="H100">
            <v>0</v>
          </cell>
          <cell r="I100">
            <v>0</v>
          </cell>
          <cell r="J100">
            <v>0</v>
          </cell>
          <cell r="K100" t="str">
            <v>unit</v>
          </cell>
          <cell r="L100" t="str">
            <v>0</v>
          </cell>
        </row>
        <row r="101">
          <cell r="F101" t="str">
            <v>AITN00027</v>
          </cell>
          <cell r="G101" t="str">
            <v>PROYEKTOR INFOCUS IN114AA</v>
          </cell>
          <cell r="H101">
            <v>0</v>
          </cell>
          <cell r="I101">
            <v>0</v>
          </cell>
          <cell r="J101">
            <v>0</v>
          </cell>
          <cell r="K101" t="str">
            <v>unit</v>
          </cell>
          <cell r="L101" t="str">
            <v>0</v>
          </cell>
        </row>
        <row r="102">
          <cell r="F102" t="str">
            <v>AITN00028</v>
          </cell>
          <cell r="G102" t="str">
            <v>LAPTOP LENOVO 1255U 512GB</v>
          </cell>
          <cell r="H102">
            <v>0</v>
          </cell>
          <cell r="I102">
            <v>0</v>
          </cell>
          <cell r="J102">
            <v>0</v>
          </cell>
          <cell r="K102" t="str">
            <v>unit</v>
          </cell>
          <cell r="L102" t="str">
            <v>0</v>
          </cell>
        </row>
        <row r="103">
          <cell r="F103" t="str">
            <v>AITN00029</v>
          </cell>
          <cell r="G103" t="str">
            <v>REDMI PAD SE 4/128 GB</v>
          </cell>
          <cell r="H103">
            <v>0</v>
          </cell>
          <cell r="I103">
            <v>0</v>
          </cell>
          <cell r="J103">
            <v>0</v>
          </cell>
          <cell r="K103" t="str">
            <v>unit</v>
          </cell>
          <cell r="L103" t="str">
            <v>0</v>
          </cell>
        </row>
        <row r="104">
          <cell r="F104" t="str">
            <v>AITN00030</v>
          </cell>
          <cell r="G104" t="str">
            <v>REDMI PAD 6/128GB</v>
          </cell>
          <cell r="H104">
            <v>0</v>
          </cell>
          <cell r="I104">
            <v>0</v>
          </cell>
          <cell r="J104">
            <v>0</v>
          </cell>
          <cell r="K104" t="str">
            <v>unit</v>
          </cell>
          <cell r="L104" t="str">
            <v>0</v>
          </cell>
        </row>
        <row r="105">
          <cell r="F105" t="str">
            <v>AITN00031</v>
          </cell>
          <cell r="G105" t="str">
            <v>LAPTOP MSI RTX4050 32 GB</v>
          </cell>
          <cell r="H105">
            <v>0</v>
          </cell>
          <cell r="I105">
            <v>0</v>
          </cell>
          <cell r="J105">
            <v>0</v>
          </cell>
          <cell r="K105" t="str">
            <v>unit</v>
          </cell>
          <cell r="L105" t="str">
            <v>0</v>
          </cell>
        </row>
        <row r="106">
          <cell r="F106" t="str">
            <v>AITN00032</v>
          </cell>
          <cell r="G106" t="str">
            <v>SMARTPHONE XIAOMI 12 8/256 GB</v>
          </cell>
          <cell r="H106">
            <v>0</v>
          </cell>
          <cell r="I106">
            <v>0</v>
          </cell>
          <cell r="J106">
            <v>0</v>
          </cell>
          <cell r="K106" t="str">
            <v>unit</v>
          </cell>
          <cell r="L106" t="str">
            <v>0</v>
          </cell>
        </row>
        <row r="107">
          <cell r="F107" t="str">
            <v>AITN00033</v>
          </cell>
          <cell r="G107" t="str">
            <v>CEILIN SPEAKER TOA 15 W</v>
          </cell>
          <cell r="H107">
            <v>0</v>
          </cell>
          <cell r="I107">
            <v>0</v>
          </cell>
          <cell r="J107">
            <v>0</v>
          </cell>
          <cell r="K107" t="str">
            <v>unit</v>
          </cell>
          <cell r="L107" t="str">
            <v>0</v>
          </cell>
        </row>
        <row r="108">
          <cell r="F108" t="str">
            <v>AITN00034</v>
          </cell>
          <cell r="G108" t="str">
            <v>MIXER AMPILIFIER 60 WATT TOA</v>
          </cell>
          <cell r="H108">
            <v>0</v>
          </cell>
          <cell r="I108">
            <v>0</v>
          </cell>
          <cell r="J108">
            <v>0</v>
          </cell>
          <cell r="K108" t="str">
            <v>unit</v>
          </cell>
          <cell r="L108" t="str">
            <v>0</v>
          </cell>
        </row>
        <row r="109">
          <cell r="F109" t="str">
            <v>AITN00035</v>
          </cell>
          <cell r="G109" t="str">
            <v>RUNNING TEXT OUTDOOR LED</v>
          </cell>
          <cell r="H109">
            <v>0</v>
          </cell>
          <cell r="I109">
            <v>0</v>
          </cell>
          <cell r="J109">
            <v>0</v>
          </cell>
          <cell r="K109" t="str">
            <v>unit</v>
          </cell>
          <cell r="L109" t="str">
            <v>0</v>
          </cell>
        </row>
        <row r="110">
          <cell r="F110" t="str">
            <v>AITN00036</v>
          </cell>
          <cell r="G110" t="str">
            <v>MINI PC T5 INTEL N4020 HDMI WIFI</v>
          </cell>
          <cell r="H110">
            <v>0</v>
          </cell>
          <cell r="I110">
            <v>0</v>
          </cell>
          <cell r="J110">
            <v>0</v>
          </cell>
          <cell r="K110" t="str">
            <v>unit</v>
          </cell>
          <cell r="L110" t="str">
            <v>0</v>
          </cell>
        </row>
        <row r="111">
          <cell r="F111" t="str">
            <v>AITN00037</v>
          </cell>
          <cell r="G111" t="str">
            <v>SMARTPHONE XIAOMI 13 8/128 GB</v>
          </cell>
          <cell r="H111">
            <v>0</v>
          </cell>
          <cell r="I111">
            <v>0</v>
          </cell>
          <cell r="J111">
            <v>0</v>
          </cell>
          <cell r="K111" t="str">
            <v>unit</v>
          </cell>
          <cell r="L111" t="str">
            <v>0</v>
          </cell>
        </row>
        <row r="112">
          <cell r="F112" t="str">
            <v>AITN00038</v>
          </cell>
          <cell r="G112" t="str">
            <v>IPHONE 13 128 GB</v>
          </cell>
          <cell r="H112">
            <v>0</v>
          </cell>
          <cell r="I112">
            <v>0</v>
          </cell>
          <cell r="J112">
            <v>0</v>
          </cell>
          <cell r="K112" t="str">
            <v>unit</v>
          </cell>
          <cell r="L112" t="str">
            <v>0</v>
          </cell>
        </row>
        <row r="113">
          <cell r="F113" t="str">
            <v>AKE00001</v>
          </cell>
          <cell r="G113" t="str">
            <v>1 UNIT RO ALLEGRO 23</v>
          </cell>
          <cell r="H113">
            <v>0</v>
          </cell>
          <cell r="I113">
            <v>0</v>
          </cell>
          <cell r="J113">
            <v>0</v>
          </cell>
          <cell r="K113" t="str">
            <v>unit</v>
          </cell>
          <cell r="L113" t="str">
            <v>0</v>
          </cell>
        </row>
        <row r="114">
          <cell r="F114" t="str">
            <v>AKE00002</v>
          </cell>
          <cell r="G114" t="str">
            <v>ADJUSTABLE WALL SHELVES GEA AWS100</v>
          </cell>
          <cell r="H114">
            <v>0</v>
          </cell>
          <cell r="I114">
            <v>0</v>
          </cell>
          <cell r="J114">
            <v>0</v>
          </cell>
          <cell r="K114" t="str">
            <v>unit</v>
          </cell>
          <cell r="L114" t="str">
            <v>0</v>
          </cell>
        </row>
        <row r="115">
          <cell r="F115" t="str">
            <v>AKE00003</v>
          </cell>
          <cell r="G115" t="str">
            <v>ADJUSTABLE WALL SHELVES GEA AWS120</v>
          </cell>
          <cell r="H115">
            <v>0</v>
          </cell>
          <cell r="I115">
            <v>0</v>
          </cell>
          <cell r="J115">
            <v>0</v>
          </cell>
          <cell r="K115" t="str">
            <v>unit</v>
          </cell>
          <cell r="L115" t="str">
            <v>0</v>
          </cell>
        </row>
        <row r="116">
          <cell r="F116" t="str">
            <v>AKE00004</v>
          </cell>
          <cell r="G116" t="str">
            <v>ADJUSTABLE WALL SHELVES GEA AWS150</v>
          </cell>
          <cell r="H116">
            <v>0</v>
          </cell>
          <cell r="I116">
            <v>0</v>
          </cell>
          <cell r="J116">
            <v>0</v>
          </cell>
          <cell r="K116" t="str">
            <v>unit</v>
          </cell>
          <cell r="L116" t="str">
            <v>0</v>
          </cell>
        </row>
        <row r="117">
          <cell r="F117" t="str">
            <v>AKE00005</v>
          </cell>
          <cell r="G117" t="str">
            <v>RACK EXTENDER FOR 25 GLASS GEA SJ-8525</v>
          </cell>
          <cell r="H117">
            <v>0</v>
          </cell>
          <cell r="I117">
            <v>0</v>
          </cell>
          <cell r="J117">
            <v>0</v>
          </cell>
          <cell r="K117" t="str">
            <v>unit</v>
          </cell>
          <cell r="L117" t="str">
            <v>0</v>
          </cell>
        </row>
        <row r="118">
          <cell r="F118" t="str">
            <v>AKE00006</v>
          </cell>
          <cell r="G118" t="str">
            <v>JUICE DISPENSER  LP-12X2</v>
          </cell>
          <cell r="H118">
            <v>0</v>
          </cell>
          <cell r="I118">
            <v>0</v>
          </cell>
          <cell r="J118">
            <v>0</v>
          </cell>
          <cell r="K118" t="str">
            <v>unit</v>
          </cell>
          <cell r="L118" t="str">
            <v>0</v>
          </cell>
        </row>
        <row r="119">
          <cell r="F119" t="str">
            <v>AKE00007</v>
          </cell>
          <cell r="G119" t="str">
            <v>STORAGE RACK GEA SR120</v>
          </cell>
          <cell r="H119">
            <v>0</v>
          </cell>
          <cell r="I119">
            <v>0</v>
          </cell>
          <cell r="J119">
            <v>0</v>
          </cell>
          <cell r="K119" t="str">
            <v>unit</v>
          </cell>
          <cell r="L119" t="str">
            <v>0</v>
          </cell>
        </row>
        <row r="120">
          <cell r="F120" t="str">
            <v>AKE00008</v>
          </cell>
          <cell r="G120" t="str">
            <v>RICE COOKER PHILIPS HD 3138</v>
          </cell>
          <cell r="H120">
            <v>0</v>
          </cell>
          <cell r="I120">
            <v>0</v>
          </cell>
          <cell r="J120">
            <v>0</v>
          </cell>
          <cell r="K120" t="str">
            <v>unit</v>
          </cell>
          <cell r="L120" t="str">
            <v>0</v>
          </cell>
        </row>
        <row r="121">
          <cell r="F121" t="str">
            <v>AKE00009</v>
          </cell>
          <cell r="G121" t="str">
            <v>WINN GAS MAGICCOM 10 LITER</v>
          </cell>
          <cell r="H121">
            <v>0</v>
          </cell>
          <cell r="I121">
            <v>0</v>
          </cell>
          <cell r="J121">
            <v>0</v>
          </cell>
          <cell r="K121" t="str">
            <v>unit</v>
          </cell>
          <cell r="L121" t="str">
            <v>0</v>
          </cell>
        </row>
        <row r="122">
          <cell r="F122" t="str">
            <v>AKE00010</v>
          </cell>
          <cell r="G122" t="str">
            <v>GAS KWALI CS6070 DX GETRA</v>
          </cell>
          <cell r="H122">
            <v>0</v>
          </cell>
          <cell r="I122">
            <v>0</v>
          </cell>
          <cell r="J122">
            <v>0</v>
          </cell>
          <cell r="K122" t="str">
            <v>unit</v>
          </cell>
          <cell r="L122" t="str">
            <v>0</v>
          </cell>
        </row>
        <row r="123">
          <cell r="F123" t="str">
            <v>AKE00011</v>
          </cell>
          <cell r="G123" t="str">
            <v>WORKING TABLE GEA WK-100</v>
          </cell>
          <cell r="H123">
            <v>0</v>
          </cell>
          <cell r="I123">
            <v>0</v>
          </cell>
          <cell r="J123">
            <v>0</v>
          </cell>
          <cell r="K123" t="str">
            <v>unit</v>
          </cell>
          <cell r="L123" t="str">
            <v>0</v>
          </cell>
        </row>
        <row r="124">
          <cell r="F124" t="str">
            <v>AKE00012</v>
          </cell>
          <cell r="G124" t="str">
            <v>MICROWAVE SOLO DIGITAL</v>
          </cell>
          <cell r="H124">
            <v>0</v>
          </cell>
          <cell r="I124">
            <v>0</v>
          </cell>
          <cell r="J124">
            <v>0</v>
          </cell>
          <cell r="K124" t="str">
            <v>unit</v>
          </cell>
          <cell r="L124" t="str">
            <v>0</v>
          </cell>
        </row>
        <row r="125">
          <cell r="F125" t="str">
            <v>AKE00013</v>
          </cell>
          <cell r="G125" t="str">
            <v>COOKER HOOD HGI 902</v>
          </cell>
          <cell r="H125">
            <v>0</v>
          </cell>
          <cell r="I125">
            <v>0</v>
          </cell>
          <cell r="J125">
            <v>0</v>
          </cell>
          <cell r="K125" t="str">
            <v>unit</v>
          </cell>
          <cell r="L125" t="str">
            <v>0</v>
          </cell>
        </row>
        <row r="126">
          <cell r="F126" t="str">
            <v>AKE00014</v>
          </cell>
          <cell r="G126" t="str">
            <v>TABLE EXTRA SHELF GETRA TES-120 S/S</v>
          </cell>
          <cell r="H126">
            <v>0</v>
          </cell>
          <cell r="I126">
            <v>0</v>
          </cell>
          <cell r="J126">
            <v>0</v>
          </cell>
          <cell r="K126" t="str">
            <v>unit</v>
          </cell>
          <cell r="L126" t="str">
            <v>0</v>
          </cell>
        </row>
        <row r="127">
          <cell r="F127" t="str">
            <v>AKE00015</v>
          </cell>
          <cell r="G127" t="str">
            <v>WORK TABLE UNDERSELF 100 X 70 X 85</v>
          </cell>
          <cell r="H127">
            <v>0</v>
          </cell>
          <cell r="I127">
            <v>0</v>
          </cell>
          <cell r="J127">
            <v>0</v>
          </cell>
          <cell r="K127" t="str">
            <v>unit</v>
          </cell>
          <cell r="L127" t="str">
            <v>0</v>
          </cell>
        </row>
        <row r="128">
          <cell r="F128" t="str">
            <v>AKE00016</v>
          </cell>
          <cell r="G128" t="str">
            <v>SINK 70 X 70 X 85</v>
          </cell>
          <cell r="H128">
            <v>0</v>
          </cell>
          <cell r="I128">
            <v>0</v>
          </cell>
          <cell r="J128">
            <v>0</v>
          </cell>
          <cell r="K128" t="str">
            <v>unit</v>
          </cell>
          <cell r="L128" t="str">
            <v>0</v>
          </cell>
        </row>
        <row r="129">
          <cell r="F129" t="str">
            <v>AKE00017</v>
          </cell>
          <cell r="G129" t="str">
            <v>MEJA CUSTOM STAINLESS 1800 X 700 X 850</v>
          </cell>
          <cell r="H129">
            <v>0</v>
          </cell>
          <cell r="I129">
            <v>0</v>
          </cell>
          <cell r="J129">
            <v>0</v>
          </cell>
          <cell r="K129" t="str">
            <v>unit</v>
          </cell>
          <cell r="L129" t="str">
            <v>0</v>
          </cell>
        </row>
        <row r="130">
          <cell r="F130" t="str">
            <v>AKE00018</v>
          </cell>
          <cell r="G130" t="str">
            <v>MEJA CUSTOM STAINLESS 1000 X 700 X 850</v>
          </cell>
          <cell r="H130">
            <v>0</v>
          </cell>
          <cell r="I130">
            <v>0</v>
          </cell>
          <cell r="J130">
            <v>0</v>
          </cell>
          <cell r="K130" t="str">
            <v>unit</v>
          </cell>
          <cell r="L130" t="str">
            <v>0</v>
          </cell>
        </row>
        <row r="131">
          <cell r="F131" t="str">
            <v>AKE00019</v>
          </cell>
          <cell r="G131" t="str">
            <v>MEJA + ETALASE</v>
          </cell>
          <cell r="H131">
            <v>0</v>
          </cell>
          <cell r="I131">
            <v>0</v>
          </cell>
          <cell r="J131">
            <v>0</v>
          </cell>
          <cell r="K131" t="str">
            <v>unit</v>
          </cell>
          <cell r="L131" t="str">
            <v>0</v>
          </cell>
        </row>
        <row r="132">
          <cell r="F132" t="str">
            <v>AKE00020</v>
          </cell>
          <cell r="G132" t="str">
            <v>FIRE SUPPRESSION SYSTEM</v>
          </cell>
          <cell r="H132">
            <v>0</v>
          </cell>
          <cell r="I132">
            <v>0</v>
          </cell>
          <cell r="J132">
            <v>0</v>
          </cell>
          <cell r="K132" t="str">
            <v>unit</v>
          </cell>
          <cell r="L132" t="str">
            <v>0</v>
          </cell>
        </row>
        <row r="133">
          <cell r="F133" t="str">
            <v>AKE00021</v>
          </cell>
          <cell r="G133" t="str">
            <v>MEJA 770 X 750 X 850</v>
          </cell>
          <cell r="H133">
            <v>0</v>
          </cell>
          <cell r="I133">
            <v>0</v>
          </cell>
          <cell r="J133">
            <v>0</v>
          </cell>
          <cell r="K133" t="str">
            <v>unit</v>
          </cell>
          <cell r="L133" t="str">
            <v>0</v>
          </cell>
        </row>
        <row r="134">
          <cell r="F134" t="str">
            <v>AKE00022</v>
          </cell>
          <cell r="G134" t="str">
            <v>WORKING TABLE WK-180 S/S GEA</v>
          </cell>
          <cell r="H134">
            <v>0</v>
          </cell>
          <cell r="I134">
            <v>0</v>
          </cell>
          <cell r="J134">
            <v>0</v>
          </cell>
          <cell r="K134" t="str">
            <v>unit</v>
          </cell>
          <cell r="L134" t="str">
            <v>0</v>
          </cell>
        </row>
        <row r="135">
          <cell r="F135" t="str">
            <v>AKE00023</v>
          </cell>
          <cell r="G135" t="str">
            <v>NOODLE BOILER</v>
          </cell>
          <cell r="H135">
            <v>0</v>
          </cell>
          <cell r="I135">
            <v>0</v>
          </cell>
          <cell r="J135">
            <v>0</v>
          </cell>
          <cell r="K135" t="str">
            <v>unit</v>
          </cell>
          <cell r="L135" t="str">
            <v>0</v>
          </cell>
        </row>
        <row r="136">
          <cell r="F136" t="str">
            <v>AKE00024</v>
          </cell>
          <cell r="G136" t="str">
            <v>HOOD 4,2 M X 110 X 50 JUAN</v>
          </cell>
          <cell r="H136">
            <v>0</v>
          </cell>
          <cell r="I136">
            <v>0</v>
          </cell>
          <cell r="J136">
            <v>0</v>
          </cell>
          <cell r="K136" t="str">
            <v>unit</v>
          </cell>
          <cell r="L136" t="str">
            <v>0</v>
          </cell>
        </row>
        <row r="137">
          <cell r="F137" t="str">
            <v>AKE00025</v>
          </cell>
          <cell r="G137" t="str">
            <v>HOOD FRYER 80 X 90 X 50</v>
          </cell>
          <cell r="H137">
            <v>0</v>
          </cell>
          <cell r="I137">
            <v>0</v>
          </cell>
          <cell r="J137">
            <v>0</v>
          </cell>
          <cell r="K137" t="str">
            <v>unit</v>
          </cell>
          <cell r="L137" t="str">
            <v>0</v>
          </cell>
        </row>
        <row r="138">
          <cell r="F138" t="str">
            <v>AKE00026</v>
          </cell>
          <cell r="G138" t="str">
            <v>KWALIRANGE BLOWER 2 TUNGKU + 1 RING SOUP</v>
          </cell>
          <cell r="H138">
            <v>0</v>
          </cell>
          <cell r="I138">
            <v>0</v>
          </cell>
          <cell r="J138">
            <v>0</v>
          </cell>
          <cell r="K138" t="str">
            <v>unit</v>
          </cell>
          <cell r="L138" t="str">
            <v>0</v>
          </cell>
        </row>
        <row r="139">
          <cell r="F139" t="str">
            <v>AKE00027</v>
          </cell>
          <cell r="G139" t="str">
            <v>HOOD 2 M X 90 X 50</v>
          </cell>
          <cell r="H139">
            <v>0</v>
          </cell>
          <cell r="I139">
            <v>0</v>
          </cell>
          <cell r="J139">
            <v>0</v>
          </cell>
          <cell r="K139" t="str">
            <v>unit</v>
          </cell>
          <cell r="L139" t="str">
            <v>0</v>
          </cell>
        </row>
        <row r="140">
          <cell r="F140" t="str">
            <v>AKE00028</v>
          </cell>
          <cell r="G140" t="str">
            <v>KOMPOR STOK POT</v>
          </cell>
          <cell r="H140">
            <v>0</v>
          </cell>
          <cell r="I140">
            <v>0</v>
          </cell>
          <cell r="J140">
            <v>0</v>
          </cell>
          <cell r="K140" t="str">
            <v>unit</v>
          </cell>
          <cell r="L140" t="str">
            <v>0</v>
          </cell>
        </row>
        <row r="141">
          <cell r="F141" t="str">
            <v>AKE00029</v>
          </cell>
          <cell r="G141" t="str">
            <v>RINNAI KOMPOR 2 TUNGKU RI2RSPN</v>
          </cell>
          <cell r="H141">
            <v>0</v>
          </cell>
          <cell r="I141">
            <v>0</v>
          </cell>
          <cell r="J141">
            <v>0</v>
          </cell>
          <cell r="K141" t="str">
            <v>unit</v>
          </cell>
          <cell r="L141" t="str">
            <v>0</v>
          </cell>
        </row>
        <row r="142">
          <cell r="F142" t="str">
            <v>AKE00030</v>
          </cell>
          <cell r="G142" t="str">
            <v>HOOD 1500 X 900 X 500</v>
          </cell>
          <cell r="H142">
            <v>0</v>
          </cell>
          <cell r="I142">
            <v>0</v>
          </cell>
          <cell r="J142">
            <v>0</v>
          </cell>
          <cell r="K142" t="str">
            <v>unit</v>
          </cell>
          <cell r="L142" t="str">
            <v>0</v>
          </cell>
        </row>
        <row r="143">
          <cell r="F143" t="str">
            <v>AKE00031</v>
          </cell>
          <cell r="G143" t="str">
            <v>MICROWAVE SAMSUNG MG23K</v>
          </cell>
          <cell r="H143">
            <v>0</v>
          </cell>
          <cell r="I143">
            <v>0</v>
          </cell>
          <cell r="J143">
            <v>0</v>
          </cell>
          <cell r="K143" t="str">
            <v>unit</v>
          </cell>
          <cell r="L143" t="str">
            <v>0</v>
          </cell>
        </row>
        <row r="144">
          <cell r="F144" t="str">
            <v>AKE00032</v>
          </cell>
          <cell r="G144" t="str">
            <v>LEMARI DAPUR/PIRING TOP GRANIT</v>
          </cell>
          <cell r="H144">
            <v>0</v>
          </cell>
          <cell r="I144">
            <v>0</v>
          </cell>
          <cell r="J144">
            <v>0</v>
          </cell>
          <cell r="K144" t="str">
            <v>unit</v>
          </cell>
          <cell r="L144" t="str">
            <v>0</v>
          </cell>
        </row>
        <row r="145">
          <cell r="F145" t="str">
            <v>AKE00033</v>
          </cell>
          <cell r="G145" t="str">
            <v>KOMPOR RINAI 4 TUNGKU</v>
          </cell>
          <cell r="H145">
            <v>0</v>
          </cell>
          <cell r="I145">
            <v>0</v>
          </cell>
          <cell r="J145">
            <v>0</v>
          </cell>
          <cell r="K145" t="str">
            <v>unit</v>
          </cell>
          <cell r="L145" t="str">
            <v>0</v>
          </cell>
        </row>
        <row r="146">
          <cell r="F146" t="str">
            <v>AMC00001</v>
          </cell>
          <cell r="G146" t="str">
            <v>CHEST FREEZER CURVE GEA SD 260 BY</v>
          </cell>
          <cell r="H146">
            <v>0</v>
          </cell>
          <cell r="I146">
            <v>0</v>
          </cell>
          <cell r="J146">
            <v>0</v>
          </cell>
          <cell r="K146" t="str">
            <v>unit</v>
          </cell>
          <cell r="L146" t="str">
            <v>0</v>
          </cell>
        </row>
        <row r="147">
          <cell r="F147" t="str">
            <v>AMC00002</v>
          </cell>
          <cell r="G147" t="str">
            <v>CHIILER 2 PINTU GEA EXPO 1000 VFC</v>
          </cell>
          <cell r="H147">
            <v>0</v>
          </cell>
          <cell r="I147">
            <v>0</v>
          </cell>
          <cell r="J147">
            <v>0</v>
          </cell>
          <cell r="K147" t="str">
            <v>unit</v>
          </cell>
          <cell r="L147" t="str">
            <v>0</v>
          </cell>
        </row>
        <row r="148">
          <cell r="F148" t="str">
            <v>AMC00003</v>
          </cell>
          <cell r="G148" t="str">
            <v>KOMPOR INDUKSI IC-1100</v>
          </cell>
          <cell r="H148">
            <v>0</v>
          </cell>
          <cell r="I148">
            <v>0</v>
          </cell>
          <cell r="J148">
            <v>0</v>
          </cell>
          <cell r="K148" t="str">
            <v>unit</v>
          </cell>
          <cell r="L148" t="str">
            <v>0</v>
          </cell>
        </row>
        <row r="149">
          <cell r="F149" t="str">
            <v>AMC00004</v>
          </cell>
          <cell r="G149" t="str">
            <v xml:space="preserve"> CHEST FREEZER AQUA AQF-310W</v>
          </cell>
          <cell r="H149">
            <v>0</v>
          </cell>
          <cell r="I149">
            <v>0</v>
          </cell>
          <cell r="J149">
            <v>0</v>
          </cell>
          <cell r="K149" t="str">
            <v>unit</v>
          </cell>
          <cell r="L149" t="str">
            <v>0</v>
          </cell>
        </row>
        <row r="150">
          <cell r="F150" t="str">
            <v>AMC00005</v>
          </cell>
          <cell r="G150" t="str">
            <v>CHEST FREEZER GEA AB 600R</v>
          </cell>
          <cell r="H150">
            <v>0</v>
          </cell>
          <cell r="I150">
            <v>0</v>
          </cell>
          <cell r="J150">
            <v>0</v>
          </cell>
          <cell r="K150" t="str">
            <v>unit</v>
          </cell>
          <cell r="L150" t="str">
            <v>0</v>
          </cell>
        </row>
        <row r="151">
          <cell r="F151" t="str">
            <v>AMC00006</v>
          </cell>
          <cell r="G151" t="str">
            <v>HAND SEALER GEA HIS 400MH</v>
          </cell>
          <cell r="H151">
            <v>0</v>
          </cell>
          <cell r="I151">
            <v>0</v>
          </cell>
          <cell r="J151">
            <v>0</v>
          </cell>
          <cell r="K151" t="str">
            <v>unit</v>
          </cell>
          <cell r="L151" t="str">
            <v>0</v>
          </cell>
        </row>
        <row r="152">
          <cell r="F152" t="str">
            <v>AMC00007</v>
          </cell>
          <cell r="G152" t="str">
            <v>GAS FRYER GEA GF-30</v>
          </cell>
          <cell r="H152">
            <v>0</v>
          </cell>
          <cell r="I152">
            <v>0</v>
          </cell>
          <cell r="J152">
            <v>0</v>
          </cell>
          <cell r="K152" t="str">
            <v>unit</v>
          </cell>
          <cell r="L152" t="str">
            <v>0</v>
          </cell>
        </row>
        <row r="153">
          <cell r="F153" t="str">
            <v>AMC00008</v>
          </cell>
          <cell r="G153" t="str">
            <v>GAS RICE COOKERMB80 RB GETRA</v>
          </cell>
          <cell r="H153">
            <v>0</v>
          </cell>
          <cell r="I153">
            <v>0</v>
          </cell>
          <cell r="J153">
            <v>0</v>
          </cell>
          <cell r="K153" t="str">
            <v>unit</v>
          </cell>
          <cell r="L153" t="str">
            <v>0</v>
          </cell>
        </row>
        <row r="154">
          <cell r="F154" t="str">
            <v>AMC00009</v>
          </cell>
          <cell r="G154" t="str">
            <v>TOP CHAFING DISH YF-723  GETRA</v>
          </cell>
          <cell r="H154">
            <v>0</v>
          </cell>
          <cell r="I154">
            <v>0</v>
          </cell>
          <cell r="J154">
            <v>0</v>
          </cell>
          <cell r="K154" t="str">
            <v>unit</v>
          </cell>
          <cell r="L154" t="str">
            <v>0</v>
          </cell>
        </row>
        <row r="155">
          <cell r="F155" t="str">
            <v>AMC00010</v>
          </cell>
          <cell r="G155" t="str">
            <v>CHEST FREEZER RSA CF-160</v>
          </cell>
          <cell r="H155">
            <v>0</v>
          </cell>
          <cell r="I155">
            <v>0</v>
          </cell>
          <cell r="J155">
            <v>0</v>
          </cell>
          <cell r="K155" t="str">
            <v>unit</v>
          </cell>
          <cell r="L155" t="str">
            <v>0</v>
          </cell>
        </row>
        <row r="156">
          <cell r="F156" t="str">
            <v>AMC00011</v>
          </cell>
          <cell r="G156" t="str">
            <v>SHOWCASE 2D GEA EXPO-600AH</v>
          </cell>
          <cell r="H156">
            <v>0</v>
          </cell>
          <cell r="I156">
            <v>0</v>
          </cell>
          <cell r="J156">
            <v>0</v>
          </cell>
          <cell r="K156" t="str">
            <v>unit</v>
          </cell>
          <cell r="L156" t="str">
            <v>0</v>
          </cell>
        </row>
        <row r="157">
          <cell r="F157" t="str">
            <v>AMC00012</v>
          </cell>
          <cell r="G157" t="str">
            <v>CHEST FREEZER GEA AB-1200T-X</v>
          </cell>
          <cell r="H157">
            <v>0</v>
          </cell>
          <cell r="I157">
            <v>0</v>
          </cell>
          <cell r="J157">
            <v>0</v>
          </cell>
          <cell r="K157" t="str">
            <v>unit</v>
          </cell>
          <cell r="L157" t="str">
            <v>0</v>
          </cell>
        </row>
        <row r="158">
          <cell r="F158" t="str">
            <v>AMC00013</v>
          </cell>
          <cell r="G158" t="str">
            <v>SLIDING CURVE GEA SD-360BY</v>
          </cell>
          <cell r="H158">
            <v>0</v>
          </cell>
          <cell r="I158">
            <v>0</v>
          </cell>
          <cell r="J158">
            <v>0</v>
          </cell>
          <cell r="K158" t="str">
            <v>unit</v>
          </cell>
          <cell r="L158" t="str">
            <v>0</v>
          </cell>
        </row>
        <row r="159">
          <cell r="F159" t="str">
            <v>AMC00014</v>
          </cell>
          <cell r="G159" t="str">
            <v>KOMPOR HOTOK 4000 WAT</v>
          </cell>
          <cell r="H159">
            <v>0</v>
          </cell>
          <cell r="I159">
            <v>0</v>
          </cell>
          <cell r="J159">
            <v>0</v>
          </cell>
          <cell r="K159" t="str">
            <v>unit</v>
          </cell>
          <cell r="L159" t="str">
            <v>0</v>
          </cell>
        </row>
        <row r="160">
          <cell r="F160" t="str">
            <v>AMC00015</v>
          </cell>
          <cell r="G160" t="str">
            <v>SIRMAN PALLADIO 350 MEAT SLICER  350MM 379 WATT</v>
          </cell>
          <cell r="H160">
            <v>0</v>
          </cell>
          <cell r="I160">
            <v>0</v>
          </cell>
          <cell r="J160">
            <v>0</v>
          </cell>
          <cell r="K160" t="str">
            <v>unit</v>
          </cell>
          <cell r="L160" t="str">
            <v>0</v>
          </cell>
        </row>
        <row r="161">
          <cell r="F161" t="str">
            <v>AMC00016</v>
          </cell>
          <cell r="G161" t="str">
            <v>MIXER PLANETARY SM-201 220V-50HZ</v>
          </cell>
          <cell r="H161">
            <v>0</v>
          </cell>
          <cell r="I161">
            <v>0</v>
          </cell>
          <cell r="J161">
            <v>0</v>
          </cell>
          <cell r="K161" t="str">
            <v>unit</v>
          </cell>
          <cell r="L161" t="str">
            <v>0</v>
          </cell>
        </row>
        <row r="162">
          <cell r="F162" t="str">
            <v>AMC00017</v>
          </cell>
          <cell r="G162" t="str">
            <v>SF-150LW FUNCTIOAL FILM SEALER POWEPACK</v>
          </cell>
          <cell r="H162">
            <v>0</v>
          </cell>
          <cell r="I162">
            <v>0</v>
          </cell>
          <cell r="J162">
            <v>0</v>
          </cell>
          <cell r="K162" t="str">
            <v>unit</v>
          </cell>
          <cell r="L162" t="str">
            <v>0</v>
          </cell>
        </row>
        <row r="163">
          <cell r="F163" t="str">
            <v>AMC00018</v>
          </cell>
          <cell r="G163" t="str">
            <v>SHOWCASE CHILLER AURORA SY1000</v>
          </cell>
          <cell r="H163">
            <v>0</v>
          </cell>
          <cell r="I163">
            <v>0</v>
          </cell>
          <cell r="J163">
            <v>0</v>
          </cell>
          <cell r="K163" t="str">
            <v>unit</v>
          </cell>
          <cell r="L163" t="str">
            <v>0</v>
          </cell>
        </row>
        <row r="164">
          <cell r="F164" t="str">
            <v>AMC00019</v>
          </cell>
          <cell r="G164" t="str">
            <v>AC GREE 09MOO5S</v>
          </cell>
          <cell r="H164">
            <v>0</v>
          </cell>
          <cell r="I164">
            <v>0</v>
          </cell>
          <cell r="J164">
            <v>0</v>
          </cell>
          <cell r="K164" t="str">
            <v>unit</v>
          </cell>
          <cell r="L164" t="str">
            <v>0</v>
          </cell>
        </row>
        <row r="165">
          <cell r="F165" t="str">
            <v>AMC00020</v>
          </cell>
          <cell r="G165" t="str">
            <v>AC GREE 18MOO5S</v>
          </cell>
          <cell r="H165">
            <v>0</v>
          </cell>
          <cell r="I165">
            <v>0</v>
          </cell>
          <cell r="J165">
            <v>0</v>
          </cell>
          <cell r="K165" t="str">
            <v>unit</v>
          </cell>
          <cell r="L165" t="str">
            <v>0</v>
          </cell>
        </row>
        <row r="166">
          <cell r="F166" t="str">
            <v>AMC00021</v>
          </cell>
          <cell r="G166" t="str">
            <v>KOMPOR INDUKSI GEA IC-2000</v>
          </cell>
          <cell r="H166">
            <v>0</v>
          </cell>
          <cell r="I166">
            <v>0</v>
          </cell>
          <cell r="J166">
            <v>0</v>
          </cell>
          <cell r="K166" t="str">
            <v>unit</v>
          </cell>
          <cell r="L166" t="str">
            <v>0</v>
          </cell>
        </row>
        <row r="167">
          <cell r="F167" t="str">
            <v>AMC00022</v>
          </cell>
          <cell r="G167" t="str">
            <v>STANDING FREEZER FRESTA FR 333 FS-1</v>
          </cell>
          <cell r="H167">
            <v>0</v>
          </cell>
          <cell r="I167">
            <v>0</v>
          </cell>
          <cell r="J167">
            <v>0</v>
          </cell>
          <cell r="K167" t="str">
            <v>unit</v>
          </cell>
          <cell r="L167" t="str">
            <v>0</v>
          </cell>
        </row>
        <row r="168">
          <cell r="F168" t="str">
            <v>AMC00023</v>
          </cell>
          <cell r="G168" t="str">
            <v>SLIDING FREEZER FRESTA FR 358 CG-1</v>
          </cell>
          <cell r="H168">
            <v>0</v>
          </cell>
          <cell r="I168">
            <v>0</v>
          </cell>
          <cell r="J168">
            <v>0</v>
          </cell>
          <cell r="K168" t="str">
            <v>unit</v>
          </cell>
          <cell r="L168" t="str">
            <v>0</v>
          </cell>
        </row>
        <row r="169">
          <cell r="F169" t="str">
            <v>AMC00024</v>
          </cell>
          <cell r="G169" t="str">
            <v>ZEPPELIN COOKING MIXER 150 LT</v>
          </cell>
          <cell r="H169">
            <v>0</v>
          </cell>
          <cell r="I169">
            <v>0</v>
          </cell>
          <cell r="J169">
            <v>0</v>
          </cell>
          <cell r="K169" t="str">
            <v>unit</v>
          </cell>
          <cell r="L169" t="str">
            <v>0</v>
          </cell>
        </row>
        <row r="170">
          <cell r="F170" t="str">
            <v>AMC00025</v>
          </cell>
          <cell r="G170" t="str">
            <v>CHEST FREEZER RSA CF-210</v>
          </cell>
          <cell r="H170">
            <v>0</v>
          </cell>
          <cell r="I170">
            <v>0</v>
          </cell>
          <cell r="J170">
            <v>0</v>
          </cell>
          <cell r="K170" t="str">
            <v>unit</v>
          </cell>
          <cell r="L170" t="str">
            <v>0</v>
          </cell>
        </row>
        <row r="171">
          <cell r="F171" t="str">
            <v>AMC00026</v>
          </cell>
          <cell r="G171" t="str">
            <v>DOUGH MIXER</v>
          </cell>
          <cell r="H171">
            <v>0</v>
          </cell>
          <cell r="I171">
            <v>0</v>
          </cell>
          <cell r="J171">
            <v>0</v>
          </cell>
          <cell r="K171" t="str">
            <v>unit</v>
          </cell>
          <cell r="L171" t="str">
            <v>0</v>
          </cell>
        </row>
        <row r="172">
          <cell r="F172" t="str">
            <v>AMC00027</v>
          </cell>
          <cell r="G172" t="str">
            <v>NOODLE MACHINE</v>
          </cell>
          <cell r="H172">
            <v>0</v>
          </cell>
          <cell r="I172">
            <v>0</v>
          </cell>
          <cell r="J172">
            <v>0</v>
          </cell>
          <cell r="K172" t="str">
            <v>unit</v>
          </cell>
          <cell r="L172" t="str">
            <v>0</v>
          </cell>
        </row>
        <row r="173">
          <cell r="F173" t="str">
            <v>AMC00028</v>
          </cell>
          <cell r="G173" t="str">
            <v>CHEST FREEZER AQUA AQF980GC</v>
          </cell>
          <cell r="H173">
            <v>0</v>
          </cell>
          <cell r="I173">
            <v>0</v>
          </cell>
          <cell r="J173">
            <v>0</v>
          </cell>
          <cell r="K173" t="str">
            <v>unit</v>
          </cell>
          <cell r="L173" t="str">
            <v>0</v>
          </cell>
        </row>
        <row r="174">
          <cell r="F174" t="str">
            <v>AMC00029</v>
          </cell>
          <cell r="G174" t="str">
            <v>BRANGKAS 35x25x25</v>
          </cell>
          <cell r="H174">
            <v>0</v>
          </cell>
          <cell r="I174">
            <v>0</v>
          </cell>
          <cell r="J174">
            <v>0</v>
          </cell>
          <cell r="K174" t="str">
            <v>unit</v>
          </cell>
          <cell r="L174" t="str">
            <v>0</v>
          </cell>
        </row>
        <row r="175">
          <cell r="F175" t="str">
            <v>AMC00030</v>
          </cell>
          <cell r="G175" t="str">
            <v>GAS FRYER GEA GF-40</v>
          </cell>
          <cell r="H175">
            <v>0</v>
          </cell>
          <cell r="I175">
            <v>0</v>
          </cell>
          <cell r="J175">
            <v>0</v>
          </cell>
          <cell r="K175" t="str">
            <v>unit</v>
          </cell>
          <cell r="L175" t="str">
            <v>0</v>
          </cell>
        </row>
        <row r="176">
          <cell r="F176" t="str">
            <v>AMC00031</v>
          </cell>
          <cell r="G176" t="str">
            <v>BARLINE FREEZER 2 DOORS (1500) SBF 1500- 2D</v>
          </cell>
          <cell r="H176">
            <v>0</v>
          </cell>
          <cell r="I176">
            <v>0</v>
          </cell>
          <cell r="J176">
            <v>0</v>
          </cell>
          <cell r="K176" t="str">
            <v>unit</v>
          </cell>
          <cell r="L176" t="str">
            <v>0</v>
          </cell>
        </row>
        <row r="177">
          <cell r="F177" t="str">
            <v>AMC00032</v>
          </cell>
          <cell r="G177" t="str">
            <v>SHOWCASE 2D GEA EXPO-800AH</v>
          </cell>
          <cell r="H177">
            <v>0</v>
          </cell>
          <cell r="I177">
            <v>0</v>
          </cell>
          <cell r="J177">
            <v>0</v>
          </cell>
          <cell r="K177" t="str">
            <v>unit</v>
          </cell>
          <cell r="L177" t="str">
            <v>0</v>
          </cell>
        </row>
        <row r="178">
          <cell r="F178" t="str">
            <v>AMC00033</v>
          </cell>
          <cell r="G178" t="str">
            <v>CHEST FREEZER AQUA AQF-160 W</v>
          </cell>
          <cell r="H178">
            <v>0</v>
          </cell>
          <cell r="I178">
            <v>0</v>
          </cell>
          <cell r="J178">
            <v>0</v>
          </cell>
          <cell r="K178" t="str">
            <v>unit</v>
          </cell>
          <cell r="L178" t="str">
            <v>0</v>
          </cell>
        </row>
        <row r="179">
          <cell r="F179" t="str">
            <v>AMC00034</v>
          </cell>
          <cell r="G179" t="str">
            <v>CHEST FREEZER AQUA AQW-420 W</v>
          </cell>
          <cell r="H179">
            <v>0</v>
          </cell>
          <cell r="I179">
            <v>0</v>
          </cell>
          <cell r="J179">
            <v>0</v>
          </cell>
          <cell r="K179" t="str">
            <v>unit</v>
          </cell>
          <cell r="L179" t="str">
            <v>0</v>
          </cell>
        </row>
        <row r="180">
          <cell r="F180" t="str">
            <v>AMC00035</v>
          </cell>
          <cell r="G180" t="str">
            <v>CHEST FREEZER AB 900 TX</v>
          </cell>
          <cell r="H180">
            <v>0</v>
          </cell>
          <cell r="I180">
            <v>0</v>
          </cell>
          <cell r="J180">
            <v>0</v>
          </cell>
          <cell r="K180" t="str">
            <v>unit</v>
          </cell>
          <cell r="L180" t="str">
            <v>0</v>
          </cell>
        </row>
        <row r="181">
          <cell r="F181" t="str">
            <v>AMC00037</v>
          </cell>
          <cell r="G181" t="str">
            <v>COMBI FREEZER ROYAL STAR LCD-1200</v>
          </cell>
          <cell r="H181">
            <v>0</v>
          </cell>
          <cell r="I181">
            <v>0</v>
          </cell>
          <cell r="J181">
            <v>0</v>
          </cell>
          <cell r="K181" t="str">
            <v>unit</v>
          </cell>
          <cell r="L181" t="str">
            <v>0</v>
          </cell>
        </row>
        <row r="182">
          <cell r="F182" t="str">
            <v>AMC00038</v>
          </cell>
          <cell r="G182" t="str">
            <v>CHEST FREEXER GEA AB-318-R</v>
          </cell>
          <cell r="H182">
            <v>0</v>
          </cell>
          <cell r="I182">
            <v>0</v>
          </cell>
          <cell r="J182">
            <v>0</v>
          </cell>
          <cell r="K182" t="str">
            <v>unit</v>
          </cell>
          <cell r="L182" t="str">
            <v>0</v>
          </cell>
        </row>
        <row r="183">
          <cell r="F183" t="str">
            <v>AMC00039</v>
          </cell>
          <cell r="G183" t="str">
            <v>KOMPOR INDUKSI LATINA CALORIE LTJ 1000</v>
          </cell>
          <cell r="H183">
            <v>0</v>
          </cell>
          <cell r="I183">
            <v>0</v>
          </cell>
          <cell r="J183">
            <v>0</v>
          </cell>
          <cell r="K183" t="str">
            <v>unit</v>
          </cell>
          <cell r="L183" t="str">
            <v>0</v>
          </cell>
        </row>
        <row r="184">
          <cell r="F184" t="str">
            <v>AMC00040</v>
          </cell>
          <cell r="G184" t="str">
            <v>CHEST FREEZER AQUA AQF 305 GC</v>
          </cell>
          <cell r="H184">
            <v>0</v>
          </cell>
          <cell r="I184">
            <v>0</v>
          </cell>
          <cell r="J184">
            <v>0</v>
          </cell>
          <cell r="K184" t="str">
            <v>unit</v>
          </cell>
          <cell r="L184" t="str">
            <v>0</v>
          </cell>
        </row>
        <row r="185">
          <cell r="F185" t="str">
            <v>AMC00041</v>
          </cell>
          <cell r="G185" t="str">
            <v>MESIN PEMOTONG KENTANG</v>
          </cell>
          <cell r="H185">
            <v>0</v>
          </cell>
          <cell r="I185">
            <v>0</v>
          </cell>
          <cell r="J185">
            <v>0</v>
          </cell>
          <cell r="K185" t="str">
            <v>unit</v>
          </cell>
          <cell r="L185" t="str">
            <v>0</v>
          </cell>
        </row>
        <row r="186">
          <cell r="F186" t="str">
            <v>AMC00042</v>
          </cell>
          <cell r="G186" t="str">
            <v>CHEST FREEZER GEA AB 506</v>
          </cell>
          <cell r="H186">
            <v>0</v>
          </cell>
          <cell r="I186">
            <v>0</v>
          </cell>
          <cell r="J186">
            <v>0</v>
          </cell>
          <cell r="K186" t="str">
            <v>unit</v>
          </cell>
          <cell r="L186" t="str">
            <v>0</v>
          </cell>
        </row>
        <row r="187">
          <cell r="F187" t="str">
            <v>AMC00043</v>
          </cell>
          <cell r="G187" t="str">
            <v>UPRIGHT CHILLER 4 PINTU (NON PILLAR SS 304)</v>
          </cell>
          <cell r="H187">
            <v>0</v>
          </cell>
          <cell r="I187">
            <v>0</v>
          </cell>
          <cell r="J187">
            <v>0</v>
          </cell>
          <cell r="K187" t="str">
            <v>unit</v>
          </cell>
          <cell r="L187" t="str">
            <v>0</v>
          </cell>
        </row>
        <row r="188">
          <cell r="F188" t="str">
            <v>AMC00044</v>
          </cell>
          <cell r="G188" t="str">
            <v>TABLE TOP BAIN MARIE GTRA 2 PAN ET-TEM 2V</v>
          </cell>
          <cell r="H188">
            <v>0</v>
          </cell>
          <cell r="I188">
            <v>0</v>
          </cell>
          <cell r="J188">
            <v>0</v>
          </cell>
          <cell r="K188" t="str">
            <v>unit</v>
          </cell>
          <cell r="L188" t="str">
            <v>0</v>
          </cell>
        </row>
        <row r="189">
          <cell r="F189" t="str">
            <v>AMC00045</v>
          </cell>
          <cell r="G189" t="str">
            <v>HOOD CUCIAN PIRING 70 X 90 X 50</v>
          </cell>
          <cell r="H189">
            <v>0</v>
          </cell>
          <cell r="I189">
            <v>0</v>
          </cell>
          <cell r="J189">
            <v>0</v>
          </cell>
          <cell r="K189" t="str">
            <v>unit</v>
          </cell>
          <cell r="L189" t="str">
            <v>0</v>
          </cell>
        </row>
        <row r="190">
          <cell r="F190" t="str">
            <v>AMC00046</v>
          </cell>
          <cell r="G190" t="str">
            <v>AIR CURTAIN GREE</v>
          </cell>
          <cell r="H190">
            <v>0</v>
          </cell>
          <cell r="I190">
            <v>0</v>
          </cell>
          <cell r="J190">
            <v>0</v>
          </cell>
          <cell r="K190" t="str">
            <v>unit</v>
          </cell>
          <cell r="L190" t="str">
            <v>0</v>
          </cell>
        </row>
        <row r="191">
          <cell r="F191" t="str">
            <v>AMC00047</v>
          </cell>
          <cell r="G191" t="str">
            <v>BACK BAR COOLER GEA BB-W5T3</v>
          </cell>
          <cell r="H191">
            <v>0</v>
          </cell>
          <cell r="I191">
            <v>0</v>
          </cell>
          <cell r="J191">
            <v>0</v>
          </cell>
          <cell r="K191" t="str">
            <v>unit</v>
          </cell>
          <cell r="L191" t="str">
            <v>0</v>
          </cell>
        </row>
        <row r="192">
          <cell r="F192" t="str">
            <v>AMC00048</v>
          </cell>
          <cell r="G192" t="str">
            <v>CHEST FREEZER GEA CF 110</v>
          </cell>
          <cell r="H192">
            <v>0</v>
          </cell>
          <cell r="I192">
            <v>0</v>
          </cell>
          <cell r="J192">
            <v>0</v>
          </cell>
          <cell r="K192" t="str">
            <v>unit</v>
          </cell>
          <cell r="L192" t="str">
            <v>0</v>
          </cell>
        </row>
        <row r="193">
          <cell r="F193" t="str">
            <v>AMC00049</v>
          </cell>
          <cell r="G193" t="str">
            <v>BOOTH (VIDEO &amp; PHOTO)</v>
          </cell>
          <cell r="H193">
            <v>0</v>
          </cell>
          <cell r="I193">
            <v>0</v>
          </cell>
          <cell r="J193">
            <v>0</v>
          </cell>
          <cell r="K193" t="str">
            <v>unit</v>
          </cell>
          <cell r="L193" t="str">
            <v>0</v>
          </cell>
        </row>
        <row r="194">
          <cell r="F194" t="str">
            <v>AMC00050</v>
          </cell>
          <cell r="G194" t="str">
            <v>AC SPLIT WALL</v>
          </cell>
          <cell r="H194">
            <v>0</v>
          </cell>
          <cell r="I194">
            <v>0</v>
          </cell>
          <cell r="J194">
            <v>0</v>
          </cell>
          <cell r="K194" t="str">
            <v>unit</v>
          </cell>
          <cell r="L194" t="str">
            <v>0</v>
          </cell>
        </row>
        <row r="195">
          <cell r="F195" t="str">
            <v>AMC00051</v>
          </cell>
          <cell r="G195" t="str">
            <v>AC CASSETTE / AC</v>
          </cell>
          <cell r="H195">
            <v>0</v>
          </cell>
          <cell r="I195">
            <v>0</v>
          </cell>
          <cell r="J195">
            <v>0</v>
          </cell>
          <cell r="K195" t="str">
            <v>unit</v>
          </cell>
          <cell r="L195" t="str">
            <v>0</v>
          </cell>
        </row>
        <row r="196">
          <cell r="F196" t="str">
            <v>AMC00052</v>
          </cell>
          <cell r="G196" t="str">
            <v>DISPLAY COOLER EXPO GEA - 90FD</v>
          </cell>
          <cell r="H196">
            <v>0</v>
          </cell>
          <cell r="I196">
            <v>0</v>
          </cell>
          <cell r="J196">
            <v>0</v>
          </cell>
          <cell r="K196" t="str">
            <v>unit</v>
          </cell>
          <cell r="L196" t="str">
            <v>0</v>
          </cell>
        </row>
        <row r="197">
          <cell r="F197" t="str">
            <v>AMC00053</v>
          </cell>
          <cell r="G197" t="str">
            <v>CHEST FREEZER SF 600</v>
          </cell>
          <cell r="H197">
            <v>0</v>
          </cell>
          <cell r="I197">
            <v>0</v>
          </cell>
          <cell r="J197">
            <v>0</v>
          </cell>
          <cell r="K197" t="str">
            <v>unit</v>
          </cell>
          <cell r="L197" t="str">
            <v>0</v>
          </cell>
        </row>
        <row r="198">
          <cell r="F198" t="str">
            <v>AMC00054</v>
          </cell>
          <cell r="G198" t="str">
            <v>CHEST FFREEZER CF 310</v>
          </cell>
          <cell r="H198">
            <v>0</v>
          </cell>
          <cell r="I198">
            <v>0</v>
          </cell>
          <cell r="J198">
            <v>0</v>
          </cell>
          <cell r="K198" t="str">
            <v>unit</v>
          </cell>
          <cell r="L198" t="str">
            <v>0</v>
          </cell>
        </row>
        <row r="199">
          <cell r="F199" t="str">
            <v>AMC00055</v>
          </cell>
          <cell r="G199" t="str">
            <v>BACK BAR COOLER GEA BB-W5T2</v>
          </cell>
          <cell r="H199">
            <v>0</v>
          </cell>
          <cell r="I199">
            <v>0</v>
          </cell>
          <cell r="J199">
            <v>0</v>
          </cell>
          <cell r="K199" t="str">
            <v>unit</v>
          </cell>
          <cell r="L199" t="str">
            <v>0</v>
          </cell>
        </row>
        <row r="200">
          <cell r="F200" t="str">
            <v>AMC00056</v>
          </cell>
          <cell r="G200" t="str">
            <v>SLIDING FREEZER  SD 213</v>
          </cell>
          <cell r="H200">
            <v>0</v>
          </cell>
          <cell r="I200">
            <v>0</v>
          </cell>
          <cell r="J200">
            <v>0</v>
          </cell>
          <cell r="K200" t="str">
            <v>unit</v>
          </cell>
          <cell r="L200" t="str">
            <v>0</v>
          </cell>
        </row>
        <row r="201">
          <cell r="F201" t="str">
            <v>AMCCK00001</v>
          </cell>
          <cell r="G201" t="str">
            <v>MULTI FUNCHTION CUTTER FOMAC FCT-QS13A</v>
          </cell>
          <cell r="H201">
            <v>0</v>
          </cell>
          <cell r="I201">
            <v>0</v>
          </cell>
          <cell r="J201">
            <v>0</v>
          </cell>
          <cell r="K201" t="str">
            <v>unit</v>
          </cell>
          <cell r="L201" t="str">
            <v>0</v>
          </cell>
        </row>
        <row r="202">
          <cell r="F202" t="str">
            <v>AOE00001</v>
          </cell>
          <cell r="G202" t="str">
            <v>KURSI KANTOR SAVELLO</v>
          </cell>
          <cell r="H202">
            <v>0</v>
          </cell>
          <cell r="I202">
            <v>0</v>
          </cell>
          <cell r="J202">
            <v>0</v>
          </cell>
          <cell r="K202" t="str">
            <v>unit</v>
          </cell>
          <cell r="L202" t="str">
            <v>0</v>
          </cell>
        </row>
        <row r="203">
          <cell r="F203" t="str">
            <v>AOE00002</v>
          </cell>
          <cell r="G203" t="str">
            <v>KURSI SOFA TEZTRO BLACK</v>
          </cell>
          <cell r="H203">
            <v>0</v>
          </cell>
          <cell r="I203">
            <v>0</v>
          </cell>
          <cell r="J203">
            <v>0</v>
          </cell>
          <cell r="K203" t="str">
            <v>unit</v>
          </cell>
          <cell r="L203" t="str">
            <v>0</v>
          </cell>
        </row>
        <row r="204">
          <cell r="F204" t="str">
            <v>AOE00003</v>
          </cell>
          <cell r="G204" t="str">
            <v>MEJA INDACHI CTX-WALNUT 410X1200X700 mm</v>
          </cell>
          <cell r="H204">
            <v>0</v>
          </cell>
          <cell r="I204">
            <v>0</v>
          </cell>
          <cell r="J204">
            <v>0</v>
          </cell>
          <cell r="K204" t="str">
            <v>unit</v>
          </cell>
          <cell r="L204" t="str">
            <v>0</v>
          </cell>
        </row>
        <row r="205">
          <cell r="F205" t="str">
            <v>AOE00004</v>
          </cell>
          <cell r="G205" t="str">
            <v>MEJA KANTOR MODERA 100 X 50 X 75 SD1050</v>
          </cell>
          <cell r="H205">
            <v>0</v>
          </cell>
          <cell r="I205">
            <v>0</v>
          </cell>
          <cell r="J205">
            <v>0</v>
          </cell>
          <cell r="K205" t="str">
            <v>unit</v>
          </cell>
          <cell r="L205" t="str">
            <v>0</v>
          </cell>
        </row>
        <row r="206">
          <cell r="F206" t="str">
            <v>AOE00005</v>
          </cell>
          <cell r="G206" t="str">
            <v>HARDISK 3,5 WD CAVIAR</v>
          </cell>
          <cell r="H206">
            <v>0</v>
          </cell>
          <cell r="I206">
            <v>0</v>
          </cell>
          <cell r="J206">
            <v>0</v>
          </cell>
          <cell r="K206" t="str">
            <v>unit</v>
          </cell>
          <cell r="L206" t="str">
            <v>0</v>
          </cell>
        </row>
        <row r="207">
          <cell r="F207" t="str">
            <v>AOE00006</v>
          </cell>
          <cell r="G207" t="str">
            <v>DISKSTASTION STORAGE COULD DS 224 PLUS</v>
          </cell>
          <cell r="H207">
            <v>0</v>
          </cell>
          <cell r="I207">
            <v>0</v>
          </cell>
          <cell r="J207">
            <v>0</v>
          </cell>
          <cell r="K207" t="str">
            <v>unit</v>
          </cell>
          <cell r="L207" t="str">
            <v>0</v>
          </cell>
        </row>
        <row r="208">
          <cell r="F208" t="str">
            <v>ARD00001</v>
          </cell>
          <cell r="G208" t="str">
            <v>KURSI CUSHION + SANDARAN OLIVE</v>
          </cell>
          <cell r="H208">
            <v>0</v>
          </cell>
          <cell r="I208">
            <v>0</v>
          </cell>
          <cell r="J208">
            <v>0</v>
          </cell>
          <cell r="K208" t="str">
            <v>unit</v>
          </cell>
          <cell r="L208" t="str">
            <v>0</v>
          </cell>
        </row>
        <row r="209">
          <cell r="F209" t="str">
            <v>ARD00002</v>
          </cell>
          <cell r="G209" t="str">
            <v>KURSI NON CUSHION WARNA KAYU TERANG</v>
          </cell>
          <cell r="H209">
            <v>0</v>
          </cell>
          <cell r="I209">
            <v>0</v>
          </cell>
          <cell r="J209">
            <v>0</v>
          </cell>
          <cell r="K209" t="str">
            <v>unit</v>
          </cell>
          <cell r="L209" t="str">
            <v>0</v>
          </cell>
        </row>
        <row r="210">
          <cell r="F210" t="str">
            <v>ARD00003</v>
          </cell>
          <cell r="G210" t="str">
            <v>INNOGRAF</v>
          </cell>
          <cell r="H210">
            <v>0</v>
          </cell>
          <cell r="I210">
            <v>0</v>
          </cell>
          <cell r="J210">
            <v>0</v>
          </cell>
          <cell r="K210" t="str">
            <v>unit</v>
          </cell>
          <cell r="L210" t="str">
            <v>0</v>
          </cell>
        </row>
        <row r="211">
          <cell r="F211" t="str">
            <v>ARD00004</v>
          </cell>
          <cell r="G211" t="str">
            <v>KIPAS ANGIN DINDING DF650-TW</v>
          </cell>
          <cell r="H211">
            <v>0</v>
          </cell>
          <cell r="I211">
            <v>0</v>
          </cell>
          <cell r="J211">
            <v>0</v>
          </cell>
          <cell r="K211" t="str">
            <v>unit</v>
          </cell>
          <cell r="L211" t="str">
            <v>0</v>
          </cell>
        </row>
        <row r="212">
          <cell r="F212" t="str">
            <v>AVE00001</v>
          </cell>
          <cell r="G212" t="str">
            <v>MOBIL MITSUBISHI L 300 BBN BOX</v>
          </cell>
          <cell r="H212">
            <v>0</v>
          </cell>
          <cell r="I212">
            <v>0</v>
          </cell>
          <cell r="J212">
            <v>0</v>
          </cell>
          <cell r="K212" t="str">
            <v>unit</v>
          </cell>
          <cell r="L212" t="str">
            <v>0</v>
          </cell>
        </row>
        <row r="213">
          <cell r="F213" t="str">
            <v>BDS00001</v>
          </cell>
          <cell r="G213" t="str">
            <v>Mochi Ice Cream Red Bean Premium 16 PCS</v>
          </cell>
          <cell r="H213">
            <v>16000</v>
          </cell>
          <cell r="I213">
            <v>0</v>
          </cell>
          <cell r="J213">
            <v>0</v>
          </cell>
          <cell r="K213" t="str">
            <v>pcs</v>
          </cell>
          <cell r="L213" t="str">
            <v>0</v>
          </cell>
        </row>
        <row r="214">
          <cell r="F214" t="str">
            <v>BDS00002</v>
          </cell>
          <cell r="G214" t="str">
            <v>Mochi Ice Cream Chocolate Premium 16 PCS</v>
          </cell>
          <cell r="H214">
            <v>16000</v>
          </cell>
          <cell r="I214">
            <v>0</v>
          </cell>
          <cell r="J214">
            <v>0</v>
          </cell>
          <cell r="K214" t="str">
            <v>pcs</v>
          </cell>
          <cell r="L214" t="str">
            <v>0</v>
          </cell>
        </row>
        <row r="215">
          <cell r="F215" t="str">
            <v>BFL00001</v>
          </cell>
          <cell r="G215" t="str">
            <v>PEAR FLAVOR MOHLER 1 KG</v>
          </cell>
          <cell r="H215">
            <v>7000</v>
          </cell>
          <cell r="I215">
            <v>0</v>
          </cell>
          <cell r="J215">
            <v>0</v>
          </cell>
          <cell r="K215" t="str">
            <v>jerrycan</v>
          </cell>
          <cell r="L215" t="str">
            <v>0</v>
          </cell>
        </row>
        <row r="216">
          <cell r="F216" t="str">
            <v>BFL00002</v>
          </cell>
          <cell r="G216" t="str">
            <v>WATERMELON FLAVOR 50 ML</v>
          </cell>
          <cell r="H216">
            <v>541.66999999999996</v>
          </cell>
          <cell r="I216">
            <v>0</v>
          </cell>
          <cell r="J216">
            <v>0</v>
          </cell>
          <cell r="K216" t="str">
            <v>gr</v>
          </cell>
          <cell r="L216" t="str">
            <v>0</v>
          </cell>
        </row>
        <row r="217">
          <cell r="F217" t="str">
            <v>BFL00003</v>
          </cell>
          <cell r="G217" t="str">
            <v>KIWI FLAVOR 50 ML</v>
          </cell>
          <cell r="H217">
            <v>543.48</v>
          </cell>
          <cell r="I217">
            <v>0</v>
          </cell>
          <cell r="J217">
            <v>0</v>
          </cell>
          <cell r="K217" t="str">
            <v>gr</v>
          </cell>
          <cell r="L217" t="str">
            <v>0</v>
          </cell>
        </row>
        <row r="218">
          <cell r="F218" t="str">
            <v>BFL00004</v>
          </cell>
          <cell r="G218" t="str">
            <v>APPLE FLAVOR 50 ML</v>
          </cell>
          <cell r="H218">
            <v>583.33000000000004</v>
          </cell>
          <cell r="I218">
            <v>0</v>
          </cell>
          <cell r="J218">
            <v>0</v>
          </cell>
          <cell r="K218" t="str">
            <v>gr</v>
          </cell>
          <cell r="L218" t="str">
            <v>0</v>
          </cell>
        </row>
        <row r="219">
          <cell r="F219" t="str">
            <v>BFL00005</v>
          </cell>
          <cell r="G219" t="str">
            <v>POPCORN FLAVOR 50 ML</v>
          </cell>
          <cell r="H219">
            <v>750</v>
          </cell>
          <cell r="I219">
            <v>0</v>
          </cell>
          <cell r="J219">
            <v>0</v>
          </cell>
          <cell r="K219" t="str">
            <v>gr</v>
          </cell>
          <cell r="L219" t="str">
            <v>0</v>
          </cell>
        </row>
        <row r="220">
          <cell r="F220" t="str">
            <v>BFL00006</v>
          </cell>
          <cell r="G220" t="str">
            <v>PEACH FLAVOR TOFFIECO 250 G</v>
          </cell>
          <cell r="H220">
            <v>410.7</v>
          </cell>
          <cell r="I220">
            <v>0</v>
          </cell>
          <cell r="J220">
            <v>0</v>
          </cell>
          <cell r="K220" t="str">
            <v>gr</v>
          </cell>
          <cell r="L220" t="str">
            <v>0</v>
          </cell>
        </row>
        <row r="221">
          <cell r="F221" t="str">
            <v>BFL00007</v>
          </cell>
          <cell r="G221" t="str">
            <v>GRAPE FLAVOR TOFFIECO  250 G</v>
          </cell>
          <cell r="H221">
            <v>366.3</v>
          </cell>
          <cell r="I221">
            <v>0</v>
          </cell>
          <cell r="J221">
            <v>0</v>
          </cell>
          <cell r="K221" t="str">
            <v>gr</v>
          </cell>
          <cell r="L221" t="str">
            <v>0</v>
          </cell>
        </row>
        <row r="222">
          <cell r="F222" t="str">
            <v>BFL00008</v>
          </cell>
          <cell r="G222" t="str">
            <v>STRAWBERRY FLAVOR TOFFIECO  250 G</v>
          </cell>
          <cell r="H222">
            <v>321.98</v>
          </cell>
          <cell r="I222">
            <v>0</v>
          </cell>
          <cell r="J222">
            <v>0</v>
          </cell>
          <cell r="K222" t="str">
            <v>gr</v>
          </cell>
          <cell r="L222" t="str">
            <v>0</v>
          </cell>
        </row>
        <row r="223">
          <cell r="F223" t="str">
            <v>BFL00009</v>
          </cell>
          <cell r="G223" t="str">
            <v>MANGO FLAVOR TOFFIECO 250 G</v>
          </cell>
          <cell r="H223">
            <v>355.2</v>
          </cell>
          <cell r="I223">
            <v>0</v>
          </cell>
          <cell r="J223">
            <v>0</v>
          </cell>
          <cell r="K223" t="str">
            <v>gr</v>
          </cell>
          <cell r="L223" t="str">
            <v>0</v>
          </cell>
        </row>
        <row r="224">
          <cell r="F224" t="str">
            <v>BFL00010</v>
          </cell>
          <cell r="G224" t="str">
            <v>HONEY FLAVOR TOFFIECO  250 G</v>
          </cell>
          <cell r="H224">
            <v>366.3</v>
          </cell>
          <cell r="I224">
            <v>0</v>
          </cell>
          <cell r="J224">
            <v>0</v>
          </cell>
          <cell r="K224" t="str">
            <v>gr</v>
          </cell>
          <cell r="L224" t="str">
            <v>0</v>
          </cell>
        </row>
        <row r="225">
          <cell r="F225" t="str">
            <v>BFL00011</v>
          </cell>
          <cell r="G225" t="str">
            <v>STRAWBERRY FLAVOR TOFFIECO 100 G</v>
          </cell>
          <cell r="H225">
            <v>0</v>
          </cell>
          <cell r="I225">
            <v>0</v>
          </cell>
          <cell r="J225">
            <v>0</v>
          </cell>
          <cell r="K225" t="str">
            <v>gr</v>
          </cell>
          <cell r="L225" t="str">
            <v>0</v>
          </cell>
        </row>
        <row r="226">
          <cell r="F226" t="str">
            <v>BFL00012</v>
          </cell>
          <cell r="G226" t="str">
            <v>MANGO FLAVOR TOFFIECO 100 G</v>
          </cell>
          <cell r="H226">
            <v>0</v>
          </cell>
          <cell r="I226">
            <v>0</v>
          </cell>
          <cell r="J226">
            <v>0</v>
          </cell>
          <cell r="K226" t="str">
            <v>gr</v>
          </cell>
          <cell r="L226" t="str">
            <v>0</v>
          </cell>
        </row>
        <row r="227">
          <cell r="F227" t="str">
            <v>BFL00013</v>
          </cell>
          <cell r="G227" t="str">
            <v>GRAPE FLAVOR TOFFIECO 100 G</v>
          </cell>
          <cell r="H227">
            <v>0</v>
          </cell>
          <cell r="I227">
            <v>0</v>
          </cell>
          <cell r="J227">
            <v>0</v>
          </cell>
          <cell r="K227" t="str">
            <v>gr</v>
          </cell>
          <cell r="L227" t="str">
            <v>0</v>
          </cell>
        </row>
        <row r="228">
          <cell r="F228" t="str">
            <v>BFL00014</v>
          </cell>
          <cell r="G228" t="str">
            <v>PEACH FLAVOR TOFFIECO 100 G</v>
          </cell>
          <cell r="H228">
            <v>0</v>
          </cell>
          <cell r="I228">
            <v>0</v>
          </cell>
          <cell r="J228">
            <v>0</v>
          </cell>
          <cell r="K228" t="str">
            <v>gr</v>
          </cell>
          <cell r="L228" t="str">
            <v>0</v>
          </cell>
        </row>
        <row r="229">
          <cell r="F229" t="str">
            <v>BFL00015</v>
          </cell>
          <cell r="G229" t="str">
            <v>FLAVOR VANILLA EXTRA FINE JANSEN 100 G</v>
          </cell>
          <cell r="H229">
            <v>0</v>
          </cell>
          <cell r="I229">
            <v>0</v>
          </cell>
          <cell r="J229">
            <v>0</v>
          </cell>
          <cell r="K229" t="str">
            <v>gr</v>
          </cell>
          <cell r="L229" t="str">
            <v>0</v>
          </cell>
        </row>
        <row r="230">
          <cell r="F230" t="str">
            <v>BFL00016</v>
          </cell>
          <cell r="G230" t="str">
            <v>WATERMELON FLAVOR 250 ML</v>
          </cell>
          <cell r="H230">
            <v>0</v>
          </cell>
          <cell r="I230">
            <v>0</v>
          </cell>
          <cell r="J230">
            <v>0</v>
          </cell>
          <cell r="K230" t="str">
            <v>gr</v>
          </cell>
          <cell r="L230" t="str">
            <v>0</v>
          </cell>
        </row>
        <row r="231">
          <cell r="F231" t="str">
            <v>BFL00017</v>
          </cell>
          <cell r="G231" t="str">
            <v xml:space="preserve">KIWI FLAVOR 250 ML	</v>
          </cell>
          <cell r="H231">
            <v>0</v>
          </cell>
          <cell r="I231">
            <v>0</v>
          </cell>
          <cell r="J231">
            <v>0</v>
          </cell>
          <cell r="K231" t="str">
            <v>gr</v>
          </cell>
          <cell r="L231" t="str">
            <v>0</v>
          </cell>
        </row>
        <row r="232">
          <cell r="F232" t="str">
            <v>BFL00018</v>
          </cell>
          <cell r="G232" t="str">
            <v xml:space="preserve">APPLE FLAVOR 250 ML	</v>
          </cell>
          <cell r="H232">
            <v>0</v>
          </cell>
          <cell r="I232">
            <v>0</v>
          </cell>
          <cell r="J232">
            <v>0</v>
          </cell>
          <cell r="K232" t="str">
            <v>gr</v>
          </cell>
          <cell r="L232" t="str">
            <v>0</v>
          </cell>
        </row>
        <row r="233">
          <cell r="F233" t="str">
            <v>BFL00019</v>
          </cell>
          <cell r="G233" t="str">
            <v>LYCHEE FLAVOR TOFFIECO 250 G</v>
          </cell>
          <cell r="H233">
            <v>0</v>
          </cell>
          <cell r="I233">
            <v>0</v>
          </cell>
          <cell r="J233">
            <v>0</v>
          </cell>
          <cell r="K233" t="str">
            <v>gr</v>
          </cell>
          <cell r="L233" t="str">
            <v>0</v>
          </cell>
        </row>
        <row r="234">
          <cell r="F234" t="str">
            <v>BRT00013</v>
          </cell>
          <cell r="G234" t="str">
            <v>LE MINERALE GALON (NON COGS - MUST CHANGE CODE)</v>
          </cell>
          <cell r="H234">
            <v>0</v>
          </cell>
          <cell r="I234">
            <v>0</v>
          </cell>
          <cell r="J234">
            <v>0</v>
          </cell>
          <cell r="K234" t="str">
            <v>gal</v>
          </cell>
          <cell r="L234" t="str">
            <v>0</v>
          </cell>
        </row>
        <row r="235">
          <cell r="F235" t="str">
            <v>BRT00014</v>
          </cell>
          <cell r="G235" t="str">
            <v>AQUA 600 ML EVENT CHARLIE PUTH</v>
          </cell>
          <cell r="H235">
            <v>0</v>
          </cell>
          <cell r="I235">
            <v>0</v>
          </cell>
          <cell r="J235">
            <v>0</v>
          </cell>
          <cell r="K235" t="str">
            <v>ctn</v>
          </cell>
          <cell r="L235" t="str">
            <v>0</v>
          </cell>
        </row>
        <row r="236">
          <cell r="F236" t="str">
            <v>BRT00015</v>
          </cell>
          <cell r="G236" t="str">
            <v>AQUA 600 ML</v>
          </cell>
          <cell r="H236">
            <v>0</v>
          </cell>
          <cell r="I236">
            <v>0</v>
          </cell>
          <cell r="J236">
            <v>0</v>
          </cell>
          <cell r="K236" t="str">
            <v>ctn</v>
          </cell>
          <cell r="L236" t="str">
            <v>0</v>
          </cell>
        </row>
        <row r="237">
          <cell r="F237" t="str">
            <v>BRT00016</v>
          </cell>
          <cell r="G237" t="str">
            <v>AQUA ISI GALON</v>
          </cell>
          <cell r="H237">
            <v>0</v>
          </cell>
          <cell r="I237">
            <v>0</v>
          </cell>
          <cell r="J237">
            <v>0</v>
          </cell>
          <cell r="K237" t="str">
            <v>botol</v>
          </cell>
          <cell r="L237" t="str">
            <v>0</v>
          </cell>
        </row>
        <row r="238">
          <cell r="F238" t="str">
            <v>BRTD0001</v>
          </cell>
          <cell r="G238" t="str">
            <v>COCA COLA CAN 250 ML</v>
          </cell>
          <cell r="H238">
            <v>4333.3333000000002</v>
          </cell>
          <cell r="I238">
            <v>0</v>
          </cell>
          <cell r="J238">
            <v>0</v>
          </cell>
          <cell r="K238" t="str">
            <v>can</v>
          </cell>
          <cell r="L238" t="str">
            <v>0</v>
          </cell>
        </row>
        <row r="239">
          <cell r="F239" t="str">
            <v>BRTD0002</v>
          </cell>
          <cell r="G239" t="str">
            <v>LE MINERALE 600 ML</v>
          </cell>
          <cell r="H239">
            <v>1833.3333</v>
          </cell>
          <cell r="I239">
            <v>0</v>
          </cell>
          <cell r="J239">
            <v>0</v>
          </cell>
          <cell r="K239" t="str">
            <v>bottle</v>
          </cell>
          <cell r="L239" t="str">
            <v>0</v>
          </cell>
        </row>
        <row r="240">
          <cell r="F240" t="str">
            <v>BRTD0003</v>
          </cell>
          <cell r="G240" t="str">
            <v>JELLY B WATERMELON 150 ML</v>
          </cell>
          <cell r="H240">
            <v>17205</v>
          </cell>
          <cell r="I240">
            <v>0</v>
          </cell>
          <cell r="J240">
            <v>0</v>
          </cell>
          <cell r="K240" t="str">
            <v>pack</v>
          </cell>
          <cell r="L240" t="str">
            <v>0</v>
          </cell>
        </row>
        <row r="241">
          <cell r="F241" t="str">
            <v>BRTD0004</v>
          </cell>
          <cell r="G241" t="str">
            <v>JELLY B MANDARIN 150 ML</v>
          </cell>
          <cell r="H241">
            <v>17205</v>
          </cell>
          <cell r="I241">
            <v>0</v>
          </cell>
          <cell r="J241">
            <v>0</v>
          </cell>
          <cell r="K241" t="str">
            <v>pack</v>
          </cell>
          <cell r="L241" t="str">
            <v>0</v>
          </cell>
        </row>
        <row r="242">
          <cell r="F242" t="str">
            <v>BRTD0005</v>
          </cell>
          <cell r="G242" t="str">
            <v>JELLY B LYCHEE 150 ML</v>
          </cell>
          <cell r="H242">
            <v>17205</v>
          </cell>
          <cell r="I242">
            <v>0</v>
          </cell>
          <cell r="J242">
            <v>0</v>
          </cell>
          <cell r="K242" t="str">
            <v>pack</v>
          </cell>
          <cell r="L242" t="str">
            <v>0</v>
          </cell>
        </row>
        <row r="243">
          <cell r="F243" t="str">
            <v>BRTD0006</v>
          </cell>
          <cell r="G243" t="str">
            <v>JELLY B GREEN GRAPE 150 ML</v>
          </cell>
          <cell r="H243">
            <v>17205</v>
          </cell>
          <cell r="I243">
            <v>0</v>
          </cell>
          <cell r="J243">
            <v>0</v>
          </cell>
          <cell r="K243" t="str">
            <v>pack</v>
          </cell>
          <cell r="L243" t="str">
            <v>0</v>
          </cell>
        </row>
        <row r="244">
          <cell r="F244" t="str">
            <v>BRTD0007</v>
          </cell>
          <cell r="G244" t="str">
            <v>JELLY B MANGO 150 ML</v>
          </cell>
          <cell r="H244">
            <v>17205</v>
          </cell>
          <cell r="I244">
            <v>0</v>
          </cell>
          <cell r="J244">
            <v>0</v>
          </cell>
          <cell r="K244" t="str">
            <v>pack</v>
          </cell>
          <cell r="L244" t="str">
            <v>0</v>
          </cell>
        </row>
        <row r="245">
          <cell r="F245" t="str">
            <v>BRTD0008</v>
          </cell>
          <cell r="G245" t="str">
            <v>JELLY B PEACH 150 ML</v>
          </cell>
          <cell r="H245">
            <v>17205</v>
          </cell>
          <cell r="I245">
            <v>0</v>
          </cell>
          <cell r="J245">
            <v>0</v>
          </cell>
          <cell r="K245" t="str">
            <v>pack</v>
          </cell>
          <cell r="L245" t="str">
            <v>0</v>
          </cell>
        </row>
        <row r="246">
          <cell r="F246" t="str">
            <v>BRTD0009</v>
          </cell>
          <cell r="G246" t="str">
            <v>INNERSET JELLY APPLE 150 ML (INACTIVE OCT 2023)</v>
          </cell>
          <cell r="H246">
            <v>20458</v>
          </cell>
          <cell r="I246">
            <v>0</v>
          </cell>
          <cell r="J246">
            <v>0</v>
          </cell>
          <cell r="K246" t="str">
            <v>pack</v>
          </cell>
          <cell r="L246" t="str">
            <v>0</v>
          </cell>
        </row>
        <row r="247">
          <cell r="F247" t="str">
            <v>BRTD0010</v>
          </cell>
          <cell r="G247" t="str">
            <v>INNERSET JELLY GREEN GRAPE 150 ML (INACTIVE OCT 2023)</v>
          </cell>
          <cell r="H247">
            <v>20458</v>
          </cell>
          <cell r="I247">
            <v>0</v>
          </cell>
          <cell r="J247">
            <v>0</v>
          </cell>
          <cell r="K247" t="str">
            <v>pack</v>
          </cell>
          <cell r="L247" t="str">
            <v>0</v>
          </cell>
        </row>
        <row r="248">
          <cell r="F248" t="str">
            <v>BRTD0011</v>
          </cell>
          <cell r="G248" t="str">
            <v>INNERSET JELLY PEACH 150 ML (INACTIVE OCT 2023)</v>
          </cell>
          <cell r="H248">
            <v>20458</v>
          </cell>
          <cell r="I248">
            <v>0</v>
          </cell>
          <cell r="J248">
            <v>0</v>
          </cell>
          <cell r="K248" t="str">
            <v>pack</v>
          </cell>
          <cell r="L248" t="str">
            <v>0</v>
          </cell>
        </row>
        <row r="249">
          <cell r="F249" t="str">
            <v>BRTD0012</v>
          </cell>
          <cell r="G249" t="str">
            <v>AQUA 19 L (NON COGS, MUST CHANGE CODE)</v>
          </cell>
          <cell r="H249">
            <v>0</v>
          </cell>
          <cell r="I249">
            <v>0</v>
          </cell>
          <cell r="J249">
            <v>0</v>
          </cell>
          <cell r="K249" t="str">
            <v>gal</v>
          </cell>
          <cell r="L249" t="str">
            <v>0</v>
          </cell>
        </row>
        <row r="250">
          <cell r="F250" t="str">
            <v>BRTD0013</v>
          </cell>
          <cell r="G250" t="str">
            <v>ICE CUBE</v>
          </cell>
          <cell r="H250">
            <v>0</v>
          </cell>
          <cell r="I250">
            <v>0</v>
          </cell>
          <cell r="J250">
            <v>0</v>
          </cell>
          <cell r="K250" t="str">
            <v>kg</v>
          </cell>
          <cell r="L250" t="str">
            <v>0</v>
          </cell>
        </row>
        <row r="251">
          <cell r="F251" t="str">
            <v>BRTD0014</v>
          </cell>
          <cell r="G251" t="str">
            <v>LE MINERALE GALON CK</v>
          </cell>
          <cell r="H251">
            <v>0</v>
          </cell>
          <cell r="I251">
            <v>0</v>
          </cell>
          <cell r="J251">
            <v>0</v>
          </cell>
          <cell r="K251" t="str">
            <v>liter</v>
          </cell>
          <cell r="L251" t="str">
            <v>0</v>
          </cell>
        </row>
        <row r="252">
          <cell r="F252" t="str">
            <v>BSC00001</v>
          </cell>
          <cell r="G252" t="str">
            <v>SUNFIELD MUSCAT CONCENTRATE 1 L</v>
          </cell>
          <cell r="H252">
            <v>170000</v>
          </cell>
          <cell r="I252">
            <v>0</v>
          </cell>
          <cell r="J252">
            <v>0</v>
          </cell>
          <cell r="K252" t="str">
            <v>pack</v>
          </cell>
          <cell r="L252" t="str">
            <v>0</v>
          </cell>
        </row>
        <row r="253">
          <cell r="F253" t="str">
            <v>BSC00002</v>
          </cell>
          <cell r="G253" t="str">
            <v>SUNFIELD KYOHO GRAPE CONCENTRATE 1 L</v>
          </cell>
          <cell r="H253">
            <v>163000</v>
          </cell>
          <cell r="I253">
            <v>0</v>
          </cell>
          <cell r="J253">
            <v>0</v>
          </cell>
          <cell r="K253" t="str">
            <v>pack</v>
          </cell>
          <cell r="L253" t="str">
            <v>0</v>
          </cell>
        </row>
        <row r="254">
          <cell r="F254" t="str">
            <v>BSC00003</v>
          </cell>
          <cell r="G254" t="str">
            <v>STRAWBERRY DREAM FRUIT MIX 2 L</v>
          </cell>
          <cell r="H254">
            <v>227500</v>
          </cell>
          <cell r="I254">
            <v>0</v>
          </cell>
          <cell r="J254">
            <v>0</v>
          </cell>
          <cell r="K254" t="str">
            <v>jerrycan</v>
          </cell>
          <cell r="L254" t="str">
            <v>0</v>
          </cell>
        </row>
        <row r="255">
          <cell r="F255" t="str">
            <v>BSC00004</v>
          </cell>
          <cell r="G255" t="str">
            <v>MANGO TANGO FRUIT MIX 2 L</v>
          </cell>
          <cell r="H255">
            <v>227500</v>
          </cell>
          <cell r="I255">
            <v>0</v>
          </cell>
          <cell r="J255">
            <v>0</v>
          </cell>
          <cell r="K255" t="str">
            <v>jerrycan</v>
          </cell>
          <cell r="L255" t="str">
            <v>0</v>
          </cell>
        </row>
        <row r="256">
          <cell r="F256" t="str">
            <v>BSC00005</v>
          </cell>
          <cell r="G256" t="str">
            <v>VALENCIA ORANGE FRUIT MIX 2 L</v>
          </cell>
          <cell r="H256">
            <v>227500</v>
          </cell>
          <cell r="I256">
            <v>0</v>
          </cell>
          <cell r="J256">
            <v>0</v>
          </cell>
          <cell r="K256" t="str">
            <v>jerrycan</v>
          </cell>
          <cell r="L256" t="str">
            <v>0</v>
          </cell>
        </row>
        <row r="257">
          <cell r="F257" t="str">
            <v>BSC00006</v>
          </cell>
          <cell r="G257" t="str">
            <v>WATERMELON SYRUP MULTIBEV 500 ML</v>
          </cell>
          <cell r="H257">
            <v>50000</v>
          </cell>
          <cell r="I257">
            <v>0</v>
          </cell>
          <cell r="J257">
            <v>0</v>
          </cell>
          <cell r="K257" t="str">
            <v>bottle</v>
          </cell>
          <cell r="L257" t="str">
            <v>0</v>
          </cell>
        </row>
        <row r="258">
          <cell r="F258" t="str">
            <v>BSC00007</v>
          </cell>
          <cell r="G258" t="str">
            <v>SALTED CARAMEL SYRUP MULTIBEV 500 ML</v>
          </cell>
          <cell r="H258">
            <v>50000</v>
          </cell>
          <cell r="I258">
            <v>0</v>
          </cell>
          <cell r="J258">
            <v>0</v>
          </cell>
          <cell r="K258" t="str">
            <v>bottle</v>
          </cell>
          <cell r="L258" t="str">
            <v>0</v>
          </cell>
        </row>
        <row r="259">
          <cell r="F259" t="str">
            <v>BSC00008</v>
          </cell>
          <cell r="G259" t="str">
            <v>CARAMEL SYRUP MULTIBEV 500 ML</v>
          </cell>
          <cell r="H259">
            <v>50000</v>
          </cell>
          <cell r="I259">
            <v>0</v>
          </cell>
          <cell r="J259">
            <v>0</v>
          </cell>
          <cell r="K259" t="str">
            <v>bottle</v>
          </cell>
          <cell r="L259" t="str">
            <v>0</v>
          </cell>
        </row>
        <row r="260">
          <cell r="F260" t="str">
            <v>BSC00009</v>
          </cell>
          <cell r="G260" t="str">
            <v>PEAR SYRUP DRIPP 760 ML</v>
          </cell>
          <cell r="H260">
            <v>111000</v>
          </cell>
          <cell r="I260">
            <v>0</v>
          </cell>
          <cell r="J260">
            <v>0</v>
          </cell>
          <cell r="K260" t="str">
            <v>bottle</v>
          </cell>
          <cell r="L260" t="str">
            <v>0</v>
          </cell>
        </row>
        <row r="261">
          <cell r="F261" t="str">
            <v>BSC00010</v>
          </cell>
          <cell r="G261" t="str">
            <v>HONEY SYRUP DRIPP 760 ML</v>
          </cell>
          <cell r="H261">
            <v>111000</v>
          </cell>
          <cell r="I261">
            <v>0</v>
          </cell>
          <cell r="J261">
            <v>0</v>
          </cell>
          <cell r="K261" t="str">
            <v>bottle</v>
          </cell>
          <cell r="L261" t="str">
            <v>0</v>
          </cell>
        </row>
        <row r="262">
          <cell r="F262" t="str">
            <v>BSC00011</v>
          </cell>
          <cell r="G262" t="str">
            <v>PEACH SYRUP DRIPP 760 ML</v>
          </cell>
          <cell r="H262">
            <v>111000</v>
          </cell>
          <cell r="I262">
            <v>0</v>
          </cell>
          <cell r="J262">
            <v>0</v>
          </cell>
          <cell r="K262" t="str">
            <v>bottle</v>
          </cell>
          <cell r="L262" t="str">
            <v>0</v>
          </cell>
        </row>
        <row r="263">
          <cell r="F263" t="str">
            <v>BSC00012</v>
          </cell>
          <cell r="G263" t="str">
            <v>KIWI PULP SYRUP DRIPP 760 ML</v>
          </cell>
          <cell r="H263">
            <v>166500</v>
          </cell>
          <cell r="I263">
            <v>0</v>
          </cell>
          <cell r="J263">
            <v>0</v>
          </cell>
          <cell r="K263" t="str">
            <v>bottle</v>
          </cell>
          <cell r="L263" t="str">
            <v>0</v>
          </cell>
        </row>
        <row r="264">
          <cell r="F264" t="str">
            <v>BSC00013</v>
          </cell>
          <cell r="G264" t="str">
            <v>YUZU PULP SYRUP DRIPP 760 ML</v>
          </cell>
          <cell r="H264">
            <v>166500</v>
          </cell>
          <cell r="I264">
            <v>0</v>
          </cell>
          <cell r="J264">
            <v>0</v>
          </cell>
          <cell r="K264" t="str">
            <v>bottle</v>
          </cell>
          <cell r="L264" t="str">
            <v>0</v>
          </cell>
        </row>
        <row r="265">
          <cell r="F265" t="str">
            <v>BSC00014</v>
          </cell>
          <cell r="G265" t="str">
            <v>POPCORN SYRUP MONIN 700 ML</v>
          </cell>
          <cell r="H265">
            <v>145000</v>
          </cell>
          <cell r="I265">
            <v>0</v>
          </cell>
          <cell r="J265">
            <v>0</v>
          </cell>
          <cell r="K265" t="str">
            <v>bottle</v>
          </cell>
          <cell r="L265" t="str">
            <v>0</v>
          </cell>
        </row>
        <row r="266">
          <cell r="F266" t="str">
            <v>BSC00015</v>
          </cell>
          <cell r="G266" t="str">
            <v>SUNFIELD LYCHEE CONCENTRATE 1 L</v>
          </cell>
          <cell r="H266">
            <v>0</v>
          </cell>
          <cell r="I266">
            <v>0</v>
          </cell>
          <cell r="J266">
            <v>0</v>
          </cell>
          <cell r="K266" t="str">
            <v>pack</v>
          </cell>
          <cell r="L266" t="str">
            <v>0</v>
          </cell>
        </row>
        <row r="267">
          <cell r="F267" t="str">
            <v>BSC00016</v>
          </cell>
          <cell r="G267" t="str">
            <v>SUNFIELD GREEN APPLE CONCENTRATE 1 L</v>
          </cell>
          <cell r="H267">
            <v>0</v>
          </cell>
          <cell r="I267">
            <v>0</v>
          </cell>
          <cell r="J267">
            <v>0</v>
          </cell>
          <cell r="K267" t="str">
            <v>pack</v>
          </cell>
          <cell r="L267" t="str">
            <v>0</v>
          </cell>
        </row>
        <row r="268">
          <cell r="F268" t="str">
            <v>BSC00017</v>
          </cell>
          <cell r="G268" t="str">
            <v>LYCHEE SYRUP 750 ML</v>
          </cell>
          <cell r="H268">
            <v>0</v>
          </cell>
          <cell r="I268">
            <v>0</v>
          </cell>
          <cell r="J268">
            <v>0</v>
          </cell>
          <cell r="K268" t="str">
            <v>botol</v>
          </cell>
          <cell r="L268" t="str">
            <v>0</v>
          </cell>
        </row>
        <row r="269">
          <cell r="F269" t="str">
            <v>BSC00018</v>
          </cell>
          <cell r="G269" t="str">
            <v>MARJAN COCOPANDAN 460ML</v>
          </cell>
          <cell r="H269">
            <v>0</v>
          </cell>
          <cell r="I269">
            <v>0</v>
          </cell>
          <cell r="J269">
            <v>0</v>
          </cell>
          <cell r="K269" t="str">
            <v>bottle</v>
          </cell>
          <cell r="L269" t="str">
            <v>0</v>
          </cell>
        </row>
        <row r="270">
          <cell r="F270" t="str">
            <v>BSC00019</v>
          </cell>
          <cell r="G270" t="str">
            <v>WHITE GRAPE SYRUP 700 ML</v>
          </cell>
          <cell r="H270">
            <v>0</v>
          </cell>
          <cell r="I270">
            <v>0</v>
          </cell>
          <cell r="J270">
            <v>0</v>
          </cell>
          <cell r="K270" t="str">
            <v>botol</v>
          </cell>
          <cell r="L270" t="str">
            <v>0</v>
          </cell>
        </row>
        <row r="271">
          <cell r="F271" t="str">
            <v>BSC00020</v>
          </cell>
          <cell r="G271" t="str">
            <v>GRAPE SYRUP MULTIBEV 500 ML</v>
          </cell>
          <cell r="H271">
            <v>0</v>
          </cell>
          <cell r="I271">
            <v>0</v>
          </cell>
          <cell r="J271">
            <v>0</v>
          </cell>
          <cell r="K271" t="str">
            <v>bottle</v>
          </cell>
          <cell r="L271" t="str">
            <v>0</v>
          </cell>
        </row>
        <row r="272">
          <cell r="F272" t="str">
            <v>BTP00001</v>
          </cell>
          <cell r="G272" t="str">
            <v>CORN TEA 500 G</v>
          </cell>
          <cell r="H272">
            <v>30000</v>
          </cell>
          <cell r="I272">
            <v>0</v>
          </cell>
          <cell r="J272">
            <v>0</v>
          </cell>
          <cell r="K272" t="str">
            <v>kg</v>
          </cell>
          <cell r="L272" t="str">
            <v>0</v>
          </cell>
        </row>
        <row r="273">
          <cell r="F273" t="str">
            <v>BTP00002</v>
          </cell>
          <cell r="G273" t="str">
            <v>BARLEY TEA CHORIPDONG 2.26 KG</v>
          </cell>
          <cell r="H273">
            <v>70280.088499999998</v>
          </cell>
          <cell r="I273">
            <v>0</v>
          </cell>
          <cell r="J273">
            <v>0</v>
          </cell>
          <cell r="K273" t="str">
            <v>kg</v>
          </cell>
          <cell r="L273" t="str">
            <v>0</v>
          </cell>
        </row>
        <row r="274">
          <cell r="F274" t="str">
            <v>BTP00004</v>
          </cell>
          <cell r="G274" t="str">
            <v>NESCAFE CLASSIC INSTANT 90 G</v>
          </cell>
          <cell r="H274">
            <v>344.44</v>
          </cell>
          <cell r="I274">
            <v>0</v>
          </cell>
          <cell r="J274">
            <v>0</v>
          </cell>
          <cell r="K274" t="str">
            <v>gr</v>
          </cell>
          <cell r="L274" t="str">
            <v>0</v>
          </cell>
        </row>
        <row r="275">
          <cell r="F275" t="str">
            <v>BTP00005</v>
          </cell>
          <cell r="G275" t="str">
            <v>CITRIC ACID ANHYDROUS 1 KG</v>
          </cell>
          <cell r="H275">
            <v>25000</v>
          </cell>
          <cell r="I275">
            <v>0</v>
          </cell>
          <cell r="J275">
            <v>0</v>
          </cell>
          <cell r="K275" t="str">
            <v>kg</v>
          </cell>
          <cell r="L275" t="str">
            <v>0</v>
          </cell>
        </row>
        <row r="276">
          <cell r="F276" t="str">
            <v>BTP00006</v>
          </cell>
          <cell r="G276" t="str">
            <v>NATRIUM BENZOAT 1 KG</v>
          </cell>
          <cell r="H276">
            <v>0</v>
          </cell>
          <cell r="I276">
            <v>0</v>
          </cell>
          <cell r="J276">
            <v>0</v>
          </cell>
          <cell r="K276" t="str">
            <v>kg</v>
          </cell>
          <cell r="L276" t="str">
            <v>0</v>
          </cell>
        </row>
        <row r="277">
          <cell r="F277" t="str">
            <v>BTP00007</v>
          </cell>
          <cell r="G277" t="str">
            <v>GOALPARA TEA 250 G</v>
          </cell>
          <cell r="H277">
            <v>0</v>
          </cell>
          <cell r="I277">
            <v>0</v>
          </cell>
          <cell r="J277">
            <v>0</v>
          </cell>
          <cell r="K277" t="str">
            <v>gr</v>
          </cell>
          <cell r="L277" t="str">
            <v>0</v>
          </cell>
        </row>
        <row r="278">
          <cell r="F278" t="str">
            <v>BTP00008</v>
          </cell>
          <cell r="G278" t="str">
            <v>TEH TONGTJI</v>
          </cell>
          <cell r="H278">
            <v>0</v>
          </cell>
          <cell r="I278">
            <v>0</v>
          </cell>
          <cell r="J278">
            <v>0</v>
          </cell>
          <cell r="K278" t="str">
            <v>pcs</v>
          </cell>
          <cell r="L278" t="str">
            <v>0</v>
          </cell>
        </row>
        <row r="279">
          <cell r="F279" t="str">
            <v>BTP00009</v>
          </cell>
          <cell r="G279" t="str">
            <v>TEH BOTOL BIRU 80 G</v>
          </cell>
          <cell r="H279">
            <v>0</v>
          </cell>
          <cell r="I279">
            <v>0</v>
          </cell>
          <cell r="J279">
            <v>0</v>
          </cell>
          <cell r="K279" t="str">
            <v>gr</v>
          </cell>
          <cell r="L279" t="str">
            <v>0</v>
          </cell>
        </row>
        <row r="280">
          <cell r="F280" t="str">
            <v>BTP00010</v>
          </cell>
          <cell r="G280" t="str">
            <v>ROASTED BARLEY TEA 1 KG</v>
          </cell>
          <cell r="H280">
            <v>0</v>
          </cell>
          <cell r="I280">
            <v>0</v>
          </cell>
          <cell r="J280">
            <v>0</v>
          </cell>
          <cell r="K280" t="str">
            <v>kg</v>
          </cell>
          <cell r="L280" t="str">
            <v>0</v>
          </cell>
        </row>
        <row r="281">
          <cell r="F281" t="str">
            <v>CECM0001</v>
          </cell>
          <cell r="G281" t="str">
            <v>XYZ KARBOL PINUS 5 L</v>
          </cell>
          <cell r="H281">
            <v>0</v>
          </cell>
          <cell r="I281">
            <v>0</v>
          </cell>
          <cell r="J281">
            <v>0</v>
          </cell>
          <cell r="K281" t="str">
            <v>btl</v>
          </cell>
          <cell r="L281" t="str">
            <v>0</v>
          </cell>
        </row>
        <row r="282">
          <cell r="F282" t="str">
            <v>CECM00013</v>
          </cell>
          <cell r="G282" t="str">
            <v>DAIA 800 GR</v>
          </cell>
          <cell r="H282">
            <v>0</v>
          </cell>
          <cell r="I282">
            <v>0</v>
          </cell>
          <cell r="J282">
            <v>0</v>
          </cell>
          <cell r="K282" t="str">
            <v>pack</v>
          </cell>
          <cell r="L282" t="str">
            <v>0</v>
          </cell>
        </row>
        <row r="283">
          <cell r="F283" t="str">
            <v>CECM00015</v>
          </cell>
          <cell r="G283" t="str">
            <v>POUCH SABUN CUCI PIRING MAMA LEMON</v>
          </cell>
          <cell r="H283">
            <v>0</v>
          </cell>
          <cell r="I283">
            <v>0</v>
          </cell>
          <cell r="J283">
            <v>0</v>
          </cell>
          <cell r="K283" t="str">
            <v>pcs</v>
          </cell>
          <cell r="L283" t="str">
            <v>0</v>
          </cell>
        </row>
        <row r="284">
          <cell r="F284" t="str">
            <v>CECM0002</v>
          </cell>
          <cell r="G284" t="str">
            <v>SUNLIGHT</v>
          </cell>
          <cell r="H284">
            <v>0</v>
          </cell>
          <cell r="I284">
            <v>0</v>
          </cell>
          <cell r="J284">
            <v>0</v>
          </cell>
          <cell r="K284" t="str">
            <v>ltr</v>
          </cell>
          <cell r="L284" t="str">
            <v>0</v>
          </cell>
        </row>
        <row r="285">
          <cell r="F285" t="str">
            <v>CECM0003</v>
          </cell>
          <cell r="G285" t="str">
            <v>WIPER KACA</v>
          </cell>
          <cell r="H285">
            <v>18500</v>
          </cell>
          <cell r="I285">
            <v>0</v>
          </cell>
          <cell r="J285">
            <v>0</v>
          </cell>
          <cell r="K285" t="str">
            <v>pcs</v>
          </cell>
          <cell r="L285" t="str">
            <v>0</v>
          </cell>
        </row>
        <row r="286">
          <cell r="F286" t="str">
            <v>CECM0004</v>
          </cell>
          <cell r="G286" t="str">
            <v>PEMBERSIH LANTAI/KARBOL</v>
          </cell>
          <cell r="H286">
            <v>0</v>
          </cell>
          <cell r="I286">
            <v>0</v>
          </cell>
          <cell r="J286">
            <v>0</v>
          </cell>
          <cell r="K286" t="str">
            <v>pack</v>
          </cell>
          <cell r="L286" t="str">
            <v>0</v>
          </cell>
        </row>
        <row r="287">
          <cell r="F287" t="str">
            <v>CECM0005</v>
          </cell>
          <cell r="G287" t="str">
            <v>XYZ GLASS CLEANER 5 LTR</v>
          </cell>
          <cell r="H287">
            <v>55300</v>
          </cell>
          <cell r="I287">
            <v>0</v>
          </cell>
          <cell r="J287">
            <v>0</v>
          </cell>
          <cell r="K287" t="str">
            <v>gln</v>
          </cell>
          <cell r="L287" t="str">
            <v>0</v>
          </cell>
        </row>
        <row r="288">
          <cell r="F288" t="str">
            <v>CECM0006</v>
          </cell>
          <cell r="G288" t="str">
            <v>XYZ GREASE CLEANER 5 LTR</v>
          </cell>
          <cell r="H288">
            <v>133200</v>
          </cell>
          <cell r="I288">
            <v>0</v>
          </cell>
          <cell r="J288">
            <v>0</v>
          </cell>
          <cell r="K288" t="str">
            <v>gln</v>
          </cell>
          <cell r="L288" t="str">
            <v>0</v>
          </cell>
        </row>
        <row r="289">
          <cell r="F289" t="str">
            <v>CECM0007</v>
          </cell>
          <cell r="G289" t="str">
            <v>XYZ DISINFEKTAN 5 LTR</v>
          </cell>
          <cell r="H289">
            <v>70700</v>
          </cell>
          <cell r="I289">
            <v>0</v>
          </cell>
          <cell r="J289">
            <v>0</v>
          </cell>
          <cell r="K289" t="str">
            <v>gln</v>
          </cell>
          <cell r="L289" t="str">
            <v>0</v>
          </cell>
        </row>
        <row r="290">
          <cell r="F290" t="str">
            <v>CECM0008</v>
          </cell>
          <cell r="G290" t="str">
            <v>XYZ ANTI BACTERIAL HANDSOAP 5 L</v>
          </cell>
          <cell r="H290">
            <v>0</v>
          </cell>
          <cell r="I290">
            <v>0</v>
          </cell>
          <cell r="J290">
            <v>0</v>
          </cell>
          <cell r="K290" t="str">
            <v>jerrycan</v>
          </cell>
          <cell r="L290" t="str">
            <v>0</v>
          </cell>
        </row>
        <row r="291">
          <cell r="F291" t="str">
            <v>CECM0009</v>
          </cell>
          <cell r="G291" t="str">
            <v>HAND SANITIZER 5 L</v>
          </cell>
          <cell r="H291">
            <v>151400</v>
          </cell>
          <cell r="I291">
            <v>0</v>
          </cell>
          <cell r="J291">
            <v>0</v>
          </cell>
          <cell r="K291" t="str">
            <v>pcs</v>
          </cell>
          <cell r="L291" t="str">
            <v>0</v>
          </cell>
        </row>
        <row r="292">
          <cell r="F292" t="str">
            <v>CECM0010</v>
          </cell>
          <cell r="G292" t="str">
            <v>SUMA CRYSTAL 5 L</v>
          </cell>
          <cell r="H292">
            <v>0</v>
          </cell>
          <cell r="I292">
            <v>0</v>
          </cell>
          <cell r="J292">
            <v>0</v>
          </cell>
          <cell r="K292" t="str">
            <v>ltr</v>
          </cell>
          <cell r="L292" t="str">
            <v>0</v>
          </cell>
        </row>
        <row r="293">
          <cell r="F293" t="str">
            <v>CECM0011</v>
          </cell>
          <cell r="G293" t="str">
            <v>SUMA NOVA 5 L</v>
          </cell>
          <cell r="H293">
            <v>0</v>
          </cell>
          <cell r="I293">
            <v>0</v>
          </cell>
          <cell r="J293">
            <v>0</v>
          </cell>
          <cell r="K293" t="str">
            <v>ltr</v>
          </cell>
          <cell r="L293" t="str">
            <v>0</v>
          </cell>
        </row>
        <row r="294">
          <cell r="F294" t="str">
            <v>CECM0012</v>
          </cell>
          <cell r="G294" t="str">
            <v>NOBLA LIQUID 20 L</v>
          </cell>
          <cell r="H294">
            <v>0</v>
          </cell>
          <cell r="I294">
            <v>0</v>
          </cell>
          <cell r="J294">
            <v>0</v>
          </cell>
          <cell r="K294" t="str">
            <v>ltr</v>
          </cell>
          <cell r="L294" t="str">
            <v>0</v>
          </cell>
        </row>
        <row r="295">
          <cell r="F295" t="str">
            <v>CECM0014</v>
          </cell>
          <cell r="G295" t="str">
            <v>XYZ KARBOL LEMONGRASS 5 L</v>
          </cell>
          <cell r="H295">
            <v>0</v>
          </cell>
          <cell r="I295">
            <v>0</v>
          </cell>
          <cell r="J295">
            <v>0</v>
          </cell>
          <cell r="K295" t="str">
            <v>liter</v>
          </cell>
          <cell r="L295" t="str">
            <v>0</v>
          </cell>
        </row>
        <row r="296">
          <cell r="F296" t="str">
            <v>CECM0016</v>
          </cell>
          <cell r="G296" t="str">
            <v>PEWANGI RUANGAN GLADE</v>
          </cell>
          <cell r="H296">
            <v>0</v>
          </cell>
          <cell r="I296">
            <v>0</v>
          </cell>
          <cell r="J296">
            <v>0</v>
          </cell>
          <cell r="K296" t="str">
            <v>pcs</v>
          </cell>
          <cell r="L296" t="str">
            <v>0</v>
          </cell>
        </row>
        <row r="297">
          <cell r="F297" t="str">
            <v>CECM0017</v>
          </cell>
          <cell r="G297" t="str">
            <v>PEMBERSIH TOILET BAGUS SIBIRU</v>
          </cell>
          <cell r="H297">
            <v>0</v>
          </cell>
          <cell r="I297">
            <v>0</v>
          </cell>
          <cell r="J297">
            <v>0</v>
          </cell>
          <cell r="K297" t="str">
            <v>pack</v>
          </cell>
          <cell r="L297" t="str">
            <v>0</v>
          </cell>
        </row>
        <row r="298">
          <cell r="F298" t="str">
            <v>CECM0018</v>
          </cell>
          <cell r="G298" t="str">
            <v>XYZ GENERAL CLEANER  (CUCI PIRING LIME)</v>
          </cell>
          <cell r="H298">
            <v>0</v>
          </cell>
          <cell r="I298">
            <v>0</v>
          </cell>
          <cell r="J298">
            <v>0</v>
          </cell>
          <cell r="K298" t="str">
            <v>liter</v>
          </cell>
          <cell r="L298" t="str">
            <v>0</v>
          </cell>
        </row>
        <row r="299">
          <cell r="F299" t="str">
            <v>CECM0019</v>
          </cell>
          <cell r="G299" t="str">
            <v>HANDSOAP (SABUN CUCI TANGAN)</v>
          </cell>
          <cell r="H299">
            <v>0</v>
          </cell>
          <cell r="I299">
            <v>0</v>
          </cell>
          <cell r="J299">
            <v>0</v>
          </cell>
          <cell r="K299" t="str">
            <v>pcs</v>
          </cell>
          <cell r="L299" t="str">
            <v>0</v>
          </cell>
        </row>
        <row r="300">
          <cell r="F300" t="str">
            <v>CECM0020</v>
          </cell>
          <cell r="G300" t="str">
            <v>CAIRAN PEMBERSIH KACA 500 ML</v>
          </cell>
          <cell r="H300">
            <v>0</v>
          </cell>
          <cell r="I300">
            <v>0</v>
          </cell>
          <cell r="J300">
            <v>0</v>
          </cell>
          <cell r="K300" t="str">
            <v>ml</v>
          </cell>
          <cell r="L300" t="str">
            <v>0</v>
          </cell>
        </row>
        <row r="301">
          <cell r="F301" t="str">
            <v>CECM0021</v>
          </cell>
          <cell r="G301" t="str">
            <v>YURI CAIRAN PEMBERSIH KACA 410ML</v>
          </cell>
          <cell r="H301">
            <v>0</v>
          </cell>
          <cell r="I301">
            <v>0</v>
          </cell>
          <cell r="J301">
            <v>0</v>
          </cell>
          <cell r="K301" t="str">
            <v>ml</v>
          </cell>
          <cell r="L301" t="str">
            <v>0</v>
          </cell>
        </row>
        <row r="302">
          <cell r="F302" t="str">
            <v>CECM0023</v>
          </cell>
          <cell r="G302" t="str">
            <v>SABUN COLEK WINGS</v>
          </cell>
          <cell r="H302">
            <v>0</v>
          </cell>
          <cell r="I302">
            <v>0</v>
          </cell>
          <cell r="J302">
            <v>0</v>
          </cell>
          <cell r="K302" t="str">
            <v>gr</v>
          </cell>
          <cell r="L302" t="str">
            <v>0</v>
          </cell>
        </row>
        <row r="303">
          <cell r="F303" t="str">
            <v>CECM0024</v>
          </cell>
          <cell r="G303" t="str">
            <v>KOSONG</v>
          </cell>
          <cell r="H303">
            <v>0</v>
          </cell>
          <cell r="I303">
            <v>0</v>
          </cell>
          <cell r="J303">
            <v>0</v>
          </cell>
          <cell r="K303" t="str">
            <v>gr</v>
          </cell>
          <cell r="L303" t="str">
            <v>0</v>
          </cell>
        </row>
        <row r="304">
          <cell r="F304" t="str">
            <v>CECM0025</v>
          </cell>
          <cell r="G304" t="str">
            <v>DETERGEN BUBUK TRP DICE</v>
          </cell>
          <cell r="H304">
            <v>0</v>
          </cell>
          <cell r="I304">
            <v>0</v>
          </cell>
          <cell r="J304">
            <v>0</v>
          </cell>
          <cell r="K304" t="str">
            <v>gr</v>
          </cell>
          <cell r="L304" t="str">
            <v>0</v>
          </cell>
        </row>
        <row r="305">
          <cell r="F305" t="str">
            <v>CECM0026</v>
          </cell>
          <cell r="G305" t="str">
            <v>YURI PROSTEX OB PEMBERSIH KERAK LANTAI 700 ML</v>
          </cell>
          <cell r="H305">
            <v>0</v>
          </cell>
          <cell r="I305">
            <v>0</v>
          </cell>
          <cell r="J305">
            <v>0</v>
          </cell>
          <cell r="K305" t="str">
            <v>ml</v>
          </cell>
          <cell r="L305" t="str">
            <v>0</v>
          </cell>
        </row>
        <row r="306">
          <cell r="F306" t="str">
            <v>CECM0027</v>
          </cell>
          <cell r="G306" t="str">
            <v>ECO VALUE PENCUCI PIRING</v>
          </cell>
          <cell r="H306">
            <v>0</v>
          </cell>
          <cell r="I306">
            <v>0</v>
          </cell>
          <cell r="J306">
            <v>0</v>
          </cell>
          <cell r="K306" t="str">
            <v>ml</v>
          </cell>
          <cell r="L306" t="str">
            <v>0</v>
          </cell>
        </row>
        <row r="307">
          <cell r="F307" t="str">
            <v>CECM0028</v>
          </cell>
          <cell r="G307" t="str">
            <v>SOS FLOOR CLEANER 800 ML</v>
          </cell>
          <cell r="H307">
            <v>0</v>
          </cell>
          <cell r="I307">
            <v>0</v>
          </cell>
          <cell r="J307">
            <v>0</v>
          </cell>
          <cell r="K307" t="str">
            <v>ml</v>
          </cell>
          <cell r="L307" t="str">
            <v>0</v>
          </cell>
        </row>
        <row r="308">
          <cell r="F308" t="str">
            <v>CECM0029</v>
          </cell>
          <cell r="G308" t="str">
            <v>BAYCLIN REGULAR 4 L</v>
          </cell>
          <cell r="H308">
            <v>0</v>
          </cell>
          <cell r="I308">
            <v>0</v>
          </cell>
          <cell r="J308">
            <v>0</v>
          </cell>
          <cell r="K308" t="str">
            <v>liter</v>
          </cell>
          <cell r="L308" t="str">
            <v>0</v>
          </cell>
        </row>
        <row r="309">
          <cell r="F309" t="str">
            <v>CECM0030</v>
          </cell>
          <cell r="G309" t="str">
            <v>SUNLIGHT POUCH 650ML</v>
          </cell>
          <cell r="H309">
            <v>0</v>
          </cell>
          <cell r="I309">
            <v>0</v>
          </cell>
          <cell r="J309">
            <v>0</v>
          </cell>
          <cell r="K309" t="str">
            <v>ml</v>
          </cell>
          <cell r="L309" t="str">
            <v>0</v>
          </cell>
        </row>
        <row r="310">
          <cell r="F310" t="str">
            <v>CECM0031</v>
          </cell>
          <cell r="G310" t="str">
            <v>BAYGON SPRAY 400 ML</v>
          </cell>
          <cell r="H310">
            <v>0</v>
          </cell>
          <cell r="I310">
            <v>0</v>
          </cell>
          <cell r="J310">
            <v>0</v>
          </cell>
          <cell r="K310" t="str">
            <v>ml</v>
          </cell>
          <cell r="L310" t="str">
            <v>0</v>
          </cell>
        </row>
        <row r="311">
          <cell r="F311" t="str">
            <v>CECM0032</v>
          </cell>
          <cell r="G311" t="str">
            <v>BAYGON 200 ML</v>
          </cell>
          <cell r="H311">
            <v>0</v>
          </cell>
          <cell r="I311">
            <v>0</v>
          </cell>
          <cell r="J311">
            <v>0</v>
          </cell>
          <cell r="K311" t="str">
            <v>ml</v>
          </cell>
          <cell r="L311" t="str">
            <v>0</v>
          </cell>
        </row>
        <row r="312">
          <cell r="F312" t="str">
            <v>CECM0033</v>
          </cell>
          <cell r="G312" t="str">
            <v>PEWANGI RUANGAN STELLA 225ML</v>
          </cell>
          <cell r="H312">
            <v>0</v>
          </cell>
          <cell r="I312">
            <v>0</v>
          </cell>
          <cell r="J312">
            <v>0</v>
          </cell>
          <cell r="K312" t="str">
            <v>ml</v>
          </cell>
          <cell r="L312" t="str">
            <v>0</v>
          </cell>
        </row>
        <row r="313">
          <cell r="F313" t="str">
            <v>CECM0034</v>
          </cell>
          <cell r="G313" t="str">
            <v>KAMPER SWALLOW TOILET BALL</v>
          </cell>
          <cell r="H313">
            <v>0</v>
          </cell>
          <cell r="I313">
            <v>0</v>
          </cell>
          <cell r="J313">
            <v>0</v>
          </cell>
          <cell r="K313" t="str">
            <v>pcs</v>
          </cell>
          <cell r="L313" t="str">
            <v>0</v>
          </cell>
        </row>
        <row r="314">
          <cell r="F314" t="str">
            <v>CETS0001</v>
          </cell>
          <cell r="G314" t="str">
            <v>TOWEL ANJOLY BIRU-KECIL</v>
          </cell>
          <cell r="H314">
            <v>0</v>
          </cell>
          <cell r="I314">
            <v>0</v>
          </cell>
          <cell r="J314">
            <v>0</v>
          </cell>
          <cell r="K314" t="str">
            <v>pcs</v>
          </cell>
          <cell r="L314" t="str">
            <v>0</v>
          </cell>
        </row>
        <row r="315">
          <cell r="F315" t="str">
            <v>CETS0002</v>
          </cell>
          <cell r="G315" t="str">
            <v>TOWEL ANJOLY MERAH-KECIL</v>
          </cell>
          <cell r="H315">
            <v>0</v>
          </cell>
          <cell r="I315">
            <v>0</v>
          </cell>
          <cell r="J315">
            <v>0</v>
          </cell>
          <cell r="K315" t="str">
            <v>pcs</v>
          </cell>
          <cell r="L315" t="str">
            <v>0</v>
          </cell>
        </row>
        <row r="316">
          <cell r="F316" t="str">
            <v>CETS00028</v>
          </cell>
          <cell r="G316" t="str">
            <v>GLUE PAD</v>
          </cell>
          <cell r="H316">
            <v>4100</v>
          </cell>
          <cell r="I316">
            <v>0</v>
          </cell>
          <cell r="J316">
            <v>0</v>
          </cell>
          <cell r="K316" t="str">
            <v>lembar</v>
          </cell>
          <cell r="L316" t="str">
            <v>0</v>
          </cell>
        </row>
        <row r="317">
          <cell r="F317" t="str">
            <v>CETS0003</v>
          </cell>
          <cell r="G317" t="str">
            <v>TOWEL ANJOLY COKLAT-KECIL</v>
          </cell>
          <cell r="H317">
            <v>0</v>
          </cell>
          <cell r="I317">
            <v>0</v>
          </cell>
          <cell r="J317">
            <v>0</v>
          </cell>
          <cell r="K317" t="str">
            <v>pcs</v>
          </cell>
          <cell r="L317" t="str">
            <v>0</v>
          </cell>
        </row>
        <row r="318">
          <cell r="F318" t="str">
            <v>CETS00030</v>
          </cell>
          <cell r="G318" t="str">
            <v>GANTUNGAN SAPU 5  SLOT</v>
          </cell>
          <cell r="H318">
            <v>39800</v>
          </cell>
          <cell r="I318">
            <v>0</v>
          </cell>
          <cell r="J318">
            <v>0</v>
          </cell>
          <cell r="K318" t="str">
            <v>pcs</v>
          </cell>
          <cell r="L318" t="str">
            <v>0</v>
          </cell>
        </row>
        <row r="319">
          <cell r="F319" t="str">
            <v>CETS00032</v>
          </cell>
          <cell r="G319" t="str">
            <v>TEMPAT SAMPAH INJAK 120 L GL2102HJ</v>
          </cell>
          <cell r="H319">
            <v>0</v>
          </cell>
          <cell r="I319">
            <v>0</v>
          </cell>
          <cell r="J319">
            <v>0</v>
          </cell>
          <cell r="K319" t="str">
            <v>unit</v>
          </cell>
          <cell r="L319" t="str">
            <v>0</v>
          </cell>
        </row>
        <row r="320">
          <cell r="F320" t="str">
            <v>CETS00033</v>
          </cell>
          <cell r="G320" t="str">
            <v>TEMPAT SAMPAH BIO 44 L</v>
          </cell>
          <cell r="H320">
            <v>0</v>
          </cell>
          <cell r="I320">
            <v>0</v>
          </cell>
          <cell r="J320">
            <v>0</v>
          </cell>
          <cell r="K320" t="str">
            <v>pcs</v>
          </cell>
          <cell r="L320" t="str">
            <v>0</v>
          </cell>
        </row>
        <row r="321">
          <cell r="F321" t="str">
            <v>CETS0004</v>
          </cell>
          <cell r="G321" t="str">
            <v>TOWEL ANJOLY HITAM-KECIL</v>
          </cell>
          <cell r="H321">
            <v>0</v>
          </cell>
          <cell r="I321">
            <v>0</v>
          </cell>
          <cell r="J321">
            <v>0</v>
          </cell>
          <cell r="K321" t="str">
            <v>pcs</v>
          </cell>
          <cell r="L321" t="str">
            <v>0</v>
          </cell>
        </row>
        <row r="322">
          <cell r="F322" t="str">
            <v>CETS0005</v>
          </cell>
          <cell r="G322" t="str">
            <v>TOWEL ANJOLY HIJAU -KECIL</v>
          </cell>
          <cell r="H322">
            <v>16000</v>
          </cell>
          <cell r="I322">
            <v>0</v>
          </cell>
          <cell r="J322">
            <v>0</v>
          </cell>
          <cell r="K322" t="str">
            <v>pcs</v>
          </cell>
          <cell r="L322" t="str">
            <v>0</v>
          </cell>
        </row>
        <row r="323">
          <cell r="F323" t="str">
            <v>CETS0006</v>
          </cell>
          <cell r="G323" t="str">
            <v>SPONGE BUSA</v>
          </cell>
          <cell r="H323">
            <v>0</v>
          </cell>
          <cell r="I323">
            <v>0</v>
          </cell>
          <cell r="J323">
            <v>0</v>
          </cell>
          <cell r="K323" t="str">
            <v>pcs</v>
          </cell>
          <cell r="L323" t="str">
            <v>0</v>
          </cell>
        </row>
        <row r="324">
          <cell r="F324" t="str">
            <v>CETS0007</v>
          </cell>
          <cell r="G324" t="str">
            <v>SIKAT KUKU/MINI BRUSH FINGER</v>
          </cell>
          <cell r="H324">
            <v>2000</v>
          </cell>
          <cell r="I324">
            <v>0</v>
          </cell>
          <cell r="J324">
            <v>0</v>
          </cell>
          <cell r="K324" t="str">
            <v>pcs</v>
          </cell>
          <cell r="L324" t="str">
            <v>0</v>
          </cell>
        </row>
        <row r="325">
          <cell r="F325" t="str">
            <v>CETS0008</v>
          </cell>
          <cell r="G325" t="str">
            <v>MOP WRINGER 20 L</v>
          </cell>
          <cell r="H325">
            <v>358300</v>
          </cell>
          <cell r="I325">
            <v>0</v>
          </cell>
          <cell r="J325">
            <v>0</v>
          </cell>
          <cell r="K325" t="str">
            <v>unit</v>
          </cell>
          <cell r="L325" t="str">
            <v>0</v>
          </cell>
        </row>
        <row r="326">
          <cell r="F326" t="str">
            <v>CETS0009</v>
          </cell>
          <cell r="G326" t="str">
            <v>REFIL KAIN PEL/REFIL MOP PEL OBOR</v>
          </cell>
          <cell r="H326">
            <v>20000</v>
          </cell>
          <cell r="I326">
            <v>0</v>
          </cell>
          <cell r="J326">
            <v>0</v>
          </cell>
          <cell r="K326" t="str">
            <v>unit</v>
          </cell>
          <cell r="L326" t="str">
            <v>0</v>
          </cell>
        </row>
        <row r="327">
          <cell r="F327" t="str">
            <v>CETS0010</v>
          </cell>
          <cell r="G327" t="str">
            <v>SAPU 8517KW</v>
          </cell>
          <cell r="H327">
            <v>35000</v>
          </cell>
          <cell r="I327">
            <v>0</v>
          </cell>
          <cell r="J327">
            <v>0</v>
          </cell>
          <cell r="K327" t="str">
            <v>unit</v>
          </cell>
          <cell r="L327" t="str">
            <v>0</v>
          </cell>
        </row>
        <row r="328">
          <cell r="F328" t="str">
            <v>CETS0011</v>
          </cell>
          <cell r="G328" t="str">
            <v>KANEBO</v>
          </cell>
          <cell r="H328">
            <v>25000</v>
          </cell>
          <cell r="I328">
            <v>0</v>
          </cell>
          <cell r="J328">
            <v>0</v>
          </cell>
          <cell r="K328" t="str">
            <v>pcs</v>
          </cell>
          <cell r="L328" t="str">
            <v>0</v>
          </cell>
        </row>
        <row r="329">
          <cell r="F329" t="str">
            <v>CETS0012</v>
          </cell>
          <cell r="G329" t="str">
            <v>WIPER LANTAI</v>
          </cell>
          <cell r="H329">
            <v>42500</v>
          </cell>
          <cell r="I329">
            <v>0</v>
          </cell>
          <cell r="J329">
            <v>0</v>
          </cell>
          <cell r="K329" t="str">
            <v>pcs</v>
          </cell>
          <cell r="L329" t="str">
            <v>0</v>
          </cell>
        </row>
        <row r="330">
          <cell r="F330" t="str">
            <v>CETS0013</v>
          </cell>
          <cell r="G330" t="str">
            <v>KEMOCENG BULU AYAM</v>
          </cell>
          <cell r="H330">
            <v>0</v>
          </cell>
          <cell r="I330">
            <v>0</v>
          </cell>
          <cell r="J330">
            <v>0</v>
          </cell>
          <cell r="K330" t="str">
            <v>pcs</v>
          </cell>
          <cell r="L330" t="str">
            <v>0</v>
          </cell>
        </row>
        <row r="331">
          <cell r="F331" t="str">
            <v>CETS0014</v>
          </cell>
          <cell r="G331" t="str">
            <v>SIKAT BAJU 834 NAGATA</v>
          </cell>
          <cell r="H331">
            <v>18399</v>
          </cell>
          <cell r="I331">
            <v>0</v>
          </cell>
          <cell r="J331">
            <v>0</v>
          </cell>
          <cell r="K331" t="str">
            <v>pcs</v>
          </cell>
          <cell r="L331" t="str">
            <v>0</v>
          </cell>
        </row>
        <row r="332">
          <cell r="F332" t="str">
            <v>CETS0015</v>
          </cell>
          <cell r="G332" t="str">
            <v>TEMPAT SAMPAH 100 L 2310-100LT BIO</v>
          </cell>
          <cell r="H332">
            <v>370000</v>
          </cell>
          <cell r="I332">
            <v>0</v>
          </cell>
          <cell r="J332">
            <v>0</v>
          </cell>
          <cell r="K332" t="str">
            <v>unit</v>
          </cell>
          <cell r="L332" t="str">
            <v>0</v>
          </cell>
        </row>
        <row r="333">
          <cell r="F333" t="str">
            <v>CETS0016</v>
          </cell>
          <cell r="G333" t="str">
            <v>PENGKI 742S</v>
          </cell>
          <cell r="H333">
            <v>0</v>
          </cell>
          <cell r="I333">
            <v>0</v>
          </cell>
          <cell r="J333">
            <v>0</v>
          </cell>
          <cell r="K333" t="str">
            <v>pcs</v>
          </cell>
          <cell r="L333" t="str">
            <v>0</v>
          </cell>
        </row>
        <row r="334">
          <cell r="F334" t="str">
            <v>CETS0017</v>
          </cell>
          <cell r="G334" t="str">
            <v>DEERMA WATER SPRAY MOP 360/PEL SEMPROT LANTAI</v>
          </cell>
          <cell r="H334">
            <v>209400</v>
          </cell>
          <cell r="I334">
            <v>0</v>
          </cell>
          <cell r="J334">
            <v>0</v>
          </cell>
          <cell r="K334" t="str">
            <v>unit</v>
          </cell>
          <cell r="L334" t="str">
            <v>0</v>
          </cell>
        </row>
        <row r="335">
          <cell r="F335" t="str">
            <v>CETS0018</v>
          </cell>
          <cell r="G335" t="str">
            <v>LAP MICRO 40 X 40 320 GSM ORANGE</v>
          </cell>
          <cell r="H335">
            <v>10125</v>
          </cell>
          <cell r="I335">
            <v>0</v>
          </cell>
          <cell r="J335">
            <v>0</v>
          </cell>
          <cell r="K335" t="str">
            <v>pcs</v>
          </cell>
          <cell r="L335" t="str">
            <v>0</v>
          </cell>
        </row>
        <row r="336">
          <cell r="F336" t="str">
            <v>CETS0019</v>
          </cell>
          <cell r="G336" t="str">
            <v>LAP MICRO 40 X 40 320 GSM HIJAU</v>
          </cell>
          <cell r="H336">
            <v>0</v>
          </cell>
          <cell r="I336">
            <v>0</v>
          </cell>
          <cell r="J336">
            <v>0</v>
          </cell>
          <cell r="K336" t="str">
            <v>pcs</v>
          </cell>
          <cell r="L336" t="str">
            <v>0</v>
          </cell>
        </row>
        <row r="337">
          <cell r="F337" t="str">
            <v>CETS0020</v>
          </cell>
          <cell r="G337" t="str">
            <v>LAP MICRO 40 X 40 320 GSM KUNING</v>
          </cell>
          <cell r="H337">
            <v>10125</v>
          </cell>
          <cell r="I337">
            <v>0</v>
          </cell>
          <cell r="J337">
            <v>0</v>
          </cell>
          <cell r="K337" t="str">
            <v>pcs</v>
          </cell>
          <cell r="L337" t="str">
            <v>0</v>
          </cell>
        </row>
        <row r="338">
          <cell r="F338" t="str">
            <v>CETS0021</v>
          </cell>
          <cell r="G338" t="str">
            <v>LAP MICRO 40 X 40 320 GSM BIRU MUDA</v>
          </cell>
          <cell r="H338">
            <v>0</v>
          </cell>
          <cell r="I338">
            <v>0</v>
          </cell>
          <cell r="J338">
            <v>0</v>
          </cell>
          <cell r="K338" t="str">
            <v>pcs</v>
          </cell>
          <cell r="L338" t="str">
            <v>0</v>
          </cell>
        </row>
        <row r="339">
          <cell r="F339" t="str">
            <v>CETS0022</v>
          </cell>
          <cell r="G339" t="str">
            <v>TEMPAH SAMPAH TUTUP GOYANG 15 LITER C3</v>
          </cell>
          <cell r="H339">
            <v>0</v>
          </cell>
          <cell r="I339">
            <v>0</v>
          </cell>
          <cell r="J339">
            <v>0</v>
          </cell>
          <cell r="K339" t="str">
            <v>pcs</v>
          </cell>
          <cell r="L339" t="str">
            <v>0</v>
          </cell>
        </row>
        <row r="340">
          <cell r="F340" t="str">
            <v>CETS0023</v>
          </cell>
          <cell r="G340" t="str">
            <v>WATER JUG KANEBO 12 LITER</v>
          </cell>
          <cell r="H340">
            <v>0</v>
          </cell>
          <cell r="I340">
            <v>0</v>
          </cell>
          <cell r="J340">
            <v>0</v>
          </cell>
          <cell r="K340" t="str">
            <v>pcs</v>
          </cell>
          <cell r="L340" t="str">
            <v>0</v>
          </cell>
        </row>
        <row r="341">
          <cell r="F341" t="str">
            <v>CETS0024</v>
          </cell>
          <cell r="G341" t="str">
            <v>KOTAK SAMPAH C3 PRINTING</v>
          </cell>
          <cell r="H341">
            <v>0</v>
          </cell>
          <cell r="I341">
            <v>0</v>
          </cell>
          <cell r="J341">
            <v>0</v>
          </cell>
          <cell r="K341" t="str">
            <v>pcs</v>
          </cell>
          <cell r="L341" t="str">
            <v>0</v>
          </cell>
        </row>
        <row r="342">
          <cell r="F342" t="str">
            <v>CETS0029</v>
          </cell>
          <cell r="G342" t="str">
            <v>TEMPAT SAMPAH ASBAK</v>
          </cell>
          <cell r="H342">
            <v>0</v>
          </cell>
          <cell r="I342">
            <v>0</v>
          </cell>
          <cell r="J342">
            <v>0</v>
          </cell>
          <cell r="K342" t="str">
            <v>unit</v>
          </cell>
          <cell r="L342" t="str">
            <v>0</v>
          </cell>
        </row>
        <row r="343">
          <cell r="F343" t="str">
            <v>CETS0031</v>
          </cell>
          <cell r="G343" t="str">
            <v>WET FLOOR SIGN</v>
          </cell>
          <cell r="H343">
            <v>0</v>
          </cell>
          <cell r="I343">
            <v>0</v>
          </cell>
          <cell r="J343">
            <v>0</v>
          </cell>
          <cell r="K343" t="str">
            <v>pcs</v>
          </cell>
          <cell r="L343" t="str">
            <v>0</v>
          </cell>
        </row>
        <row r="344">
          <cell r="F344" t="str">
            <v>CETS0034</v>
          </cell>
          <cell r="G344" t="str">
            <v>EMBER KECIL 1/2 LSPL8</v>
          </cell>
          <cell r="H344">
            <v>0</v>
          </cell>
          <cell r="I344">
            <v>0</v>
          </cell>
          <cell r="J344">
            <v>0</v>
          </cell>
          <cell r="K344" t="str">
            <v>pcs</v>
          </cell>
          <cell r="L344" t="str">
            <v>0</v>
          </cell>
        </row>
        <row r="345">
          <cell r="F345" t="str">
            <v>CETS0035</v>
          </cell>
          <cell r="G345" t="str">
            <v>EMBER SEDANG 3GL LSPL3</v>
          </cell>
          <cell r="H345">
            <v>0</v>
          </cell>
          <cell r="I345">
            <v>0</v>
          </cell>
          <cell r="J345">
            <v>0</v>
          </cell>
          <cell r="K345" t="str">
            <v>pcs</v>
          </cell>
          <cell r="L345" t="str">
            <v>0</v>
          </cell>
        </row>
        <row r="346">
          <cell r="F346" t="str">
            <v>CETS0036</v>
          </cell>
          <cell r="G346" t="str">
            <v>PENGKI LSDP6 VIVIAN</v>
          </cell>
          <cell r="H346">
            <v>0</v>
          </cell>
          <cell r="I346">
            <v>0</v>
          </cell>
          <cell r="J346">
            <v>0</v>
          </cell>
          <cell r="K346" t="str">
            <v>pcs</v>
          </cell>
          <cell r="L346" t="str">
            <v>0</v>
          </cell>
        </row>
        <row r="347">
          <cell r="F347" t="str">
            <v>CETS0037</v>
          </cell>
          <cell r="G347" t="str">
            <v>PEL SUMBU NAG 702</v>
          </cell>
          <cell r="H347">
            <v>0</v>
          </cell>
          <cell r="I347">
            <v>0</v>
          </cell>
          <cell r="J347">
            <v>0</v>
          </cell>
          <cell r="K347" t="str">
            <v>pcs</v>
          </cell>
          <cell r="L347" t="str">
            <v>0</v>
          </cell>
        </row>
        <row r="348">
          <cell r="F348" t="str">
            <v>CETS0038</v>
          </cell>
          <cell r="G348" t="str">
            <v>RUBER TARIKAN AIR</v>
          </cell>
          <cell r="H348">
            <v>0</v>
          </cell>
          <cell r="I348">
            <v>0</v>
          </cell>
          <cell r="J348">
            <v>0</v>
          </cell>
          <cell r="K348" t="str">
            <v>pcs</v>
          </cell>
          <cell r="L348" t="str">
            <v>0</v>
          </cell>
        </row>
        <row r="349">
          <cell r="F349" t="str">
            <v>CETS0039</v>
          </cell>
          <cell r="G349" t="str">
            <v>TEMPAT SAMPAH SEGI 10 L</v>
          </cell>
          <cell r="H349">
            <v>0</v>
          </cell>
          <cell r="I349">
            <v>0</v>
          </cell>
          <cell r="J349">
            <v>0</v>
          </cell>
          <cell r="K349" t="str">
            <v>pcs</v>
          </cell>
          <cell r="L349" t="str">
            <v>0</v>
          </cell>
        </row>
        <row r="350">
          <cell r="F350" t="str">
            <v>CETS0040</v>
          </cell>
          <cell r="G350" t="str">
            <v>RAK HANDUK STAINLESS</v>
          </cell>
          <cell r="H350">
            <v>0</v>
          </cell>
          <cell r="I350">
            <v>0</v>
          </cell>
          <cell r="J350">
            <v>0</v>
          </cell>
          <cell r="K350" t="str">
            <v>pcs</v>
          </cell>
          <cell r="L350" t="str">
            <v>0</v>
          </cell>
        </row>
        <row r="351">
          <cell r="F351" t="str">
            <v>CETS0041</v>
          </cell>
          <cell r="G351" t="str">
            <v>KRISBOW KESET PINTU 60X90 CM</v>
          </cell>
          <cell r="H351">
            <v>0</v>
          </cell>
          <cell r="I351">
            <v>0</v>
          </cell>
          <cell r="J351">
            <v>0</v>
          </cell>
          <cell r="K351" t="str">
            <v>pcs</v>
          </cell>
          <cell r="L351" t="str">
            <v>0</v>
          </cell>
        </row>
        <row r="352">
          <cell r="F352" t="str">
            <v>CETS0042</v>
          </cell>
          <cell r="G352" t="str">
            <v>SABUT CUCI PIRING</v>
          </cell>
          <cell r="H352">
            <v>0</v>
          </cell>
          <cell r="I352">
            <v>0</v>
          </cell>
          <cell r="J352">
            <v>0</v>
          </cell>
          <cell r="K352" t="str">
            <v>pcs</v>
          </cell>
          <cell r="L352" t="str">
            <v>0</v>
          </cell>
        </row>
        <row r="353">
          <cell r="F353" t="str">
            <v>CETS0043</v>
          </cell>
          <cell r="G353" t="str">
            <v>BOTOL PUMP HANDSOAP DAN HAND SANITIZER</v>
          </cell>
          <cell r="H353">
            <v>0</v>
          </cell>
          <cell r="I353">
            <v>0</v>
          </cell>
          <cell r="J353">
            <v>0</v>
          </cell>
          <cell r="K353" t="str">
            <v>pcs</v>
          </cell>
          <cell r="L353" t="str">
            <v>0</v>
          </cell>
        </row>
        <row r="354">
          <cell r="F354" t="str">
            <v>CETS0044</v>
          </cell>
          <cell r="G354" t="str">
            <v>SIKAT SAPU</v>
          </cell>
          <cell r="H354">
            <v>0</v>
          </cell>
          <cell r="I354">
            <v>0</v>
          </cell>
          <cell r="J354">
            <v>0</v>
          </cell>
          <cell r="K354" t="str">
            <v>pcs</v>
          </cell>
          <cell r="L354" t="str">
            <v>0</v>
          </cell>
        </row>
        <row r="355">
          <cell r="F355" t="str">
            <v>CETS0045</v>
          </cell>
          <cell r="G355" t="str">
            <v>PEL BAHAN KANEBO</v>
          </cell>
          <cell r="H355">
            <v>0</v>
          </cell>
          <cell r="I355">
            <v>0</v>
          </cell>
          <cell r="J355">
            <v>0</v>
          </cell>
          <cell r="K355" t="str">
            <v>pcs</v>
          </cell>
          <cell r="L355" t="str">
            <v>0</v>
          </cell>
        </row>
        <row r="356">
          <cell r="F356" t="str">
            <v>CETS0046</v>
          </cell>
          <cell r="G356" t="str">
            <v>EMBER TUTUP 9 L</v>
          </cell>
          <cell r="H356">
            <v>0</v>
          </cell>
          <cell r="I356">
            <v>0</v>
          </cell>
          <cell r="J356">
            <v>0</v>
          </cell>
          <cell r="K356" t="str">
            <v>pcs</v>
          </cell>
          <cell r="L356" t="str">
            <v>0</v>
          </cell>
        </row>
        <row r="357">
          <cell r="F357" t="str">
            <v>CETS0047</v>
          </cell>
          <cell r="G357" t="str">
            <v>TEMPAT SAMPAH INJAK 50 L</v>
          </cell>
          <cell r="H357">
            <v>0</v>
          </cell>
          <cell r="I357">
            <v>0</v>
          </cell>
          <cell r="J357">
            <v>0</v>
          </cell>
          <cell r="K357" t="str">
            <v>pcs</v>
          </cell>
          <cell r="L357" t="str">
            <v>0</v>
          </cell>
        </row>
        <row r="358">
          <cell r="F358" t="str">
            <v>CETS0048</v>
          </cell>
          <cell r="G358" t="str">
            <v>SEDOTAN LALAT</v>
          </cell>
          <cell r="H358">
            <v>0</v>
          </cell>
          <cell r="I358">
            <v>0</v>
          </cell>
          <cell r="J358">
            <v>0</v>
          </cell>
          <cell r="K358" t="str">
            <v>pcs</v>
          </cell>
          <cell r="L358" t="str">
            <v>0</v>
          </cell>
        </row>
        <row r="359">
          <cell r="F359" t="str">
            <v>CETS0049</v>
          </cell>
          <cell r="G359" t="str">
            <v>KRISBOW MOP WRING 24 L</v>
          </cell>
          <cell r="H359">
            <v>0</v>
          </cell>
          <cell r="I359">
            <v>0</v>
          </cell>
          <cell r="J359">
            <v>0</v>
          </cell>
          <cell r="K359" t="str">
            <v>unit</v>
          </cell>
          <cell r="L359" t="str">
            <v>0</v>
          </cell>
        </row>
        <row r="360">
          <cell r="F360" t="str">
            <v>CETS0050</v>
          </cell>
          <cell r="G360" t="str">
            <v>EMBER 10 L</v>
          </cell>
          <cell r="H360">
            <v>0</v>
          </cell>
          <cell r="I360">
            <v>0</v>
          </cell>
          <cell r="J360">
            <v>0</v>
          </cell>
          <cell r="K360" t="str">
            <v>pcs</v>
          </cell>
          <cell r="L360" t="str">
            <v>0</v>
          </cell>
        </row>
        <row r="361">
          <cell r="F361" t="str">
            <v>CETS0051</v>
          </cell>
          <cell r="G361" t="str">
            <v>EMBER 2 L</v>
          </cell>
          <cell r="H361">
            <v>0</v>
          </cell>
          <cell r="I361">
            <v>0</v>
          </cell>
          <cell r="J361">
            <v>0</v>
          </cell>
          <cell r="K361" t="str">
            <v>pcs</v>
          </cell>
          <cell r="L361" t="str">
            <v>0</v>
          </cell>
        </row>
        <row r="362">
          <cell r="F362" t="str">
            <v>CETS0052</v>
          </cell>
          <cell r="G362" t="str">
            <v>TEMPAT SAMPAH INJAK BIO 90 L</v>
          </cell>
          <cell r="H362">
            <v>0</v>
          </cell>
          <cell r="I362">
            <v>0</v>
          </cell>
          <cell r="J362">
            <v>0</v>
          </cell>
          <cell r="K362" t="str">
            <v>unit</v>
          </cell>
          <cell r="L362" t="str">
            <v>0</v>
          </cell>
        </row>
        <row r="363">
          <cell r="F363" t="str">
            <v>CETS0053</v>
          </cell>
          <cell r="G363" t="str">
            <v>KOTAK TISU</v>
          </cell>
          <cell r="H363">
            <v>0</v>
          </cell>
          <cell r="I363">
            <v>0</v>
          </cell>
          <cell r="J363">
            <v>0</v>
          </cell>
          <cell r="K363" t="str">
            <v>pcs</v>
          </cell>
          <cell r="L363" t="str">
            <v>0</v>
          </cell>
        </row>
        <row r="364">
          <cell r="F364" t="str">
            <v>CETS0054</v>
          </cell>
          <cell r="G364" t="str">
            <v>ASBAK STAINLESS STEEL - 12 CM</v>
          </cell>
          <cell r="H364">
            <v>0</v>
          </cell>
          <cell r="I364">
            <v>0</v>
          </cell>
          <cell r="J364">
            <v>0</v>
          </cell>
          <cell r="K364" t="str">
            <v>pcs</v>
          </cell>
          <cell r="L364" t="str">
            <v>0</v>
          </cell>
        </row>
        <row r="365">
          <cell r="F365" t="str">
            <v>CETS0055</v>
          </cell>
          <cell r="G365" t="str">
            <v>SIKAT BOTOL</v>
          </cell>
          <cell r="H365">
            <v>0</v>
          </cell>
          <cell r="I365">
            <v>0</v>
          </cell>
          <cell r="J365">
            <v>0</v>
          </cell>
          <cell r="K365" t="str">
            <v>pcs</v>
          </cell>
          <cell r="L365" t="str">
            <v>0</v>
          </cell>
        </row>
        <row r="366">
          <cell r="F366" t="str">
            <v>CETS0056</v>
          </cell>
          <cell r="G366" t="str">
            <v>EMBER 3 L</v>
          </cell>
          <cell r="H366">
            <v>0</v>
          </cell>
          <cell r="I366">
            <v>0</v>
          </cell>
          <cell r="J366">
            <v>0</v>
          </cell>
          <cell r="K366" t="str">
            <v>pcs</v>
          </cell>
          <cell r="L366" t="str">
            <v>0</v>
          </cell>
        </row>
        <row r="367">
          <cell r="F367" t="str">
            <v>CETS0057</v>
          </cell>
          <cell r="G367" t="str">
            <v>TROLI KEBERSIHAN 3 TINGKAT</v>
          </cell>
          <cell r="H367">
            <v>0</v>
          </cell>
          <cell r="I367">
            <v>0</v>
          </cell>
          <cell r="J367">
            <v>0</v>
          </cell>
          <cell r="K367" t="str">
            <v>unit</v>
          </cell>
          <cell r="L367" t="str">
            <v>0</v>
          </cell>
        </row>
        <row r="368">
          <cell r="F368" t="str">
            <v>CETS0058</v>
          </cell>
          <cell r="G368" t="str">
            <v>TEMPAT SAMPAH  GREEN LEAF 35 L</v>
          </cell>
          <cell r="H368">
            <v>0</v>
          </cell>
          <cell r="I368">
            <v>0</v>
          </cell>
          <cell r="J368">
            <v>0</v>
          </cell>
          <cell r="K368" t="str">
            <v>pcs</v>
          </cell>
          <cell r="L368" t="str">
            <v>0</v>
          </cell>
        </row>
        <row r="369">
          <cell r="F369" t="str">
            <v>CETS0059</v>
          </cell>
          <cell r="G369" t="str">
            <v>SIKAT GIGI</v>
          </cell>
          <cell r="H369">
            <v>0</v>
          </cell>
          <cell r="I369">
            <v>0</v>
          </cell>
          <cell r="J369">
            <v>0</v>
          </cell>
          <cell r="K369" t="str">
            <v>pcs</v>
          </cell>
          <cell r="L369" t="str">
            <v>0</v>
          </cell>
        </row>
        <row r="370">
          <cell r="F370" t="str">
            <v>CETS0060</v>
          </cell>
          <cell r="G370" t="str">
            <v>TEMPAT SAMPAH 15 L</v>
          </cell>
          <cell r="H370">
            <v>0</v>
          </cell>
          <cell r="I370">
            <v>0</v>
          </cell>
          <cell r="J370">
            <v>0</v>
          </cell>
          <cell r="K370" t="str">
            <v>pcs</v>
          </cell>
          <cell r="L370" t="str">
            <v>0</v>
          </cell>
        </row>
        <row r="371">
          <cell r="F371" t="str">
            <v>CETS0061</v>
          </cell>
          <cell r="G371" t="str">
            <v>SPRAYER HAMA 5 L / SEMPROTAN TANAMAN</v>
          </cell>
          <cell r="H371">
            <v>0</v>
          </cell>
          <cell r="I371">
            <v>0</v>
          </cell>
          <cell r="J371">
            <v>0</v>
          </cell>
          <cell r="K371" t="str">
            <v>botol</v>
          </cell>
          <cell r="L371" t="str">
            <v>0</v>
          </cell>
        </row>
        <row r="372">
          <cell r="F372" t="str">
            <v>CETS0062</v>
          </cell>
          <cell r="G372" t="str">
            <v>ALAT STELLA MATIC</v>
          </cell>
          <cell r="H372">
            <v>0</v>
          </cell>
          <cell r="I372">
            <v>0</v>
          </cell>
          <cell r="J372">
            <v>0</v>
          </cell>
          <cell r="K372" t="str">
            <v>pcs</v>
          </cell>
          <cell r="L372" t="str">
            <v>0</v>
          </cell>
        </row>
        <row r="373">
          <cell r="F373" t="str">
            <v>CETS0063</v>
          </cell>
          <cell r="G373" t="str">
            <v>TEMPAT / DISPENSER  TISSUE HAND TOWEL</v>
          </cell>
          <cell r="H373">
            <v>0</v>
          </cell>
          <cell r="I373">
            <v>0</v>
          </cell>
          <cell r="J373">
            <v>0</v>
          </cell>
          <cell r="K373" t="str">
            <v>pcs</v>
          </cell>
          <cell r="L373" t="str">
            <v>0</v>
          </cell>
        </row>
        <row r="374">
          <cell r="F374" t="str">
            <v>CETS0064</v>
          </cell>
          <cell r="G374" t="str">
            <v>DISPENSER AUTOMATIC SABUN HANDSANITIZER 450 ML</v>
          </cell>
          <cell r="H374">
            <v>0</v>
          </cell>
          <cell r="I374">
            <v>0</v>
          </cell>
          <cell r="J374">
            <v>0</v>
          </cell>
          <cell r="K374" t="str">
            <v>pcs</v>
          </cell>
          <cell r="L374" t="str">
            <v>0</v>
          </cell>
        </row>
        <row r="375">
          <cell r="F375" t="str">
            <v>CETS0065</v>
          </cell>
          <cell r="G375" t="str">
            <v>TEMPAT SAMPAH 20 L</v>
          </cell>
          <cell r="H375">
            <v>0</v>
          </cell>
          <cell r="I375">
            <v>0</v>
          </cell>
          <cell r="J375">
            <v>0</v>
          </cell>
          <cell r="K375" t="str">
            <v>pcs</v>
          </cell>
          <cell r="L375" t="str">
            <v>0</v>
          </cell>
        </row>
        <row r="376">
          <cell r="F376" t="str">
            <v>CETS0066</v>
          </cell>
          <cell r="G376" t="str">
            <v>SIKAT TOILET</v>
          </cell>
          <cell r="H376">
            <v>0</v>
          </cell>
          <cell r="I376">
            <v>0</v>
          </cell>
          <cell r="J376">
            <v>0</v>
          </cell>
          <cell r="K376" t="str">
            <v>pcs</v>
          </cell>
          <cell r="L376" t="str">
            <v>0</v>
          </cell>
        </row>
        <row r="377">
          <cell r="F377" t="str">
            <v>CETS0067</v>
          </cell>
          <cell r="G377" t="str">
            <v>MOP SPIN LIVINA</v>
          </cell>
          <cell r="H377">
            <v>0</v>
          </cell>
          <cell r="I377">
            <v>0</v>
          </cell>
          <cell r="J377">
            <v>0</v>
          </cell>
          <cell r="K377" t="str">
            <v>unit</v>
          </cell>
          <cell r="L377" t="str">
            <v>0</v>
          </cell>
        </row>
        <row r="378">
          <cell r="F378" t="str">
            <v>CETS0068</v>
          </cell>
          <cell r="G378" t="str">
            <v>REFIL KAIN PEL SEGI EMPAT</v>
          </cell>
          <cell r="H378">
            <v>0</v>
          </cell>
          <cell r="I378">
            <v>0</v>
          </cell>
          <cell r="J378">
            <v>0</v>
          </cell>
          <cell r="K378" t="str">
            <v>pcs</v>
          </cell>
          <cell r="L378" t="str">
            <v>0</v>
          </cell>
        </row>
        <row r="379">
          <cell r="F379" t="str">
            <v>CGDS0001</v>
          </cell>
          <cell r="G379" t="str">
            <v>Red Bean Mochi</v>
          </cell>
          <cell r="H379">
            <v>0</v>
          </cell>
          <cell r="I379">
            <v>0</v>
          </cell>
          <cell r="J379">
            <v>0</v>
          </cell>
          <cell r="K379" t="str">
            <v>porsi</v>
          </cell>
          <cell r="L379" t="str">
            <v>0</v>
          </cell>
        </row>
        <row r="380">
          <cell r="F380" t="str">
            <v>CGDS0002</v>
          </cell>
          <cell r="G380" t="str">
            <v>Chocolate Mochi</v>
          </cell>
          <cell r="H380">
            <v>0</v>
          </cell>
          <cell r="I380">
            <v>0</v>
          </cell>
          <cell r="J380">
            <v>0</v>
          </cell>
          <cell r="K380" t="str">
            <v>porsi</v>
          </cell>
          <cell r="L380" t="str">
            <v>0</v>
          </cell>
        </row>
        <row r="381">
          <cell r="F381" t="str">
            <v>CGEX0001</v>
          </cell>
          <cell r="G381" t="str">
            <v>Rice</v>
          </cell>
          <cell r="H381">
            <v>0</v>
          </cell>
          <cell r="I381">
            <v>0</v>
          </cell>
          <cell r="J381">
            <v>0</v>
          </cell>
          <cell r="K381" t="str">
            <v>porsi</v>
          </cell>
          <cell r="L381" t="str">
            <v>0</v>
          </cell>
        </row>
        <row r="382">
          <cell r="F382" t="str">
            <v>CGEX0002</v>
          </cell>
          <cell r="G382" t="str">
            <v>Add Kimchi 100 g</v>
          </cell>
          <cell r="H382">
            <v>0</v>
          </cell>
          <cell r="I382">
            <v>0</v>
          </cell>
          <cell r="J382">
            <v>0</v>
          </cell>
          <cell r="K382" t="str">
            <v>porsi</v>
          </cell>
          <cell r="L382" t="str">
            <v>0</v>
          </cell>
        </row>
        <row r="383">
          <cell r="F383" t="str">
            <v>CGEX0003</v>
          </cell>
          <cell r="G383" t="str">
            <v>Add Egg (Finale Fried Rice)</v>
          </cell>
          <cell r="H383">
            <v>0</v>
          </cell>
          <cell r="I383">
            <v>0</v>
          </cell>
          <cell r="J383">
            <v>0</v>
          </cell>
          <cell r="K383" t="str">
            <v>porsi</v>
          </cell>
          <cell r="L383" t="str">
            <v>0</v>
          </cell>
        </row>
        <row r="384">
          <cell r="F384" t="str">
            <v>CGEX0004</v>
          </cell>
          <cell r="G384" t="str">
            <v>Add Minari 50 g</v>
          </cell>
          <cell r="H384">
            <v>0</v>
          </cell>
          <cell r="I384">
            <v>0</v>
          </cell>
          <cell r="J384">
            <v>0</v>
          </cell>
          <cell r="K384" t="str">
            <v>porsi</v>
          </cell>
          <cell r="L384" t="str">
            <v>0</v>
          </cell>
        </row>
        <row r="385">
          <cell r="F385" t="str">
            <v>CGEX0005</v>
          </cell>
          <cell r="G385" t="str">
            <v>Add Enoki 50 g</v>
          </cell>
          <cell r="H385">
            <v>0</v>
          </cell>
          <cell r="I385">
            <v>0</v>
          </cell>
          <cell r="J385">
            <v>0</v>
          </cell>
          <cell r="K385" t="str">
            <v>porsi</v>
          </cell>
          <cell r="L385" t="str">
            <v>0</v>
          </cell>
        </row>
        <row r="386">
          <cell r="F386" t="str">
            <v>CGEX0006</v>
          </cell>
          <cell r="G386" t="str">
            <v>Add Daun Bawang 50 g</v>
          </cell>
          <cell r="H386">
            <v>0</v>
          </cell>
          <cell r="I386">
            <v>0</v>
          </cell>
          <cell r="J386">
            <v>0</v>
          </cell>
          <cell r="K386" t="str">
            <v>porsi</v>
          </cell>
          <cell r="L386" t="str">
            <v>0</v>
          </cell>
        </row>
        <row r="387">
          <cell r="F387" t="str">
            <v>CGEX0007</v>
          </cell>
          <cell r="G387" t="str">
            <v>Add Tauge Namul Gujeolpan 50 g</v>
          </cell>
          <cell r="H387">
            <v>0</v>
          </cell>
          <cell r="I387">
            <v>0</v>
          </cell>
          <cell r="J387">
            <v>0</v>
          </cell>
          <cell r="K387" t="str">
            <v>porsi</v>
          </cell>
          <cell r="L387" t="str">
            <v>0</v>
          </cell>
        </row>
        <row r="388">
          <cell r="F388" t="str">
            <v>CGEX0008</v>
          </cell>
          <cell r="G388" t="str">
            <v>Add Shiitake Marinated 30 g</v>
          </cell>
          <cell r="H388">
            <v>0</v>
          </cell>
          <cell r="I388">
            <v>0</v>
          </cell>
          <cell r="J388">
            <v>0</v>
          </cell>
          <cell r="K388" t="str">
            <v>porsi</v>
          </cell>
          <cell r="L388" t="str">
            <v>0</v>
          </cell>
        </row>
        <row r="389">
          <cell r="F389" t="str">
            <v>CGEX0009</v>
          </cell>
          <cell r="G389" t="str">
            <v>Add Sunny Lettuce 60 g</v>
          </cell>
          <cell r="H389">
            <v>0</v>
          </cell>
          <cell r="I389">
            <v>0</v>
          </cell>
          <cell r="J389">
            <v>0</v>
          </cell>
          <cell r="K389" t="str">
            <v>porsi</v>
          </cell>
          <cell r="L389" t="str">
            <v>0</v>
          </cell>
        </row>
        <row r="390">
          <cell r="F390" t="str">
            <v>CGEX0010</v>
          </cell>
          <cell r="G390" t="str">
            <v>Add Wrap 5 pcs</v>
          </cell>
          <cell r="H390">
            <v>0</v>
          </cell>
          <cell r="I390">
            <v>0</v>
          </cell>
          <cell r="J390">
            <v>0</v>
          </cell>
          <cell r="K390" t="str">
            <v>porsi</v>
          </cell>
          <cell r="L390" t="str">
            <v>0</v>
          </cell>
        </row>
        <row r="391">
          <cell r="F391" t="str">
            <v>CGEX0011</v>
          </cell>
          <cell r="G391" t="str">
            <v>Add Sliced Beef 100 g</v>
          </cell>
          <cell r="H391">
            <v>0</v>
          </cell>
          <cell r="I391">
            <v>0</v>
          </cell>
          <cell r="J391">
            <v>0</v>
          </cell>
          <cell r="K391" t="str">
            <v>porsi</v>
          </cell>
          <cell r="L391" t="str">
            <v>0</v>
          </cell>
        </row>
        <row r="392">
          <cell r="F392" t="str">
            <v>CGEX0012</v>
          </cell>
          <cell r="G392" t="str">
            <v>Add Tokusen Wagyu 100 g</v>
          </cell>
          <cell r="H392">
            <v>0</v>
          </cell>
          <cell r="I392">
            <v>0</v>
          </cell>
          <cell r="J392">
            <v>0</v>
          </cell>
          <cell r="K392" t="str">
            <v>porsi</v>
          </cell>
          <cell r="L392" t="str">
            <v>0</v>
          </cell>
        </row>
        <row r="393">
          <cell r="F393" t="str">
            <v>CGEX0013</v>
          </cell>
          <cell r="G393" t="str">
            <v>Add Chadol Bulgogi 150 g</v>
          </cell>
          <cell r="H393">
            <v>0</v>
          </cell>
          <cell r="I393">
            <v>0</v>
          </cell>
          <cell r="J393">
            <v>0</v>
          </cell>
          <cell r="K393" t="str">
            <v>porsi</v>
          </cell>
          <cell r="L393" t="str">
            <v>0</v>
          </cell>
        </row>
        <row r="394">
          <cell r="F394" t="str">
            <v>CGEX0014</v>
          </cell>
          <cell r="G394" t="str">
            <v>Add Egg Gyeranjim</v>
          </cell>
          <cell r="H394">
            <v>0</v>
          </cell>
          <cell r="I394">
            <v>0</v>
          </cell>
          <cell r="J394">
            <v>0</v>
          </cell>
          <cell r="K394" t="str">
            <v>porsi</v>
          </cell>
          <cell r="L394" t="str">
            <v>0</v>
          </cell>
        </row>
        <row r="395">
          <cell r="F395" t="str">
            <v>CGEX0015</v>
          </cell>
          <cell r="G395" t="str">
            <v>Add Cheddar Slice</v>
          </cell>
          <cell r="H395">
            <v>0</v>
          </cell>
          <cell r="I395">
            <v>0</v>
          </cell>
          <cell r="J395">
            <v>0</v>
          </cell>
          <cell r="K395" t="str">
            <v>porsi</v>
          </cell>
          <cell r="L395" t="str">
            <v>0</v>
          </cell>
        </row>
        <row r="396">
          <cell r="F396" t="str">
            <v>CGEX0016</v>
          </cell>
          <cell r="G396" t="str">
            <v>Add ChaCha Chicken 200 g</v>
          </cell>
          <cell r="H396">
            <v>0</v>
          </cell>
          <cell r="I396">
            <v>0</v>
          </cell>
          <cell r="J396">
            <v>0</v>
          </cell>
          <cell r="K396" t="str">
            <v>porsi</v>
          </cell>
          <cell r="L396" t="str">
            <v>0</v>
          </cell>
        </row>
        <row r="397">
          <cell r="F397" t="str">
            <v>CGEX0017</v>
          </cell>
          <cell r="G397" t="str">
            <v>Add Bulgogi Sauce 20 g</v>
          </cell>
          <cell r="H397">
            <v>0</v>
          </cell>
          <cell r="I397">
            <v>0</v>
          </cell>
          <cell r="J397">
            <v>0</v>
          </cell>
          <cell r="K397" t="str">
            <v>porsi</v>
          </cell>
          <cell r="L397" t="str">
            <v>0</v>
          </cell>
        </row>
        <row r="398">
          <cell r="F398" t="str">
            <v>CGGB0001</v>
          </cell>
          <cell r="G398" t="str">
            <v>Original Gimbap</v>
          </cell>
          <cell r="H398">
            <v>0</v>
          </cell>
          <cell r="I398">
            <v>0</v>
          </cell>
          <cell r="J398">
            <v>0</v>
          </cell>
          <cell r="K398" t="str">
            <v>porsi</v>
          </cell>
          <cell r="L398" t="str">
            <v>0</v>
          </cell>
        </row>
        <row r="399">
          <cell r="F399" t="str">
            <v>CGGB0002</v>
          </cell>
          <cell r="G399" t="str">
            <v>Vegetable Gimbap</v>
          </cell>
          <cell r="H399">
            <v>0</v>
          </cell>
          <cell r="I399">
            <v>0</v>
          </cell>
          <cell r="J399">
            <v>0</v>
          </cell>
          <cell r="K399" t="str">
            <v>porsi</v>
          </cell>
          <cell r="L399" t="str">
            <v>0</v>
          </cell>
        </row>
        <row r="400">
          <cell r="F400" t="str">
            <v>CGGB0003</v>
          </cell>
          <cell r="G400" t="str">
            <v>Bulgogi Gimbap</v>
          </cell>
          <cell r="H400">
            <v>0</v>
          </cell>
          <cell r="I400">
            <v>0</v>
          </cell>
          <cell r="J400">
            <v>0</v>
          </cell>
          <cell r="K400" t="str">
            <v>porsi</v>
          </cell>
          <cell r="L400" t="str">
            <v>0</v>
          </cell>
        </row>
        <row r="401">
          <cell r="F401" t="str">
            <v>CGGB0004</v>
          </cell>
          <cell r="G401" t="str">
            <v>Tuna Mayo Gimbap</v>
          </cell>
          <cell r="H401">
            <v>0</v>
          </cell>
          <cell r="I401">
            <v>0</v>
          </cell>
          <cell r="J401">
            <v>0</v>
          </cell>
          <cell r="K401" t="str">
            <v>porsi</v>
          </cell>
          <cell r="L401" t="str">
            <v>0</v>
          </cell>
        </row>
        <row r="402">
          <cell r="F402" t="str">
            <v>CGGB0005</v>
          </cell>
          <cell r="G402" t="str">
            <v>Spicy Tuna Gimbap</v>
          </cell>
          <cell r="H402">
            <v>0</v>
          </cell>
          <cell r="I402">
            <v>0</v>
          </cell>
          <cell r="J402">
            <v>0</v>
          </cell>
          <cell r="K402" t="str">
            <v>porsi</v>
          </cell>
          <cell r="L402" t="str">
            <v>0</v>
          </cell>
        </row>
        <row r="403">
          <cell r="F403" t="str">
            <v>CGGB0006</v>
          </cell>
          <cell r="G403" t="str">
            <v>Cheese Gimbap</v>
          </cell>
          <cell r="H403">
            <v>0</v>
          </cell>
          <cell r="I403">
            <v>0</v>
          </cell>
          <cell r="J403">
            <v>0</v>
          </cell>
          <cell r="K403" t="str">
            <v>porsi</v>
          </cell>
          <cell r="L403" t="str">
            <v>0</v>
          </cell>
        </row>
        <row r="404">
          <cell r="F404" t="str">
            <v>CGGB0007</v>
          </cell>
          <cell r="G404" t="str">
            <v>Beef Ham Gimbap</v>
          </cell>
          <cell r="H404">
            <v>0</v>
          </cell>
          <cell r="I404">
            <v>0</v>
          </cell>
          <cell r="J404">
            <v>0</v>
          </cell>
          <cell r="K404" t="str">
            <v>porsi</v>
          </cell>
          <cell r="L404" t="str">
            <v>0</v>
          </cell>
        </row>
        <row r="405">
          <cell r="F405" t="str">
            <v>CGGB0008</v>
          </cell>
          <cell r="G405" t="str">
            <v>Ham &amp; Cheese Gimbap</v>
          </cell>
          <cell r="H405">
            <v>0</v>
          </cell>
          <cell r="I405">
            <v>0</v>
          </cell>
          <cell r="J405">
            <v>0</v>
          </cell>
          <cell r="K405" t="str">
            <v>porsi</v>
          </cell>
          <cell r="L405" t="str">
            <v>0</v>
          </cell>
        </row>
        <row r="406">
          <cell r="F406" t="str">
            <v>CGGB0009</v>
          </cell>
          <cell r="G406" t="str">
            <v>Spicy Eomuk Gimbap</v>
          </cell>
          <cell r="H406">
            <v>0</v>
          </cell>
          <cell r="I406">
            <v>0</v>
          </cell>
          <cell r="J406">
            <v>0</v>
          </cell>
          <cell r="K406" t="str">
            <v>porsi</v>
          </cell>
          <cell r="L406" t="str">
            <v>0</v>
          </cell>
        </row>
        <row r="407">
          <cell r="F407" t="str">
            <v>CGGB0010</v>
          </cell>
          <cell r="G407" t="str">
            <v>Anchovy Gimbap</v>
          </cell>
          <cell r="H407">
            <v>0</v>
          </cell>
          <cell r="I407">
            <v>0</v>
          </cell>
          <cell r="J407">
            <v>0</v>
          </cell>
          <cell r="K407" t="str">
            <v>porsi</v>
          </cell>
          <cell r="L407" t="str">
            <v>0</v>
          </cell>
        </row>
        <row r="408">
          <cell r="F408" t="str">
            <v>CGGP0001</v>
          </cell>
          <cell r="G408" t="str">
            <v>Chadol Signature Regular 150 g</v>
          </cell>
          <cell r="H408">
            <v>0</v>
          </cell>
          <cell r="I408">
            <v>0</v>
          </cell>
          <cell r="J408">
            <v>0</v>
          </cell>
          <cell r="K408" t="str">
            <v>porsi</v>
          </cell>
          <cell r="L408" t="str">
            <v>0</v>
          </cell>
        </row>
        <row r="409">
          <cell r="F409" t="str">
            <v>CGGP0002</v>
          </cell>
          <cell r="G409" t="str">
            <v>Chadol Signature Regular 225 g</v>
          </cell>
          <cell r="H409">
            <v>0</v>
          </cell>
          <cell r="I409">
            <v>0</v>
          </cell>
          <cell r="J409">
            <v>0</v>
          </cell>
          <cell r="K409" t="str">
            <v>porsi</v>
          </cell>
          <cell r="L409" t="str">
            <v>0</v>
          </cell>
        </row>
        <row r="410">
          <cell r="F410" t="str">
            <v>CGGP0003</v>
          </cell>
          <cell r="G410" t="str">
            <v>Chadol Signature Wagyu 150 g</v>
          </cell>
          <cell r="H410">
            <v>0</v>
          </cell>
          <cell r="I410">
            <v>0</v>
          </cell>
          <cell r="J410">
            <v>0</v>
          </cell>
          <cell r="K410" t="str">
            <v>porsi</v>
          </cell>
          <cell r="L410" t="str">
            <v>0</v>
          </cell>
        </row>
        <row r="411">
          <cell r="F411" t="str">
            <v>CGGP0004</v>
          </cell>
          <cell r="G411" t="str">
            <v>Chadol Signature Wagyu 225 g</v>
          </cell>
          <cell r="H411">
            <v>0</v>
          </cell>
          <cell r="I411">
            <v>0</v>
          </cell>
          <cell r="J411">
            <v>0</v>
          </cell>
          <cell r="K411" t="str">
            <v>porsi</v>
          </cell>
          <cell r="L411" t="str">
            <v>0</v>
          </cell>
        </row>
        <row r="412">
          <cell r="F412" t="str">
            <v>CGGP0005</v>
          </cell>
          <cell r="G412" t="str">
            <v>Chadol Prime</v>
          </cell>
          <cell r="H412">
            <v>0</v>
          </cell>
          <cell r="I412">
            <v>0</v>
          </cell>
          <cell r="J412">
            <v>0</v>
          </cell>
          <cell r="K412" t="str">
            <v>porsi</v>
          </cell>
          <cell r="L412" t="str">
            <v>0</v>
          </cell>
        </row>
        <row r="413">
          <cell r="F413" t="str">
            <v>CGGP0006</v>
          </cell>
          <cell r="G413" t="str">
            <v>ChaCha Chicken</v>
          </cell>
          <cell r="H413">
            <v>0</v>
          </cell>
          <cell r="I413">
            <v>0</v>
          </cell>
          <cell r="J413">
            <v>0</v>
          </cell>
          <cell r="K413" t="str">
            <v>porsi</v>
          </cell>
          <cell r="L413" t="str">
            <v>0</v>
          </cell>
        </row>
        <row r="414">
          <cell r="F414" t="str">
            <v>CGGP0007</v>
          </cell>
          <cell r="G414" t="str">
            <v>Finale Kimchi Fried Rice</v>
          </cell>
          <cell r="H414">
            <v>0</v>
          </cell>
          <cell r="I414">
            <v>0</v>
          </cell>
          <cell r="J414">
            <v>0</v>
          </cell>
          <cell r="K414" t="str">
            <v>porsi</v>
          </cell>
          <cell r="L414" t="str">
            <v>0</v>
          </cell>
        </row>
        <row r="415">
          <cell r="F415" t="str">
            <v>CGGP0008</v>
          </cell>
          <cell r="G415" t="str">
            <v>Finale Doenjang Porridge</v>
          </cell>
          <cell r="H415">
            <v>0</v>
          </cell>
          <cell r="I415">
            <v>0</v>
          </cell>
          <cell r="J415">
            <v>0</v>
          </cell>
          <cell r="K415" t="str">
            <v>porsi</v>
          </cell>
          <cell r="L415" t="str">
            <v>0</v>
          </cell>
        </row>
        <row r="416">
          <cell r="F416" t="str">
            <v>CGJD0001</v>
          </cell>
          <cell r="G416" t="str">
            <v>Innerset Jelly Apple</v>
          </cell>
          <cell r="H416">
            <v>0</v>
          </cell>
          <cell r="I416">
            <v>0</v>
          </cell>
          <cell r="J416">
            <v>0</v>
          </cell>
          <cell r="K416" t="str">
            <v>porsi</v>
          </cell>
          <cell r="L416" t="str">
            <v>0</v>
          </cell>
        </row>
        <row r="417">
          <cell r="F417" t="str">
            <v>CGJD0002</v>
          </cell>
          <cell r="G417" t="str">
            <v>Innerset Jelly Green Grape</v>
          </cell>
          <cell r="H417">
            <v>0</v>
          </cell>
          <cell r="I417">
            <v>0</v>
          </cell>
          <cell r="J417">
            <v>0</v>
          </cell>
          <cell r="K417" t="str">
            <v>porsi</v>
          </cell>
          <cell r="L417" t="str">
            <v>0</v>
          </cell>
        </row>
        <row r="418">
          <cell r="F418" t="str">
            <v>CGJD0003</v>
          </cell>
          <cell r="G418" t="str">
            <v>Innerset Jelly Peach</v>
          </cell>
          <cell r="H418">
            <v>0</v>
          </cell>
          <cell r="I418">
            <v>0</v>
          </cell>
          <cell r="J418">
            <v>0</v>
          </cell>
          <cell r="K418" t="str">
            <v>porsi</v>
          </cell>
          <cell r="L418" t="str">
            <v>0</v>
          </cell>
        </row>
        <row r="419">
          <cell r="F419" t="str">
            <v>CGJD0004</v>
          </cell>
          <cell r="G419" t="str">
            <v>Jelly B Watermelon</v>
          </cell>
          <cell r="H419">
            <v>0</v>
          </cell>
          <cell r="I419">
            <v>0</v>
          </cell>
          <cell r="J419">
            <v>0</v>
          </cell>
          <cell r="K419" t="str">
            <v>porsi</v>
          </cell>
          <cell r="L419" t="str">
            <v>0</v>
          </cell>
        </row>
        <row r="420">
          <cell r="F420" t="str">
            <v>CGJD0005</v>
          </cell>
          <cell r="G420" t="str">
            <v>Jelly B Mandarin</v>
          </cell>
          <cell r="H420">
            <v>0</v>
          </cell>
          <cell r="I420">
            <v>0</v>
          </cell>
          <cell r="J420">
            <v>0</v>
          </cell>
          <cell r="K420" t="str">
            <v>porsi</v>
          </cell>
          <cell r="L420" t="str">
            <v>0</v>
          </cell>
        </row>
        <row r="421">
          <cell r="F421" t="str">
            <v>CGJD0006</v>
          </cell>
          <cell r="G421" t="str">
            <v>Jelly B Lychee</v>
          </cell>
          <cell r="H421">
            <v>0</v>
          </cell>
          <cell r="I421">
            <v>0</v>
          </cell>
          <cell r="J421">
            <v>0</v>
          </cell>
          <cell r="K421" t="str">
            <v>porsi</v>
          </cell>
          <cell r="L421" t="str">
            <v>0</v>
          </cell>
        </row>
        <row r="422">
          <cell r="F422" t="str">
            <v>CGJD0007</v>
          </cell>
          <cell r="G422" t="str">
            <v>Jelly B Green Grape</v>
          </cell>
          <cell r="H422">
            <v>0</v>
          </cell>
          <cell r="I422">
            <v>0</v>
          </cell>
          <cell r="J422">
            <v>0</v>
          </cell>
          <cell r="K422" t="str">
            <v>porsi</v>
          </cell>
          <cell r="L422" t="str">
            <v>0</v>
          </cell>
        </row>
        <row r="423">
          <cell r="F423" t="str">
            <v>CGJD0008</v>
          </cell>
          <cell r="G423" t="str">
            <v>Jelly B Mango</v>
          </cell>
          <cell r="H423">
            <v>0</v>
          </cell>
          <cell r="I423">
            <v>0</v>
          </cell>
          <cell r="J423">
            <v>0</v>
          </cell>
          <cell r="K423" t="str">
            <v>porsi</v>
          </cell>
          <cell r="L423" t="str">
            <v>0</v>
          </cell>
        </row>
        <row r="424">
          <cell r="F424" t="str">
            <v>CGJD0009</v>
          </cell>
          <cell r="G424" t="str">
            <v>Jelly B Peach</v>
          </cell>
          <cell r="H424">
            <v>0</v>
          </cell>
          <cell r="I424">
            <v>0</v>
          </cell>
          <cell r="J424">
            <v>0</v>
          </cell>
          <cell r="K424" t="str">
            <v>porsi</v>
          </cell>
          <cell r="L424" t="str">
            <v>0</v>
          </cell>
        </row>
        <row r="425">
          <cell r="F425" t="str">
            <v>CGKD0001</v>
          </cell>
          <cell r="G425" t="str">
            <v>Watermelon K-Drink</v>
          </cell>
          <cell r="H425">
            <v>0</v>
          </cell>
          <cell r="I425">
            <v>0</v>
          </cell>
          <cell r="J425">
            <v>0</v>
          </cell>
          <cell r="K425" t="str">
            <v>porsi</v>
          </cell>
          <cell r="L425" t="str">
            <v>0</v>
          </cell>
        </row>
        <row r="426">
          <cell r="F426" t="str">
            <v>CGKD0002</v>
          </cell>
          <cell r="G426" t="str">
            <v>Kiwi K-Drink</v>
          </cell>
          <cell r="H426">
            <v>0</v>
          </cell>
          <cell r="I426">
            <v>0</v>
          </cell>
          <cell r="J426">
            <v>0</v>
          </cell>
          <cell r="K426" t="str">
            <v>porsi</v>
          </cell>
          <cell r="L426" t="str">
            <v>0</v>
          </cell>
        </row>
        <row r="427">
          <cell r="F427" t="str">
            <v>CGKD0003</v>
          </cell>
          <cell r="G427" t="str">
            <v>Peach K-Drink</v>
          </cell>
          <cell r="H427">
            <v>0</v>
          </cell>
          <cell r="I427">
            <v>0</v>
          </cell>
          <cell r="J427">
            <v>0</v>
          </cell>
          <cell r="K427" t="str">
            <v>porsi</v>
          </cell>
          <cell r="L427" t="str">
            <v>0</v>
          </cell>
        </row>
        <row r="428">
          <cell r="F428" t="str">
            <v>CGKD0004</v>
          </cell>
          <cell r="G428" t="str">
            <v>Muscat K-Drink</v>
          </cell>
          <cell r="H428">
            <v>0</v>
          </cell>
          <cell r="I428">
            <v>0</v>
          </cell>
          <cell r="J428">
            <v>0</v>
          </cell>
          <cell r="K428" t="str">
            <v>porsi</v>
          </cell>
          <cell r="L428" t="str">
            <v>0</v>
          </cell>
        </row>
        <row r="429">
          <cell r="F429" t="str">
            <v>CGKD0005</v>
          </cell>
          <cell r="G429" t="str">
            <v>Pear K-Drink</v>
          </cell>
          <cell r="H429">
            <v>0</v>
          </cell>
          <cell r="I429">
            <v>0</v>
          </cell>
          <cell r="J429">
            <v>0</v>
          </cell>
          <cell r="K429" t="str">
            <v>porsi</v>
          </cell>
          <cell r="L429" t="str">
            <v>0</v>
          </cell>
        </row>
        <row r="430">
          <cell r="F430" t="str">
            <v>CGKD0006</v>
          </cell>
          <cell r="G430" t="str">
            <v>Ice Americano K-Drink</v>
          </cell>
          <cell r="H430">
            <v>0</v>
          </cell>
          <cell r="I430">
            <v>0</v>
          </cell>
          <cell r="J430">
            <v>0</v>
          </cell>
          <cell r="K430" t="str">
            <v>porsi</v>
          </cell>
          <cell r="L430" t="str">
            <v>0</v>
          </cell>
        </row>
        <row r="431">
          <cell r="F431" t="str">
            <v>CGKD0007</v>
          </cell>
          <cell r="G431" t="str">
            <v>Salted Caramel Coffee K-Drink</v>
          </cell>
          <cell r="H431">
            <v>0</v>
          </cell>
          <cell r="I431">
            <v>0</v>
          </cell>
          <cell r="J431">
            <v>0</v>
          </cell>
          <cell r="K431" t="str">
            <v>porsi</v>
          </cell>
          <cell r="L431" t="str">
            <v>0</v>
          </cell>
        </row>
        <row r="432">
          <cell r="F432" t="str">
            <v>CGKD0008</v>
          </cell>
          <cell r="G432" t="str">
            <v>Strawberry K-Drink</v>
          </cell>
          <cell r="H432">
            <v>0</v>
          </cell>
          <cell r="I432">
            <v>0</v>
          </cell>
          <cell r="J432">
            <v>0</v>
          </cell>
          <cell r="K432" t="str">
            <v>porsi</v>
          </cell>
          <cell r="L432" t="str">
            <v>0</v>
          </cell>
        </row>
        <row r="433">
          <cell r="F433" t="str">
            <v>CGKD0009</v>
          </cell>
          <cell r="G433" t="str">
            <v>Mango K-Drink</v>
          </cell>
          <cell r="H433">
            <v>0</v>
          </cell>
          <cell r="I433">
            <v>0</v>
          </cell>
          <cell r="J433">
            <v>0</v>
          </cell>
          <cell r="K433" t="str">
            <v>porsi</v>
          </cell>
          <cell r="L433" t="str">
            <v>0</v>
          </cell>
        </row>
        <row r="434">
          <cell r="F434" t="str">
            <v>CGKD0010</v>
          </cell>
          <cell r="G434" t="str">
            <v>Jeju Orange K-Drink</v>
          </cell>
          <cell r="H434">
            <v>0</v>
          </cell>
          <cell r="I434">
            <v>0</v>
          </cell>
          <cell r="J434">
            <v>0</v>
          </cell>
          <cell r="K434" t="str">
            <v>porsi</v>
          </cell>
          <cell r="L434" t="str">
            <v>0</v>
          </cell>
        </row>
        <row r="435">
          <cell r="F435" t="str">
            <v>CGKD0011</v>
          </cell>
          <cell r="G435" t="str">
            <v>Honey Yuza K-Drink</v>
          </cell>
          <cell r="H435">
            <v>0</v>
          </cell>
          <cell r="I435">
            <v>0</v>
          </cell>
          <cell r="J435">
            <v>0</v>
          </cell>
          <cell r="K435" t="str">
            <v>porsi</v>
          </cell>
          <cell r="L435" t="str">
            <v>0</v>
          </cell>
        </row>
        <row r="436">
          <cell r="F436" t="str">
            <v>CGKD0012</v>
          </cell>
          <cell r="G436" t="str">
            <v>Grapes K-Drink</v>
          </cell>
          <cell r="H436">
            <v>0</v>
          </cell>
          <cell r="I436">
            <v>0</v>
          </cell>
          <cell r="J436">
            <v>0</v>
          </cell>
          <cell r="K436" t="str">
            <v>porsi</v>
          </cell>
          <cell r="L436" t="str">
            <v>0</v>
          </cell>
        </row>
        <row r="437">
          <cell r="F437" t="str">
            <v>CGKD0013</v>
          </cell>
          <cell r="G437" t="str">
            <v>Caramel Popcorn K-Drink</v>
          </cell>
          <cell r="H437">
            <v>0</v>
          </cell>
          <cell r="I437">
            <v>0</v>
          </cell>
          <cell r="J437">
            <v>0</v>
          </cell>
          <cell r="K437" t="str">
            <v>porsi</v>
          </cell>
          <cell r="L437" t="str">
            <v>0</v>
          </cell>
        </row>
        <row r="438">
          <cell r="F438" t="str">
            <v>CGKM0001</v>
          </cell>
          <cell r="G438" t="str">
            <v>Yummy Kids Meal</v>
          </cell>
          <cell r="H438">
            <v>0</v>
          </cell>
          <cell r="I438">
            <v>0</v>
          </cell>
          <cell r="J438">
            <v>0</v>
          </cell>
          <cell r="K438" t="str">
            <v>porsi</v>
          </cell>
          <cell r="L438" t="str">
            <v>0</v>
          </cell>
        </row>
        <row r="439">
          <cell r="F439" t="str">
            <v>CGPK0001</v>
          </cell>
          <cell r="G439" t="str">
            <v>Lunch Box</v>
          </cell>
          <cell r="H439">
            <v>0</v>
          </cell>
          <cell r="I439">
            <v>0</v>
          </cell>
          <cell r="J439">
            <v>0</v>
          </cell>
          <cell r="K439" t="str">
            <v>pcs</v>
          </cell>
          <cell r="L439" t="str">
            <v>0</v>
          </cell>
        </row>
        <row r="440">
          <cell r="F440" t="str">
            <v>CGPK0002</v>
          </cell>
          <cell r="G440" t="str">
            <v>PAPER BOWL</v>
          </cell>
          <cell r="H440">
            <v>0</v>
          </cell>
          <cell r="I440">
            <v>0</v>
          </cell>
          <cell r="J440">
            <v>0</v>
          </cell>
          <cell r="K440" t="str">
            <v>pcs</v>
          </cell>
          <cell r="L440" t="str">
            <v>0</v>
          </cell>
        </row>
        <row r="441">
          <cell r="F441" t="str">
            <v>CGPK0003</v>
          </cell>
          <cell r="G441" t="str">
            <v>Bento Box 5S</v>
          </cell>
          <cell r="H441">
            <v>0</v>
          </cell>
          <cell r="I441">
            <v>0</v>
          </cell>
          <cell r="J441">
            <v>0</v>
          </cell>
          <cell r="K441" t="str">
            <v>pcs</v>
          </cell>
          <cell r="L441" t="str">
            <v>0</v>
          </cell>
        </row>
        <row r="442">
          <cell r="F442" t="str">
            <v>CGPK0004</v>
          </cell>
          <cell r="G442" t="str">
            <v>Plastik Kecil</v>
          </cell>
          <cell r="H442">
            <v>0</v>
          </cell>
          <cell r="I442">
            <v>0</v>
          </cell>
          <cell r="J442">
            <v>0</v>
          </cell>
          <cell r="K442" t="str">
            <v>pcs</v>
          </cell>
          <cell r="L442" t="str">
            <v>0</v>
          </cell>
        </row>
        <row r="443">
          <cell r="F443" t="str">
            <v>CGPK0005</v>
          </cell>
          <cell r="G443" t="str">
            <v>Plastik Besar</v>
          </cell>
          <cell r="H443">
            <v>0</v>
          </cell>
          <cell r="I443">
            <v>0</v>
          </cell>
          <cell r="J443">
            <v>0</v>
          </cell>
          <cell r="K443" t="str">
            <v>pcs</v>
          </cell>
          <cell r="L443" t="str">
            <v>0</v>
          </cell>
        </row>
        <row r="444">
          <cell r="F444" t="str">
            <v>CGPK0006</v>
          </cell>
          <cell r="G444" t="str">
            <v>Sumpit Take Away</v>
          </cell>
          <cell r="H444">
            <v>0</v>
          </cell>
          <cell r="I444">
            <v>0</v>
          </cell>
          <cell r="J444">
            <v>0</v>
          </cell>
          <cell r="K444" t="str">
            <v>pcs</v>
          </cell>
          <cell r="L444" t="str">
            <v>0</v>
          </cell>
        </row>
        <row r="445">
          <cell r="F445" t="str">
            <v>CGPK0007</v>
          </cell>
          <cell r="G445" t="str">
            <v>Sendok Take Away</v>
          </cell>
          <cell r="H445">
            <v>0</v>
          </cell>
          <cell r="I445">
            <v>0</v>
          </cell>
          <cell r="J445">
            <v>0</v>
          </cell>
          <cell r="K445" t="str">
            <v>pcs</v>
          </cell>
          <cell r="L445" t="str">
            <v>0</v>
          </cell>
        </row>
        <row r="446">
          <cell r="F446" t="str">
            <v>CGPK0008</v>
          </cell>
          <cell r="G446" t="str">
            <v>Garpu Take Away</v>
          </cell>
          <cell r="H446">
            <v>0</v>
          </cell>
          <cell r="I446">
            <v>0</v>
          </cell>
          <cell r="J446">
            <v>0</v>
          </cell>
          <cell r="K446" t="str">
            <v>pcs</v>
          </cell>
          <cell r="L446" t="str">
            <v>0</v>
          </cell>
        </row>
        <row r="447">
          <cell r="F447" t="str">
            <v>CGPK0009</v>
          </cell>
          <cell r="G447" t="str">
            <v>Sauce Cup</v>
          </cell>
          <cell r="H447">
            <v>0</v>
          </cell>
          <cell r="I447">
            <v>0</v>
          </cell>
          <cell r="J447">
            <v>0</v>
          </cell>
          <cell r="K447" t="str">
            <v>pcs</v>
          </cell>
          <cell r="L447" t="str">
            <v>0</v>
          </cell>
        </row>
        <row r="448">
          <cell r="F448" t="str">
            <v>CGPK0010</v>
          </cell>
          <cell r="G448" t="str">
            <v>Plastik HD</v>
          </cell>
          <cell r="H448">
            <v>0</v>
          </cell>
          <cell r="I448">
            <v>0</v>
          </cell>
          <cell r="J448">
            <v>0</v>
          </cell>
          <cell r="K448" t="str">
            <v>pcs</v>
          </cell>
          <cell r="L448" t="str">
            <v>0</v>
          </cell>
        </row>
        <row r="449">
          <cell r="F449" t="str">
            <v>CGRD0001</v>
          </cell>
          <cell r="G449" t="str">
            <v>Cold Corn Tea</v>
          </cell>
          <cell r="H449">
            <v>0</v>
          </cell>
          <cell r="I449">
            <v>0</v>
          </cell>
          <cell r="J449">
            <v>0</v>
          </cell>
          <cell r="K449" t="str">
            <v>porsi</v>
          </cell>
          <cell r="L449" t="str">
            <v>0</v>
          </cell>
        </row>
        <row r="450">
          <cell r="F450" t="str">
            <v>CGRD0002</v>
          </cell>
          <cell r="G450" t="str">
            <v>Hot Corn Tea</v>
          </cell>
          <cell r="H450">
            <v>0</v>
          </cell>
          <cell r="I450">
            <v>0</v>
          </cell>
          <cell r="J450">
            <v>0</v>
          </cell>
          <cell r="K450" t="str">
            <v>porsi</v>
          </cell>
          <cell r="L450" t="str">
            <v>0</v>
          </cell>
        </row>
        <row r="451">
          <cell r="F451" t="str">
            <v>CGRD0003</v>
          </cell>
          <cell r="G451" t="str">
            <v>Lemon Tea</v>
          </cell>
          <cell r="H451">
            <v>0</v>
          </cell>
          <cell r="I451">
            <v>0</v>
          </cell>
          <cell r="J451">
            <v>0</v>
          </cell>
          <cell r="K451" t="str">
            <v>porsi</v>
          </cell>
          <cell r="L451" t="str">
            <v>0</v>
          </cell>
        </row>
        <row r="452">
          <cell r="F452" t="str">
            <v>CGRD0004</v>
          </cell>
          <cell r="G452" t="str">
            <v>Mineral Water</v>
          </cell>
          <cell r="H452">
            <v>0</v>
          </cell>
          <cell r="I452">
            <v>0</v>
          </cell>
          <cell r="J452">
            <v>0</v>
          </cell>
          <cell r="K452" t="str">
            <v>porsi</v>
          </cell>
          <cell r="L452" t="str">
            <v>0</v>
          </cell>
        </row>
        <row r="453">
          <cell r="F453" t="str">
            <v>CGRD0005</v>
          </cell>
          <cell r="G453" t="str">
            <v>Coke</v>
          </cell>
          <cell r="H453">
            <v>0</v>
          </cell>
          <cell r="I453">
            <v>0</v>
          </cell>
          <cell r="J453">
            <v>0</v>
          </cell>
          <cell r="K453" t="str">
            <v>porsi</v>
          </cell>
          <cell r="L453" t="str">
            <v>0</v>
          </cell>
        </row>
        <row r="454">
          <cell r="F454" t="str">
            <v>CGRN0001</v>
          </cell>
          <cell r="G454" t="str">
            <v>Beef Kimchi Fried Rice</v>
          </cell>
          <cell r="H454">
            <v>0</v>
          </cell>
          <cell r="I454">
            <v>0</v>
          </cell>
          <cell r="J454">
            <v>0</v>
          </cell>
          <cell r="K454" t="str">
            <v>porsi</v>
          </cell>
          <cell r="L454" t="str">
            <v>0</v>
          </cell>
        </row>
        <row r="455">
          <cell r="F455" t="str">
            <v>CGRN0002</v>
          </cell>
          <cell r="G455" t="str">
            <v>Japchae</v>
          </cell>
          <cell r="H455">
            <v>0</v>
          </cell>
          <cell r="I455">
            <v>0</v>
          </cell>
          <cell r="J455">
            <v>0</v>
          </cell>
          <cell r="K455" t="str">
            <v>porsi</v>
          </cell>
          <cell r="L455" t="str">
            <v>0</v>
          </cell>
        </row>
        <row r="456">
          <cell r="F456" t="str">
            <v>CGRN0003</v>
          </cell>
          <cell r="G456" t="str">
            <v>Beef Doenjang Jjigae (With Rice)</v>
          </cell>
          <cell r="H456">
            <v>0</v>
          </cell>
          <cell r="I456">
            <v>0</v>
          </cell>
          <cell r="J456">
            <v>0</v>
          </cell>
          <cell r="K456" t="str">
            <v>porsi</v>
          </cell>
          <cell r="L456" t="str">
            <v>0</v>
          </cell>
        </row>
        <row r="457">
          <cell r="F457" t="str">
            <v>CGRN0004</v>
          </cell>
          <cell r="G457" t="str">
            <v>Bulgogi Bibimbap</v>
          </cell>
          <cell r="H457">
            <v>0</v>
          </cell>
          <cell r="I457">
            <v>0</v>
          </cell>
          <cell r="J457">
            <v>0</v>
          </cell>
          <cell r="K457" t="str">
            <v>porsi</v>
          </cell>
          <cell r="L457" t="str">
            <v>0</v>
          </cell>
        </row>
        <row r="458">
          <cell r="F458" t="str">
            <v>CGRN0005</v>
          </cell>
          <cell r="G458" t="str">
            <v>Vegetabe Bibimbap</v>
          </cell>
          <cell r="H458">
            <v>0</v>
          </cell>
          <cell r="I458">
            <v>0</v>
          </cell>
          <cell r="J458">
            <v>0</v>
          </cell>
          <cell r="K458" t="str">
            <v>porsi</v>
          </cell>
          <cell r="L458" t="str">
            <v>0</v>
          </cell>
        </row>
        <row r="459">
          <cell r="F459" t="str">
            <v>CGRN0006</v>
          </cell>
          <cell r="G459" t="str">
            <v>Beef Doenjang Jjigae (NO Rice)</v>
          </cell>
          <cell r="H459">
            <v>0</v>
          </cell>
          <cell r="I459">
            <v>0</v>
          </cell>
          <cell r="J459">
            <v>0</v>
          </cell>
          <cell r="K459" t="str">
            <v>porsi</v>
          </cell>
          <cell r="L459" t="str">
            <v>0</v>
          </cell>
        </row>
        <row r="460">
          <cell r="F460" t="str">
            <v>CGSD0001</v>
          </cell>
          <cell r="G460" t="str">
            <v>ChaGu Spicy Chicken</v>
          </cell>
          <cell r="H460">
            <v>0</v>
          </cell>
          <cell r="I460">
            <v>0</v>
          </cell>
          <cell r="J460">
            <v>0</v>
          </cell>
          <cell r="K460" t="str">
            <v>porsi</v>
          </cell>
          <cell r="L460" t="str">
            <v>0</v>
          </cell>
        </row>
        <row r="461">
          <cell r="F461" t="str">
            <v>CGSD0002</v>
          </cell>
          <cell r="G461" t="str">
            <v>ChaGu Soy Garlic Chicken</v>
          </cell>
          <cell r="H461">
            <v>0</v>
          </cell>
          <cell r="I461">
            <v>0</v>
          </cell>
          <cell r="J461">
            <v>0</v>
          </cell>
          <cell r="K461" t="str">
            <v>porsi</v>
          </cell>
          <cell r="L461" t="str">
            <v>0</v>
          </cell>
        </row>
        <row r="462">
          <cell r="F462" t="str">
            <v>CGSD0003</v>
          </cell>
          <cell r="G462" t="str">
            <v>ChaGu Spicy Wings</v>
          </cell>
          <cell r="H462">
            <v>0</v>
          </cell>
          <cell r="I462">
            <v>0</v>
          </cell>
          <cell r="J462">
            <v>0</v>
          </cell>
          <cell r="K462" t="str">
            <v>porsi</v>
          </cell>
          <cell r="L462" t="str">
            <v>0</v>
          </cell>
        </row>
        <row r="463">
          <cell r="F463" t="str">
            <v>CGSD0004</v>
          </cell>
          <cell r="G463" t="str">
            <v>Soy Garlic Wings</v>
          </cell>
          <cell r="H463">
            <v>0</v>
          </cell>
          <cell r="I463">
            <v>0</v>
          </cell>
          <cell r="J463">
            <v>0</v>
          </cell>
          <cell r="K463" t="str">
            <v>porsi</v>
          </cell>
          <cell r="L463" t="str">
            <v>0</v>
          </cell>
        </row>
        <row r="464">
          <cell r="F464" t="str">
            <v>CGSD0005</v>
          </cell>
          <cell r="G464" t="str">
            <v>Pajeon</v>
          </cell>
          <cell r="H464">
            <v>0</v>
          </cell>
          <cell r="I464">
            <v>0</v>
          </cell>
          <cell r="J464">
            <v>0</v>
          </cell>
          <cell r="K464" t="str">
            <v>porsi</v>
          </cell>
          <cell r="L464" t="str">
            <v>0</v>
          </cell>
        </row>
        <row r="465">
          <cell r="F465" t="str">
            <v>CGSD0006</v>
          </cell>
          <cell r="G465" t="str">
            <v>Gimmari</v>
          </cell>
          <cell r="H465">
            <v>0</v>
          </cell>
          <cell r="I465">
            <v>0</v>
          </cell>
          <cell r="J465">
            <v>0</v>
          </cell>
          <cell r="K465" t="str">
            <v>porsi</v>
          </cell>
          <cell r="L465" t="str">
            <v>0</v>
          </cell>
        </row>
        <row r="466">
          <cell r="F466" t="str">
            <v>CGSD0007</v>
          </cell>
          <cell r="G466" t="str">
            <v>Vegetable Twigim</v>
          </cell>
          <cell r="H466">
            <v>0</v>
          </cell>
          <cell r="I466">
            <v>0</v>
          </cell>
          <cell r="J466">
            <v>0</v>
          </cell>
          <cell r="K466" t="str">
            <v>porsi</v>
          </cell>
          <cell r="L466" t="str">
            <v>0</v>
          </cell>
        </row>
        <row r="467">
          <cell r="F467" t="str">
            <v>CGSD0008</v>
          </cell>
          <cell r="G467" t="str">
            <v>Japchae Mandu</v>
          </cell>
          <cell r="H467">
            <v>0</v>
          </cell>
          <cell r="I467">
            <v>0</v>
          </cell>
          <cell r="J467">
            <v>0</v>
          </cell>
          <cell r="K467" t="str">
            <v>porsi</v>
          </cell>
          <cell r="L467" t="str">
            <v>0</v>
          </cell>
        </row>
        <row r="468">
          <cell r="F468" t="str">
            <v>CGTP0001</v>
          </cell>
          <cell r="G468" t="str">
            <v>Tokpokki Original</v>
          </cell>
          <cell r="H468">
            <v>0</v>
          </cell>
          <cell r="I468">
            <v>0</v>
          </cell>
          <cell r="J468">
            <v>0</v>
          </cell>
          <cell r="K468" t="str">
            <v>porsi</v>
          </cell>
          <cell r="L468" t="str">
            <v>0</v>
          </cell>
        </row>
        <row r="469">
          <cell r="F469" t="str">
            <v>CGTP0002</v>
          </cell>
          <cell r="G469" t="str">
            <v>Tokpokki Rose</v>
          </cell>
          <cell r="H469">
            <v>0</v>
          </cell>
          <cell r="I469">
            <v>0</v>
          </cell>
          <cell r="J469">
            <v>0</v>
          </cell>
          <cell r="K469" t="str">
            <v>porsi</v>
          </cell>
          <cell r="L469" t="str">
            <v>0</v>
          </cell>
        </row>
        <row r="470">
          <cell r="F470" t="str">
            <v>CGTP0003</v>
          </cell>
          <cell r="G470" t="str">
            <v>Rappokki</v>
          </cell>
          <cell r="H470">
            <v>0</v>
          </cell>
          <cell r="I470">
            <v>0</v>
          </cell>
          <cell r="J470">
            <v>0</v>
          </cell>
          <cell r="K470" t="str">
            <v>porsi</v>
          </cell>
          <cell r="L470" t="str">
            <v>0</v>
          </cell>
        </row>
        <row r="471">
          <cell r="F471" t="str">
            <v>CKKW0049</v>
          </cell>
          <cell r="G471" t="str">
            <v>LADLE STAINLESS 105 CC</v>
          </cell>
          <cell r="H471">
            <v>0</v>
          </cell>
          <cell r="I471">
            <v>0</v>
          </cell>
          <cell r="J471">
            <v>0</v>
          </cell>
          <cell r="K471" t="str">
            <v>pcs</v>
          </cell>
          <cell r="L471" t="str">
            <v>0</v>
          </cell>
        </row>
        <row r="472">
          <cell r="F472" t="str">
            <v>CKKW0050</v>
          </cell>
          <cell r="G472" t="str">
            <v>LADLE STAINLESS 90 CC</v>
          </cell>
          <cell r="H472">
            <v>0</v>
          </cell>
          <cell r="I472">
            <v>0</v>
          </cell>
          <cell r="J472">
            <v>0</v>
          </cell>
          <cell r="K472" t="str">
            <v>pcs</v>
          </cell>
          <cell r="L472" t="str">
            <v>0</v>
          </cell>
        </row>
        <row r="473">
          <cell r="F473" t="str">
            <v>CKKW0051</v>
          </cell>
          <cell r="G473" t="str">
            <v>LAP MICROFIBER 40 X 40 BIRU MUDA</v>
          </cell>
          <cell r="H473">
            <v>0</v>
          </cell>
          <cell r="I473">
            <v>0</v>
          </cell>
          <cell r="J473">
            <v>0</v>
          </cell>
          <cell r="K473" t="str">
            <v>pcs</v>
          </cell>
          <cell r="L473" t="str">
            <v>0</v>
          </cell>
        </row>
        <row r="474">
          <cell r="F474" t="str">
            <v>CKPC0029</v>
          </cell>
          <cell r="G474" t="str">
            <v>CK WORTEL IRIS 300 G</v>
          </cell>
          <cell r="H474">
            <v>0</v>
          </cell>
          <cell r="I474">
            <v>0</v>
          </cell>
          <cell r="J474">
            <v>0</v>
          </cell>
          <cell r="K474" t="str">
            <v>pack</v>
          </cell>
          <cell r="L474" t="str">
            <v>0</v>
          </cell>
        </row>
        <row r="475">
          <cell r="F475" t="str">
            <v>CKPC0030</v>
          </cell>
          <cell r="G475" t="str">
            <v>CK BOMBAY IRIS 600 G</v>
          </cell>
          <cell r="H475">
            <v>0</v>
          </cell>
          <cell r="I475">
            <v>0</v>
          </cell>
          <cell r="J475">
            <v>0</v>
          </cell>
          <cell r="K475" t="str">
            <v>pack</v>
          </cell>
          <cell r="L475" t="str">
            <v>0</v>
          </cell>
        </row>
        <row r="476">
          <cell r="F476" t="str">
            <v>CKPD0011</v>
          </cell>
          <cell r="G476" t="str">
            <v>CK TEPUNG PAJEON 1 KG</v>
          </cell>
          <cell r="H476">
            <v>16138</v>
          </cell>
          <cell r="I476">
            <v>0</v>
          </cell>
          <cell r="J476">
            <v>0</v>
          </cell>
          <cell r="K476" t="str">
            <v>pack</v>
          </cell>
          <cell r="L476" t="str">
            <v>0</v>
          </cell>
        </row>
        <row r="477">
          <cell r="F477" t="str">
            <v>CKPD0021</v>
          </cell>
          <cell r="G477" t="str">
            <v>CK HOTTEOK FILLING BROWN SUGAR 1 KG</v>
          </cell>
          <cell r="H477">
            <v>0</v>
          </cell>
          <cell r="I477">
            <v>0</v>
          </cell>
          <cell r="J477">
            <v>0</v>
          </cell>
          <cell r="K477" t="str">
            <v>pack</v>
          </cell>
          <cell r="L477" t="str">
            <v>0</v>
          </cell>
        </row>
        <row r="478">
          <cell r="F478" t="str">
            <v>CKPD0028</v>
          </cell>
          <cell r="G478" t="str">
            <v>CK HOTTEOK GLUTAMAT BLENDER 100 G</v>
          </cell>
          <cell r="H478">
            <v>0</v>
          </cell>
          <cell r="I478">
            <v>0</v>
          </cell>
          <cell r="J478">
            <v>0</v>
          </cell>
          <cell r="K478" t="str">
            <v>pack</v>
          </cell>
          <cell r="L478" t="str">
            <v>0</v>
          </cell>
        </row>
        <row r="479">
          <cell r="F479" t="str">
            <v>CKPD0042</v>
          </cell>
          <cell r="G479" t="str">
            <v>(INACTIVE) CK BBURINKLE CHEESE 250 G</v>
          </cell>
          <cell r="H479">
            <v>0</v>
          </cell>
          <cell r="I479">
            <v>0</v>
          </cell>
          <cell r="J479">
            <v>0</v>
          </cell>
          <cell r="K479" t="str">
            <v>pack</v>
          </cell>
          <cell r="L479" t="str">
            <v>0</v>
          </cell>
        </row>
        <row r="480">
          <cell r="F480" t="str">
            <v>CKPD0043</v>
          </cell>
          <cell r="G480" t="str">
            <v>(INACTIVE) CK SPICY BBQ POWDER 250 G</v>
          </cell>
          <cell r="H480">
            <v>0</v>
          </cell>
          <cell r="I480">
            <v>0</v>
          </cell>
          <cell r="J480">
            <v>0</v>
          </cell>
          <cell r="K480" t="str">
            <v>pack</v>
          </cell>
          <cell r="L480" t="str">
            <v>0</v>
          </cell>
        </row>
        <row r="481">
          <cell r="F481" t="str">
            <v>CKPD0044</v>
          </cell>
          <cell r="G481" t="str">
            <v>CK BBURINKLE POWDER 500 G</v>
          </cell>
          <cell r="H481">
            <v>0</v>
          </cell>
          <cell r="I481">
            <v>0</v>
          </cell>
          <cell r="J481">
            <v>0</v>
          </cell>
          <cell r="K481" t="str">
            <v>pack</v>
          </cell>
          <cell r="L481" t="str">
            <v>0</v>
          </cell>
        </row>
        <row r="482">
          <cell r="F482" t="str">
            <v>CKPD0045</v>
          </cell>
          <cell r="G482" t="str">
            <v>(INACTIVE) CK BONELESS HANGUKSU 64 PCS</v>
          </cell>
          <cell r="H482">
            <v>0</v>
          </cell>
          <cell r="I482">
            <v>0</v>
          </cell>
          <cell r="J482">
            <v>0</v>
          </cell>
          <cell r="K482" t="str">
            <v>pack</v>
          </cell>
          <cell r="L482" t="str">
            <v>0</v>
          </cell>
        </row>
        <row r="483">
          <cell r="F483" t="str">
            <v>CKPD0047</v>
          </cell>
          <cell r="G483" t="str">
            <v>CK SPICY BBQ POWDER 500 G</v>
          </cell>
          <cell r="H483">
            <v>0</v>
          </cell>
          <cell r="I483">
            <v>0</v>
          </cell>
          <cell r="J483">
            <v>0</v>
          </cell>
          <cell r="K483" t="str">
            <v>pack</v>
          </cell>
          <cell r="L483" t="str">
            <v>0</v>
          </cell>
        </row>
        <row r="484">
          <cell r="F484" t="str">
            <v>CKPF0001</v>
          </cell>
          <cell r="G484" t="str">
            <v>CK KIMCHI BASE 1 KG</v>
          </cell>
          <cell r="H484">
            <v>54219</v>
          </cell>
          <cell r="I484">
            <v>0</v>
          </cell>
          <cell r="J484">
            <v>0</v>
          </cell>
          <cell r="K484" t="str">
            <v>pack</v>
          </cell>
          <cell r="L484" t="str">
            <v>0</v>
          </cell>
        </row>
        <row r="485">
          <cell r="F485" t="str">
            <v>CKPF0002</v>
          </cell>
          <cell r="G485" t="str">
            <v>CK TOKPOKKI BASE 1 KG</v>
          </cell>
          <cell r="H485">
            <v>35674</v>
          </cell>
          <cell r="I485">
            <v>0</v>
          </cell>
          <cell r="J485">
            <v>0</v>
          </cell>
          <cell r="K485" t="str">
            <v>pack</v>
          </cell>
          <cell r="L485" t="str">
            <v>0</v>
          </cell>
        </row>
        <row r="486">
          <cell r="F486" t="str">
            <v>CKPF0003</v>
          </cell>
          <cell r="G486" t="str">
            <v>CK JAPCHAE SAUCE 1 KG</v>
          </cell>
          <cell r="H486">
            <v>38524</v>
          </cell>
          <cell r="I486">
            <v>0</v>
          </cell>
          <cell r="J486">
            <v>0</v>
          </cell>
          <cell r="K486" t="str">
            <v>pack</v>
          </cell>
          <cell r="L486" t="str">
            <v>0</v>
          </cell>
        </row>
        <row r="487">
          <cell r="F487" t="str">
            <v>CKPF0004</v>
          </cell>
          <cell r="G487" t="str">
            <v>CK BULGOGI SAUCE 1 KG</v>
          </cell>
          <cell r="H487">
            <v>18226</v>
          </cell>
          <cell r="I487">
            <v>0</v>
          </cell>
          <cell r="J487">
            <v>0</v>
          </cell>
          <cell r="K487" t="str">
            <v>pack</v>
          </cell>
          <cell r="L487" t="str">
            <v>0</v>
          </cell>
        </row>
        <row r="488">
          <cell r="F488" t="str">
            <v>CKPF0005</v>
          </cell>
          <cell r="G488" t="str">
            <v>CK KIMCHI FRIED RICE SAUCE 1 KG</v>
          </cell>
          <cell r="H488">
            <v>57098</v>
          </cell>
          <cell r="I488">
            <v>0</v>
          </cell>
          <cell r="J488">
            <v>0</v>
          </cell>
          <cell r="K488" t="str">
            <v>pack</v>
          </cell>
          <cell r="L488" t="str">
            <v>0</v>
          </cell>
        </row>
        <row r="489">
          <cell r="F489" t="str">
            <v>CKPF0006</v>
          </cell>
          <cell r="G489" t="str">
            <v>CK BIBIMBAP SAUCE 500 G (INACTIVE)</v>
          </cell>
          <cell r="H489">
            <v>67418</v>
          </cell>
          <cell r="I489">
            <v>0</v>
          </cell>
          <cell r="J489">
            <v>0</v>
          </cell>
          <cell r="K489" t="str">
            <v>kg</v>
          </cell>
          <cell r="L489" t="str">
            <v>0</v>
          </cell>
        </row>
        <row r="490">
          <cell r="F490" t="str">
            <v>CKPF0007</v>
          </cell>
          <cell r="G490" t="str">
            <v>CK BONELESS FRIED CHICKEN 48 PCS</v>
          </cell>
          <cell r="H490">
            <v>8500</v>
          </cell>
          <cell r="I490">
            <v>0</v>
          </cell>
          <cell r="J490">
            <v>0</v>
          </cell>
          <cell r="K490" t="str">
            <v>pack</v>
          </cell>
          <cell r="L490" t="str">
            <v>0</v>
          </cell>
        </row>
        <row r="491">
          <cell r="F491" t="str">
            <v>CKPF0008</v>
          </cell>
          <cell r="G491" t="str">
            <v>CK WING FRIED CHICKEN 42 PCS</v>
          </cell>
          <cell r="H491">
            <v>46307.94</v>
          </cell>
          <cell r="I491">
            <v>0</v>
          </cell>
          <cell r="J491">
            <v>0</v>
          </cell>
          <cell r="K491" t="str">
            <v>pack</v>
          </cell>
          <cell r="L491" t="str">
            <v>0</v>
          </cell>
        </row>
        <row r="492">
          <cell r="F492" t="str">
            <v>CKPF0009</v>
          </cell>
          <cell r="G492" t="str">
            <v>CK SPICY CHICKEN SAUCE 1 KG</v>
          </cell>
          <cell r="H492">
            <v>30201</v>
          </cell>
          <cell r="I492">
            <v>0</v>
          </cell>
          <cell r="J492">
            <v>0</v>
          </cell>
          <cell r="K492" t="str">
            <v>pack</v>
          </cell>
          <cell r="L492" t="str">
            <v>0</v>
          </cell>
        </row>
        <row r="493">
          <cell r="F493" t="str">
            <v>CKPF0010</v>
          </cell>
          <cell r="G493" t="str">
            <v>CK SOY GARLIC SAUCE 1 KG</v>
          </cell>
          <cell r="H493">
            <v>36575</v>
          </cell>
          <cell r="I493">
            <v>0</v>
          </cell>
          <cell r="J493">
            <v>0</v>
          </cell>
          <cell r="K493" t="str">
            <v>pack</v>
          </cell>
          <cell r="L493" t="str">
            <v>0</v>
          </cell>
        </row>
        <row r="494">
          <cell r="F494" t="str">
            <v>CKPF0012</v>
          </cell>
          <cell r="G494" t="str">
            <v>CK FRIED GIMMARI 30 PCS</v>
          </cell>
          <cell r="H494">
            <v>44679.222000000002</v>
          </cell>
          <cell r="I494">
            <v>0</v>
          </cell>
          <cell r="J494">
            <v>0</v>
          </cell>
          <cell r="K494" t="str">
            <v>pack</v>
          </cell>
          <cell r="L494" t="str">
            <v>0</v>
          </cell>
        </row>
        <row r="495">
          <cell r="F495" t="str">
            <v>CKPF0013</v>
          </cell>
          <cell r="G495" t="str">
            <v>CK MUSTARD SAUCE BASE 1 KG</v>
          </cell>
          <cell r="H495">
            <v>33303</v>
          </cell>
          <cell r="I495">
            <v>0</v>
          </cell>
          <cell r="J495">
            <v>0</v>
          </cell>
          <cell r="K495" t="str">
            <v>pack</v>
          </cell>
          <cell r="L495" t="str">
            <v>0</v>
          </cell>
        </row>
        <row r="496">
          <cell r="F496" t="str">
            <v>CKPF0014</v>
          </cell>
          <cell r="G496" t="str">
            <v>CK TWIGIM SAUCE 1 KG</v>
          </cell>
          <cell r="H496">
            <v>43430</v>
          </cell>
          <cell r="I496">
            <v>0</v>
          </cell>
          <cell r="J496">
            <v>0</v>
          </cell>
          <cell r="K496" t="str">
            <v>pack</v>
          </cell>
          <cell r="L496" t="str">
            <v>0</v>
          </cell>
        </row>
        <row r="497">
          <cell r="F497" t="str">
            <v>CKPF0015</v>
          </cell>
          <cell r="G497" t="str">
            <v>CK ANCHOVY FOR GIMBAP 300 G (INACTIVE)</v>
          </cell>
          <cell r="H497">
            <v>86342</v>
          </cell>
          <cell r="I497">
            <v>0</v>
          </cell>
          <cell r="J497">
            <v>0</v>
          </cell>
          <cell r="K497" t="str">
            <v>kg</v>
          </cell>
          <cell r="L497" t="str">
            <v>0</v>
          </cell>
        </row>
        <row r="498">
          <cell r="F498" t="str">
            <v>CKPF0016</v>
          </cell>
          <cell r="G498" t="str">
            <v>CK EBI SANGRAI 200 G (INACTIVE)</v>
          </cell>
          <cell r="H498">
            <v>431710</v>
          </cell>
          <cell r="I498">
            <v>0</v>
          </cell>
          <cell r="J498">
            <v>0</v>
          </cell>
          <cell r="K498" t="str">
            <v>kg</v>
          </cell>
          <cell r="L498" t="str">
            <v>0</v>
          </cell>
        </row>
        <row r="499">
          <cell r="F499" t="str">
            <v>CKPF0019</v>
          </cell>
          <cell r="G499" t="str">
            <v>CK SAMJANG SAUCE 1 KG</v>
          </cell>
          <cell r="H499">
            <v>0</v>
          </cell>
          <cell r="I499">
            <v>0</v>
          </cell>
          <cell r="J499">
            <v>0</v>
          </cell>
          <cell r="K499" t="str">
            <v>pack</v>
          </cell>
          <cell r="L499" t="str">
            <v>0</v>
          </cell>
        </row>
        <row r="500">
          <cell r="F500" t="str">
            <v>CKPF0020</v>
          </cell>
          <cell r="G500" t="str">
            <v>CK ADONAN HOTTEOK 1 KG</v>
          </cell>
          <cell r="H500">
            <v>0</v>
          </cell>
          <cell r="I500">
            <v>0</v>
          </cell>
          <cell r="J500">
            <v>0</v>
          </cell>
          <cell r="K500" t="str">
            <v>pack</v>
          </cell>
          <cell r="L500" t="str">
            <v>0</v>
          </cell>
        </row>
        <row r="501">
          <cell r="F501" t="str">
            <v>CKPF0022</v>
          </cell>
          <cell r="G501" t="str">
            <v>CK HOTTEOK FILLING BULGOGI 1 KG</v>
          </cell>
          <cell r="H501">
            <v>0</v>
          </cell>
          <cell r="I501">
            <v>0</v>
          </cell>
          <cell r="J501">
            <v>0</v>
          </cell>
          <cell r="K501" t="str">
            <v>pack</v>
          </cell>
          <cell r="L501" t="str">
            <v>0</v>
          </cell>
        </row>
        <row r="502">
          <cell r="F502" t="str">
            <v>CKPF0024</v>
          </cell>
          <cell r="G502" t="str">
            <v>CK HOTTEOK FILLING JAPCHAE 1 KG</v>
          </cell>
          <cell r="H502">
            <v>0</v>
          </cell>
          <cell r="I502">
            <v>0</v>
          </cell>
          <cell r="J502">
            <v>0</v>
          </cell>
          <cell r="K502" t="str">
            <v>pack</v>
          </cell>
          <cell r="L502" t="str">
            <v>0</v>
          </cell>
        </row>
        <row r="503">
          <cell r="F503" t="str">
            <v>CKPF0026</v>
          </cell>
          <cell r="G503" t="str">
            <v>CK BASE SUNDUBU JJIGAE 1 KG</v>
          </cell>
          <cell r="H503">
            <v>0</v>
          </cell>
          <cell r="I503">
            <v>0</v>
          </cell>
          <cell r="J503">
            <v>0</v>
          </cell>
          <cell r="K503" t="str">
            <v>pack</v>
          </cell>
          <cell r="L503" t="str">
            <v>0</v>
          </cell>
        </row>
        <row r="504">
          <cell r="F504" t="str">
            <v>CKPF0027</v>
          </cell>
          <cell r="G504" t="str">
            <v>CK DAKGALBI SAUCE 1 KG</v>
          </cell>
          <cell r="H504">
            <v>0</v>
          </cell>
          <cell r="I504">
            <v>0</v>
          </cell>
          <cell r="J504">
            <v>0</v>
          </cell>
          <cell r="K504" t="str">
            <v>pack</v>
          </cell>
          <cell r="L504" t="str">
            <v>0</v>
          </cell>
        </row>
        <row r="505">
          <cell r="F505" t="str">
            <v>CKPF0031</v>
          </cell>
          <cell r="G505" t="str">
            <v>CK JAPCHAE SAUCE HOTTEOK 1 KG</v>
          </cell>
          <cell r="H505">
            <v>0</v>
          </cell>
          <cell r="I505">
            <v>0</v>
          </cell>
          <cell r="J505">
            <v>0</v>
          </cell>
          <cell r="K505" t="str">
            <v>pack</v>
          </cell>
          <cell r="L505" t="str">
            <v>0</v>
          </cell>
        </row>
        <row r="506">
          <cell r="F506" t="str">
            <v>CKPF0032</v>
          </cell>
          <cell r="G506" t="str">
            <v>CK BIBIMBAP SAUCE 500 G</v>
          </cell>
          <cell r="H506">
            <v>0</v>
          </cell>
          <cell r="I506">
            <v>0</v>
          </cell>
          <cell r="J506">
            <v>0</v>
          </cell>
          <cell r="K506" t="str">
            <v>pack</v>
          </cell>
          <cell r="L506" t="str">
            <v>0</v>
          </cell>
        </row>
        <row r="507">
          <cell r="F507" t="str">
            <v>CKPF0033</v>
          </cell>
          <cell r="G507" t="str">
            <v>CK ANCHOVY FOR GIMBAP 300 G</v>
          </cell>
          <cell r="H507">
            <v>0</v>
          </cell>
          <cell r="I507">
            <v>0</v>
          </cell>
          <cell r="J507">
            <v>0</v>
          </cell>
          <cell r="K507" t="str">
            <v>pack</v>
          </cell>
          <cell r="L507" t="str">
            <v>0</v>
          </cell>
        </row>
        <row r="508">
          <cell r="F508" t="str">
            <v>CKPF0034</v>
          </cell>
          <cell r="G508" t="str">
            <v>CK EBI SANGRAI 200 G</v>
          </cell>
          <cell r="H508">
            <v>0</v>
          </cell>
          <cell r="I508">
            <v>0</v>
          </cell>
          <cell r="J508">
            <v>0</v>
          </cell>
          <cell r="K508" t="str">
            <v>pack</v>
          </cell>
          <cell r="L508" t="str">
            <v>0</v>
          </cell>
        </row>
        <row r="509">
          <cell r="F509" t="str">
            <v>CKPF0035</v>
          </cell>
          <cell r="G509" t="str">
            <v>CK JJAMPONG BASE 1 KG</v>
          </cell>
          <cell r="H509">
            <v>0</v>
          </cell>
          <cell r="I509">
            <v>0</v>
          </cell>
          <cell r="J509">
            <v>0</v>
          </cell>
          <cell r="K509" t="str">
            <v>pack</v>
          </cell>
          <cell r="L509" t="str">
            <v>0</v>
          </cell>
        </row>
        <row r="510">
          <cell r="F510" t="str">
            <v>CKPF0036</v>
          </cell>
          <cell r="G510" t="str">
            <v>CK KOREAN NOODLE 6 X 200 G</v>
          </cell>
          <cell r="H510">
            <v>0</v>
          </cell>
          <cell r="I510">
            <v>0</v>
          </cell>
          <cell r="J510">
            <v>0</v>
          </cell>
          <cell r="K510" t="str">
            <v>pack</v>
          </cell>
          <cell r="L510" t="str">
            <v>0</v>
          </cell>
        </row>
        <row r="511">
          <cell r="F511" t="str">
            <v>CKPF0037</v>
          </cell>
          <cell r="G511" t="str">
            <v>CK FRIED CHOONJANG 1 KG</v>
          </cell>
          <cell r="H511">
            <v>0</v>
          </cell>
          <cell r="I511">
            <v>0</v>
          </cell>
          <cell r="J511">
            <v>0</v>
          </cell>
          <cell r="K511" t="str">
            <v>pack</v>
          </cell>
          <cell r="L511" t="str">
            <v>0</v>
          </cell>
        </row>
        <row r="512">
          <cell r="F512" t="str">
            <v>CKPF0038</v>
          </cell>
          <cell r="G512" t="str">
            <v>CK AYAM MANDU 500 G</v>
          </cell>
          <cell r="H512">
            <v>0</v>
          </cell>
          <cell r="I512">
            <v>0</v>
          </cell>
          <cell r="J512">
            <v>0</v>
          </cell>
          <cell r="K512" t="str">
            <v>pack</v>
          </cell>
          <cell r="L512" t="str">
            <v>0</v>
          </cell>
        </row>
        <row r="513">
          <cell r="F513" t="str">
            <v>CKPF0039</v>
          </cell>
          <cell r="G513" t="str">
            <v>CK TANGSUYUK SAUCE 500 G</v>
          </cell>
          <cell r="H513">
            <v>0</v>
          </cell>
          <cell r="I513">
            <v>0</v>
          </cell>
          <cell r="J513">
            <v>0</v>
          </cell>
          <cell r="K513" t="str">
            <v>pack</v>
          </cell>
          <cell r="L513" t="str">
            <v>0</v>
          </cell>
        </row>
        <row r="514">
          <cell r="F514" t="str">
            <v>CKPF0040</v>
          </cell>
          <cell r="G514" t="str">
            <v>CK YURINGI SAUCE 250 G</v>
          </cell>
          <cell r="H514">
            <v>0</v>
          </cell>
          <cell r="I514">
            <v>0</v>
          </cell>
          <cell r="J514">
            <v>0</v>
          </cell>
          <cell r="K514" t="str">
            <v>pack</v>
          </cell>
          <cell r="L514" t="str">
            <v>0</v>
          </cell>
        </row>
        <row r="515">
          <cell r="F515" t="str">
            <v>CKPF0041</v>
          </cell>
          <cell r="G515" t="str">
            <v>CK KKANPUNGGI SAUCE 500 G</v>
          </cell>
          <cell r="H515">
            <v>0</v>
          </cell>
          <cell r="I515">
            <v>0</v>
          </cell>
          <cell r="J515">
            <v>0</v>
          </cell>
          <cell r="K515" t="str">
            <v>pack</v>
          </cell>
          <cell r="L515" t="str">
            <v>0</v>
          </cell>
        </row>
        <row r="516">
          <cell r="F516" t="str">
            <v>CKPF0045</v>
          </cell>
          <cell r="G516" t="str">
            <v>CK BONELESS HANGUKSU 64 PCS</v>
          </cell>
          <cell r="H516">
            <v>0</v>
          </cell>
          <cell r="I516">
            <v>0</v>
          </cell>
          <cell r="J516">
            <v>0</v>
          </cell>
          <cell r="K516" t="str">
            <v>pack</v>
          </cell>
          <cell r="L516" t="str">
            <v>0</v>
          </cell>
        </row>
        <row r="517">
          <cell r="F517" t="str">
            <v>CKPF0048</v>
          </cell>
          <cell r="G517" t="str">
            <v>CK JJAJANG FRIED RICE SAUCE 1 KG</v>
          </cell>
          <cell r="H517">
            <v>0</v>
          </cell>
          <cell r="I517">
            <v>0</v>
          </cell>
          <cell r="J517">
            <v>0</v>
          </cell>
          <cell r="K517" t="str">
            <v>pack</v>
          </cell>
          <cell r="L517" t="str">
            <v>0</v>
          </cell>
        </row>
        <row r="518">
          <cell r="F518" t="str">
            <v>CKPF0049</v>
          </cell>
          <cell r="G518" t="str">
            <v>CK DRY KALGUKSU SAUCE 1 KG</v>
          </cell>
          <cell r="H518">
            <v>0</v>
          </cell>
          <cell r="I518">
            <v>0</v>
          </cell>
          <cell r="J518">
            <v>0</v>
          </cell>
          <cell r="K518" t="str">
            <v>pack</v>
          </cell>
          <cell r="L518" t="str">
            <v>0</v>
          </cell>
        </row>
        <row r="519">
          <cell r="F519" t="str">
            <v>CKPF0050</v>
          </cell>
          <cell r="G519" t="str">
            <v>CK BULDAK FRIED RICE SAUCE 1 KG</v>
          </cell>
          <cell r="H519">
            <v>0</v>
          </cell>
          <cell r="I519">
            <v>0</v>
          </cell>
          <cell r="J519">
            <v>0</v>
          </cell>
          <cell r="K519" t="str">
            <v>pack</v>
          </cell>
          <cell r="L519" t="str">
            <v>0</v>
          </cell>
        </row>
        <row r="520">
          <cell r="F520" t="str">
            <v>CKPF0051</v>
          </cell>
          <cell r="G520" t="str">
            <v>CK KIMCHI FRIED RICE HG SAUCE 1 KG</v>
          </cell>
          <cell r="H520">
            <v>0</v>
          </cell>
          <cell r="I520">
            <v>0</v>
          </cell>
          <cell r="J520">
            <v>0</v>
          </cell>
          <cell r="K520" t="str">
            <v>pack</v>
          </cell>
          <cell r="L520" t="str">
            <v>0</v>
          </cell>
        </row>
        <row r="521">
          <cell r="F521" t="str">
            <v>CKPKD001</v>
          </cell>
          <cell r="G521" t="str">
            <v>CK Mango K-Drink</v>
          </cell>
          <cell r="H521">
            <v>0</v>
          </cell>
          <cell r="I521">
            <v>0</v>
          </cell>
          <cell r="J521">
            <v>0</v>
          </cell>
          <cell r="K521" t="str">
            <v>pack</v>
          </cell>
          <cell r="L521" t="str">
            <v>0</v>
          </cell>
        </row>
        <row r="522">
          <cell r="F522" t="str">
            <v>CKPKD002</v>
          </cell>
          <cell r="G522" t="str">
            <v>CK Watermelon K-Drink</v>
          </cell>
          <cell r="H522">
            <v>0</v>
          </cell>
          <cell r="I522">
            <v>0</v>
          </cell>
          <cell r="J522">
            <v>0</v>
          </cell>
          <cell r="K522" t="str">
            <v>pack</v>
          </cell>
          <cell r="L522" t="str">
            <v>0</v>
          </cell>
        </row>
        <row r="523">
          <cell r="F523" t="str">
            <v>CKPKD003</v>
          </cell>
          <cell r="G523" t="str">
            <v>CK Muscat K-Drink</v>
          </cell>
          <cell r="H523">
            <v>0</v>
          </cell>
          <cell r="I523">
            <v>0</v>
          </cell>
          <cell r="J523">
            <v>0</v>
          </cell>
          <cell r="K523" t="str">
            <v>pack</v>
          </cell>
          <cell r="L523" t="str">
            <v>0</v>
          </cell>
        </row>
        <row r="524">
          <cell r="F524" t="str">
            <v>CKPKD004</v>
          </cell>
          <cell r="G524" t="str">
            <v>CK Pear K-Drink</v>
          </cell>
          <cell r="H524">
            <v>0</v>
          </cell>
          <cell r="I524">
            <v>0</v>
          </cell>
          <cell r="J524">
            <v>0</v>
          </cell>
          <cell r="K524" t="str">
            <v>pack</v>
          </cell>
          <cell r="L524" t="str">
            <v>0</v>
          </cell>
        </row>
        <row r="525">
          <cell r="F525" t="str">
            <v>CKPKD005</v>
          </cell>
          <cell r="G525" t="str">
            <v>CK Strawberry K-Drink</v>
          </cell>
          <cell r="H525">
            <v>0</v>
          </cell>
          <cell r="I525">
            <v>0</v>
          </cell>
          <cell r="J525">
            <v>0</v>
          </cell>
          <cell r="K525" t="str">
            <v>pack</v>
          </cell>
          <cell r="L525" t="str">
            <v>0</v>
          </cell>
        </row>
        <row r="526">
          <cell r="F526" t="str">
            <v>CKPKD006</v>
          </cell>
          <cell r="G526" t="str">
            <v>CK Jeju Orange K-Drink</v>
          </cell>
          <cell r="H526">
            <v>0</v>
          </cell>
          <cell r="I526">
            <v>0</v>
          </cell>
          <cell r="J526">
            <v>0</v>
          </cell>
          <cell r="K526" t="str">
            <v>pack</v>
          </cell>
          <cell r="L526" t="str">
            <v>0</v>
          </cell>
        </row>
        <row r="527">
          <cell r="F527" t="str">
            <v>CKPKD007</v>
          </cell>
          <cell r="G527" t="str">
            <v>CK Honey Yuzu K-Drink</v>
          </cell>
          <cell r="H527">
            <v>0</v>
          </cell>
          <cell r="I527">
            <v>0</v>
          </cell>
          <cell r="J527">
            <v>0</v>
          </cell>
          <cell r="K527" t="str">
            <v>pack</v>
          </cell>
          <cell r="L527" t="str">
            <v>0</v>
          </cell>
        </row>
        <row r="528">
          <cell r="F528" t="str">
            <v>CKPKD008</v>
          </cell>
          <cell r="G528" t="str">
            <v>CK Kiwi K-Drink</v>
          </cell>
          <cell r="H528">
            <v>0</v>
          </cell>
          <cell r="I528">
            <v>0</v>
          </cell>
          <cell r="J528">
            <v>0</v>
          </cell>
          <cell r="K528" t="str">
            <v>pack</v>
          </cell>
          <cell r="L528" t="str">
            <v>0</v>
          </cell>
        </row>
        <row r="529">
          <cell r="F529" t="str">
            <v>CKPKD009</v>
          </cell>
          <cell r="G529" t="str">
            <v>CK Grapes K-Drink</v>
          </cell>
          <cell r="H529">
            <v>0</v>
          </cell>
          <cell r="I529">
            <v>0</v>
          </cell>
          <cell r="J529">
            <v>0</v>
          </cell>
          <cell r="K529" t="str">
            <v>pack</v>
          </cell>
          <cell r="L529" t="str">
            <v>0</v>
          </cell>
        </row>
        <row r="530">
          <cell r="F530" t="str">
            <v>CKPKD010</v>
          </cell>
          <cell r="G530" t="str">
            <v>CK Caramel Popcorn K-Drink</v>
          </cell>
          <cell r="H530">
            <v>0</v>
          </cell>
          <cell r="I530">
            <v>0</v>
          </cell>
          <cell r="J530">
            <v>0</v>
          </cell>
          <cell r="K530" t="str">
            <v>pack</v>
          </cell>
          <cell r="L530" t="str">
            <v>0</v>
          </cell>
        </row>
        <row r="531">
          <cell r="F531" t="str">
            <v>CKPKD011</v>
          </cell>
          <cell r="G531" t="str">
            <v>CK Ice Americano K-Drink</v>
          </cell>
          <cell r="H531">
            <v>0</v>
          </cell>
          <cell r="I531">
            <v>0</v>
          </cell>
          <cell r="J531">
            <v>0</v>
          </cell>
          <cell r="K531" t="str">
            <v>pack</v>
          </cell>
          <cell r="L531" t="str">
            <v>0</v>
          </cell>
        </row>
        <row r="532">
          <cell r="F532" t="str">
            <v>CKPKD012</v>
          </cell>
          <cell r="G532" t="str">
            <v>CK Salted Caramel Coffee K-Drink</v>
          </cell>
          <cell r="H532">
            <v>0</v>
          </cell>
          <cell r="I532">
            <v>0</v>
          </cell>
          <cell r="J532">
            <v>0</v>
          </cell>
          <cell r="K532" t="str">
            <v>pack</v>
          </cell>
          <cell r="L532" t="str">
            <v>0</v>
          </cell>
        </row>
        <row r="533">
          <cell r="F533" t="str">
            <v>CKPKD013</v>
          </cell>
          <cell r="G533" t="str">
            <v>CK Peach K-Drink</v>
          </cell>
          <cell r="H533">
            <v>0</v>
          </cell>
          <cell r="I533">
            <v>0</v>
          </cell>
          <cell r="J533">
            <v>0</v>
          </cell>
          <cell r="K533" t="str">
            <v>pack</v>
          </cell>
          <cell r="L533" t="str">
            <v>0</v>
          </cell>
        </row>
        <row r="534">
          <cell r="F534" t="str">
            <v>CKPKD014</v>
          </cell>
          <cell r="G534" t="str">
            <v>CK LESS SUGAR ICE AMERICANO K-DRINK</v>
          </cell>
          <cell r="H534">
            <v>0</v>
          </cell>
          <cell r="I534">
            <v>0</v>
          </cell>
          <cell r="J534">
            <v>0</v>
          </cell>
          <cell r="K534" t="str">
            <v>pack</v>
          </cell>
          <cell r="L534" t="str">
            <v>0</v>
          </cell>
        </row>
        <row r="535">
          <cell r="F535" t="str">
            <v>CKPKD015</v>
          </cell>
          <cell r="G535" t="str">
            <v>CK Apple K-Drink</v>
          </cell>
          <cell r="H535">
            <v>0</v>
          </cell>
          <cell r="I535">
            <v>0</v>
          </cell>
          <cell r="J535">
            <v>0</v>
          </cell>
          <cell r="K535" t="str">
            <v>pack</v>
          </cell>
          <cell r="L535" t="str">
            <v>0</v>
          </cell>
        </row>
        <row r="536">
          <cell r="F536" t="str">
            <v>CKPKD016</v>
          </cell>
          <cell r="G536" t="str">
            <v>CK Lychee K-Drink</v>
          </cell>
          <cell r="H536">
            <v>0</v>
          </cell>
          <cell r="I536">
            <v>0</v>
          </cell>
          <cell r="J536">
            <v>0</v>
          </cell>
          <cell r="K536" t="str">
            <v>pack</v>
          </cell>
          <cell r="L536" t="str">
            <v>0</v>
          </cell>
        </row>
        <row r="537">
          <cell r="F537" t="str">
            <v>CKRC0005</v>
          </cell>
          <cell r="G537" t="str">
            <v>CK KUCAI REPACK 500 G</v>
          </cell>
          <cell r="H537">
            <v>0</v>
          </cell>
          <cell r="I537">
            <v>0</v>
          </cell>
          <cell r="J537">
            <v>0</v>
          </cell>
          <cell r="K537" t="str">
            <v>pack</v>
          </cell>
          <cell r="L537" t="str">
            <v>0</v>
          </cell>
        </row>
        <row r="538">
          <cell r="F538" t="str">
            <v>CKRD0004</v>
          </cell>
          <cell r="G538" t="str">
            <v>CK POTATO FLAKES REPACK 500 G</v>
          </cell>
          <cell r="H538">
            <v>0</v>
          </cell>
          <cell r="I538">
            <v>0</v>
          </cell>
          <cell r="J538">
            <v>0</v>
          </cell>
          <cell r="K538" t="str">
            <v>pack</v>
          </cell>
          <cell r="L538" t="str">
            <v>0</v>
          </cell>
        </row>
        <row r="539">
          <cell r="F539" t="str">
            <v>CKRD0006</v>
          </cell>
          <cell r="G539" t="str">
            <v>CK GARLIC POWDER REPACK 100 G</v>
          </cell>
          <cell r="H539">
            <v>0</v>
          </cell>
          <cell r="I539">
            <v>0</v>
          </cell>
          <cell r="J539">
            <v>0</v>
          </cell>
          <cell r="K539" t="str">
            <v>pack</v>
          </cell>
          <cell r="L539" t="str">
            <v>0</v>
          </cell>
        </row>
        <row r="540">
          <cell r="F540" t="str">
            <v>CKRD0007</v>
          </cell>
          <cell r="G540" t="str">
            <v>CK BIJI SELASIH REPACK 200 G</v>
          </cell>
          <cell r="H540">
            <v>0</v>
          </cell>
          <cell r="I540">
            <v>0</v>
          </cell>
          <cell r="J540">
            <v>0</v>
          </cell>
          <cell r="K540" t="str">
            <v>pack</v>
          </cell>
          <cell r="L540" t="str">
            <v>0</v>
          </cell>
        </row>
        <row r="541">
          <cell r="F541" t="str">
            <v>CKRD0008</v>
          </cell>
          <cell r="G541" t="str">
            <v>CK POTATO STARCH REPACK 3 KG</v>
          </cell>
          <cell r="H541">
            <v>0</v>
          </cell>
          <cell r="I541">
            <v>0</v>
          </cell>
          <cell r="J541">
            <v>0</v>
          </cell>
          <cell r="K541" t="str">
            <v>pack</v>
          </cell>
          <cell r="L541" t="str">
            <v>0</v>
          </cell>
        </row>
        <row r="542">
          <cell r="F542" t="str">
            <v>CKRD0009</v>
          </cell>
          <cell r="G542" t="str">
            <v>CK UMAMI BOOSTER REPACK 500 G</v>
          </cell>
          <cell r="H542">
            <v>0</v>
          </cell>
          <cell r="I542">
            <v>0</v>
          </cell>
          <cell r="J542">
            <v>0</v>
          </cell>
          <cell r="K542" t="str">
            <v>pack</v>
          </cell>
          <cell r="L542" t="str">
            <v>0</v>
          </cell>
        </row>
        <row r="543">
          <cell r="F543" t="str">
            <v>CKRD0010</v>
          </cell>
          <cell r="G543" t="str">
            <v>CK CHEESE POWDER REPACK 50 G</v>
          </cell>
          <cell r="H543">
            <v>0</v>
          </cell>
          <cell r="I543">
            <v>0</v>
          </cell>
          <cell r="J543">
            <v>0</v>
          </cell>
          <cell r="K543" t="str">
            <v>pack</v>
          </cell>
          <cell r="L543" t="str">
            <v>0</v>
          </cell>
        </row>
        <row r="544">
          <cell r="F544" t="str">
            <v>CKRF0001</v>
          </cell>
          <cell r="G544" t="str">
            <v>GOCHUJANG PASTE REPACK 1 KG</v>
          </cell>
          <cell r="H544">
            <v>43918</v>
          </cell>
          <cell r="I544">
            <v>0</v>
          </cell>
          <cell r="J544">
            <v>0</v>
          </cell>
          <cell r="K544" t="str">
            <v>kg</v>
          </cell>
          <cell r="L544" t="str">
            <v>0</v>
          </cell>
        </row>
        <row r="545">
          <cell r="F545" t="str">
            <v>CKRF0002</v>
          </cell>
          <cell r="G545" t="str">
            <v>GARLIC POWDER REPACK 100 G (INACTIVE)</v>
          </cell>
          <cell r="H545">
            <v>0</v>
          </cell>
          <cell r="I545">
            <v>0</v>
          </cell>
          <cell r="J545">
            <v>0</v>
          </cell>
          <cell r="K545" t="str">
            <v>kg</v>
          </cell>
          <cell r="L545" t="str">
            <v>0</v>
          </cell>
        </row>
        <row r="546">
          <cell r="F546" t="str">
            <v>CKRF0003</v>
          </cell>
          <cell r="G546" t="str">
            <v>SAMJANG PASTE REPACK 1 KG</v>
          </cell>
          <cell r="H546">
            <v>0</v>
          </cell>
          <cell r="I546">
            <v>0</v>
          </cell>
          <cell r="J546">
            <v>0</v>
          </cell>
          <cell r="K546" t="str">
            <v>kg</v>
          </cell>
          <cell r="L546" t="str">
            <v>0</v>
          </cell>
        </row>
        <row r="547">
          <cell r="F547" t="str">
            <v>CKSF0001</v>
          </cell>
          <cell r="G547" t="str">
            <v>WIP Kimchi Base</v>
          </cell>
          <cell r="H547">
            <v>0</v>
          </cell>
          <cell r="I547">
            <v>0</v>
          </cell>
          <cell r="J547">
            <v>0</v>
          </cell>
          <cell r="K547" t="str">
            <v>gr</v>
          </cell>
          <cell r="L547" t="str">
            <v>0</v>
          </cell>
        </row>
        <row r="548">
          <cell r="F548" t="str">
            <v>CKSF0002</v>
          </cell>
          <cell r="G548" t="str">
            <v>WIP Tokpokki Base</v>
          </cell>
          <cell r="H548">
            <v>0</v>
          </cell>
          <cell r="I548">
            <v>0</v>
          </cell>
          <cell r="J548">
            <v>0</v>
          </cell>
          <cell r="K548" t="str">
            <v>gr</v>
          </cell>
          <cell r="L548" t="str">
            <v>0</v>
          </cell>
        </row>
        <row r="549">
          <cell r="F549" t="str">
            <v>CKSF0003</v>
          </cell>
          <cell r="G549" t="str">
            <v>WIP Japchae Sauce</v>
          </cell>
          <cell r="H549">
            <v>0</v>
          </cell>
          <cell r="I549">
            <v>0</v>
          </cell>
          <cell r="J549">
            <v>0</v>
          </cell>
          <cell r="K549" t="str">
            <v>gr</v>
          </cell>
          <cell r="L549" t="str">
            <v>0</v>
          </cell>
        </row>
        <row r="550">
          <cell r="F550" t="str">
            <v>CKSF0004</v>
          </cell>
          <cell r="G550" t="str">
            <v>WIP Bulgogi Sauce</v>
          </cell>
          <cell r="H550">
            <v>0</v>
          </cell>
          <cell r="I550">
            <v>0</v>
          </cell>
          <cell r="J550">
            <v>0</v>
          </cell>
          <cell r="K550" t="str">
            <v>gr</v>
          </cell>
          <cell r="L550" t="str">
            <v>0</v>
          </cell>
        </row>
        <row r="551">
          <cell r="F551" t="str">
            <v>CKSF0005</v>
          </cell>
          <cell r="G551" t="str">
            <v>WIP Kimchi Fried Rice Base</v>
          </cell>
          <cell r="H551">
            <v>0</v>
          </cell>
          <cell r="I551">
            <v>0</v>
          </cell>
          <cell r="J551">
            <v>0</v>
          </cell>
          <cell r="K551" t="str">
            <v>gr</v>
          </cell>
          <cell r="L551" t="str">
            <v>0</v>
          </cell>
        </row>
        <row r="552">
          <cell r="F552" t="str">
            <v>CKSF0006</v>
          </cell>
          <cell r="G552" t="str">
            <v>WIP Bibimbap Sauce</v>
          </cell>
          <cell r="H552">
            <v>0</v>
          </cell>
          <cell r="I552">
            <v>0</v>
          </cell>
          <cell r="J552">
            <v>0</v>
          </cell>
          <cell r="K552" t="str">
            <v>gr</v>
          </cell>
          <cell r="L552" t="str">
            <v>0</v>
          </cell>
        </row>
        <row r="553">
          <cell r="F553" t="str">
            <v>CKSF0007</v>
          </cell>
          <cell r="G553" t="str">
            <v>WIP Boneless Fried Chicken</v>
          </cell>
          <cell r="H553">
            <v>0</v>
          </cell>
          <cell r="I553">
            <v>0</v>
          </cell>
          <cell r="J553">
            <v>0</v>
          </cell>
          <cell r="K553" t="str">
            <v>pcs</v>
          </cell>
          <cell r="L553" t="str">
            <v>0</v>
          </cell>
        </row>
        <row r="554">
          <cell r="F554" t="str">
            <v>CKSF0008</v>
          </cell>
          <cell r="G554" t="str">
            <v>WIP Wing Fried Chicken</v>
          </cell>
          <cell r="H554">
            <v>0</v>
          </cell>
          <cell r="I554">
            <v>0</v>
          </cell>
          <cell r="J554">
            <v>0</v>
          </cell>
          <cell r="K554" t="str">
            <v>pcs</v>
          </cell>
          <cell r="L554" t="str">
            <v>0</v>
          </cell>
        </row>
        <row r="555">
          <cell r="F555" t="str">
            <v>CKSF0009</v>
          </cell>
          <cell r="G555" t="str">
            <v>WIP Spicy Chicken Sauce</v>
          </cell>
          <cell r="H555">
            <v>0</v>
          </cell>
          <cell r="I555">
            <v>0</v>
          </cell>
          <cell r="J555">
            <v>0</v>
          </cell>
          <cell r="K555" t="str">
            <v>gr</v>
          </cell>
          <cell r="L555" t="str">
            <v>0</v>
          </cell>
        </row>
        <row r="556">
          <cell r="F556" t="str">
            <v>CKSF0010</v>
          </cell>
          <cell r="G556" t="str">
            <v>WIP Soy Garlic Sauce</v>
          </cell>
          <cell r="H556">
            <v>0</v>
          </cell>
          <cell r="I556">
            <v>0</v>
          </cell>
          <cell r="J556">
            <v>0</v>
          </cell>
          <cell r="K556" t="str">
            <v>gr</v>
          </cell>
          <cell r="L556" t="str">
            <v>0</v>
          </cell>
        </row>
        <row r="557">
          <cell r="F557" t="str">
            <v>CKSF0011</v>
          </cell>
          <cell r="G557" t="str">
            <v>WIP Tepung Pajeon</v>
          </cell>
          <cell r="H557">
            <v>0</v>
          </cell>
          <cell r="I557">
            <v>0</v>
          </cell>
          <cell r="J557">
            <v>0</v>
          </cell>
          <cell r="K557" t="str">
            <v>gr</v>
          </cell>
          <cell r="L557" t="str">
            <v>0</v>
          </cell>
        </row>
        <row r="558">
          <cell r="F558" t="str">
            <v>CKSF0012</v>
          </cell>
          <cell r="G558" t="str">
            <v>WIP Gimmari Fried</v>
          </cell>
          <cell r="H558">
            <v>0</v>
          </cell>
          <cell r="I558">
            <v>0</v>
          </cell>
          <cell r="J558">
            <v>0</v>
          </cell>
          <cell r="K558" t="str">
            <v>pcs</v>
          </cell>
          <cell r="L558" t="str">
            <v>0</v>
          </cell>
        </row>
        <row r="559">
          <cell r="F559" t="str">
            <v>CKSF0013</v>
          </cell>
          <cell r="G559" t="str">
            <v>WIP Mustard Sauce</v>
          </cell>
          <cell r="H559">
            <v>0</v>
          </cell>
          <cell r="I559">
            <v>0</v>
          </cell>
          <cell r="J559">
            <v>0</v>
          </cell>
          <cell r="K559" t="str">
            <v>gr</v>
          </cell>
          <cell r="L559" t="str">
            <v>0</v>
          </cell>
        </row>
        <row r="560">
          <cell r="F560" t="str">
            <v>CKSF0014</v>
          </cell>
          <cell r="G560" t="str">
            <v>WIP Twigim Sauce</v>
          </cell>
          <cell r="H560">
            <v>0</v>
          </cell>
          <cell r="I560">
            <v>0</v>
          </cell>
          <cell r="J560">
            <v>0</v>
          </cell>
          <cell r="K560" t="str">
            <v>gr</v>
          </cell>
          <cell r="L560" t="str">
            <v>0</v>
          </cell>
        </row>
        <row r="561">
          <cell r="F561" t="str">
            <v>CKSF0015</v>
          </cell>
          <cell r="G561" t="str">
            <v>WIP Teri Gimbap</v>
          </cell>
          <cell r="H561">
            <v>0</v>
          </cell>
          <cell r="I561">
            <v>0</v>
          </cell>
          <cell r="J561">
            <v>0</v>
          </cell>
          <cell r="K561" t="str">
            <v>gr</v>
          </cell>
          <cell r="L561" t="str">
            <v>0</v>
          </cell>
        </row>
        <row r="562">
          <cell r="F562" t="str">
            <v>CKSF0016</v>
          </cell>
          <cell r="G562" t="str">
            <v>WIP Ebi Sangrai</v>
          </cell>
          <cell r="H562">
            <v>0</v>
          </cell>
          <cell r="I562">
            <v>0</v>
          </cell>
          <cell r="J562">
            <v>0</v>
          </cell>
          <cell r="K562" t="str">
            <v>gr</v>
          </cell>
          <cell r="L562" t="str">
            <v>0</v>
          </cell>
        </row>
        <row r="563">
          <cell r="F563" t="str">
            <v>CKSF0019</v>
          </cell>
          <cell r="G563" t="str">
            <v>WIP Samjang Sauce</v>
          </cell>
          <cell r="H563">
            <v>0</v>
          </cell>
          <cell r="I563">
            <v>0</v>
          </cell>
          <cell r="J563">
            <v>0</v>
          </cell>
          <cell r="K563" t="str">
            <v>gr</v>
          </cell>
          <cell r="L563" t="str">
            <v>0</v>
          </cell>
        </row>
        <row r="564">
          <cell r="F564" t="str">
            <v>CKSF0020</v>
          </cell>
          <cell r="G564" t="str">
            <v>WIP Adonan Hotteok</v>
          </cell>
          <cell r="H564">
            <v>0</v>
          </cell>
          <cell r="I564">
            <v>0</v>
          </cell>
          <cell r="J564">
            <v>0</v>
          </cell>
          <cell r="K564" t="str">
            <v>gr</v>
          </cell>
          <cell r="L564" t="str">
            <v>0</v>
          </cell>
        </row>
        <row r="565">
          <cell r="F565" t="str">
            <v>CKSF0021</v>
          </cell>
          <cell r="G565" t="str">
            <v>WIP Isi Hotteok Original</v>
          </cell>
          <cell r="H565">
            <v>0</v>
          </cell>
          <cell r="I565">
            <v>0</v>
          </cell>
          <cell r="J565">
            <v>0</v>
          </cell>
          <cell r="K565" t="str">
            <v>gr</v>
          </cell>
          <cell r="L565" t="str">
            <v>0</v>
          </cell>
        </row>
        <row r="566">
          <cell r="F566" t="str">
            <v>CKSF0022</v>
          </cell>
          <cell r="G566" t="str">
            <v>WIP Bulgogi Filling</v>
          </cell>
          <cell r="H566">
            <v>0</v>
          </cell>
          <cell r="I566">
            <v>0</v>
          </cell>
          <cell r="J566">
            <v>0</v>
          </cell>
          <cell r="K566" t="str">
            <v>gr</v>
          </cell>
          <cell r="L566" t="str">
            <v>0</v>
          </cell>
        </row>
        <row r="567">
          <cell r="F567" t="str">
            <v>CKSF0024</v>
          </cell>
          <cell r="G567" t="str">
            <v>WIP Japchae Hotteok</v>
          </cell>
          <cell r="H567">
            <v>0</v>
          </cell>
          <cell r="I567">
            <v>0</v>
          </cell>
          <cell r="J567">
            <v>0</v>
          </cell>
          <cell r="K567" t="str">
            <v>gr</v>
          </cell>
          <cell r="L567" t="str">
            <v>0</v>
          </cell>
        </row>
        <row r="568">
          <cell r="F568" t="str">
            <v>CKSF0026</v>
          </cell>
          <cell r="G568" t="str">
            <v>WIP Base Sundubu Jjigae</v>
          </cell>
          <cell r="H568">
            <v>0</v>
          </cell>
          <cell r="I568">
            <v>0</v>
          </cell>
          <cell r="J568">
            <v>0</v>
          </cell>
          <cell r="K568" t="str">
            <v>gr</v>
          </cell>
          <cell r="L568" t="str">
            <v>0</v>
          </cell>
        </row>
        <row r="569">
          <cell r="F569" t="str">
            <v>CKSF0027</v>
          </cell>
          <cell r="G569" t="str">
            <v>WIP Dakgalbi Sauce</v>
          </cell>
          <cell r="H569">
            <v>0</v>
          </cell>
          <cell r="I569">
            <v>0</v>
          </cell>
          <cell r="J569">
            <v>0</v>
          </cell>
          <cell r="K569" t="str">
            <v>gr</v>
          </cell>
          <cell r="L569" t="str">
            <v>0</v>
          </cell>
        </row>
        <row r="570">
          <cell r="F570" t="str">
            <v>CKSF0028</v>
          </cell>
          <cell r="G570" t="str">
            <v>WIP Glutamat Blender</v>
          </cell>
          <cell r="H570">
            <v>0</v>
          </cell>
          <cell r="I570">
            <v>0</v>
          </cell>
          <cell r="J570">
            <v>0</v>
          </cell>
          <cell r="K570" t="str">
            <v>gr</v>
          </cell>
          <cell r="L570" t="str">
            <v>0</v>
          </cell>
        </row>
        <row r="571">
          <cell r="F571" t="str">
            <v>CKSF0029</v>
          </cell>
          <cell r="G571" t="str">
            <v>WIP Japchae Sauce Hotteok</v>
          </cell>
          <cell r="H571">
            <v>0</v>
          </cell>
          <cell r="I571">
            <v>0</v>
          </cell>
          <cell r="J571">
            <v>0</v>
          </cell>
          <cell r="K571" t="str">
            <v>gr</v>
          </cell>
          <cell r="L571" t="str">
            <v>0</v>
          </cell>
        </row>
        <row r="572">
          <cell r="F572" t="str">
            <v>CKSF0030</v>
          </cell>
          <cell r="G572" t="str">
            <v>WIP Jjampong Base</v>
          </cell>
          <cell r="H572">
            <v>0</v>
          </cell>
          <cell r="I572">
            <v>0</v>
          </cell>
          <cell r="J572">
            <v>0</v>
          </cell>
          <cell r="K572" t="str">
            <v>gr</v>
          </cell>
          <cell r="L572" t="str">
            <v>0</v>
          </cell>
        </row>
        <row r="573">
          <cell r="F573" t="str">
            <v>CKSF0031</v>
          </cell>
          <cell r="G573" t="str">
            <v>WIP Korean Noodle</v>
          </cell>
          <cell r="H573">
            <v>0</v>
          </cell>
          <cell r="I573">
            <v>0</v>
          </cell>
          <cell r="J573">
            <v>0</v>
          </cell>
          <cell r="K573" t="str">
            <v>gr</v>
          </cell>
          <cell r="L573" t="str">
            <v>0</v>
          </cell>
        </row>
        <row r="574">
          <cell r="F574" t="str">
            <v>CKSF0032</v>
          </cell>
          <cell r="G574" t="str">
            <v>WIP Fried Choonjang</v>
          </cell>
          <cell r="H574">
            <v>0</v>
          </cell>
          <cell r="I574">
            <v>0</v>
          </cell>
          <cell r="J574">
            <v>0</v>
          </cell>
          <cell r="K574" t="str">
            <v>gr</v>
          </cell>
          <cell r="L574" t="str">
            <v>0</v>
          </cell>
        </row>
        <row r="575">
          <cell r="F575" t="str">
            <v>CKSF0033</v>
          </cell>
          <cell r="G575" t="str">
            <v>WIP Ayam Mandu</v>
          </cell>
          <cell r="H575">
            <v>0</v>
          </cell>
          <cell r="I575">
            <v>0</v>
          </cell>
          <cell r="J575">
            <v>0</v>
          </cell>
          <cell r="K575" t="str">
            <v>gr</v>
          </cell>
          <cell r="L575" t="str">
            <v>0</v>
          </cell>
        </row>
        <row r="576">
          <cell r="F576" t="str">
            <v>CKSF0034</v>
          </cell>
          <cell r="G576" t="str">
            <v>WIP Tangsuyuk Sauce</v>
          </cell>
          <cell r="H576">
            <v>0</v>
          </cell>
          <cell r="I576">
            <v>0</v>
          </cell>
          <cell r="J576">
            <v>0</v>
          </cell>
          <cell r="K576" t="str">
            <v>gr</v>
          </cell>
          <cell r="L576" t="str">
            <v>0</v>
          </cell>
        </row>
        <row r="577">
          <cell r="F577" t="str">
            <v>CKSF0035</v>
          </cell>
          <cell r="G577" t="str">
            <v>WIP Yuringi Sauce</v>
          </cell>
          <cell r="H577">
            <v>0</v>
          </cell>
          <cell r="I577">
            <v>0</v>
          </cell>
          <cell r="J577">
            <v>0</v>
          </cell>
          <cell r="K577" t="str">
            <v>gr</v>
          </cell>
          <cell r="L577" t="str">
            <v>0</v>
          </cell>
        </row>
        <row r="578">
          <cell r="F578" t="str">
            <v>CKSF0036</v>
          </cell>
          <cell r="G578" t="str">
            <v>WIP Kkanpunggi Sauce</v>
          </cell>
          <cell r="H578">
            <v>0</v>
          </cell>
          <cell r="I578">
            <v>0</v>
          </cell>
          <cell r="J578">
            <v>0</v>
          </cell>
          <cell r="K578" t="str">
            <v>gr</v>
          </cell>
          <cell r="L578" t="str">
            <v>0</v>
          </cell>
        </row>
        <row r="579">
          <cell r="F579" t="str">
            <v>CKSF0037</v>
          </cell>
          <cell r="G579" t="str">
            <v>WIP Bburinkle</v>
          </cell>
          <cell r="H579">
            <v>0</v>
          </cell>
          <cell r="I579">
            <v>0</v>
          </cell>
          <cell r="J579">
            <v>0</v>
          </cell>
          <cell r="K579" t="str">
            <v>gr</v>
          </cell>
          <cell r="L579" t="str">
            <v>0</v>
          </cell>
        </row>
        <row r="580">
          <cell r="F580" t="str">
            <v>CKSF0038</v>
          </cell>
          <cell r="G580" t="str">
            <v>WIP Spicy BBQ</v>
          </cell>
          <cell r="H580">
            <v>0</v>
          </cell>
          <cell r="I580">
            <v>0</v>
          </cell>
          <cell r="J580">
            <v>0</v>
          </cell>
          <cell r="K580" t="str">
            <v>gr</v>
          </cell>
          <cell r="L580" t="str">
            <v>0</v>
          </cell>
        </row>
        <row r="581">
          <cell r="F581" t="str">
            <v>CKSF0039</v>
          </cell>
          <cell r="G581" t="str">
            <v>WIP Boneless Hanguksu Fried Chicken</v>
          </cell>
          <cell r="H581">
            <v>0</v>
          </cell>
          <cell r="I581">
            <v>0</v>
          </cell>
          <cell r="J581">
            <v>0</v>
          </cell>
          <cell r="K581" t="str">
            <v>pcs</v>
          </cell>
          <cell r="L581" t="str">
            <v>0</v>
          </cell>
        </row>
        <row r="582">
          <cell r="F582" t="str">
            <v>CKSF0040</v>
          </cell>
          <cell r="G582" t="str">
            <v>WIP Jjajang Fried Rice Base</v>
          </cell>
          <cell r="H582">
            <v>0</v>
          </cell>
          <cell r="I582">
            <v>0</v>
          </cell>
          <cell r="J582">
            <v>0</v>
          </cell>
          <cell r="K582" t="str">
            <v>gr</v>
          </cell>
          <cell r="L582" t="str">
            <v>0</v>
          </cell>
        </row>
        <row r="583">
          <cell r="F583" t="str">
            <v>CKSF0041</v>
          </cell>
          <cell r="G583" t="str">
            <v>WIP Dry Kalguksu Base</v>
          </cell>
          <cell r="H583">
            <v>0</v>
          </cell>
          <cell r="I583">
            <v>0</v>
          </cell>
          <cell r="J583">
            <v>0</v>
          </cell>
          <cell r="K583" t="str">
            <v>gr</v>
          </cell>
          <cell r="L583" t="str">
            <v>0</v>
          </cell>
        </row>
        <row r="584">
          <cell r="F584" t="str">
            <v>CKSF0042</v>
          </cell>
          <cell r="G584" t="str">
            <v>WIP Buldak Fried Rice Base</v>
          </cell>
          <cell r="H584">
            <v>0</v>
          </cell>
          <cell r="I584">
            <v>0</v>
          </cell>
          <cell r="J584">
            <v>0</v>
          </cell>
          <cell r="K584" t="str">
            <v>gr</v>
          </cell>
          <cell r="L584" t="str">
            <v>0</v>
          </cell>
        </row>
        <row r="585">
          <cell r="F585" t="str">
            <v>CKSF0043</v>
          </cell>
          <cell r="G585" t="str">
            <v>WIP Kimchi Fried Rice HG Base</v>
          </cell>
          <cell r="H585">
            <v>0</v>
          </cell>
          <cell r="I585">
            <v>0</v>
          </cell>
          <cell r="J585">
            <v>0</v>
          </cell>
          <cell r="K585" t="str">
            <v>gr</v>
          </cell>
          <cell r="L585" t="str">
            <v>0</v>
          </cell>
        </row>
        <row r="586">
          <cell r="F586" t="str">
            <v>CKWDL001</v>
          </cell>
          <cell r="G586" t="str">
            <v>WIP Bubur Tepung Beras</v>
          </cell>
          <cell r="H586">
            <v>0</v>
          </cell>
          <cell r="I586">
            <v>0</v>
          </cell>
          <cell r="J586">
            <v>0</v>
          </cell>
          <cell r="K586" t="str">
            <v>gr</v>
          </cell>
          <cell r="L586" t="str">
            <v>0</v>
          </cell>
        </row>
        <row r="587">
          <cell r="F587" t="str">
            <v>CKWDL002</v>
          </cell>
          <cell r="G587" t="str">
            <v>WIP Chili/Gochugaru Paste</v>
          </cell>
          <cell r="H587">
            <v>0</v>
          </cell>
          <cell r="I587">
            <v>0</v>
          </cell>
          <cell r="J587">
            <v>0</v>
          </cell>
          <cell r="K587" t="str">
            <v>gr</v>
          </cell>
          <cell r="L587" t="str">
            <v>0</v>
          </cell>
        </row>
        <row r="588">
          <cell r="F588" t="str">
            <v>CKWDL003</v>
          </cell>
          <cell r="G588" t="str">
            <v>WIP Garlic Sauce</v>
          </cell>
          <cell r="H588">
            <v>0</v>
          </cell>
          <cell r="I588">
            <v>0</v>
          </cell>
          <cell r="J588">
            <v>0</v>
          </cell>
          <cell r="K588" t="str">
            <v>gr</v>
          </cell>
          <cell r="L588" t="str">
            <v>0</v>
          </cell>
        </row>
        <row r="589">
          <cell r="F589" t="str">
            <v>CKWDL004</v>
          </cell>
          <cell r="G589" t="str">
            <v>WIP Tepung Fried Chicken</v>
          </cell>
          <cell r="H589">
            <v>0</v>
          </cell>
          <cell r="I589">
            <v>0</v>
          </cell>
          <cell r="J589">
            <v>0</v>
          </cell>
          <cell r="K589" t="str">
            <v>gr</v>
          </cell>
          <cell r="L589" t="str">
            <v>0</v>
          </cell>
        </row>
        <row r="590">
          <cell r="F590" t="str">
            <v>CKWDL005</v>
          </cell>
          <cell r="G590" t="str">
            <v>WIP Dangmyeon Rendam</v>
          </cell>
          <cell r="H590">
            <v>0</v>
          </cell>
          <cell r="I590">
            <v>0</v>
          </cell>
          <cell r="J590">
            <v>0</v>
          </cell>
          <cell r="K590" t="str">
            <v>gr</v>
          </cell>
          <cell r="L590" t="str">
            <v>0</v>
          </cell>
        </row>
        <row r="591">
          <cell r="F591" t="str">
            <v>CKWDL006</v>
          </cell>
          <cell r="G591" t="str">
            <v>WIP Adonan Tepung Gimmari</v>
          </cell>
          <cell r="H591">
            <v>0</v>
          </cell>
          <cell r="I591">
            <v>0</v>
          </cell>
          <cell r="J591">
            <v>0</v>
          </cell>
          <cell r="K591" t="str">
            <v>gr</v>
          </cell>
          <cell r="L591" t="str">
            <v>0</v>
          </cell>
        </row>
        <row r="592">
          <cell r="F592" t="str">
            <v>CKWDL007</v>
          </cell>
          <cell r="G592" t="str">
            <v>WIP Simple Syrup</v>
          </cell>
          <cell r="H592">
            <v>0</v>
          </cell>
          <cell r="I592">
            <v>0</v>
          </cell>
          <cell r="J592">
            <v>0</v>
          </cell>
          <cell r="K592" t="str">
            <v>gr</v>
          </cell>
          <cell r="L592" t="str">
            <v>0</v>
          </cell>
        </row>
        <row r="593">
          <cell r="F593" t="str">
            <v>CKWDL008</v>
          </cell>
          <cell r="G593" t="str">
            <v>WIP Air Citrun</v>
          </cell>
          <cell r="H593">
            <v>0</v>
          </cell>
          <cell r="I593">
            <v>0</v>
          </cell>
          <cell r="J593">
            <v>0</v>
          </cell>
          <cell r="K593" t="str">
            <v>gr</v>
          </cell>
          <cell r="L593" t="str">
            <v>0</v>
          </cell>
        </row>
        <row r="594">
          <cell r="F594" t="str">
            <v>CKWDL009</v>
          </cell>
          <cell r="G594" t="str">
            <v>WIP Corn Tea</v>
          </cell>
          <cell r="H594">
            <v>0</v>
          </cell>
          <cell r="I594">
            <v>0</v>
          </cell>
          <cell r="J594">
            <v>0</v>
          </cell>
          <cell r="K594" t="str">
            <v>gr</v>
          </cell>
          <cell r="L594" t="str">
            <v>0</v>
          </cell>
        </row>
        <row r="595">
          <cell r="F595" t="str">
            <v>CKWDL010</v>
          </cell>
          <cell r="G595" t="str">
            <v>WIP Coffee</v>
          </cell>
          <cell r="H595">
            <v>0</v>
          </cell>
          <cell r="I595">
            <v>0</v>
          </cell>
          <cell r="J595">
            <v>0</v>
          </cell>
          <cell r="K595" t="str">
            <v>gr</v>
          </cell>
          <cell r="L595" t="str">
            <v>0</v>
          </cell>
        </row>
        <row r="596">
          <cell r="F596" t="str">
            <v>CKWDL011</v>
          </cell>
          <cell r="G596" t="str">
            <v>WIP Saus Marinasi Ayam</v>
          </cell>
          <cell r="H596">
            <v>0</v>
          </cell>
          <cell r="I596">
            <v>0</v>
          </cell>
          <cell r="J596">
            <v>0</v>
          </cell>
          <cell r="K596" t="str">
            <v>gr</v>
          </cell>
          <cell r="L596" t="str">
            <v>0</v>
          </cell>
        </row>
        <row r="597">
          <cell r="F597" t="str">
            <v>CKWDL012</v>
          </cell>
          <cell r="G597" t="str">
            <v>WIP Biang Corn Tea CK</v>
          </cell>
          <cell r="H597">
            <v>0</v>
          </cell>
          <cell r="I597">
            <v>0</v>
          </cell>
          <cell r="J597">
            <v>0</v>
          </cell>
          <cell r="K597" t="str">
            <v>gr</v>
          </cell>
          <cell r="L597" t="str">
            <v>0</v>
          </cell>
        </row>
        <row r="598">
          <cell r="F598" t="str">
            <v>CKWDL013</v>
          </cell>
          <cell r="G598" t="str">
            <v>WIP Garam Gurih</v>
          </cell>
          <cell r="H598">
            <v>0</v>
          </cell>
          <cell r="I598">
            <v>0</v>
          </cell>
          <cell r="J598">
            <v>0</v>
          </cell>
          <cell r="K598" t="str">
            <v>gr</v>
          </cell>
          <cell r="L598" t="str">
            <v>0</v>
          </cell>
        </row>
        <row r="599">
          <cell r="F599" t="str">
            <v>CKWDL014</v>
          </cell>
          <cell r="G599" t="str">
            <v>WIP Wijen Sangrai</v>
          </cell>
          <cell r="H599">
            <v>0</v>
          </cell>
          <cell r="I599">
            <v>0</v>
          </cell>
          <cell r="J599">
            <v>0</v>
          </cell>
          <cell r="K599" t="str">
            <v>gr</v>
          </cell>
          <cell r="L599" t="str">
            <v>0</v>
          </cell>
        </row>
        <row r="600">
          <cell r="F600" t="str">
            <v>CKWDL015</v>
          </cell>
          <cell r="G600" t="str">
            <v>WIP Dangmyeon Rendam Hotteok</v>
          </cell>
          <cell r="H600">
            <v>0</v>
          </cell>
          <cell r="I600">
            <v>0</v>
          </cell>
          <cell r="J600">
            <v>0</v>
          </cell>
          <cell r="K600" t="str">
            <v>gr</v>
          </cell>
          <cell r="L600" t="str">
            <v>0</v>
          </cell>
        </row>
        <row r="601">
          <cell r="F601" t="str">
            <v>CKWDL016</v>
          </cell>
          <cell r="G601" t="str">
            <v>WIP Biang K-Drink</v>
          </cell>
          <cell r="H601">
            <v>0</v>
          </cell>
          <cell r="I601">
            <v>0</v>
          </cell>
          <cell r="J601">
            <v>0</v>
          </cell>
          <cell r="K601" t="str">
            <v>gr</v>
          </cell>
          <cell r="L601" t="str">
            <v>0</v>
          </cell>
        </row>
        <row r="602">
          <cell r="F602" t="str">
            <v>CKWDL017</v>
          </cell>
          <cell r="G602" t="str">
            <v>WIP Telur Kocok</v>
          </cell>
          <cell r="H602">
            <v>0</v>
          </cell>
          <cell r="I602">
            <v>0</v>
          </cell>
          <cell r="J602">
            <v>0</v>
          </cell>
          <cell r="K602" t="str">
            <v>gr</v>
          </cell>
          <cell r="L602" t="str">
            <v>0</v>
          </cell>
        </row>
        <row r="603">
          <cell r="F603" t="str">
            <v>CKWDL018</v>
          </cell>
          <cell r="G603" t="str">
            <v>WIP Minyak Bawang</v>
          </cell>
          <cell r="H603">
            <v>0</v>
          </cell>
          <cell r="I603">
            <v>0</v>
          </cell>
          <cell r="J603">
            <v>0</v>
          </cell>
          <cell r="K603" t="str">
            <v>gr</v>
          </cell>
          <cell r="L603" t="str">
            <v>0</v>
          </cell>
        </row>
        <row r="604">
          <cell r="F604" t="str">
            <v>CKWDL019</v>
          </cell>
          <cell r="G604" t="str">
            <v>Wip Mix Seasoning</v>
          </cell>
          <cell r="H604">
            <v>0</v>
          </cell>
          <cell r="I604">
            <v>0</v>
          </cell>
          <cell r="J604">
            <v>0</v>
          </cell>
          <cell r="K604" t="str">
            <v>gr</v>
          </cell>
          <cell r="L604" t="str">
            <v>0</v>
          </cell>
        </row>
        <row r="605">
          <cell r="F605" t="str">
            <v>CKWDL020</v>
          </cell>
          <cell r="G605" t="str">
            <v>WIP Tepung Hanguksu Fried Chicken</v>
          </cell>
          <cell r="H605">
            <v>0</v>
          </cell>
          <cell r="I605">
            <v>0</v>
          </cell>
          <cell r="J605">
            <v>0</v>
          </cell>
          <cell r="K605" t="str">
            <v>gr</v>
          </cell>
          <cell r="L605" t="str">
            <v>0</v>
          </cell>
        </row>
        <row r="606">
          <cell r="F606" t="str">
            <v>CKWDL021</v>
          </cell>
          <cell r="G606" t="str">
            <v>WIP Gochugaru Halus Paste</v>
          </cell>
          <cell r="H606">
            <v>0</v>
          </cell>
          <cell r="I606">
            <v>0</v>
          </cell>
          <cell r="J606">
            <v>0</v>
          </cell>
          <cell r="K606" t="str">
            <v>gr</v>
          </cell>
          <cell r="L606" t="str">
            <v>0</v>
          </cell>
        </row>
        <row r="607">
          <cell r="F607" t="str">
            <v>CKWMS001</v>
          </cell>
          <cell r="G607" t="str">
            <v>WIP Boneless Marinated</v>
          </cell>
          <cell r="H607">
            <v>0</v>
          </cell>
          <cell r="I607">
            <v>0</v>
          </cell>
          <cell r="J607">
            <v>0</v>
          </cell>
          <cell r="K607" t="str">
            <v>pcs</v>
          </cell>
          <cell r="L607" t="str">
            <v>0</v>
          </cell>
        </row>
        <row r="608">
          <cell r="F608" t="str">
            <v>CKWMS002</v>
          </cell>
          <cell r="G608" t="str">
            <v>WIP Wing Marinated</v>
          </cell>
          <cell r="H608">
            <v>0</v>
          </cell>
          <cell r="I608">
            <v>0</v>
          </cell>
          <cell r="J608">
            <v>0</v>
          </cell>
          <cell r="K608" t="str">
            <v>pcs</v>
          </cell>
          <cell r="L608" t="str">
            <v>0</v>
          </cell>
        </row>
        <row r="609">
          <cell r="F609" t="str">
            <v>CKWMS003</v>
          </cell>
          <cell r="G609" t="str">
            <v>WIP Isi Gimmari</v>
          </cell>
          <cell r="H609">
            <v>0</v>
          </cell>
          <cell r="I609">
            <v>0</v>
          </cell>
          <cell r="J609">
            <v>0</v>
          </cell>
          <cell r="K609" t="str">
            <v>gr</v>
          </cell>
          <cell r="L609" t="str">
            <v>0</v>
          </cell>
        </row>
        <row r="610">
          <cell r="F610" t="str">
            <v>CKWMS004</v>
          </cell>
          <cell r="G610" t="str">
            <v>WIP Teri Goreng</v>
          </cell>
          <cell r="H610">
            <v>0</v>
          </cell>
          <cell r="I610">
            <v>0</v>
          </cell>
          <cell r="J610">
            <v>0</v>
          </cell>
          <cell r="K610" t="str">
            <v>gr</v>
          </cell>
          <cell r="L610" t="str">
            <v>0</v>
          </cell>
        </row>
        <row r="611">
          <cell r="F611" t="str">
            <v>CKWMS005</v>
          </cell>
          <cell r="G611" t="str">
            <v>WIP Gimmari Roll</v>
          </cell>
          <cell r="H611">
            <v>0</v>
          </cell>
          <cell r="I611">
            <v>0</v>
          </cell>
          <cell r="J611">
            <v>0</v>
          </cell>
          <cell r="K611" t="str">
            <v>pcs</v>
          </cell>
          <cell r="L611" t="str">
            <v>0</v>
          </cell>
        </row>
        <row r="612">
          <cell r="F612" t="str">
            <v>CKWMS006</v>
          </cell>
          <cell r="G612" t="str">
            <v>WIP Boneless Hanguksu Marinated</v>
          </cell>
          <cell r="H612">
            <v>0</v>
          </cell>
          <cell r="I612">
            <v>0</v>
          </cell>
          <cell r="J612">
            <v>0</v>
          </cell>
          <cell r="K612" t="str">
            <v>pcs</v>
          </cell>
          <cell r="L612" t="str">
            <v>0</v>
          </cell>
        </row>
        <row r="613">
          <cell r="F613" t="str">
            <v>CKWMS007</v>
          </cell>
          <cell r="G613" t="str">
            <v>WIP Boneless Paha Ayam 20-25 g</v>
          </cell>
          <cell r="H613">
            <v>0</v>
          </cell>
          <cell r="I613">
            <v>0</v>
          </cell>
          <cell r="J613">
            <v>0</v>
          </cell>
          <cell r="K613" t="str">
            <v>gr</v>
          </cell>
          <cell r="L613" t="str">
            <v>0</v>
          </cell>
        </row>
        <row r="614">
          <cell r="F614" t="str">
            <v>CKWVF001</v>
          </cell>
          <cell r="G614" t="str">
            <v>WIP Bawang Bombay Kupas</v>
          </cell>
          <cell r="H614">
            <v>0</v>
          </cell>
          <cell r="I614">
            <v>0</v>
          </cell>
          <cell r="J614">
            <v>0</v>
          </cell>
          <cell r="K614" t="str">
            <v>gr</v>
          </cell>
          <cell r="L614" t="str">
            <v>0</v>
          </cell>
        </row>
        <row r="615">
          <cell r="F615" t="str">
            <v>CKWVF002</v>
          </cell>
          <cell r="G615" t="str">
            <v>WIP Apel Kupas</v>
          </cell>
          <cell r="H615">
            <v>0</v>
          </cell>
          <cell r="I615">
            <v>0</v>
          </cell>
          <cell r="J615">
            <v>0</v>
          </cell>
          <cell r="K615" t="str">
            <v>gr</v>
          </cell>
          <cell r="L615" t="str">
            <v>0</v>
          </cell>
        </row>
        <row r="616">
          <cell r="F616" t="str">
            <v>CKWVF003</v>
          </cell>
          <cell r="G616" t="str">
            <v>WIP Jahe Kupas</v>
          </cell>
          <cell r="H616">
            <v>0</v>
          </cell>
          <cell r="I616">
            <v>0</v>
          </cell>
          <cell r="J616">
            <v>0</v>
          </cell>
          <cell r="K616" t="str">
            <v>gr</v>
          </cell>
          <cell r="L616" t="str">
            <v>0</v>
          </cell>
        </row>
        <row r="617">
          <cell r="F617" t="str">
            <v>CKWVF004</v>
          </cell>
          <cell r="G617" t="str">
            <v>WIP Cabe Merah Besar Buang Biji</v>
          </cell>
          <cell r="H617">
            <v>0</v>
          </cell>
          <cell r="I617">
            <v>0</v>
          </cell>
          <cell r="J617">
            <v>0</v>
          </cell>
          <cell r="K617" t="str">
            <v>gr</v>
          </cell>
          <cell r="L617" t="str">
            <v>0</v>
          </cell>
        </row>
        <row r="618">
          <cell r="F618" t="str">
            <v>CKWVF005</v>
          </cell>
          <cell r="G618" t="str">
            <v>WIP Bawang Putih Blender</v>
          </cell>
          <cell r="H618">
            <v>0</v>
          </cell>
          <cell r="I618">
            <v>0</v>
          </cell>
          <cell r="J618">
            <v>0</v>
          </cell>
          <cell r="K618" t="str">
            <v>gr</v>
          </cell>
          <cell r="L618" t="str">
            <v>0</v>
          </cell>
        </row>
        <row r="619">
          <cell r="F619" t="str">
            <v>CKWVF006</v>
          </cell>
          <cell r="G619" t="str">
            <v>WIP Cabe Rawit Merah Chop</v>
          </cell>
          <cell r="H619">
            <v>0</v>
          </cell>
          <cell r="I619">
            <v>0</v>
          </cell>
          <cell r="J619">
            <v>0</v>
          </cell>
          <cell r="K619" t="str">
            <v>gr</v>
          </cell>
          <cell r="L619" t="str">
            <v>0</v>
          </cell>
        </row>
        <row r="620">
          <cell r="F620" t="str">
            <v>CKWVF007</v>
          </cell>
          <cell r="G620" t="str">
            <v>WIP Bawang Putih Utuh Goreng</v>
          </cell>
          <cell r="H620">
            <v>0</v>
          </cell>
          <cell r="I620">
            <v>0</v>
          </cell>
          <cell r="J620">
            <v>0</v>
          </cell>
          <cell r="K620" t="str">
            <v>gr</v>
          </cell>
          <cell r="L620" t="str">
            <v>0</v>
          </cell>
        </row>
        <row r="621">
          <cell r="F621" t="str">
            <v>CKWVF008</v>
          </cell>
          <cell r="G621" t="str">
            <v>WIP Wortel Kupas Kulit</v>
          </cell>
          <cell r="H621">
            <v>0</v>
          </cell>
          <cell r="I621">
            <v>0</v>
          </cell>
          <cell r="J621">
            <v>0</v>
          </cell>
          <cell r="K621" t="str">
            <v>gr</v>
          </cell>
          <cell r="L621" t="str">
            <v>0</v>
          </cell>
        </row>
        <row r="622">
          <cell r="F622" t="str">
            <v>CKWVF009</v>
          </cell>
          <cell r="G622" t="str">
            <v>WIP Kucai</v>
          </cell>
          <cell r="H622">
            <v>0</v>
          </cell>
          <cell r="I622">
            <v>0</v>
          </cell>
          <cell r="J622">
            <v>0</v>
          </cell>
          <cell r="K622" t="str">
            <v>gr</v>
          </cell>
          <cell r="L622" t="str">
            <v>0</v>
          </cell>
        </row>
        <row r="623">
          <cell r="F623" t="str">
            <v>CKWVF010</v>
          </cell>
          <cell r="G623" t="str">
            <v>WIP Air Jahe</v>
          </cell>
          <cell r="H623">
            <v>0</v>
          </cell>
          <cell r="I623">
            <v>0</v>
          </cell>
          <cell r="J623">
            <v>0</v>
          </cell>
          <cell r="K623" t="str">
            <v>gr</v>
          </cell>
          <cell r="L623" t="str">
            <v>0</v>
          </cell>
        </row>
        <row r="624">
          <cell r="F624" t="str">
            <v>CKWVF011</v>
          </cell>
          <cell r="G624" t="str">
            <v>WIP Bawang Putih Iris/Cincang</v>
          </cell>
          <cell r="H624">
            <v>0</v>
          </cell>
          <cell r="I624">
            <v>0</v>
          </cell>
          <cell r="J624">
            <v>0</v>
          </cell>
          <cell r="K624" t="str">
            <v>gr</v>
          </cell>
          <cell r="L624" t="str">
            <v>0</v>
          </cell>
        </row>
        <row r="625">
          <cell r="F625" t="str">
            <v>CKWVF012</v>
          </cell>
          <cell r="G625" t="str">
            <v>WIP Daun Bawang Besar Trim</v>
          </cell>
          <cell r="H625">
            <v>0</v>
          </cell>
          <cell r="I625">
            <v>0</v>
          </cell>
          <cell r="J625">
            <v>0</v>
          </cell>
          <cell r="K625" t="str">
            <v>gr</v>
          </cell>
          <cell r="L625" t="str">
            <v>0</v>
          </cell>
        </row>
        <row r="626">
          <cell r="F626" t="str">
            <v>CWDL0001</v>
          </cell>
          <cell r="G626" t="str">
            <v>WIP GARAM GURIH</v>
          </cell>
          <cell r="H626">
            <v>0</v>
          </cell>
          <cell r="I626">
            <v>0</v>
          </cell>
          <cell r="J626">
            <v>0</v>
          </cell>
          <cell r="K626" t="str">
            <v>gr</v>
          </cell>
          <cell r="L626" t="str">
            <v>0</v>
          </cell>
        </row>
        <row r="627">
          <cell r="F627" t="str">
            <v>CWDL0002</v>
          </cell>
          <cell r="G627" t="str">
            <v>WIP TELUR KOCOK</v>
          </cell>
          <cell r="H627">
            <v>0</v>
          </cell>
          <cell r="I627">
            <v>0</v>
          </cell>
          <cell r="J627">
            <v>0</v>
          </cell>
          <cell r="K627" t="str">
            <v>gr</v>
          </cell>
          <cell r="L627" t="str">
            <v>0</v>
          </cell>
        </row>
        <row r="628">
          <cell r="F628" t="str">
            <v>CWDL0003</v>
          </cell>
          <cell r="G628" t="str">
            <v>WIP TELUR GYERANJIM</v>
          </cell>
          <cell r="H628">
            <v>0</v>
          </cell>
          <cell r="I628">
            <v>0</v>
          </cell>
          <cell r="J628">
            <v>0</v>
          </cell>
          <cell r="K628" t="str">
            <v>gr</v>
          </cell>
          <cell r="L628" t="str">
            <v>0</v>
          </cell>
        </row>
        <row r="629">
          <cell r="F629" t="str">
            <v>CWDL0004</v>
          </cell>
          <cell r="G629" t="str">
            <v>WIP MINYAK BAWANG</v>
          </cell>
          <cell r="H629">
            <v>0</v>
          </cell>
          <cell r="I629">
            <v>0</v>
          </cell>
          <cell r="J629">
            <v>0</v>
          </cell>
          <cell r="K629" t="str">
            <v>gr</v>
          </cell>
          <cell r="L629" t="str">
            <v>0</v>
          </cell>
        </row>
        <row r="630">
          <cell r="F630" t="str">
            <v>CWDL0005</v>
          </cell>
          <cell r="G630" t="str">
            <v>WIP GARAM GURIH LADA</v>
          </cell>
          <cell r="H630">
            <v>0</v>
          </cell>
          <cell r="I630">
            <v>0</v>
          </cell>
          <cell r="J630">
            <v>0</v>
          </cell>
          <cell r="K630" t="str">
            <v>gr</v>
          </cell>
          <cell r="L630" t="str">
            <v>0</v>
          </cell>
        </row>
        <row r="631">
          <cell r="F631" t="str">
            <v>CWDL0006</v>
          </cell>
          <cell r="G631" t="str">
            <v>WIP NORI MATA KIDS MEAL</v>
          </cell>
          <cell r="H631">
            <v>0</v>
          </cell>
          <cell r="I631">
            <v>0</v>
          </cell>
          <cell r="J631">
            <v>0</v>
          </cell>
          <cell r="K631" t="str">
            <v>gr</v>
          </cell>
          <cell r="L631" t="str">
            <v>0</v>
          </cell>
        </row>
        <row r="632">
          <cell r="F632" t="str">
            <v>CWDL0007</v>
          </cell>
          <cell r="G632" t="str">
            <v>WIP SUP DOENJANG</v>
          </cell>
          <cell r="H632">
            <v>0</v>
          </cell>
          <cell r="I632">
            <v>0</v>
          </cell>
          <cell r="J632">
            <v>0</v>
          </cell>
          <cell r="K632" t="str">
            <v>gr</v>
          </cell>
          <cell r="L632" t="str">
            <v>0</v>
          </cell>
        </row>
        <row r="633">
          <cell r="F633" t="str">
            <v>CWDL0008</v>
          </cell>
          <cell r="G633" t="str">
            <v>WIP CHILLI/GOCHUGARU PASTE</v>
          </cell>
          <cell r="H633">
            <v>0</v>
          </cell>
          <cell r="I633">
            <v>0</v>
          </cell>
          <cell r="J633">
            <v>0</v>
          </cell>
          <cell r="K633" t="str">
            <v>gr</v>
          </cell>
          <cell r="L633" t="str">
            <v>0</v>
          </cell>
        </row>
        <row r="634">
          <cell r="F634" t="str">
            <v>CWDL0010</v>
          </cell>
          <cell r="G634" t="str">
            <v>WIP WIJEN SANGRAI</v>
          </cell>
          <cell r="H634">
            <v>0</v>
          </cell>
          <cell r="I634">
            <v>0</v>
          </cell>
          <cell r="J634">
            <v>0</v>
          </cell>
          <cell r="K634" t="str">
            <v>gr</v>
          </cell>
          <cell r="L634" t="str">
            <v>0</v>
          </cell>
        </row>
        <row r="635">
          <cell r="F635" t="str">
            <v>CWDL0011</v>
          </cell>
          <cell r="G635" t="str">
            <v>WIP SIMPLE SYRUP</v>
          </cell>
          <cell r="H635">
            <v>0</v>
          </cell>
          <cell r="I635">
            <v>0</v>
          </cell>
          <cell r="J635">
            <v>0</v>
          </cell>
          <cell r="K635" t="str">
            <v>gr</v>
          </cell>
          <cell r="L635" t="str">
            <v>0</v>
          </cell>
        </row>
        <row r="636">
          <cell r="F636" t="str">
            <v>CWDL0012</v>
          </cell>
          <cell r="G636" t="str">
            <v>WIP DANGMYEON RENDAM</v>
          </cell>
          <cell r="H636">
            <v>0</v>
          </cell>
          <cell r="I636">
            <v>0</v>
          </cell>
          <cell r="J636">
            <v>0</v>
          </cell>
          <cell r="K636" t="str">
            <v>gr</v>
          </cell>
          <cell r="L636" t="str">
            <v>0</v>
          </cell>
        </row>
        <row r="637">
          <cell r="F637" t="str">
            <v>CWDL0013</v>
          </cell>
          <cell r="G637" t="str">
            <v>WIP AIR PEWARNA KUNING</v>
          </cell>
          <cell r="H637">
            <v>0</v>
          </cell>
          <cell r="I637">
            <v>0</v>
          </cell>
          <cell r="J637">
            <v>0</v>
          </cell>
          <cell r="K637" t="str">
            <v>gr</v>
          </cell>
          <cell r="L637" t="str">
            <v>0</v>
          </cell>
        </row>
        <row r="638">
          <cell r="F638" t="str">
            <v>CWDL0014</v>
          </cell>
          <cell r="G638" t="str">
            <v>WIP MUSTARD SAUCE</v>
          </cell>
          <cell r="H638">
            <v>0</v>
          </cell>
          <cell r="I638">
            <v>0</v>
          </cell>
          <cell r="J638">
            <v>0</v>
          </cell>
          <cell r="K638" t="str">
            <v>gr</v>
          </cell>
          <cell r="L638" t="str">
            <v>0</v>
          </cell>
        </row>
        <row r="639">
          <cell r="F639" t="str">
            <v>CWDL0015</v>
          </cell>
          <cell r="G639" t="str">
            <v>WIP EBI SANGRAI</v>
          </cell>
          <cell r="H639">
            <v>0</v>
          </cell>
          <cell r="I639">
            <v>0</v>
          </cell>
          <cell r="J639">
            <v>0</v>
          </cell>
          <cell r="K639" t="str">
            <v>gr</v>
          </cell>
          <cell r="L639" t="str">
            <v>0</v>
          </cell>
        </row>
        <row r="640">
          <cell r="F640" t="str">
            <v>CWDL0016</v>
          </cell>
          <cell r="G640" t="str">
            <v>WIP MINYAK MIX WIJEN</v>
          </cell>
          <cell r="H640">
            <v>0</v>
          </cell>
          <cell r="I640">
            <v>0</v>
          </cell>
          <cell r="J640">
            <v>0</v>
          </cell>
          <cell r="K640" t="str">
            <v>gr</v>
          </cell>
          <cell r="L640" t="str">
            <v>0</v>
          </cell>
        </row>
        <row r="641">
          <cell r="F641" t="str">
            <v>CWDL0017</v>
          </cell>
          <cell r="G641" t="str">
            <v>WIP ADONAN PAJEON</v>
          </cell>
          <cell r="H641">
            <v>0</v>
          </cell>
          <cell r="I641">
            <v>0</v>
          </cell>
          <cell r="J641">
            <v>0</v>
          </cell>
          <cell r="K641" t="str">
            <v>pack</v>
          </cell>
          <cell r="L641" t="str">
            <v>0</v>
          </cell>
        </row>
        <row r="642">
          <cell r="F642" t="str">
            <v>CWDL0018</v>
          </cell>
          <cell r="G642" t="str">
            <v>WIP ADONAN TWIGIM</v>
          </cell>
          <cell r="H642">
            <v>0</v>
          </cell>
          <cell r="I642">
            <v>0</v>
          </cell>
          <cell r="J642">
            <v>0</v>
          </cell>
          <cell r="K642" t="str">
            <v>gr</v>
          </cell>
          <cell r="L642" t="str">
            <v>0</v>
          </cell>
        </row>
        <row r="643">
          <cell r="F643" t="str">
            <v>CWDL0019</v>
          </cell>
          <cell r="G643" t="str">
            <v>WIP SAUS SPICY EOMUK</v>
          </cell>
          <cell r="H643">
            <v>0</v>
          </cell>
          <cell r="I643">
            <v>0</v>
          </cell>
          <cell r="J643">
            <v>0</v>
          </cell>
          <cell r="K643" t="str">
            <v>gr</v>
          </cell>
          <cell r="L643" t="str">
            <v>0</v>
          </cell>
        </row>
        <row r="644">
          <cell r="F644" t="str">
            <v>CWDL0020</v>
          </cell>
          <cell r="G644" t="str">
            <v>WIP PEREKAT MANDU</v>
          </cell>
          <cell r="H644">
            <v>0</v>
          </cell>
          <cell r="I644">
            <v>0</v>
          </cell>
          <cell r="J644">
            <v>0</v>
          </cell>
          <cell r="K644" t="str">
            <v>gr</v>
          </cell>
          <cell r="L644" t="str">
            <v>0</v>
          </cell>
        </row>
        <row r="645">
          <cell r="F645" t="str">
            <v>CWDL0021</v>
          </cell>
          <cell r="G645" t="str">
            <v>WIP AIR RASA GIMBAP</v>
          </cell>
          <cell r="H645">
            <v>0</v>
          </cell>
          <cell r="I645">
            <v>0</v>
          </cell>
          <cell r="J645">
            <v>0</v>
          </cell>
          <cell r="K645" t="str">
            <v>gr</v>
          </cell>
          <cell r="L645" t="str">
            <v>0</v>
          </cell>
        </row>
        <row r="646">
          <cell r="F646" t="str">
            <v>CWDL0022</v>
          </cell>
          <cell r="G646" t="str">
            <v>WIP BUMBU TAUGE  NAMUL</v>
          </cell>
          <cell r="H646">
            <v>0</v>
          </cell>
          <cell r="I646">
            <v>0</v>
          </cell>
          <cell r="J646">
            <v>0</v>
          </cell>
          <cell r="K646" t="str">
            <v>gr</v>
          </cell>
          <cell r="L646" t="str">
            <v>0</v>
          </cell>
        </row>
        <row r="647">
          <cell r="F647" t="str">
            <v>CWDL0023</v>
          </cell>
          <cell r="G647" t="str">
            <v>WIP TWIGIM SAUCE WITH GARNISH</v>
          </cell>
          <cell r="H647">
            <v>0</v>
          </cell>
          <cell r="I647">
            <v>0</v>
          </cell>
          <cell r="J647">
            <v>0</v>
          </cell>
          <cell r="K647" t="str">
            <v>gr</v>
          </cell>
          <cell r="L647" t="str">
            <v>0</v>
          </cell>
        </row>
        <row r="648">
          <cell r="F648" t="str">
            <v>CWDL0024</v>
          </cell>
          <cell r="G648" t="str">
            <v>WIP CORN TEA</v>
          </cell>
          <cell r="H648">
            <v>0</v>
          </cell>
          <cell r="I648">
            <v>0</v>
          </cell>
          <cell r="J648">
            <v>0</v>
          </cell>
          <cell r="K648" t="str">
            <v>gr</v>
          </cell>
          <cell r="L648" t="str">
            <v>0</v>
          </cell>
        </row>
        <row r="649">
          <cell r="F649" t="str">
            <v>CWDL0025</v>
          </cell>
          <cell r="G649" t="str">
            <v>WIP LEMON TEA</v>
          </cell>
          <cell r="H649">
            <v>0</v>
          </cell>
          <cell r="I649">
            <v>0</v>
          </cell>
          <cell r="J649">
            <v>0</v>
          </cell>
          <cell r="K649" t="str">
            <v>gr</v>
          </cell>
          <cell r="L649" t="str">
            <v>0</v>
          </cell>
        </row>
        <row r="650">
          <cell r="F650" t="str">
            <v>CWDL0026</v>
          </cell>
          <cell r="G650" t="str">
            <v>WIP SAUS MARINASI SHIITAKE</v>
          </cell>
          <cell r="H650">
            <v>0</v>
          </cell>
          <cell r="I650">
            <v>0</v>
          </cell>
          <cell r="J650">
            <v>0</v>
          </cell>
          <cell r="K650" t="str">
            <v>gr</v>
          </cell>
          <cell r="L650" t="str">
            <v>0</v>
          </cell>
        </row>
        <row r="651">
          <cell r="F651" t="str">
            <v>CWDL0027</v>
          </cell>
          <cell r="G651" t="str">
            <v>WIP SAUS ROSE TOKPOKKI</v>
          </cell>
          <cell r="H651">
            <v>0</v>
          </cell>
          <cell r="I651">
            <v>0</v>
          </cell>
          <cell r="J651">
            <v>0</v>
          </cell>
          <cell r="K651" t="str">
            <v>pack</v>
          </cell>
          <cell r="L651" t="str">
            <v>0</v>
          </cell>
        </row>
        <row r="652">
          <cell r="F652" t="str">
            <v>CWDL0028</v>
          </cell>
          <cell r="G652" t="str">
            <v>WIP SAUS CHA CHA CHICKEN</v>
          </cell>
          <cell r="H652">
            <v>0</v>
          </cell>
          <cell r="I652">
            <v>0</v>
          </cell>
          <cell r="J652">
            <v>0</v>
          </cell>
          <cell r="K652" t="str">
            <v>gr</v>
          </cell>
          <cell r="L652" t="str">
            <v>0</v>
          </cell>
        </row>
        <row r="653">
          <cell r="F653" t="str">
            <v>CWDL0029</v>
          </cell>
          <cell r="G653" t="str">
            <v>WIP AIR CAPSICUM</v>
          </cell>
          <cell r="H653">
            <v>0</v>
          </cell>
          <cell r="I653">
            <v>0</v>
          </cell>
          <cell r="J653">
            <v>0</v>
          </cell>
          <cell r="K653" t="str">
            <v>gr</v>
          </cell>
          <cell r="L653" t="str">
            <v>0</v>
          </cell>
        </row>
        <row r="654">
          <cell r="F654" t="str">
            <v>CWDL0030</v>
          </cell>
          <cell r="G654" t="str">
            <v>WIP GOCHUJANG MAYO</v>
          </cell>
          <cell r="H654">
            <v>0</v>
          </cell>
          <cell r="I654">
            <v>0</v>
          </cell>
          <cell r="J654">
            <v>0</v>
          </cell>
          <cell r="K654" t="str">
            <v>gr</v>
          </cell>
          <cell r="L654" t="str">
            <v>0</v>
          </cell>
        </row>
        <row r="655">
          <cell r="F655" t="str">
            <v>CWDL0031</v>
          </cell>
          <cell r="G655" t="str">
            <v>WIP GARAM GURIH GARLIC</v>
          </cell>
          <cell r="H655">
            <v>0</v>
          </cell>
          <cell r="I655">
            <v>0</v>
          </cell>
          <cell r="J655">
            <v>0</v>
          </cell>
          <cell r="K655" t="str">
            <v>gr</v>
          </cell>
          <cell r="L655" t="str">
            <v>0</v>
          </cell>
        </row>
        <row r="656">
          <cell r="F656" t="str">
            <v>CWDL0032</v>
          </cell>
          <cell r="G656" t="str">
            <v>WIP ADONAN TWIGIM DOSIRAK</v>
          </cell>
          <cell r="H656">
            <v>0</v>
          </cell>
          <cell r="I656">
            <v>0</v>
          </cell>
          <cell r="J656">
            <v>0</v>
          </cell>
          <cell r="K656" t="str">
            <v>gr</v>
          </cell>
          <cell r="L656" t="str">
            <v>0</v>
          </cell>
        </row>
        <row r="657">
          <cell r="F657" t="str">
            <v>CWDL0033</v>
          </cell>
          <cell r="G657" t="str">
            <v>WIP SUP SUNDUBU JJIGAE</v>
          </cell>
          <cell r="H657">
            <v>0</v>
          </cell>
          <cell r="I657">
            <v>0</v>
          </cell>
          <cell r="J657">
            <v>0</v>
          </cell>
          <cell r="K657" t="str">
            <v>gr</v>
          </cell>
          <cell r="L657" t="str">
            <v>0</v>
          </cell>
        </row>
        <row r="658">
          <cell r="F658" t="str">
            <v>CWDL0034</v>
          </cell>
          <cell r="G658" t="str">
            <v>WIP ADONAN CRISPY TWIGIM</v>
          </cell>
          <cell r="H658">
            <v>0</v>
          </cell>
          <cell r="I658">
            <v>0</v>
          </cell>
          <cell r="J658">
            <v>0</v>
          </cell>
          <cell r="K658" t="str">
            <v>gr</v>
          </cell>
          <cell r="L658" t="str">
            <v>0</v>
          </cell>
        </row>
        <row r="659">
          <cell r="F659" t="str">
            <v>CWDL0035</v>
          </cell>
          <cell r="G659" t="str">
            <v>WIP CRISPY TWIGIM</v>
          </cell>
          <cell r="H659">
            <v>0</v>
          </cell>
          <cell r="I659">
            <v>0</v>
          </cell>
          <cell r="J659">
            <v>0</v>
          </cell>
          <cell r="K659" t="str">
            <v>gr</v>
          </cell>
          <cell r="L659" t="str">
            <v>0</v>
          </cell>
        </row>
        <row r="660">
          <cell r="F660" t="str">
            <v>CWDL0036</v>
          </cell>
          <cell r="G660" t="str">
            <v>WIP SPICY CRISPY TWIGIM</v>
          </cell>
          <cell r="H660">
            <v>0</v>
          </cell>
          <cell r="I660">
            <v>0</v>
          </cell>
          <cell r="J660">
            <v>0</v>
          </cell>
          <cell r="K660" t="str">
            <v>gr</v>
          </cell>
          <cell r="L660" t="str">
            <v>0</v>
          </cell>
        </row>
        <row r="661">
          <cell r="F661" t="str">
            <v>CWDL0037</v>
          </cell>
          <cell r="G661" t="str">
            <v>WIP TOFU KIMCHI SAUCE</v>
          </cell>
          <cell r="H661">
            <v>0</v>
          </cell>
          <cell r="I661">
            <v>0</v>
          </cell>
          <cell r="J661">
            <v>0</v>
          </cell>
          <cell r="K661" t="str">
            <v>gr</v>
          </cell>
          <cell r="L661" t="str">
            <v>0</v>
          </cell>
        </row>
        <row r="662">
          <cell r="F662" t="str">
            <v>CWDL0038</v>
          </cell>
          <cell r="G662" t="str">
            <v>WIP AIR SYRUP TAKJIL</v>
          </cell>
          <cell r="H662">
            <v>0</v>
          </cell>
          <cell r="I662">
            <v>0</v>
          </cell>
          <cell r="J662">
            <v>0</v>
          </cell>
          <cell r="K662" t="str">
            <v>gr</v>
          </cell>
          <cell r="L662" t="str">
            <v>0</v>
          </cell>
        </row>
        <row r="663">
          <cell r="F663" t="str">
            <v>CWDL0039</v>
          </cell>
          <cell r="G663" t="str">
            <v>WIP BIJI SELASIH</v>
          </cell>
          <cell r="H663">
            <v>0</v>
          </cell>
          <cell r="I663">
            <v>0</v>
          </cell>
          <cell r="J663">
            <v>0</v>
          </cell>
          <cell r="K663" t="str">
            <v>gr</v>
          </cell>
          <cell r="L663" t="str">
            <v>0</v>
          </cell>
        </row>
        <row r="664">
          <cell r="F664" t="str">
            <v>CWDL0040</v>
          </cell>
          <cell r="G664" t="str">
            <v>WIP BIANG CORN TEA</v>
          </cell>
          <cell r="H664">
            <v>0</v>
          </cell>
          <cell r="I664">
            <v>0</v>
          </cell>
          <cell r="J664">
            <v>0</v>
          </cell>
          <cell r="K664" t="str">
            <v>gr</v>
          </cell>
          <cell r="L664" t="str">
            <v>0</v>
          </cell>
        </row>
        <row r="665">
          <cell r="F665" t="str">
            <v>CWDL0041</v>
          </cell>
          <cell r="G665" t="str">
            <v>WIP SAUS SPICY JJUGUMI</v>
          </cell>
          <cell r="H665">
            <v>0</v>
          </cell>
          <cell r="I665">
            <v>0</v>
          </cell>
          <cell r="J665">
            <v>0</v>
          </cell>
          <cell r="K665" t="str">
            <v>gr</v>
          </cell>
          <cell r="L665" t="str">
            <v>0</v>
          </cell>
        </row>
        <row r="666">
          <cell r="F666" t="str">
            <v>CWDL0042</v>
          </cell>
          <cell r="G666" t="str">
            <v>WIP AIR PICKEL LOBAK PUTIH</v>
          </cell>
          <cell r="H666">
            <v>0</v>
          </cell>
          <cell r="I666">
            <v>0</v>
          </cell>
          <cell r="J666">
            <v>0</v>
          </cell>
          <cell r="K666" t="str">
            <v>gr</v>
          </cell>
          <cell r="L666" t="str">
            <v>0</v>
          </cell>
        </row>
        <row r="667">
          <cell r="F667" t="str">
            <v>CWDL0043</v>
          </cell>
          <cell r="G667" t="str">
            <v>WIP SAUS ROSE JJUGUMI</v>
          </cell>
          <cell r="H667">
            <v>0</v>
          </cell>
          <cell r="I667">
            <v>0</v>
          </cell>
          <cell r="J667">
            <v>0</v>
          </cell>
          <cell r="K667" t="str">
            <v>gr</v>
          </cell>
          <cell r="L667" t="str">
            <v>0</v>
          </cell>
        </row>
        <row r="668">
          <cell r="F668" t="str">
            <v>CWDL0044</v>
          </cell>
          <cell r="G668" t="str">
            <v>WIP SAMBAL JJUGUMI</v>
          </cell>
          <cell r="H668">
            <v>0</v>
          </cell>
          <cell r="I668">
            <v>0</v>
          </cell>
          <cell r="J668">
            <v>0</v>
          </cell>
          <cell r="K668" t="str">
            <v>gr</v>
          </cell>
          <cell r="L668" t="str">
            <v>0</v>
          </cell>
        </row>
        <row r="669">
          <cell r="F669" t="str">
            <v>CWDL0045</v>
          </cell>
          <cell r="G669" t="str">
            <v>WIP AIR TWIGIM</v>
          </cell>
          <cell r="H669">
            <v>0</v>
          </cell>
          <cell r="I669">
            <v>0</v>
          </cell>
          <cell r="J669">
            <v>0</v>
          </cell>
          <cell r="K669" t="str">
            <v>gr</v>
          </cell>
          <cell r="L669" t="str">
            <v>0</v>
          </cell>
        </row>
        <row r="670">
          <cell r="F670" t="str">
            <v>CWMS0001</v>
          </cell>
          <cell r="G670" t="str">
            <v>WIP BEEF BRISKET TRIM</v>
          </cell>
          <cell r="H670">
            <v>0</v>
          </cell>
          <cell r="I670">
            <v>0</v>
          </cell>
          <cell r="J670">
            <v>0</v>
          </cell>
          <cell r="K670" t="str">
            <v>gr</v>
          </cell>
          <cell r="L670" t="str">
            <v>0</v>
          </cell>
        </row>
        <row r="671">
          <cell r="F671" t="str">
            <v>CWMS0002</v>
          </cell>
          <cell r="G671" t="str">
            <v>WIP Chadol Bulgogi Marinated</v>
          </cell>
          <cell r="H671">
            <v>0</v>
          </cell>
          <cell r="I671">
            <v>0</v>
          </cell>
          <cell r="J671">
            <v>0</v>
          </cell>
          <cell r="K671" t="str">
            <v>gr</v>
          </cell>
          <cell r="L671" t="str">
            <v>0</v>
          </cell>
        </row>
        <row r="672">
          <cell r="F672" t="str">
            <v>CWMS0003</v>
          </cell>
          <cell r="G672" t="str">
            <v>WIP NASI</v>
          </cell>
          <cell r="H672">
            <v>0</v>
          </cell>
          <cell r="I672">
            <v>0</v>
          </cell>
          <cell r="J672">
            <v>0</v>
          </cell>
          <cell r="K672" t="str">
            <v>gr</v>
          </cell>
          <cell r="L672" t="str">
            <v>0</v>
          </cell>
        </row>
        <row r="673">
          <cell r="F673" t="str">
            <v>CWMS0004</v>
          </cell>
          <cell r="G673" t="str">
            <v>WIP MIE INSTAN AL DENTE</v>
          </cell>
          <cell r="H673">
            <v>0</v>
          </cell>
          <cell r="I673">
            <v>0</v>
          </cell>
          <cell r="J673">
            <v>0</v>
          </cell>
          <cell r="K673" t="str">
            <v>gr</v>
          </cell>
          <cell r="L673" t="str">
            <v>0</v>
          </cell>
        </row>
        <row r="674">
          <cell r="F674" t="str">
            <v>CWMS0005</v>
          </cell>
          <cell r="G674" t="str">
            <v>WIP TELUR MATA SAPI</v>
          </cell>
          <cell r="H674">
            <v>0</v>
          </cell>
          <cell r="I674">
            <v>0</v>
          </cell>
          <cell r="J674">
            <v>0</v>
          </cell>
          <cell r="K674" t="str">
            <v>pcs</v>
          </cell>
          <cell r="L674" t="str">
            <v>0</v>
          </cell>
        </row>
        <row r="675">
          <cell r="F675" t="str">
            <v>CWMS0006</v>
          </cell>
          <cell r="G675" t="str">
            <v>WIP TELUR DADAR IRIS</v>
          </cell>
          <cell r="H675">
            <v>0</v>
          </cell>
          <cell r="I675">
            <v>0</v>
          </cell>
          <cell r="J675">
            <v>0</v>
          </cell>
          <cell r="K675" t="str">
            <v>gr</v>
          </cell>
          <cell r="L675" t="str">
            <v>0</v>
          </cell>
        </row>
        <row r="676">
          <cell r="F676" t="str">
            <v>CWMS0007</v>
          </cell>
          <cell r="G676" t="str">
            <v>WIP BEEF BULGOGI GIMBAP</v>
          </cell>
          <cell r="H676">
            <v>0</v>
          </cell>
          <cell r="I676">
            <v>0</v>
          </cell>
          <cell r="J676">
            <v>0</v>
          </cell>
          <cell r="K676" t="str">
            <v>gr</v>
          </cell>
          <cell r="L676" t="str">
            <v>0</v>
          </cell>
        </row>
        <row r="677">
          <cell r="F677" t="str">
            <v>CWMS0008</v>
          </cell>
          <cell r="G677" t="str">
            <v>WIP Isi Japchae Mandu</v>
          </cell>
          <cell r="H677">
            <v>0</v>
          </cell>
          <cell r="I677">
            <v>0</v>
          </cell>
          <cell r="J677">
            <v>0</v>
          </cell>
          <cell r="K677" t="str">
            <v>gr</v>
          </cell>
          <cell r="L677" t="str">
            <v>0</v>
          </cell>
        </row>
        <row r="678">
          <cell r="F678" t="str">
            <v>CWMS0009</v>
          </cell>
          <cell r="G678" t="str">
            <v>WIP NASI GIMBAP</v>
          </cell>
          <cell r="H678">
            <v>0</v>
          </cell>
          <cell r="I678">
            <v>0</v>
          </cell>
          <cell r="J678">
            <v>0</v>
          </cell>
          <cell r="K678" t="str">
            <v>gr</v>
          </cell>
          <cell r="L678" t="str">
            <v>0</v>
          </cell>
        </row>
        <row r="679">
          <cell r="F679" t="str">
            <v>CWMS0010</v>
          </cell>
          <cell r="G679" t="str">
            <v>WIP KANI MAYONES</v>
          </cell>
          <cell r="H679">
            <v>0</v>
          </cell>
          <cell r="I679">
            <v>0</v>
          </cell>
          <cell r="J679">
            <v>0</v>
          </cell>
          <cell r="K679" t="str">
            <v>gr</v>
          </cell>
          <cell r="L679" t="str">
            <v>0</v>
          </cell>
        </row>
        <row r="680">
          <cell r="F680" t="str">
            <v>CWMS0011</v>
          </cell>
          <cell r="G680" t="str">
            <v>WIP TUNA MAYO</v>
          </cell>
          <cell r="H680">
            <v>0</v>
          </cell>
          <cell r="I680">
            <v>0</v>
          </cell>
          <cell r="J680">
            <v>0</v>
          </cell>
          <cell r="K680" t="str">
            <v>gr</v>
          </cell>
          <cell r="L680" t="str">
            <v>0</v>
          </cell>
        </row>
        <row r="681">
          <cell r="F681" t="str">
            <v>CWMS0012</v>
          </cell>
          <cell r="G681" t="str">
            <v>WIP SPICY TUNA</v>
          </cell>
          <cell r="H681">
            <v>0</v>
          </cell>
          <cell r="I681">
            <v>0</v>
          </cell>
          <cell r="J681">
            <v>0</v>
          </cell>
          <cell r="K681" t="str">
            <v>gr</v>
          </cell>
          <cell r="L681" t="str">
            <v>0</v>
          </cell>
        </row>
        <row r="682">
          <cell r="F682" t="str">
            <v>CWMS0013</v>
          </cell>
          <cell r="G682" t="str">
            <v>WIP TUNA TIRIS</v>
          </cell>
          <cell r="H682">
            <v>0</v>
          </cell>
          <cell r="I682">
            <v>0</v>
          </cell>
          <cell r="J682">
            <v>0</v>
          </cell>
          <cell r="K682" t="str">
            <v>gr</v>
          </cell>
          <cell r="L682" t="str">
            <v>0</v>
          </cell>
        </row>
        <row r="683">
          <cell r="F683" t="str">
            <v>CWMS0014</v>
          </cell>
          <cell r="G683" t="str">
            <v>WIP TOKUSEN WAGYU CHUCK</v>
          </cell>
          <cell r="H683">
            <v>0</v>
          </cell>
          <cell r="I683">
            <v>0</v>
          </cell>
          <cell r="J683">
            <v>0</v>
          </cell>
          <cell r="K683" t="str">
            <v>gr</v>
          </cell>
          <cell r="L683" t="str">
            <v>0</v>
          </cell>
        </row>
        <row r="684">
          <cell r="F684" t="str">
            <v>CWMS0015</v>
          </cell>
          <cell r="G684" t="str">
            <v>WIP Cha Cha Chicken</v>
          </cell>
          <cell r="H684">
            <v>0</v>
          </cell>
          <cell r="I684">
            <v>0</v>
          </cell>
          <cell r="J684">
            <v>0</v>
          </cell>
          <cell r="K684" t="str">
            <v>gr</v>
          </cell>
          <cell r="L684" t="str">
            <v>0</v>
          </cell>
        </row>
        <row r="685">
          <cell r="F685" t="str">
            <v>CWMS0016</v>
          </cell>
          <cell r="G685" t="str">
            <v>WIP Spicy Eomuk</v>
          </cell>
          <cell r="H685">
            <v>0</v>
          </cell>
          <cell r="I685">
            <v>0</v>
          </cell>
          <cell r="J685">
            <v>0</v>
          </cell>
          <cell r="K685" t="str">
            <v>gr</v>
          </cell>
          <cell r="L685" t="str">
            <v>0</v>
          </cell>
        </row>
        <row r="686">
          <cell r="F686" t="str">
            <v>CWMS0017</v>
          </cell>
          <cell r="G686" t="str">
            <v>WIP TTEOK REBUS</v>
          </cell>
          <cell r="H686">
            <v>0</v>
          </cell>
          <cell r="I686">
            <v>0</v>
          </cell>
          <cell r="J686">
            <v>0</v>
          </cell>
          <cell r="K686" t="str">
            <v>gr</v>
          </cell>
          <cell r="L686" t="str">
            <v>0</v>
          </cell>
        </row>
        <row r="687">
          <cell r="F687" t="str">
            <v>CWMS0018</v>
          </cell>
          <cell r="G687" t="str">
            <v>WIP BEEF HAM SAUTE</v>
          </cell>
          <cell r="H687">
            <v>0</v>
          </cell>
          <cell r="I687">
            <v>0</v>
          </cell>
          <cell r="J687">
            <v>0</v>
          </cell>
          <cell r="K687" t="str">
            <v>gr</v>
          </cell>
          <cell r="L687" t="str">
            <v>0</v>
          </cell>
        </row>
        <row r="688">
          <cell r="F688" t="str">
            <v>CWMS0019</v>
          </cell>
          <cell r="G688" t="str">
            <v>WIP CHADOL PRIME  PAYA</v>
          </cell>
          <cell r="H688">
            <v>0</v>
          </cell>
          <cell r="I688">
            <v>0</v>
          </cell>
          <cell r="J688">
            <v>0</v>
          </cell>
          <cell r="K688" t="str">
            <v>gr</v>
          </cell>
          <cell r="L688" t="str">
            <v>0</v>
          </cell>
        </row>
        <row r="689">
          <cell r="F689" t="str">
            <v>CWMS0020</v>
          </cell>
          <cell r="G689" t="str">
            <v>WIP Dada Boneless Skinless</v>
          </cell>
          <cell r="H689">
            <v>0</v>
          </cell>
          <cell r="I689">
            <v>0</v>
          </cell>
          <cell r="J689">
            <v>0</v>
          </cell>
          <cell r="K689" t="str">
            <v>gr</v>
          </cell>
          <cell r="L689" t="str">
            <v>0</v>
          </cell>
        </row>
        <row r="690">
          <cell r="F690" t="str">
            <v>CWMS0021</v>
          </cell>
          <cell r="G690" t="str">
            <v>WIP EOMUK TWIGIM (SUDAH GORENG)</v>
          </cell>
          <cell r="H690">
            <v>0</v>
          </cell>
          <cell r="I690">
            <v>0</v>
          </cell>
          <cell r="J690">
            <v>0</v>
          </cell>
          <cell r="K690" t="str">
            <v>pcs</v>
          </cell>
          <cell r="L690" t="str">
            <v>0</v>
          </cell>
        </row>
        <row r="691">
          <cell r="F691" t="str">
            <v>CWMS0022</v>
          </cell>
          <cell r="G691" t="str">
            <v>WIP Tokpokki (sudah goreng)</v>
          </cell>
          <cell r="H691">
            <v>0</v>
          </cell>
          <cell r="I691">
            <v>0</v>
          </cell>
          <cell r="J691">
            <v>0</v>
          </cell>
          <cell r="K691" t="str">
            <v>pcs</v>
          </cell>
          <cell r="L691" t="str">
            <v>0</v>
          </cell>
        </row>
        <row r="692">
          <cell r="F692" t="str">
            <v>CWMS0023</v>
          </cell>
          <cell r="G692" t="str">
            <v>WIP PAHA AYAM TANPA  KULIT</v>
          </cell>
          <cell r="H692">
            <v>0</v>
          </cell>
          <cell r="I692">
            <v>0</v>
          </cell>
          <cell r="J692">
            <v>0</v>
          </cell>
          <cell r="K692" t="str">
            <v>gr</v>
          </cell>
          <cell r="L692" t="str">
            <v>0</v>
          </cell>
        </row>
        <row r="693">
          <cell r="F693" t="str">
            <v>CWMS0024</v>
          </cell>
          <cell r="G693" t="str">
            <v>WIP BEEF  BULGOGI</v>
          </cell>
          <cell r="H693">
            <v>0</v>
          </cell>
          <cell r="I693">
            <v>0</v>
          </cell>
          <cell r="J693">
            <v>0</v>
          </cell>
          <cell r="K693" t="str">
            <v>gr</v>
          </cell>
          <cell r="L693" t="str">
            <v>0</v>
          </cell>
        </row>
        <row r="694">
          <cell r="F694" t="str">
            <v>CWMS0025</v>
          </cell>
          <cell r="G694" t="str">
            <v>WIP JAPCHAE</v>
          </cell>
          <cell r="H694">
            <v>0</v>
          </cell>
          <cell r="I694">
            <v>0</v>
          </cell>
          <cell r="J694">
            <v>0</v>
          </cell>
          <cell r="K694" t="str">
            <v>gr</v>
          </cell>
          <cell r="L694" t="str">
            <v>0</v>
          </cell>
        </row>
        <row r="695">
          <cell r="F695" t="str">
            <v>CWMS0026</v>
          </cell>
          <cell r="G695" t="str">
            <v>WIP JJUGUMI BERSIH</v>
          </cell>
          <cell r="H695">
            <v>0</v>
          </cell>
          <cell r="I695">
            <v>0</v>
          </cell>
          <cell r="J695">
            <v>0</v>
          </cell>
          <cell r="K695" t="str">
            <v>gr</v>
          </cell>
          <cell r="L695" t="str">
            <v>0</v>
          </cell>
        </row>
        <row r="696">
          <cell r="F696" t="str">
            <v>CWMS0027</v>
          </cell>
          <cell r="G696" t="str">
            <v>WIP JJUGUMI (SUDAH BILAS)</v>
          </cell>
          <cell r="H696">
            <v>0</v>
          </cell>
          <cell r="I696">
            <v>0</v>
          </cell>
          <cell r="J696">
            <v>0</v>
          </cell>
          <cell r="K696" t="str">
            <v>gr</v>
          </cell>
          <cell r="L696" t="str">
            <v>0</v>
          </cell>
        </row>
        <row r="697">
          <cell r="F697" t="str">
            <v>CWMS0028</v>
          </cell>
          <cell r="G697" t="str">
            <v>WIP JUMEOKBAP</v>
          </cell>
          <cell r="H697">
            <v>0</v>
          </cell>
          <cell r="I697">
            <v>0</v>
          </cell>
          <cell r="J697">
            <v>0</v>
          </cell>
          <cell r="K697" t="str">
            <v>gr</v>
          </cell>
          <cell r="L697" t="str">
            <v>0</v>
          </cell>
        </row>
        <row r="698">
          <cell r="F698" t="str">
            <v>CWMS0029</v>
          </cell>
          <cell r="G698" t="str">
            <v>WIP JJUGUMI BLANCH</v>
          </cell>
          <cell r="H698">
            <v>0</v>
          </cell>
          <cell r="I698">
            <v>0</v>
          </cell>
          <cell r="J698">
            <v>0</v>
          </cell>
          <cell r="K698" t="str">
            <v>gr</v>
          </cell>
          <cell r="L698" t="str">
            <v>0</v>
          </cell>
        </row>
        <row r="699">
          <cell r="F699" t="str">
            <v>CWMS0030</v>
          </cell>
          <cell r="G699" t="str">
            <v>WIP JJUGUMI MARINATED SAUCE</v>
          </cell>
          <cell r="H699">
            <v>0</v>
          </cell>
          <cell r="I699">
            <v>0</v>
          </cell>
          <cell r="J699">
            <v>0</v>
          </cell>
          <cell r="K699" t="str">
            <v>pack</v>
          </cell>
          <cell r="L699" t="str">
            <v>0</v>
          </cell>
        </row>
        <row r="700">
          <cell r="F700" t="str">
            <v>CWMS0031</v>
          </cell>
          <cell r="G700" t="str">
            <v>WIP NORI TWIGIM (SUDAH GORENG)</v>
          </cell>
          <cell r="H700">
            <v>0</v>
          </cell>
          <cell r="I700">
            <v>0</v>
          </cell>
          <cell r="J700">
            <v>0</v>
          </cell>
          <cell r="K700" t="str">
            <v>pcs</v>
          </cell>
          <cell r="L700" t="str">
            <v>0</v>
          </cell>
        </row>
        <row r="701">
          <cell r="F701" t="str">
            <v>CWMS0032</v>
          </cell>
          <cell r="G701" t="str">
            <v>WIP CHICKEN KATSU</v>
          </cell>
          <cell r="H701">
            <v>0</v>
          </cell>
          <cell r="I701">
            <v>0</v>
          </cell>
          <cell r="J701">
            <v>0</v>
          </cell>
          <cell r="K701" t="str">
            <v>pcs</v>
          </cell>
          <cell r="L701" t="str">
            <v>0</v>
          </cell>
        </row>
        <row r="702">
          <cell r="F702" t="str">
            <v>CWVF0001</v>
          </cell>
          <cell r="G702" t="str">
            <v>WIP MINARI TRIM</v>
          </cell>
          <cell r="H702">
            <v>0</v>
          </cell>
          <cell r="I702">
            <v>0</v>
          </cell>
          <cell r="J702">
            <v>0</v>
          </cell>
          <cell r="K702" t="str">
            <v>gr</v>
          </cell>
          <cell r="L702" t="str">
            <v>0</v>
          </cell>
        </row>
        <row r="703">
          <cell r="F703" t="str">
            <v>CWVF0002</v>
          </cell>
          <cell r="G703" t="str">
            <v>WIP SHITAKE MARINATED</v>
          </cell>
          <cell r="H703">
            <v>0</v>
          </cell>
          <cell r="I703">
            <v>0</v>
          </cell>
          <cell r="J703">
            <v>0</v>
          </cell>
          <cell r="K703" t="str">
            <v>gr</v>
          </cell>
          <cell r="L703" t="str">
            <v>0</v>
          </cell>
        </row>
        <row r="704">
          <cell r="F704" t="str">
            <v>CWVF0003</v>
          </cell>
          <cell r="G704" t="str">
            <v>WIP DAUN BAWANG BESAR TRIM</v>
          </cell>
          <cell r="H704">
            <v>0</v>
          </cell>
          <cell r="I704">
            <v>0</v>
          </cell>
          <cell r="J704">
            <v>0</v>
          </cell>
          <cell r="K704" t="str">
            <v>gr</v>
          </cell>
          <cell r="L704" t="str">
            <v>0</v>
          </cell>
        </row>
        <row r="705">
          <cell r="F705" t="str">
            <v>CWVF0004</v>
          </cell>
          <cell r="G705" t="str">
            <v>WIP ENOKI TRIM</v>
          </cell>
          <cell r="H705">
            <v>0</v>
          </cell>
          <cell r="I705">
            <v>0</v>
          </cell>
          <cell r="J705">
            <v>0</v>
          </cell>
          <cell r="K705" t="str">
            <v>gr</v>
          </cell>
          <cell r="L705" t="str">
            <v>0</v>
          </cell>
        </row>
        <row r="706">
          <cell r="F706" t="str">
            <v>CWVF0005</v>
          </cell>
          <cell r="G706" t="str">
            <v>WIP TAUGE NAMUL BIBIMBAP</v>
          </cell>
          <cell r="H706">
            <v>0</v>
          </cell>
          <cell r="I706">
            <v>0</v>
          </cell>
          <cell r="J706">
            <v>0</v>
          </cell>
          <cell r="K706" t="str">
            <v>gr</v>
          </cell>
          <cell r="L706" t="str">
            <v>0</v>
          </cell>
        </row>
        <row r="707">
          <cell r="F707" t="str">
            <v>CWVF0006</v>
          </cell>
          <cell r="G707" t="str">
            <v>WIP SAWI PUTIH TRIM</v>
          </cell>
          <cell r="H707">
            <v>0</v>
          </cell>
          <cell r="I707">
            <v>0</v>
          </cell>
          <cell r="J707">
            <v>0</v>
          </cell>
          <cell r="K707" t="str">
            <v>gr</v>
          </cell>
          <cell r="L707" t="str">
            <v>0</v>
          </cell>
        </row>
        <row r="708">
          <cell r="F708" t="str">
            <v>CWVF0007</v>
          </cell>
          <cell r="G708" t="str">
            <v>WIP SAWI PUTIH DIASINKAN</v>
          </cell>
          <cell r="H708">
            <v>0</v>
          </cell>
          <cell r="I708">
            <v>0</v>
          </cell>
          <cell r="J708">
            <v>0</v>
          </cell>
          <cell r="K708" t="str">
            <v>gr</v>
          </cell>
          <cell r="L708" t="str">
            <v>0</v>
          </cell>
        </row>
        <row r="709">
          <cell r="F709" t="str">
            <v>CWVF0008</v>
          </cell>
          <cell r="G709" t="str">
            <v>WIP BAWANG BOMBAY KUPAS</v>
          </cell>
          <cell r="H709">
            <v>0</v>
          </cell>
          <cell r="I709">
            <v>0</v>
          </cell>
          <cell r="J709">
            <v>0</v>
          </cell>
          <cell r="K709" t="str">
            <v>gr</v>
          </cell>
          <cell r="L709" t="str">
            <v>0</v>
          </cell>
        </row>
        <row r="710">
          <cell r="F710" t="str">
            <v>CWVF0009</v>
          </cell>
          <cell r="G710" t="str">
            <v>WIP KIMCHI</v>
          </cell>
          <cell r="H710">
            <v>0</v>
          </cell>
          <cell r="I710">
            <v>0</v>
          </cell>
          <cell r="J710">
            <v>0</v>
          </cell>
          <cell r="K710" t="str">
            <v>gr</v>
          </cell>
          <cell r="L710" t="str">
            <v>0</v>
          </cell>
        </row>
        <row r="711">
          <cell r="F711" t="str">
            <v>CWVF0010</v>
          </cell>
          <cell r="G711" t="str">
            <v>WIP TAUGE NAMUL GUJEOLPAN</v>
          </cell>
          <cell r="H711">
            <v>0</v>
          </cell>
          <cell r="I711">
            <v>0</v>
          </cell>
          <cell r="J711">
            <v>0</v>
          </cell>
          <cell r="K711" t="str">
            <v>gr</v>
          </cell>
          <cell r="L711" t="str">
            <v>0</v>
          </cell>
        </row>
        <row r="712">
          <cell r="F712" t="str">
            <v>CWVF0011</v>
          </cell>
          <cell r="G712" t="str">
            <v>WIP JAHE KUPAS</v>
          </cell>
          <cell r="H712">
            <v>0</v>
          </cell>
          <cell r="I712">
            <v>0</v>
          </cell>
          <cell r="J712">
            <v>0</v>
          </cell>
          <cell r="K712" t="str">
            <v>gr</v>
          </cell>
          <cell r="L712" t="str">
            <v>0</v>
          </cell>
        </row>
        <row r="713">
          <cell r="F713" t="str">
            <v>CWVF0012</v>
          </cell>
          <cell r="G713" t="str">
            <v>WIP BEET UNGU BERSIH</v>
          </cell>
          <cell r="H713">
            <v>0</v>
          </cell>
          <cell r="I713">
            <v>0</v>
          </cell>
          <cell r="J713">
            <v>0</v>
          </cell>
          <cell r="K713" t="str">
            <v>gr</v>
          </cell>
          <cell r="L713" t="str">
            <v>0</v>
          </cell>
        </row>
        <row r="714">
          <cell r="F714" t="str">
            <v>CWVF0013</v>
          </cell>
          <cell r="G714" t="str">
            <v>WIP ZUCCHINI TRIM</v>
          </cell>
          <cell r="H714">
            <v>0</v>
          </cell>
          <cell r="I714">
            <v>0</v>
          </cell>
          <cell r="J714">
            <v>0</v>
          </cell>
          <cell r="K714" t="str">
            <v>gr</v>
          </cell>
          <cell r="L714" t="str">
            <v>0</v>
          </cell>
        </row>
        <row r="715">
          <cell r="F715" t="str">
            <v>CWVF0014</v>
          </cell>
          <cell r="G715" t="str">
            <v>WIP BAWANG PUTIH BLENDER</v>
          </cell>
          <cell r="H715">
            <v>0</v>
          </cell>
          <cell r="I715">
            <v>0</v>
          </cell>
          <cell r="J715">
            <v>0</v>
          </cell>
          <cell r="K715" t="str">
            <v>gr</v>
          </cell>
          <cell r="L715" t="str">
            <v>0</v>
          </cell>
        </row>
        <row r="716">
          <cell r="F716" t="str">
            <v>CWVF0015</v>
          </cell>
          <cell r="G716" t="str">
            <v>WIP WORTEL KUPAS</v>
          </cell>
          <cell r="H716">
            <v>0</v>
          </cell>
          <cell r="I716">
            <v>0</v>
          </cell>
          <cell r="J716">
            <v>0</v>
          </cell>
          <cell r="K716" t="str">
            <v>gr</v>
          </cell>
          <cell r="L716" t="str">
            <v>0</v>
          </cell>
        </row>
        <row r="717">
          <cell r="F717" t="str">
            <v>CWVF0016</v>
          </cell>
          <cell r="G717" t="str">
            <v>WIP KOL TRIM</v>
          </cell>
          <cell r="H717">
            <v>0</v>
          </cell>
          <cell r="I717">
            <v>0</v>
          </cell>
          <cell r="J717">
            <v>0</v>
          </cell>
          <cell r="K717" t="str">
            <v>gr</v>
          </cell>
          <cell r="L717" t="str">
            <v>0</v>
          </cell>
        </row>
        <row r="718">
          <cell r="F718" t="str">
            <v>CWVF0017</v>
          </cell>
          <cell r="G718" t="str">
            <v>WIP DAUN BAWANG CUNG</v>
          </cell>
          <cell r="H718">
            <v>0</v>
          </cell>
          <cell r="I718">
            <v>0</v>
          </cell>
          <cell r="J718">
            <v>0</v>
          </cell>
          <cell r="K718" t="str">
            <v>gr</v>
          </cell>
          <cell r="L718" t="str">
            <v>0</v>
          </cell>
        </row>
        <row r="719">
          <cell r="F719" t="str">
            <v>CWVF0018</v>
          </cell>
          <cell r="G719" t="str">
            <v>WIP KUCAI TRIM</v>
          </cell>
          <cell r="H719">
            <v>0</v>
          </cell>
          <cell r="I719">
            <v>0</v>
          </cell>
          <cell r="J719">
            <v>0</v>
          </cell>
          <cell r="K719" t="str">
            <v>gr</v>
          </cell>
          <cell r="L719" t="str">
            <v>0</v>
          </cell>
        </row>
        <row r="720">
          <cell r="F720" t="str">
            <v>CWVF0019</v>
          </cell>
          <cell r="G720" t="str">
            <v>WIP CABE MERAH BESAR TRIM</v>
          </cell>
          <cell r="H720">
            <v>0</v>
          </cell>
          <cell r="I720">
            <v>0</v>
          </cell>
          <cell r="J720">
            <v>0</v>
          </cell>
          <cell r="K720" t="str">
            <v>gr</v>
          </cell>
          <cell r="L720" t="str">
            <v>0</v>
          </cell>
        </row>
        <row r="721">
          <cell r="F721" t="str">
            <v>CWVF0020</v>
          </cell>
          <cell r="G721" t="str">
            <v>WIP WORTEL SAUTE GIMBAP</v>
          </cell>
          <cell r="H721">
            <v>0</v>
          </cell>
          <cell r="I721">
            <v>0</v>
          </cell>
          <cell r="J721">
            <v>0</v>
          </cell>
          <cell r="K721" t="str">
            <v>gr</v>
          </cell>
          <cell r="L721" t="str">
            <v>0</v>
          </cell>
        </row>
        <row r="722">
          <cell r="F722" t="str">
            <v>CWVF0021</v>
          </cell>
          <cell r="G722" t="str">
            <v>WIP ZUCCHINI SAUTE</v>
          </cell>
          <cell r="H722">
            <v>0</v>
          </cell>
          <cell r="I722">
            <v>0</v>
          </cell>
          <cell r="J722">
            <v>0</v>
          </cell>
          <cell r="K722" t="str">
            <v>gr</v>
          </cell>
          <cell r="L722" t="str">
            <v>0</v>
          </cell>
        </row>
        <row r="723">
          <cell r="F723" t="str">
            <v>CWVF0022</v>
          </cell>
          <cell r="G723" t="str">
            <v>WIP UBI CILEMBU KUPAS</v>
          </cell>
          <cell r="H723">
            <v>0</v>
          </cell>
          <cell r="I723">
            <v>0</v>
          </cell>
          <cell r="J723">
            <v>0</v>
          </cell>
          <cell r="K723" t="str">
            <v>gr</v>
          </cell>
          <cell r="L723" t="str">
            <v>0</v>
          </cell>
        </row>
        <row r="724">
          <cell r="F724" t="str">
            <v>CWVF0023</v>
          </cell>
          <cell r="G724" t="str">
            <v>WIP CABE RAWIT MERAH IRIS</v>
          </cell>
          <cell r="H724">
            <v>0</v>
          </cell>
          <cell r="I724">
            <v>0</v>
          </cell>
          <cell r="J724">
            <v>0</v>
          </cell>
          <cell r="K724" t="str">
            <v>gr</v>
          </cell>
          <cell r="L724" t="str">
            <v>0</v>
          </cell>
        </row>
        <row r="725">
          <cell r="F725" t="str">
            <v>CWVF0024</v>
          </cell>
          <cell r="G725" t="str">
            <v>WIP Gobo Kupas</v>
          </cell>
          <cell r="H725">
            <v>0</v>
          </cell>
          <cell r="I725">
            <v>0</v>
          </cell>
          <cell r="J725">
            <v>0</v>
          </cell>
          <cell r="K725" t="str">
            <v>gr</v>
          </cell>
          <cell r="L725" t="str">
            <v>0</v>
          </cell>
        </row>
        <row r="726">
          <cell r="F726" t="str">
            <v>CWVF0025</v>
          </cell>
          <cell r="G726" t="str">
            <v>WIP GOBO SAUTE GIMBAP</v>
          </cell>
          <cell r="H726">
            <v>0</v>
          </cell>
          <cell r="I726">
            <v>0</v>
          </cell>
          <cell r="J726">
            <v>0</v>
          </cell>
          <cell r="K726" t="str">
            <v>gr</v>
          </cell>
          <cell r="L726" t="str">
            <v>0</v>
          </cell>
        </row>
        <row r="727">
          <cell r="F727" t="str">
            <v>CWVF0026</v>
          </cell>
          <cell r="G727" t="str">
            <v>WIP KYURI TANPA BIJI</v>
          </cell>
          <cell r="H727">
            <v>0</v>
          </cell>
          <cell r="I727">
            <v>0</v>
          </cell>
          <cell r="J727">
            <v>0</v>
          </cell>
          <cell r="K727" t="str">
            <v>gr</v>
          </cell>
          <cell r="L727" t="str">
            <v>0</v>
          </cell>
        </row>
        <row r="728">
          <cell r="F728" t="str">
            <v>CWVF0027</v>
          </cell>
          <cell r="G728" t="str">
            <v>WIP LOBAK KUPAS</v>
          </cell>
          <cell r="H728">
            <v>0</v>
          </cell>
          <cell r="I728">
            <v>0</v>
          </cell>
          <cell r="J728">
            <v>0</v>
          </cell>
          <cell r="K728" t="str">
            <v>gr</v>
          </cell>
          <cell r="L728" t="str">
            <v>0</v>
          </cell>
        </row>
        <row r="729">
          <cell r="F729" t="str">
            <v>CWVF0028</v>
          </cell>
          <cell r="G729" t="str">
            <v>WIP LOBAK DILAYUKAN</v>
          </cell>
          <cell r="H729">
            <v>0</v>
          </cell>
          <cell r="I729">
            <v>0</v>
          </cell>
          <cell r="J729">
            <v>0</v>
          </cell>
          <cell r="K729" t="str">
            <v>gr</v>
          </cell>
          <cell r="L729" t="str">
            <v>0</v>
          </cell>
        </row>
        <row r="730">
          <cell r="F730" t="str">
            <v>CWVF0029</v>
          </cell>
          <cell r="G730" t="str">
            <v>WIP Lobak Kuning</v>
          </cell>
          <cell r="H730">
            <v>0</v>
          </cell>
          <cell r="I730">
            <v>0</v>
          </cell>
          <cell r="J730">
            <v>0</v>
          </cell>
          <cell r="K730" t="str">
            <v>gr</v>
          </cell>
          <cell r="L730" t="str">
            <v>0</v>
          </cell>
        </row>
        <row r="731">
          <cell r="F731" t="str">
            <v>CWVF0030</v>
          </cell>
          <cell r="G731" t="str">
            <v>WIP LOBAK UNGU</v>
          </cell>
          <cell r="H731">
            <v>0</v>
          </cell>
          <cell r="I731">
            <v>0</v>
          </cell>
          <cell r="J731">
            <v>0</v>
          </cell>
          <cell r="K731" t="str">
            <v>gr</v>
          </cell>
          <cell r="L731" t="str">
            <v>0</v>
          </cell>
        </row>
        <row r="732">
          <cell r="F732" t="str">
            <v>CWVF0032</v>
          </cell>
          <cell r="G732" t="str">
            <v>WIP BAWANG PUTIH IRIS/CHOP</v>
          </cell>
          <cell r="H732">
            <v>0</v>
          </cell>
          <cell r="I732">
            <v>0</v>
          </cell>
          <cell r="J732">
            <v>0</v>
          </cell>
          <cell r="K732" t="str">
            <v>gr</v>
          </cell>
          <cell r="L732" t="str">
            <v>0</v>
          </cell>
        </row>
        <row r="733">
          <cell r="F733" t="str">
            <v>CWVF0033</v>
          </cell>
          <cell r="G733" t="str">
            <v>WIP SELADA KERITING BERSIH</v>
          </cell>
          <cell r="H733">
            <v>0</v>
          </cell>
          <cell r="I733">
            <v>0</v>
          </cell>
          <cell r="J733">
            <v>0</v>
          </cell>
          <cell r="K733" t="str">
            <v>gr</v>
          </cell>
          <cell r="L733" t="str">
            <v>0</v>
          </cell>
        </row>
        <row r="734">
          <cell r="F734" t="str">
            <v>CWVF0034</v>
          </cell>
          <cell r="G734" t="str">
            <v>WIP SHITAKE IRIS</v>
          </cell>
          <cell r="H734">
            <v>0</v>
          </cell>
          <cell r="I734">
            <v>0</v>
          </cell>
          <cell r="J734">
            <v>0</v>
          </cell>
          <cell r="K734" t="str">
            <v>gr</v>
          </cell>
          <cell r="L734" t="str">
            <v>0</v>
          </cell>
        </row>
        <row r="735">
          <cell r="F735" t="str">
            <v>CWVF0035</v>
          </cell>
          <cell r="G735" t="str">
            <v>WIP SHITAKE SAUTE</v>
          </cell>
          <cell r="H735">
            <v>0</v>
          </cell>
          <cell r="I735">
            <v>0</v>
          </cell>
          <cell r="J735">
            <v>0</v>
          </cell>
          <cell r="K735" t="str">
            <v>gr</v>
          </cell>
          <cell r="L735" t="str">
            <v>0</v>
          </cell>
        </row>
        <row r="736">
          <cell r="F736" t="str">
            <v>CWVF0036</v>
          </cell>
          <cell r="G736" t="str">
            <v>WIP WORTEL REBUS KUPAS KULIT</v>
          </cell>
          <cell r="H736">
            <v>0</v>
          </cell>
          <cell r="I736">
            <v>0</v>
          </cell>
          <cell r="J736">
            <v>0</v>
          </cell>
          <cell r="K736" t="str">
            <v>gr</v>
          </cell>
          <cell r="L736" t="str">
            <v>0</v>
          </cell>
        </row>
        <row r="737">
          <cell r="F737" t="str">
            <v>CWVF0037</v>
          </cell>
          <cell r="G737" t="str">
            <v>WIP GOBO IRIS</v>
          </cell>
          <cell r="H737">
            <v>0</v>
          </cell>
          <cell r="I737">
            <v>0</v>
          </cell>
          <cell r="J737">
            <v>0</v>
          </cell>
          <cell r="K737" t="str">
            <v>gr</v>
          </cell>
          <cell r="L737" t="str">
            <v>0</v>
          </cell>
        </row>
        <row r="738">
          <cell r="F738" t="str">
            <v>CWVF0038</v>
          </cell>
          <cell r="G738" t="str">
            <v>WIP SAYUR MIX TOKPOKKI</v>
          </cell>
          <cell r="H738">
            <v>0</v>
          </cell>
          <cell r="I738">
            <v>0</v>
          </cell>
          <cell r="J738">
            <v>0</v>
          </cell>
          <cell r="K738" t="str">
            <v>pack</v>
          </cell>
          <cell r="L738" t="str">
            <v>0</v>
          </cell>
        </row>
        <row r="739">
          <cell r="F739" t="str">
            <v>CWVF0039</v>
          </cell>
          <cell r="G739" t="str">
            <v>WIP SAYUR MIX PAJEON</v>
          </cell>
          <cell r="H739">
            <v>0</v>
          </cell>
          <cell r="I739">
            <v>0</v>
          </cell>
          <cell r="J739">
            <v>0</v>
          </cell>
          <cell r="K739" t="str">
            <v>pack</v>
          </cell>
          <cell r="L739" t="str">
            <v>0</v>
          </cell>
        </row>
        <row r="740">
          <cell r="F740" t="str">
            <v>CWVF0040</v>
          </cell>
          <cell r="G740" t="str">
            <v>WIP SAYUR MIX JAPCHAE</v>
          </cell>
          <cell r="H740">
            <v>0</v>
          </cell>
          <cell r="I740">
            <v>0</v>
          </cell>
          <cell r="J740">
            <v>0</v>
          </cell>
          <cell r="K740" t="str">
            <v>pack</v>
          </cell>
          <cell r="L740" t="str">
            <v>0</v>
          </cell>
        </row>
        <row r="741">
          <cell r="F741" t="str">
            <v>CWVF0041</v>
          </cell>
          <cell r="G741" t="str">
            <v>WIP ONION RING TWIGIM (SUDAH GORENG)</v>
          </cell>
          <cell r="H741">
            <v>0</v>
          </cell>
          <cell r="I741">
            <v>0</v>
          </cell>
          <cell r="J741">
            <v>0</v>
          </cell>
          <cell r="K741" t="str">
            <v>pcs</v>
          </cell>
          <cell r="L741" t="str">
            <v>0</v>
          </cell>
        </row>
        <row r="742">
          <cell r="F742" t="str">
            <v>CWVF0042</v>
          </cell>
          <cell r="G742" t="str">
            <v>WIP KENTANG KUPAS</v>
          </cell>
          <cell r="H742">
            <v>0</v>
          </cell>
          <cell r="I742">
            <v>0</v>
          </cell>
          <cell r="J742">
            <v>0</v>
          </cell>
          <cell r="K742" t="str">
            <v>gr</v>
          </cell>
          <cell r="L742" t="str">
            <v>0</v>
          </cell>
        </row>
        <row r="743">
          <cell r="F743" t="str">
            <v>CWVF0043</v>
          </cell>
          <cell r="G743" t="str">
            <v>WIP KENTANG DAKGALBI</v>
          </cell>
          <cell r="H743">
            <v>0</v>
          </cell>
          <cell r="I743">
            <v>0</v>
          </cell>
          <cell r="J743">
            <v>0</v>
          </cell>
          <cell r="K743" t="str">
            <v>gr</v>
          </cell>
          <cell r="L743" t="str">
            <v>0</v>
          </cell>
        </row>
        <row r="744">
          <cell r="F744" t="str">
            <v>CWVF0044</v>
          </cell>
          <cell r="G744" t="str">
            <v>WIP SHIMEJI IRIS</v>
          </cell>
          <cell r="H744">
            <v>0</v>
          </cell>
          <cell r="I744">
            <v>0</v>
          </cell>
          <cell r="J744">
            <v>0</v>
          </cell>
          <cell r="K744" t="str">
            <v>gr</v>
          </cell>
          <cell r="L744" t="str">
            <v>0</v>
          </cell>
        </row>
        <row r="745">
          <cell r="F745" t="str">
            <v>CWVF0045</v>
          </cell>
          <cell r="G745" t="str">
            <v>WIP SHIMEJI MARINATED</v>
          </cell>
          <cell r="H745">
            <v>0</v>
          </cell>
          <cell r="I745">
            <v>0</v>
          </cell>
          <cell r="J745">
            <v>0</v>
          </cell>
          <cell r="K745" t="str">
            <v>gr</v>
          </cell>
          <cell r="L745" t="str">
            <v>0</v>
          </cell>
        </row>
        <row r="746">
          <cell r="F746" t="str">
            <v>CWVF0046</v>
          </cell>
          <cell r="G746" t="str">
            <v>WIP HORENSO TRIM</v>
          </cell>
          <cell r="H746">
            <v>0</v>
          </cell>
          <cell r="I746">
            <v>0</v>
          </cell>
          <cell r="J746">
            <v>0</v>
          </cell>
          <cell r="K746" t="str">
            <v>gr</v>
          </cell>
          <cell r="L746" t="str">
            <v>0</v>
          </cell>
        </row>
        <row r="747">
          <cell r="F747" t="str">
            <v>CWVF0047</v>
          </cell>
          <cell r="G747" t="str">
            <v>WIP SAYUR MIX TWIGIM</v>
          </cell>
          <cell r="H747">
            <v>0</v>
          </cell>
          <cell r="I747">
            <v>0</v>
          </cell>
          <cell r="J747">
            <v>0</v>
          </cell>
          <cell r="K747" t="str">
            <v>gr</v>
          </cell>
          <cell r="L747" t="str">
            <v>0</v>
          </cell>
        </row>
        <row r="748">
          <cell r="F748" t="str">
            <v>CWVF0048</v>
          </cell>
          <cell r="G748" t="str">
            <v>WIP PICKLE RADISH SLICE</v>
          </cell>
          <cell r="H748">
            <v>0</v>
          </cell>
          <cell r="I748">
            <v>0</v>
          </cell>
          <cell r="J748">
            <v>0</v>
          </cell>
          <cell r="K748" t="str">
            <v>gr</v>
          </cell>
          <cell r="L748" t="str">
            <v>0</v>
          </cell>
        </row>
        <row r="749">
          <cell r="F749" t="str">
            <v>FFF00001</v>
          </cell>
          <cell r="G749" t="str">
            <v>EOMUK (ODENG) 1 KG</v>
          </cell>
          <cell r="H749">
            <v>72150</v>
          </cell>
          <cell r="I749">
            <v>0</v>
          </cell>
          <cell r="J749">
            <v>0</v>
          </cell>
          <cell r="K749" t="str">
            <v>kg</v>
          </cell>
          <cell r="L749" t="str">
            <v>0</v>
          </cell>
        </row>
        <row r="750">
          <cell r="F750" t="str">
            <v>FFF00002</v>
          </cell>
          <cell r="G750" t="str">
            <v>KANI STICK 500 G</v>
          </cell>
          <cell r="H750">
            <v>81200</v>
          </cell>
          <cell r="I750">
            <v>0</v>
          </cell>
          <cell r="J750">
            <v>0</v>
          </cell>
          <cell r="K750" t="str">
            <v>kg</v>
          </cell>
          <cell r="L750" t="str">
            <v>0</v>
          </cell>
        </row>
        <row r="751">
          <cell r="F751" t="str">
            <v>FFF00003</v>
          </cell>
          <cell r="G751" t="str">
            <v>MOMO WRAP 8 CM 50 LBR (INACTIVE OCT 2023)</v>
          </cell>
          <cell r="H751">
            <v>450</v>
          </cell>
          <cell r="I751">
            <v>0</v>
          </cell>
          <cell r="J751">
            <v>0</v>
          </cell>
          <cell r="K751" t="str">
            <v>lembar</v>
          </cell>
          <cell r="L751" t="str">
            <v>0</v>
          </cell>
        </row>
        <row r="752">
          <cell r="F752" t="str">
            <v>FFF00004</v>
          </cell>
          <cell r="G752" t="str">
            <v>KULIT LUMPIA TYJ 13x13 CM 50 LBR</v>
          </cell>
          <cell r="H752">
            <v>350</v>
          </cell>
          <cell r="I752">
            <v>0</v>
          </cell>
          <cell r="J752">
            <v>0</v>
          </cell>
          <cell r="K752" t="str">
            <v>lembar</v>
          </cell>
          <cell r="L752" t="str">
            <v>0</v>
          </cell>
        </row>
        <row r="753">
          <cell r="F753" t="str">
            <v>FFF00005</v>
          </cell>
          <cell r="G753" t="str">
            <v>FROZEN LIQUID WHOLE EGG 2 KG</v>
          </cell>
          <cell r="H753">
            <v>39500</v>
          </cell>
          <cell r="I753">
            <v>0</v>
          </cell>
          <cell r="J753">
            <v>0</v>
          </cell>
          <cell r="K753" t="str">
            <v>kg</v>
          </cell>
          <cell r="L753" t="str">
            <v>0</v>
          </cell>
        </row>
        <row r="754">
          <cell r="F754" t="str">
            <v>FFF00006</v>
          </cell>
          <cell r="G754" t="str">
            <v>SMOKED WIENER SKINLESS 1 KG (SAMPLE)</v>
          </cell>
          <cell r="H754">
            <v>0</v>
          </cell>
          <cell r="I754">
            <v>0</v>
          </cell>
          <cell r="J754">
            <v>0</v>
          </cell>
          <cell r="K754" t="str">
            <v>pack</v>
          </cell>
          <cell r="L754" t="str">
            <v>0</v>
          </cell>
        </row>
        <row r="755">
          <cell r="F755" t="str">
            <v>FFF00007</v>
          </cell>
          <cell r="G755" t="str">
            <v>TORTILLA WRAP 20 CM 20 LBR</v>
          </cell>
          <cell r="H755">
            <v>0</v>
          </cell>
          <cell r="I755">
            <v>0</v>
          </cell>
          <cell r="J755">
            <v>0</v>
          </cell>
          <cell r="K755" t="str">
            <v>lembar</v>
          </cell>
          <cell r="L755" t="str">
            <v>0</v>
          </cell>
        </row>
        <row r="756">
          <cell r="F756" t="str">
            <v>FFF00008</v>
          </cell>
          <cell r="G756" t="str">
            <v>TORTILA MINI TORTILAKU 900GR (SAMPLE)</v>
          </cell>
          <cell r="H756">
            <v>0</v>
          </cell>
          <cell r="I756">
            <v>0</v>
          </cell>
          <cell r="J756">
            <v>0</v>
          </cell>
          <cell r="K756" t="str">
            <v>pack</v>
          </cell>
          <cell r="L756" t="str">
            <v>0</v>
          </cell>
        </row>
        <row r="757">
          <cell r="F757" t="str">
            <v>FFF00009</v>
          </cell>
          <cell r="G757" t="str">
            <v>WAFFLE FRIES CROSSTRAX @1.8KG</v>
          </cell>
          <cell r="H757">
            <v>0</v>
          </cell>
          <cell r="I757">
            <v>0</v>
          </cell>
          <cell r="J757">
            <v>0</v>
          </cell>
          <cell r="K757" t="str">
            <v>kg</v>
          </cell>
          <cell r="L757" t="str">
            <v>0</v>
          </cell>
        </row>
        <row r="758">
          <cell r="F758" t="str">
            <v>FFF00010</v>
          </cell>
          <cell r="G758" t="str">
            <v>BROCCOLI FROZEN 1KG</v>
          </cell>
          <cell r="H758">
            <v>0</v>
          </cell>
          <cell r="I758">
            <v>0</v>
          </cell>
          <cell r="J758">
            <v>0</v>
          </cell>
          <cell r="K758" t="str">
            <v>kg</v>
          </cell>
          <cell r="L758" t="str">
            <v>0</v>
          </cell>
        </row>
        <row r="759">
          <cell r="F759" t="str">
            <v>FFF00011</v>
          </cell>
          <cell r="G759" t="str">
            <v>CRINKLE FRITES AVIKO</v>
          </cell>
          <cell r="H759">
            <v>0</v>
          </cell>
          <cell r="I759">
            <v>0</v>
          </cell>
          <cell r="J759">
            <v>0</v>
          </cell>
          <cell r="K759" t="str">
            <v>kg</v>
          </cell>
          <cell r="L759" t="str">
            <v>0</v>
          </cell>
        </row>
        <row r="760">
          <cell r="F760" t="str">
            <v>FFF00012</v>
          </cell>
          <cell r="G760" t="str">
            <v>EOMUK CEDEA 480 G</v>
          </cell>
          <cell r="H760">
            <v>0</v>
          </cell>
          <cell r="I760">
            <v>0</v>
          </cell>
          <cell r="J760">
            <v>0</v>
          </cell>
          <cell r="K760" t="str">
            <v>kg</v>
          </cell>
          <cell r="L760" t="str">
            <v>0</v>
          </cell>
        </row>
        <row r="761">
          <cell r="F761" t="str">
            <v>FFF00013</v>
          </cell>
          <cell r="G761" t="str">
            <v>SOFT PANCAKE SKIN</v>
          </cell>
          <cell r="H761">
            <v>0</v>
          </cell>
          <cell r="I761">
            <v>0</v>
          </cell>
          <cell r="J761">
            <v>0</v>
          </cell>
          <cell r="K761" t="str">
            <v>lembar</v>
          </cell>
          <cell r="L761" t="str">
            <v>0</v>
          </cell>
        </row>
        <row r="762">
          <cell r="F762" t="str">
            <v>FFF00014</v>
          </cell>
          <cell r="G762" t="str">
            <v>(INACTIVE) BREAD CRUMB FROZEN 2 KG</v>
          </cell>
          <cell r="H762">
            <v>0</v>
          </cell>
          <cell r="I762">
            <v>0</v>
          </cell>
          <cell r="J762">
            <v>0</v>
          </cell>
          <cell r="K762" t="str">
            <v>kg</v>
          </cell>
          <cell r="L762" t="str">
            <v>0</v>
          </cell>
        </row>
        <row r="763">
          <cell r="F763" t="str">
            <v>FFF00015</v>
          </cell>
          <cell r="G763" t="str">
            <v>UDANG VANAME 40-45 (IN ACTIVE)</v>
          </cell>
          <cell r="H763">
            <v>0</v>
          </cell>
          <cell r="I763">
            <v>0</v>
          </cell>
          <cell r="J763">
            <v>0</v>
          </cell>
          <cell r="K763" t="str">
            <v>kg</v>
          </cell>
          <cell r="L763" t="str">
            <v>0</v>
          </cell>
        </row>
        <row r="764">
          <cell r="F764" t="str">
            <v>FFF00016</v>
          </cell>
          <cell r="G764" t="str">
            <v>ICE CREAM VANILLA 8 LITER</v>
          </cell>
          <cell r="H764">
            <v>0</v>
          </cell>
          <cell r="I764">
            <v>0</v>
          </cell>
          <cell r="J764">
            <v>0</v>
          </cell>
          <cell r="K764" t="str">
            <v>pail</v>
          </cell>
          <cell r="L764" t="str">
            <v>0</v>
          </cell>
        </row>
        <row r="765">
          <cell r="F765" t="str">
            <v>FFF00017</v>
          </cell>
          <cell r="G765" t="str">
            <v>ICE CREAM CHOCOLATE 8 LITER</v>
          </cell>
          <cell r="H765">
            <v>0</v>
          </cell>
          <cell r="I765">
            <v>0</v>
          </cell>
          <cell r="J765">
            <v>0</v>
          </cell>
          <cell r="K765" t="str">
            <v>pail</v>
          </cell>
          <cell r="L765" t="str">
            <v>0</v>
          </cell>
        </row>
        <row r="766">
          <cell r="F766" t="str">
            <v>FFF00018</v>
          </cell>
          <cell r="G766" t="str">
            <v>GREEN PEAS 1 KG</v>
          </cell>
          <cell r="H766">
            <v>0</v>
          </cell>
          <cell r="I766">
            <v>0</v>
          </cell>
          <cell r="J766">
            <v>0</v>
          </cell>
          <cell r="K766" t="str">
            <v>pack</v>
          </cell>
          <cell r="L766" t="str">
            <v>0</v>
          </cell>
        </row>
        <row r="767">
          <cell r="F767" t="str">
            <v>FFF00019</v>
          </cell>
          <cell r="G767" t="str">
            <v>OTAK-OTAK SINGAPORE 1 KG</v>
          </cell>
          <cell r="H767">
            <v>0</v>
          </cell>
          <cell r="I767">
            <v>0</v>
          </cell>
          <cell r="J767">
            <v>0</v>
          </cell>
          <cell r="K767" t="str">
            <v>kg</v>
          </cell>
          <cell r="L767" t="str">
            <v>0</v>
          </cell>
        </row>
        <row r="768">
          <cell r="F768" t="str">
            <v>FFF00020</v>
          </cell>
          <cell r="G768" t="str">
            <v>KULIT MANDU D9CM @1KG</v>
          </cell>
          <cell r="H768">
            <v>0</v>
          </cell>
          <cell r="I768">
            <v>0</v>
          </cell>
          <cell r="J768">
            <v>0</v>
          </cell>
          <cell r="K768" t="str">
            <v>kg</v>
          </cell>
          <cell r="L768" t="str">
            <v>0</v>
          </cell>
        </row>
        <row r="769">
          <cell r="F769" t="str">
            <v>FFF00021</v>
          </cell>
          <cell r="G769" t="str">
            <v>MIE KALGUKSU 10 x 100 G</v>
          </cell>
          <cell r="H769">
            <v>0</v>
          </cell>
          <cell r="I769">
            <v>0</v>
          </cell>
          <cell r="J769">
            <v>0</v>
          </cell>
          <cell r="K769" t="str">
            <v>pcs</v>
          </cell>
          <cell r="L769" t="str">
            <v>0</v>
          </cell>
        </row>
        <row r="770">
          <cell r="F770" t="str">
            <v>FFF00022</v>
          </cell>
          <cell r="G770" t="str">
            <v>FROZEN LIQUID EGG WHITE 2 KG</v>
          </cell>
          <cell r="H770">
            <v>0</v>
          </cell>
          <cell r="I770">
            <v>0</v>
          </cell>
          <cell r="J770">
            <v>0</v>
          </cell>
          <cell r="K770" t="str">
            <v>kg</v>
          </cell>
          <cell r="L770" t="str">
            <v>0</v>
          </cell>
        </row>
        <row r="771">
          <cell r="F771" t="str">
            <v>FFF00023</v>
          </cell>
          <cell r="G771" t="str">
            <v>KANI STICK 1 KG</v>
          </cell>
          <cell r="H771">
            <v>0</v>
          </cell>
          <cell r="I771">
            <v>0</v>
          </cell>
          <cell r="J771">
            <v>0</v>
          </cell>
          <cell r="K771" t="str">
            <v>kg</v>
          </cell>
          <cell r="L771" t="str">
            <v>0</v>
          </cell>
        </row>
        <row r="772">
          <cell r="F772" t="str">
            <v>FFF00024</v>
          </cell>
          <cell r="G772" t="str">
            <v>KARAAGE GARLIC MINI FROZEN 1 KG</v>
          </cell>
          <cell r="H772">
            <v>0</v>
          </cell>
          <cell r="I772">
            <v>0</v>
          </cell>
          <cell r="J772">
            <v>0</v>
          </cell>
          <cell r="K772" t="str">
            <v>kg</v>
          </cell>
          <cell r="L772" t="str">
            <v>0</v>
          </cell>
        </row>
        <row r="773">
          <cell r="F773" t="str">
            <v>FGR00001</v>
          </cell>
          <cell r="G773" t="str">
            <v>DANGMYEON HAODAO 14 KG (INACTIVE)</v>
          </cell>
          <cell r="H773">
            <v>47857.14</v>
          </cell>
          <cell r="I773">
            <v>0</v>
          </cell>
          <cell r="J773">
            <v>0</v>
          </cell>
          <cell r="K773" t="str">
            <v>kg</v>
          </cell>
          <cell r="L773" t="str">
            <v>0</v>
          </cell>
        </row>
        <row r="774">
          <cell r="F774" t="str">
            <v>FGR00002</v>
          </cell>
          <cell r="G774" t="str">
            <v>MIE TELUR CAP 3 AYAM 200 G (INACTIVE OCT 2023)</v>
          </cell>
          <cell r="H774">
            <v>5250</v>
          </cell>
          <cell r="I774">
            <v>0</v>
          </cell>
          <cell r="J774">
            <v>0</v>
          </cell>
          <cell r="K774" t="str">
            <v>pack</v>
          </cell>
          <cell r="L774" t="str">
            <v>0</v>
          </cell>
        </row>
        <row r="775">
          <cell r="F775" t="str">
            <v>FGR00003</v>
          </cell>
          <cell r="G775" t="str">
            <v>TTEOK (RICE CAKE) 4 CM 1 KG</v>
          </cell>
          <cell r="H775">
            <v>37000</v>
          </cell>
          <cell r="I775">
            <v>0</v>
          </cell>
          <cell r="J775">
            <v>0</v>
          </cell>
          <cell r="K775" t="str">
            <v>kg</v>
          </cell>
          <cell r="L775" t="str">
            <v>0</v>
          </cell>
        </row>
        <row r="776">
          <cell r="F776" t="str">
            <v>FGR00004</v>
          </cell>
          <cell r="G776" t="str">
            <v>YAKI NORI 100 LBR</v>
          </cell>
          <cell r="H776">
            <v>1802</v>
          </cell>
          <cell r="I776">
            <v>0</v>
          </cell>
          <cell r="J776">
            <v>0</v>
          </cell>
          <cell r="K776" t="str">
            <v>lembar</v>
          </cell>
          <cell r="L776" t="str">
            <v>0</v>
          </cell>
        </row>
        <row r="777">
          <cell r="F777" t="str">
            <v>FGR00005</v>
          </cell>
          <cell r="G777" t="str">
            <v>COOKING CREAM 1 L</v>
          </cell>
          <cell r="H777">
            <v>66000</v>
          </cell>
          <cell r="I777">
            <v>0</v>
          </cell>
          <cell r="J777">
            <v>0</v>
          </cell>
          <cell r="K777" t="str">
            <v>pack</v>
          </cell>
          <cell r="L777" t="str">
            <v>0</v>
          </cell>
        </row>
        <row r="778">
          <cell r="F778" t="str">
            <v>FGR00007</v>
          </cell>
          <cell r="G778" t="str">
            <v>TUNA IN OIL 1.8 KG</v>
          </cell>
          <cell r="H778">
            <v>136500</v>
          </cell>
          <cell r="I778">
            <v>0</v>
          </cell>
          <cell r="J778">
            <v>0</v>
          </cell>
          <cell r="K778" t="str">
            <v>can</v>
          </cell>
          <cell r="L778" t="str">
            <v>0</v>
          </cell>
        </row>
        <row r="779">
          <cell r="F779" t="str">
            <v>FGR00008</v>
          </cell>
          <cell r="G779" t="str">
            <v>NORI TABUR / SEASONED LAVER POWDER 500 G (NON ACTIVE)</v>
          </cell>
          <cell r="H779">
            <v>261500</v>
          </cell>
          <cell r="I779">
            <v>0</v>
          </cell>
          <cell r="J779">
            <v>0</v>
          </cell>
          <cell r="K779" t="str">
            <v>kg</v>
          </cell>
          <cell r="L779" t="str">
            <v>0</v>
          </cell>
        </row>
        <row r="780">
          <cell r="F780" t="str">
            <v>FGR00009</v>
          </cell>
          <cell r="G780" t="str">
            <v>EBI TAWAR KASAR KUALITAS EKSPOR 500 G</v>
          </cell>
          <cell r="H780">
            <v>39600</v>
          </cell>
          <cell r="I780">
            <v>0</v>
          </cell>
          <cell r="J780">
            <v>0</v>
          </cell>
          <cell r="K780" t="str">
            <v>kg</v>
          </cell>
          <cell r="L780" t="str">
            <v>0</v>
          </cell>
        </row>
        <row r="781">
          <cell r="F781" t="str">
            <v>FGR00010</v>
          </cell>
          <cell r="G781" t="str">
            <v>KEJU CHEDDAR MEG BLOCK 160 G</v>
          </cell>
          <cell r="H781">
            <v>25500</v>
          </cell>
          <cell r="I781">
            <v>0</v>
          </cell>
          <cell r="J781">
            <v>0</v>
          </cell>
          <cell r="K781" t="str">
            <v>pack</v>
          </cell>
          <cell r="L781" t="str">
            <v>0</v>
          </cell>
        </row>
        <row r="782">
          <cell r="F782" t="str">
            <v>FGR00011</v>
          </cell>
          <cell r="G782" t="str">
            <v>WIJEN PUTIH 1 KG</v>
          </cell>
          <cell r="H782">
            <v>58500</v>
          </cell>
          <cell r="I782">
            <v>0</v>
          </cell>
          <cell r="J782">
            <v>0</v>
          </cell>
          <cell r="K782" t="str">
            <v>kg</v>
          </cell>
          <cell r="L782" t="str">
            <v>0</v>
          </cell>
        </row>
        <row r="783">
          <cell r="F783" t="str">
            <v>FGR00012</v>
          </cell>
          <cell r="G783" t="str">
            <v>TEPUNG MAIZENA MAIZENAKU 1 KG</v>
          </cell>
          <cell r="H783">
            <v>20000</v>
          </cell>
          <cell r="I783">
            <v>0</v>
          </cell>
          <cell r="J783">
            <v>0</v>
          </cell>
          <cell r="K783" t="str">
            <v>kg</v>
          </cell>
          <cell r="L783" t="str">
            <v>0</v>
          </cell>
        </row>
        <row r="784">
          <cell r="F784" t="str">
            <v>FGR00013</v>
          </cell>
          <cell r="G784" t="str">
            <v>TEPUNG KETAN ROSE BRAND 500 G</v>
          </cell>
          <cell r="H784">
            <v>28000</v>
          </cell>
          <cell r="I784">
            <v>0</v>
          </cell>
          <cell r="J784">
            <v>0</v>
          </cell>
          <cell r="K784" t="str">
            <v>kg</v>
          </cell>
          <cell r="L784" t="str">
            <v>0</v>
          </cell>
        </row>
        <row r="785">
          <cell r="F785" t="str">
            <v>FGR00014</v>
          </cell>
          <cell r="G785" t="str">
            <v>TEPUNG TERIGU SEGITIGA BIRU 1 KG</v>
          </cell>
          <cell r="H785">
            <v>13750</v>
          </cell>
          <cell r="I785">
            <v>0</v>
          </cell>
          <cell r="J785">
            <v>0</v>
          </cell>
          <cell r="K785" t="str">
            <v>kg</v>
          </cell>
          <cell r="L785" t="str">
            <v>0</v>
          </cell>
        </row>
        <row r="786">
          <cell r="F786" t="str">
            <v>FGR00015</v>
          </cell>
          <cell r="G786" t="str">
            <v>TEPUNG TAPIOKA PAK TANI GUNUNG 500 G</v>
          </cell>
          <cell r="H786">
            <v>15800</v>
          </cell>
          <cell r="I786">
            <v>0</v>
          </cell>
          <cell r="J786">
            <v>0</v>
          </cell>
          <cell r="K786" t="str">
            <v>kg</v>
          </cell>
          <cell r="L786" t="str">
            <v>0</v>
          </cell>
        </row>
        <row r="787">
          <cell r="F787" t="str">
            <v>FGR00016</v>
          </cell>
          <cell r="G787" t="str">
            <v>TEPUNG BERAS ROSE BRAND 500 G</v>
          </cell>
          <cell r="H787">
            <v>17000</v>
          </cell>
          <cell r="I787">
            <v>0</v>
          </cell>
          <cell r="J787">
            <v>0</v>
          </cell>
          <cell r="K787" t="str">
            <v>kg</v>
          </cell>
          <cell r="L787" t="str">
            <v>0</v>
          </cell>
        </row>
        <row r="788">
          <cell r="F788" t="str">
            <v>FGR00017</v>
          </cell>
          <cell r="G788" t="str">
            <v>MINYAK GORENG DORANG MAS 17 L (INACTIVE OCT 2023)</v>
          </cell>
          <cell r="H788">
            <v>21676.47</v>
          </cell>
          <cell r="I788">
            <v>0</v>
          </cell>
          <cell r="J788">
            <v>0</v>
          </cell>
          <cell r="K788" t="str">
            <v>liter</v>
          </cell>
          <cell r="L788" t="str">
            <v>0</v>
          </cell>
        </row>
        <row r="789">
          <cell r="F789" t="str">
            <v>FGR00018</v>
          </cell>
          <cell r="G789" t="str">
            <v>IKAN TERI MEDAN SIZE JUMBO (BESAR)</v>
          </cell>
          <cell r="H789">
            <v>155000</v>
          </cell>
          <cell r="I789">
            <v>0</v>
          </cell>
          <cell r="J789">
            <v>0</v>
          </cell>
          <cell r="K789" t="str">
            <v>gr</v>
          </cell>
          <cell r="L789" t="str">
            <v>0</v>
          </cell>
        </row>
        <row r="790">
          <cell r="F790" t="str">
            <v>FGR00019</v>
          </cell>
          <cell r="G790" t="str">
            <v>TELUR</v>
          </cell>
          <cell r="H790">
            <v>31000</v>
          </cell>
          <cell r="I790">
            <v>0</v>
          </cell>
          <cell r="J790">
            <v>0</v>
          </cell>
          <cell r="K790" t="str">
            <v>kg</v>
          </cell>
          <cell r="L790" t="str">
            <v>0</v>
          </cell>
        </row>
        <row r="791">
          <cell r="F791" t="str">
            <v>FGR00020</v>
          </cell>
          <cell r="G791" t="str">
            <v>BERAS PANDAN WANGI 10 KG</v>
          </cell>
          <cell r="H791">
            <v>14800</v>
          </cell>
          <cell r="I791">
            <v>0</v>
          </cell>
          <cell r="J791">
            <v>0</v>
          </cell>
          <cell r="K791" t="str">
            <v>kg</v>
          </cell>
          <cell r="L791" t="str">
            <v>0</v>
          </cell>
        </row>
        <row r="792">
          <cell r="F792" t="str">
            <v>FGR00021</v>
          </cell>
          <cell r="G792" t="str">
            <v>PAYA MEAT TENDERIZER 70 G</v>
          </cell>
          <cell r="H792">
            <v>15000</v>
          </cell>
          <cell r="I792">
            <v>0</v>
          </cell>
          <cell r="J792">
            <v>0</v>
          </cell>
          <cell r="K792" t="str">
            <v>bottle</v>
          </cell>
          <cell r="L792" t="str">
            <v>0</v>
          </cell>
        </row>
        <row r="793">
          <cell r="F793" t="str">
            <v>FGR00022</v>
          </cell>
          <cell r="G793" t="str">
            <v>KETAN 5 KG</v>
          </cell>
          <cell r="H793">
            <v>16000</v>
          </cell>
          <cell r="I793">
            <v>0</v>
          </cell>
          <cell r="J793">
            <v>0</v>
          </cell>
          <cell r="K793" t="str">
            <v>kg</v>
          </cell>
          <cell r="L793" t="str">
            <v>0</v>
          </cell>
        </row>
        <row r="794">
          <cell r="F794" t="str">
            <v>FGR00023</v>
          </cell>
          <cell r="G794" t="str">
            <v>CUKA DIXI / BELIBIS 650 ML</v>
          </cell>
          <cell r="H794">
            <v>18250</v>
          </cell>
          <cell r="I794">
            <v>0</v>
          </cell>
          <cell r="J794">
            <v>0</v>
          </cell>
          <cell r="K794" t="str">
            <v xml:space="preserve">bottle_x000D_
</v>
          </cell>
          <cell r="L794" t="str">
            <v>0</v>
          </cell>
        </row>
        <row r="795">
          <cell r="F795" t="str">
            <v>FGR00024</v>
          </cell>
          <cell r="G795" t="str">
            <v>WHITE VINEGAR HEINZ 896 ML</v>
          </cell>
          <cell r="H795">
            <v>61050</v>
          </cell>
          <cell r="I795">
            <v>0</v>
          </cell>
          <cell r="J795">
            <v>0</v>
          </cell>
          <cell r="K795" t="str">
            <v>bottle</v>
          </cell>
          <cell r="L795" t="str">
            <v>0</v>
          </cell>
        </row>
        <row r="796">
          <cell r="F796" t="str">
            <v>FGR00026</v>
          </cell>
          <cell r="G796" t="str">
            <v>MEG CHEDDAR SLICE MELT 20 SLICES</v>
          </cell>
          <cell r="H796">
            <v>2500</v>
          </cell>
          <cell r="I796">
            <v>0</v>
          </cell>
          <cell r="J796">
            <v>0</v>
          </cell>
          <cell r="K796" t="str">
            <v>slices</v>
          </cell>
          <cell r="L796" t="str">
            <v>0</v>
          </cell>
        </row>
        <row r="797">
          <cell r="F797" t="str">
            <v>FGR00027</v>
          </cell>
          <cell r="G797" t="str">
            <v>PEWARNA KOEPOE" KUNING TUA 30 ML</v>
          </cell>
          <cell r="H797">
            <v>5500</v>
          </cell>
          <cell r="I797">
            <v>0</v>
          </cell>
          <cell r="J797">
            <v>0</v>
          </cell>
          <cell r="K797" t="str">
            <v>bottle</v>
          </cell>
          <cell r="L797" t="str">
            <v>0</v>
          </cell>
        </row>
        <row r="798">
          <cell r="F798" t="str">
            <v>FGR00028</v>
          </cell>
          <cell r="G798" t="str">
            <v>PEWARNA KOEPOE" ORANGE 30 ML</v>
          </cell>
          <cell r="H798">
            <v>3800</v>
          </cell>
          <cell r="I798">
            <v>0</v>
          </cell>
          <cell r="J798">
            <v>0</v>
          </cell>
          <cell r="K798" t="str">
            <v>bottle</v>
          </cell>
          <cell r="L798" t="str">
            <v>0</v>
          </cell>
        </row>
        <row r="799">
          <cell r="F799" t="str">
            <v>FGR00029</v>
          </cell>
          <cell r="G799" t="str">
            <v>PEWARNA KOEPOE" HIJAU MUDA 30 ML</v>
          </cell>
          <cell r="H799">
            <v>3800</v>
          </cell>
          <cell r="I799">
            <v>0</v>
          </cell>
          <cell r="J799">
            <v>0</v>
          </cell>
          <cell r="K799" t="str">
            <v>bottle</v>
          </cell>
          <cell r="L799" t="str">
            <v>0</v>
          </cell>
        </row>
        <row r="800">
          <cell r="F800" t="str">
            <v>FGR00030</v>
          </cell>
          <cell r="G800" t="str">
            <v>PEWARNA KOEPOE" MERAH ROSE 30 ML</v>
          </cell>
          <cell r="H800">
            <v>3800</v>
          </cell>
          <cell r="I800">
            <v>0</v>
          </cell>
          <cell r="J800">
            <v>0</v>
          </cell>
          <cell r="K800" t="str">
            <v>bottle</v>
          </cell>
          <cell r="L800" t="str">
            <v>0</v>
          </cell>
        </row>
        <row r="801">
          <cell r="F801" t="str">
            <v>FGR00031</v>
          </cell>
          <cell r="G801" t="str">
            <v>CREAM CHEESE ANCHOR 1 KG</v>
          </cell>
          <cell r="H801">
            <v>105000</v>
          </cell>
          <cell r="I801">
            <v>0</v>
          </cell>
          <cell r="J801">
            <v>0</v>
          </cell>
          <cell r="K801" t="str">
            <v>kg</v>
          </cell>
          <cell r="L801" t="str">
            <v>0</v>
          </cell>
        </row>
        <row r="802">
          <cell r="F802" t="str">
            <v>FGR00032</v>
          </cell>
          <cell r="G802" t="str">
            <v>TELUR 1 PETI (15 KG) (INACTIVE OCT 2023)</v>
          </cell>
          <cell r="H802">
            <v>0</v>
          </cell>
          <cell r="I802">
            <v>0</v>
          </cell>
          <cell r="J802">
            <v>0</v>
          </cell>
          <cell r="K802" t="str">
            <v>kg</v>
          </cell>
          <cell r="L802" t="str">
            <v>0</v>
          </cell>
        </row>
        <row r="803">
          <cell r="F803" t="str">
            <v>FGR00033</v>
          </cell>
          <cell r="G803" t="str">
            <v>DANGMYEON CJ 10 x 1 KG</v>
          </cell>
          <cell r="H803">
            <v>56832</v>
          </cell>
          <cell r="I803">
            <v>0</v>
          </cell>
          <cell r="J803">
            <v>0</v>
          </cell>
          <cell r="K803" t="str">
            <v>kg</v>
          </cell>
          <cell r="L803" t="str">
            <v>0</v>
          </cell>
        </row>
        <row r="804">
          <cell r="F804" t="str">
            <v>FGR00034</v>
          </cell>
          <cell r="G804" t="str">
            <v>BERAS SETRA RAMOS (SAMPLE)</v>
          </cell>
          <cell r="H804">
            <v>0</v>
          </cell>
          <cell r="I804">
            <v>0</v>
          </cell>
          <cell r="J804">
            <v>0</v>
          </cell>
          <cell r="K804" t="str">
            <v>kg</v>
          </cell>
          <cell r="L804" t="str">
            <v>0</v>
          </cell>
        </row>
        <row r="805">
          <cell r="F805" t="str">
            <v>FGR00035</v>
          </cell>
          <cell r="G805" t="str">
            <v>GLORIPAN INSTAN DRY YEAST (SAMPLE)</v>
          </cell>
          <cell r="H805">
            <v>0</v>
          </cell>
          <cell r="I805">
            <v>0</v>
          </cell>
          <cell r="J805">
            <v>0</v>
          </cell>
          <cell r="K805" t="str">
            <v>gr</v>
          </cell>
          <cell r="L805" t="str">
            <v>0</v>
          </cell>
        </row>
        <row r="806">
          <cell r="F806" t="str">
            <v>FGR00036</v>
          </cell>
          <cell r="G806" t="str">
            <v>BLUEBAND</v>
          </cell>
          <cell r="H806">
            <v>0</v>
          </cell>
          <cell r="I806">
            <v>0</v>
          </cell>
          <cell r="J806">
            <v>0</v>
          </cell>
          <cell r="K806" t="str">
            <v>gr</v>
          </cell>
          <cell r="L806" t="str">
            <v>0</v>
          </cell>
        </row>
        <row r="807">
          <cell r="F807" t="str">
            <v>FGR00037</v>
          </cell>
          <cell r="G807" t="str">
            <v>CREAM CHEESE ANCHOR 1 KG (INACTIVE OCT 2023)</v>
          </cell>
          <cell r="H807">
            <v>24150</v>
          </cell>
          <cell r="I807">
            <v>0</v>
          </cell>
          <cell r="J807">
            <v>0</v>
          </cell>
          <cell r="K807" t="str">
            <v>kg</v>
          </cell>
          <cell r="L807" t="str">
            <v>0</v>
          </cell>
        </row>
        <row r="808">
          <cell r="F808" t="str">
            <v>FGR00038</v>
          </cell>
          <cell r="G808" t="str">
            <v>TELUR 1 PETI 15 KG (INACTIVE OCT 2023)</v>
          </cell>
          <cell r="H808">
            <v>370000</v>
          </cell>
          <cell r="I808">
            <v>0</v>
          </cell>
          <cell r="J808">
            <v>0</v>
          </cell>
          <cell r="K808" t="str">
            <v>kg</v>
          </cell>
          <cell r="L808" t="str">
            <v>0</v>
          </cell>
        </row>
        <row r="809">
          <cell r="F809" t="str">
            <v>FGR00039</v>
          </cell>
          <cell r="G809" t="str">
            <v>DANGMYEON 14 KG ( ANEKA DASUIB )</v>
          </cell>
          <cell r="H809">
            <v>568320</v>
          </cell>
          <cell r="I809">
            <v>0</v>
          </cell>
          <cell r="J809">
            <v>0</v>
          </cell>
          <cell r="K809" t="str">
            <v>kg</v>
          </cell>
          <cell r="L809" t="str">
            <v>0</v>
          </cell>
        </row>
        <row r="810">
          <cell r="F810" t="str">
            <v>FGR00040</v>
          </cell>
          <cell r="G810" t="str">
            <v>MIE INSTAN BURUNG DARA 10 PACK x 266 G</v>
          </cell>
          <cell r="H810">
            <v>0</v>
          </cell>
          <cell r="I810">
            <v>0</v>
          </cell>
          <cell r="J810">
            <v>0</v>
          </cell>
          <cell r="K810" t="str">
            <v>kg</v>
          </cell>
          <cell r="L810" t="str">
            <v>0</v>
          </cell>
        </row>
        <row r="811">
          <cell r="F811" t="str">
            <v>FGR00041</v>
          </cell>
          <cell r="G811" t="str">
            <v>PEWARNA KOEPOE" COKLAT 30 ML</v>
          </cell>
          <cell r="H811">
            <v>3800</v>
          </cell>
          <cell r="I811">
            <v>0</v>
          </cell>
          <cell r="J811">
            <v>0</v>
          </cell>
          <cell r="K811" t="str">
            <v>bottle</v>
          </cell>
          <cell r="L811" t="str">
            <v>0</v>
          </cell>
        </row>
        <row r="812">
          <cell r="F812" t="str">
            <v>FGR00042</v>
          </cell>
          <cell r="G812" t="str">
            <v>IKAN TERI JENGKI (SAMPLE)</v>
          </cell>
          <cell r="H812">
            <v>0</v>
          </cell>
          <cell r="I812">
            <v>0</v>
          </cell>
          <cell r="J812">
            <v>0</v>
          </cell>
          <cell r="K812" t="str">
            <v>kg</v>
          </cell>
          <cell r="L812" t="str">
            <v>0</v>
          </cell>
        </row>
        <row r="813">
          <cell r="F813" t="str">
            <v>FGR00043</v>
          </cell>
          <cell r="G813" t="str">
            <v>MINYAK GORENG DORANG MAS 18 L</v>
          </cell>
          <cell r="H813">
            <v>0</v>
          </cell>
          <cell r="I813">
            <v>0</v>
          </cell>
          <cell r="J813">
            <v>0</v>
          </cell>
          <cell r="K813" t="str">
            <v>liter</v>
          </cell>
          <cell r="L813" t="str">
            <v>0</v>
          </cell>
        </row>
        <row r="814">
          <cell r="F814" t="str">
            <v>FGR00045</v>
          </cell>
          <cell r="G814" t="str">
            <v>PEWARNA MOHLER LEMON YELLOW</v>
          </cell>
          <cell r="H814">
            <v>0</v>
          </cell>
          <cell r="I814">
            <v>0</v>
          </cell>
          <cell r="J814">
            <v>0</v>
          </cell>
          <cell r="K814" t="str">
            <v>bottle</v>
          </cell>
          <cell r="L814" t="str">
            <v>0</v>
          </cell>
        </row>
        <row r="815">
          <cell r="F815" t="str">
            <v>FGR00046</v>
          </cell>
          <cell r="G815" t="str">
            <v>PEWARNA MOHLER ROSE PINK</v>
          </cell>
          <cell r="H815">
            <v>0</v>
          </cell>
          <cell r="I815">
            <v>0</v>
          </cell>
          <cell r="J815">
            <v>0</v>
          </cell>
          <cell r="K815" t="str">
            <v>bottle</v>
          </cell>
          <cell r="L815" t="str">
            <v>0</v>
          </cell>
        </row>
        <row r="816">
          <cell r="F816" t="str">
            <v>FGR00047</v>
          </cell>
          <cell r="G816" t="str">
            <v>PEWARNA MOHLER PANDAN GREEN</v>
          </cell>
          <cell r="H816">
            <v>0</v>
          </cell>
          <cell r="I816">
            <v>0</v>
          </cell>
          <cell r="J816">
            <v>0</v>
          </cell>
          <cell r="K816" t="str">
            <v>bottle</v>
          </cell>
          <cell r="L816" t="str">
            <v>0</v>
          </cell>
        </row>
        <row r="817">
          <cell r="F817" t="str">
            <v>FGR00048</v>
          </cell>
          <cell r="G817" t="str">
            <v>PEWARNA MOHLER PURPLE</v>
          </cell>
          <cell r="H817">
            <v>0</v>
          </cell>
          <cell r="I817">
            <v>0</v>
          </cell>
          <cell r="J817">
            <v>0</v>
          </cell>
          <cell r="K817" t="str">
            <v>bottle</v>
          </cell>
          <cell r="L817" t="str">
            <v>0</v>
          </cell>
        </row>
        <row r="818">
          <cell r="F818" t="str">
            <v>FGR00049</v>
          </cell>
          <cell r="G818" t="str">
            <v>PEWARNA MOHLER EGG YELLOW</v>
          </cell>
          <cell r="H818">
            <v>0</v>
          </cell>
          <cell r="I818">
            <v>0</v>
          </cell>
          <cell r="J818">
            <v>0</v>
          </cell>
          <cell r="K818" t="str">
            <v>bottle</v>
          </cell>
          <cell r="L818" t="str">
            <v>0</v>
          </cell>
        </row>
        <row r="819">
          <cell r="F819" t="str">
            <v>FGR00050</v>
          </cell>
          <cell r="G819" t="str">
            <v>TEPUNG TAPIOKA PAK TANI GUNUNG 25 KG</v>
          </cell>
          <cell r="H819">
            <v>0</v>
          </cell>
          <cell r="I819">
            <v>0</v>
          </cell>
          <cell r="J819">
            <v>0</v>
          </cell>
          <cell r="K819" t="str">
            <v>kg</v>
          </cell>
          <cell r="L819" t="str">
            <v>0</v>
          </cell>
        </row>
        <row r="820">
          <cell r="F820" t="str">
            <v>FGR00051</v>
          </cell>
          <cell r="G820" t="str">
            <v>TEPUNG MAIZENA MAIZENAKU 10KG</v>
          </cell>
          <cell r="H820">
            <v>0</v>
          </cell>
          <cell r="I820">
            <v>0</v>
          </cell>
          <cell r="J820">
            <v>0</v>
          </cell>
          <cell r="K820" t="str">
            <v>kg</v>
          </cell>
          <cell r="L820" t="str">
            <v>0</v>
          </cell>
        </row>
        <row r="821">
          <cell r="F821" t="str">
            <v>FGR00052</v>
          </cell>
          <cell r="G821" t="str">
            <v>TEPUNG DOUBLE ZERO 10X1</v>
          </cell>
          <cell r="H821">
            <v>0</v>
          </cell>
          <cell r="I821">
            <v>0</v>
          </cell>
          <cell r="J821">
            <v>0</v>
          </cell>
          <cell r="K821" t="str">
            <v>kg</v>
          </cell>
          <cell r="L821" t="str">
            <v>0</v>
          </cell>
        </row>
        <row r="822">
          <cell r="F822" t="str">
            <v>FGR00053</v>
          </cell>
          <cell r="G822" t="str">
            <v>GULA HALUS ROSE BRAND 500 G</v>
          </cell>
          <cell r="H822">
            <v>0</v>
          </cell>
          <cell r="I822">
            <v>0</v>
          </cell>
          <cell r="J822">
            <v>0</v>
          </cell>
          <cell r="K822" t="str">
            <v>gr</v>
          </cell>
          <cell r="L822" t="str">
            <v>0</v>
          </cell>
        </row>
        <row r="823">
          <cell r="F823" t="str">
            <v>FGR00054</v>
          </cell>
          <cell r="G823" t="str">
            <v>SUSU BUBUK BAKER'S MIX 9 X 500 G</v>
          </cell>
          <cell r="H823">
            <v>0</v>
          </cell>
          <cell r="I823">
            <v>0</v>
          </cell>
          <cell r="J823">
            <v>0</v>
          </cell>
          <cell r="K823" t="str">
            <v>gr</v>
          </cell>
          <cell r="L823" t="str">
            <v>0</v>
          </cell>
        </row>
        <row r="824">
          <cell r="F824" t="str">
            <v>FGR00055</v>
          </cell>
          <cell r="G824" t="str">
            <v>BAKING POWDER HERCULES 450 G</v>
          </cell>
          <cell r="H824">
            <v>0</v>
          </cell>
          <cell r="I824">
            <v>0</v>
          </cell>
          <cell r="J824">
            <v>0</v>
          </cell>
          <cell r="K824" t="str">
            <v>gr</v>
          </cell>
          <cell r="L824" t="str">
            <v>0</v>
          </cell>
        </row>
        <row r="825">
          <cell r="F825" t="str">
            <v>FGR00056</v>
          </cell>
          <cell r="G825" t="str">
            <v>BERAS RAMOS LONG GRAIN NANAS 25 KG</v>
          </cell>
          <cell r="H825">
            <v>0</v>
          </cell>
          <cell r="I825">
            <v>0</v>
          </cell>
          <cell r="J825">
            <v>0</v>
          </cell>
          <cell r="K825" t="str">
            <v>kg</v>
          </cell>
          <cell r="L825" t="str">
            <v>0</v>
          </cell>
        </row>
        <row r="826">
          <cell r="F826" t="str">
            <v>FGR00057</v>
          </cell>
          <cell r="G826" t="str">
            <v>MINYAK GORENG BIMOLI 18 L</v>
          </cell>
          <cell r="H826">
            <v>0</v>
          </cell>
          <cell r="I826">
            <v>0</v>
          </cell>
          <cell r="J826">
            <v>0</v>
          </cell>
          <cell r="K826" t="str">
            <v>liter</v>
          </cell>
          <cell r="L826" t="str">
            <v>0</v>
          </cell>
        </row>
        <row r="827">
          <cell r="F827" t="str">
            <v>FGR00058</v>
          </cell>
          <cell r="G827" t="str">
            <v>WIJEN HITAM 1 KG</v>
          </cell>
          <cell r="H827">
            <v>0</v>
          </cell>
          <cell r="I827">
            <v>0</v>
          </cell>
          <cell r="J827">
            <v>0</v>
          </cell>
          <cell r="K827" t="str">
            <v>kg</v>
          </cell>
          <cell r="L827" t="str">
            <v>0</v>
          </cell>
        </row>
        <row r="828">
          <cell r="F828" t="str">
            <v>FGR00059</v>
          </cell>
          <cell r="G828" t="str">
            <v>TULIP MASTER FILLING</v>
          </cell>
          <cell r="H828">
            <v>0</v>
          </cell>
          <cell r="I828">
            <v>0</v>
          </cell>
          <cell r="J828">
            <v>0</v>
          </cell>
          <cell r="K828" t="str">
            <v>kg</v>
          </cell>
          <cell r="L828" t="str">
            <v>0</v>
          </cell>
        </row>
        <row r="829">
          <cell r="F829" t="str">
            <v>FGR00060</v>
          </cell>
          <cell r="G829" t="str">
            <v>NUTRIGEL</v>
          </cell>
          <cell r="H829">
            <v>0</v>
          </cell>
          <cell r="I829">
            <v>0</v>
          </cell>
          <cell r="J829">
            <v>0</v>
          </cell>
          <cell r="K829" t="str">
            <v>pcs</v>
          </cell>
          <cell r="L829" t="str">
            <v>0</v>
          </cell>
        </row>
        <row r="830">
          <cell r="F830" t="str">
            <v>FGR00061</v>
          </cell>
          <cell r="G830" t="str">
            <v>BLUEBAND 2 KG</v>
          </cell>
          <cell r="H830">
            <v>0</v>
          </cell>
          <cell r="I830">
            <v>0</v>
          </cell>
          <cell r="J830">
            <v>0</v>
          </cell>
          <cell r="K830" t="str">
            <v>kg</v>
          </cell>
          <cell r="L830" t="str">
            <v>0</v>
          </cell>
        </row>
        <row r="831">
          <cell r="F831" t="str">
            <v>FGR00062</v>
          </cell>
          <cell r="G831" t="str">
            <v>BLUEBAND 4 X 4,5 KG</v>
          </cell>
          <cell r="H831">
            <v>0</v>
          </cell>
          <cell r="I831">
            <v>0</v>
          </cell>
          <cell r="J831">
            <v>0</v>
          </cell>
          <cell r="K831" t="str">
            <v>kg</v>
          </cell>
          <cell r="L831" t="str">
            <v>0</v>
          </cell>
        </row>
        <row r="832">
          <cell r="F832" t="str">
            <v>FGR00063</v>
          </cell>
          <cell r="G832" t="str">
            <v>CHAPSAL GARU 1 KG</v>
          </cell>
          <cell r="H832">
            <v>0</v>
          </cell>
          <cell r="I832">
            <v>0</v>
          </cell>
          <cell r="J832">
            <v>0</v>
          </cell>
          <cell r="K832" t="str">
            <v>kg</v>
          </cell>
          <cell r="L832" t="str">
            <v>0</v>
          </cell>
        </row>
        <row r="833">
          <cell r="F833" t="str">
            <v>FGR00064</v>
          </cell>
          <cell r="G833" t="str">
            <v>YEAST SAF-INSTANT MERAH 500 G</v>
          </cell>
          <cell r="H833">
            <v>0</v>
          </cell>
          <cell r="I833">
            <v>0</v>
          </cell>
          <cell r="J833">
            <v>0</v>
          </cell>
          <cell r="K833" t="str">
            <v>gr</v>
          </cell>
          <cell r="L833" t="str">
            <v>0</v>
          </cell>
        </row>
        <row r="834">
          <cell r="F834" t="str">
            <v>FGR00065</v>
          </cell>
          <cell r="G834" t="str">
            <v>POTATO FLAKES 20KG/SACK</v>
          </cell>
          <cell r="H834">
            <v>0</v>
          </cell>
          <cell r="I834">
            <v>0</v>
          </cell>
          <cell r="J834">
            <v>0</v>
          </cell>
          <cell r="K834" t="str">
            <v>kg</v>
          </cell>
          <cell r="L834" t="str">
            <v>0</v>
          </cell>
        </row>
        <row r="835">
          <cell r="F835" t="str">
            <v>FGR00066</v>
          </cell>
          <cell r="G835" t="str">
            <v>KAYU MANIS BUBUK KOPOE" 1 KG</v>
          </cell>
          <cell r="H835">
            <v>0</v>
          </cell>
          <cell r="I835">
            <v>0</v>
          </cell>
          <cell r="J835">
            <v>0</v>
          </cell>
          <cell r="K835" t="str">
            <v>kg</v>
          </cell>
          <cell r="L835" t="str">
            <v>0</v>
          </cell>
        </row>
        <row r="836">
          <cell r="F836" t="str">
            <v>FGR00067</v>
          </cell>
          <cell r="G836" t="str">
            <v>CHOCOLATE PASTE TULIP MASTER FILLING 5 KG</v>
          </cell>
          <cell r="H836">
            <v>0</v>
          </cell>
          <cell r="I836">
            <v>0</v>
          </cell>
          <cell r="J836">
            <v>0</v>
          </cell>
          <cell r="K836" t="str">
            <v>kg</v>
          </cell>
          <cell r="L836" t="str">
            <v>0</v>
          </cell>
        </row>
        <row r="837">
          <cell r="F837" t="str">
            <v>FGR00068</v>
          </cell>
          <cell r="G837" t="str">
            <v>MOZZARELLA J-PIZZA 1 KG</v>
          </cell>
          <cell r="H837">
            <v>0</v>
          </cell>
          <cell r="I837">
            <v>0</v>
          </cell>
          <cell r="J837">
            <v>0</v>
          </cell>
          <cell r="K837" t="str">
            <v>kg</v>
          </cell>
          <cell r="L837" t="str">
            <v>0</v>
          </cell>
        </row>
        <row r="838">
          <cell r="F838" t="str">
            <v>FGR00069</v>
          </cell>
          <cell r="G838" t="str">
            <v>KOEPOE" CRYSTAL VANILI 20 G</v>
          </cell>
          <cell r="H838">
            <v>0</v>
          </cell>
          <cell r="I838">
            <v>0</v>
          </cell>
          <cell r="J838">
            <v>0</v>
          </cell>
          <cell r="K838" t="str">
            <v>gr</v>
          </cell>
          <cell r="L838" t="str">
            <v>0</v>
          </cell>
        </row>
        <row r="839">
          <cell r="F839" t="str">
            <v>FGR00070</v>
          </cell>
          <cell r="G839" t="str">
            <v>VANILI PASTE KOEPOE" 1 LITER</v>
          </cell>
          <cell r="H839">
            <v>0</v>
          </cell>
          <cell r="I839">
            <v>0</v>
          </cell>
          <cell r="J839">
            <v>0</v>
          </cell>
          <cell r="K839" t="str">
            <v>liter</v>
          </cell>
          <cell r="L839" t="str">
            <v>0</v>
          </cell>
        </row>
        <row r="840">
          <cell r="F840" t="str">
            <v>FGR00071</v>
          </cell>
          <cell r="G840" t="str">
            <v>MIE ATOM 200 G</v>
          </cell>
          <cell r="H840">
            <v>0</v>
          </cell>
          <cell r="I840">
            <v>0</v>
          </cell>
          <cell r="J840">
            <v>0</v>
          </cell>
          <cell r="K840" t="str">
            <v>gr</v>
          </cell>
          <cell r="L840" t="str">
            <v>0</v>
          </cell>
        </row>
        <row r="841">
          <cell r="F841" t="str">
            <v>FGR00072</v>
          </cell>
          <cell r="G841" t="str">
            <v>CHICKEN BROTH POWDER 500 G</v>
          </cell>
          <cell r="H841">
            <v>0</v>
          </cell>
          <cell r="I841">
            <v>0</v>
          </cell>
          <cell r="J841">
            <v>0</v>
          </cell>
          <cell r="K841" t="str">
            <v>kg</v>
          </cell>
          <cell r="L841" t="str">
            <v>0</v>
          </cell>
        </row>
        <row r="842">
          <cell r="F842" t="str">
            <v>FGR00073</v>
          </cell>
          <cell r="G842" t="str">
            <v>BAKING POWDER KOEPOE"</v>
          </cell>
          <cell r="H842">
            <v>0</v>
          </cell>
          <cell r="I842">
            <v>0</v>
          </cell>
          <cell r="J842">
            <v>0</v>
          </cell>
          <cell r="K842" t="str">
            <v>gr</v>
          </cell>
          <cell r="L842" t="str">
            <v>0</v>
          </cell>
        </row>
        <row r="843">
          <cell r="F843" t="str">
            <v>FGR00074</v>
          </cell>
          <cell r="G843" t="str">
            <v>TEPUNG NINJA 10X1</v>
          </cell>
          <cell r="H843">
            <v>0</v>
          </cell>
          <cell r="I843">
            <v>0</v>
          </cell>
          <cell r="J843">
            <v>0</v>
          </cell>
          <cell r="K843" t="str">
            <v>kg</v>
          </cell>
          <cell r="L843" t="str">
            <v>0</v>
          </cell>
        </row>
        <row r="844">
          <cell r="F844" t="str">
            <v>FGR00075</v>
          </cell>
          <cell r="G844" t="str">
            <v>SELASIH 500 G</v>
          </cell>
          <cell r="H844">
            <v>0</v>
          </cell>
          <cell r="I844">
            <v>0</v>
          </cell>
          <cell r="J844">
            <v>0</v>
          </cell>
          <cell r="K844" t="str">
            <v>kg</v>
          </cell>
          <cell r="L844" t="str">
            <v>0</v>
          </cell>
        </row>
        <row r="845">
          <cell r="F845" t="str">
            <v>FGR00076</v>
          </cell>
          <cell r="G845" t="str">
            <v>NOODLE POWER 30 x 280 G</v>
          </cell>
          <cell r="H845">
            <v>0</v>
          </cell>
          <cell r="I845">
            <v>0</v>
          </cell>
          <cell r="J845">
            <v>0</v>
          </cell>
          <cell r="K845" t="str">
            <v>pack</v>
          </cell>
          <cell r="L845" t="str">
            <v>0</v>
          </cell>
        </row>
        <row r="846">
          <cell r="F846" t="str">
            <v>FGR00077</v>
          </cell>
          <cell r="G846" t="str">
            <v>CRISPY RAMEN 10  X 100 G</v>
          </cell>
          <cell r="H846">
            <v>0</v>
          </cell>
          <cell r="I846">
            <v>0</v>
          </cell>
          <cell r="J846">
            <v>0</v>
          </cell>
          <cell r="K846" t="str">
            <v>pack</v>
          </cell>
          <cell r="L846" t="str">
            <v>0</v>
          </cell>
        </row>
        <row r="847">
          <cell r="F847" t="str">
            <v>FGR00078</v>
          </cell>
          <cell r="G847" t="str">
            <v>POTATO STARCH SACK@25KG</v>
          </cell>
          <cell r="H847">
            <v>0</v>
          </cell>
          <cell r="I847">
            <v>0</v>
          </cell>
          <cell r="J847">
            <v>0</v>
          </cell>
          <cell r="K847" t="str">
            <v>kg</v>
          </cell>
          <cell r="L847" t="str">
            <v>0</v>
          </cell>
        </row>
        <row r="848">
          <cell r="F848" t="str">
            <v>FGR00079</v>
          </cell>
          <cell r="G848" t="str">
            <v>BREAD CRUMB FROZEN 4 x 2 KG</v>
          </cell>
          <cell r="H848">
            <v>0</v>
          </cell>
          <cell r="I848">
            <v>0</v>
          </cell>
          <cell r="J848">
            <v>0</v>
          </cell>
          <cell r="K848" t="str">
            <v>kg</v>
          </cell>
          <cell r="L848" t="str">
            <v>0</v>
          </cell>
        </row>
        <row r="849">
          <cell r="F849" t="str">
            <v>FGR00080</v>
          </cell>
          <cell r="G849" t="str">
            <v>CORN FLAKES 500 G</v>
          </cell>
          <cell r="H849">
            <v>0</v>
          </cell>
          <cell r="I849">
            <v>0</v>
          </cell>
          <cell r="J849">
            <v>0</v>
          </cell>
          <cell r="K849" t="str">
            <v>pack</v>
          </cell>
          <cell r="L849" t="str">
            <v>0</v>
          </cell>
        </row>
        <row r="850">
          <cell r="F850" t="str">
            <v>FGR00081</v>
          </cell>
          <cell r="G850" t="str">
            <v>KEJU CHEDDAR SNOW BRAND 170 G</v>
          </cell>
          <cell r="H850">
            <v>0</v>
          </cell>
          <cell r="I850">
            <v>0</v>
          </cell>
          <cell r="J850">
            <v>0</v>
          </cell>
          <cell r="K850" t="str">
            <v>pack</v>
          </cell>
          <cell r="L850" t="str">
            <v>0</v>
          </cell>
        </row>
        <row r="851">
          <cell r="F851" t="str">
            <v>FGR00082</v>
          </cell>
          <cell r="G851" t="str">
            <v>MAX CREAMER 500 G</v>
          </cell>
          <cell r="H851">
            <v>0</v>
          </cell>
          <cell r="I851">
            <v>0</v>
          </cell>
          <cell r="J851">
            <v>0</v>
          </cell>
          <cell r="K851" t="str">
            <v>kg</v>
          </cell>
          <cell r="L851" t="str">
            <v>0</v>
          </cell>
        </row>
        <row r="852">
          <cell r="F852" t="str">
            <v>FGR00083</v>
          </cell>
          <cell r="G852" t="str">
            <v>PARSLEY FLAKES KOEPOE" 225 G</v>
          </cell>
          <cell r="H852">
            <v>0</v>
          </cell>
          <cell r="I852">
            <v>0</v>
          </cell>
          <cell r="J852">
            <v>0</v>
          </cell>
          <cell r="K852" t="str">
            <v>gr</v>
          </cell>
          <cell r="L852" t="str">
            <v>0</v>
          </cell>
        </row>
        <row r="853">
          <cell r="F853" t="str">
            <v>FGR00084</v>
          </cell>
          <cell r="G853" t="str">
            <v>WHITE TRUFFLE OIL 250 ML</v>
          </cell>
          <cell r="H853">
            <v>0</v>
          </cell>
          <cell r="I853">
            <v>0</v>
          </cell>
          <cell r="J853">
            <v>0</v>
          </cell>
          <cell r="K853" t="str">
            <v>bottle</v>
          </cell>
          <cell r="L853" t="str">
            <v>0</v>
          </cell>
        </row>
        <row r="854">
          <cell r="F854" t="str">
            <v>FGR00085</v>
          </cell>
          <cell r="G854" t="str">
            <v>PEWARNA KOEPOE" KUNING TUA 1 L</v>
          </cell>
          <cell r="H854">
            <v>0</v>
          </cell>
          <cell r="I854">
            <v>0</v>
          </cell>
          <cell r="J854">
            <v>0</v>
          </cell>
          <cell r="K854" t="str">
            <v>jerrycan</v>
          </cell>
          <cell r="L854" t="str">
            <v>0</v>
          </cell>
        </row>
        <row r="855">
          <cell r="F855" t="str">
            <v>FGR00086</v>
          </cell>
          <cell r="G855" t="str">
            <v>PEWARNA KOEPOE"  ORANGE 1 L</v>
          </cell>
          <cell r="H855">
            <v>0</v>
          </cell>
          <cell r="I855">
            <v>0</v>
          </cell>
          <cell r="J855">
            <v>0</v>
          </cell>
          <cell r="K855" t="str">
            <v>jerrycan</v>
          </cell>
          <cell r="L855" t="str">
            <v>0</v>
          </cell>
        </row>
        <row r="856">
          <cell r="F856" t="str">
            <v>FGR00087</v>
          </cell>
          <cell r="G856" t="str">
            <v>TEPUNG TERIGU KUNCI BIRU 1 KG</v>
          </cell>
          <cell r="H856">
            <v>0</v>
          </cell>
          <cell r="I856">
            <v>0</v>
          </cell>
          <cell r="J856">
            <v>0</v>
          </cell>
          <cell r="K856" t="str">
            <v>kg</v>
          </cell>
          <cell r="L856" t="str">
            <v>0</v>
          </cell>
        </row>
        <row r="857">
          <cell r="F857" t="str">
            <v>FGR00088</v>
          </cell>
          <cell r="G857" t="str">
            <v>TEPUNG NINJA SACK@25KG</v>
          </cell>
          <cell r="H857">
            <v>0</v>
          </cell>
          <cell r="I857">
            <v>0</v>
          </cell>
          <cell r="J857">
            <v>0</v>
          </cell>
          <cell r="K857" t="str">
            <v>kg</v>
          </cell>
          <cell r="L857" t="str">
            <v>0</v>
          </cell>
        </row>
        <row r="858">
          <cell r="F858" t="str">
            <v>FGR00089</v>
          </cell>
          <cell r="G858" t="str">
            <v>TEPUNG DOUBLE ZERO 25 KG</v>
          </cell>
          <cell r="H858">
            <v>0</v>
          </cell>
          <cell r="I858">
            <v>0</v>
          </cell>
          <cell r="J858">
            <v>0</v>
          </cell>
          <cell r="K858" t="str">
            <v>kg</v>
          </cell>
          <cell r="L858" t="str">
            <v>0</v>
          </cell>
        </row>
        <row r="859">
          <cell r="F859" t="str">
            <v>FGR00090</v>
          </cell>
          <cell r="G859" t="str">
            <v>GULA HALUS KIS 20 X 500 G</v>
          </cell>
          <cell r="H859">
            <v>0</v>
          </cell>
          <cell r="I859">
            <v>0</v>
          </cell>
          <cell r="J859">
            <v>0</v>
          </cell>
          <cell r="K859" t="str">
            <v>pack</v>
          </cell>
          <cell r="L859" t="str">
            <v>0</v>
          </cell>
        </row>
        <row r="860">
          <cell r="F860" t="str">
            <v>FGR00091</v>
          </cell>
          <cell r="G860" t="str">
            <v>GULA HALUS KIS SACK@10KG</v>
          </cell>
          <cell r="H860">
            <v>0</v>
          </cell>
          <cell r="I860">
            <v>0</v>
          </cell>
          <cell r="J860">
            <v>0</v>
          </cell>
          <cell r="K860" t="str">
            <v>kg</v>
          </cell>
          <cell r="L860" t="str">
            <v>0</v>
          </cell>
        </row>
        <row r="861">
          <cell r="F861" t="str">
            <v>FGR00092</v>
          </cell>
          <cell r="G861" t="str">
            <v>TEPUNG SEMPIO CRISPY TEMPURA BATTER MIX 1 KG</v>
          </cell>
          <cell r="H861">
            <v>0</v>
          </cell>
          <cell r="I861">
            <v>0</v>
          </cell>
          <cell r="J861">
            <v>0</v>
          </cell>
          <cell r="K861" t="str">
            <v>kg</v>
          </cell>
          <cell r="L861" t="str">
            <v>0</v>
          </cell>
        </row>
        <row r="862">
          <cell r="F862" t="str">
            <v>FGR00093</v>
          </cell>
          <cell r="G862" t="str">
            <v>PEWARNA KOEPOE" UNGU 30ML</v>
          </cell>
          <cell r="H862">
            <v>0</v>
          </cell>
          <cell r="I862">
            <v>0</v>
          </cell>
          <cell r="J862">
            <v>0</v>
          </cell>
          <cell r="K862" t="str">
            <v>ml</v>
          </cell>
          <cell r="L862" t="str">
            <v>0</v>
          </cell>
        </row>
        <row r="863">
          <cell r="F863" t="str">
            <v>FGR00094</v>
          </cell>
          <cell r="G863" t="str">
            <v>MEXICAN MIX CHEESE 1 KG</v>
          </cell>
          <cell r="H863">
            <v>0</v>
          </cell>
          <cell r="I863">
            <v>0</v>
          </cell>
          <cell r="J863">
            <v>0</v>
          </cell>
          <cell r="K863" t="str">
            <v>kg</v>
          </cell>
          <cell r="L863" t="str">
            <v>0</v>
          </cell>
        </row>
        <row r="864">
          <cell r="F864" t="str">
            <v>FGR00095</v>
          </cell>
          <cell r="G864" t="str">
            <v>TEPUNG EASYMIX TEMPURA 1 KG</v>
          </cell>
          <cell r="H864">
            <v>0</v>
          </cell>
          <cell r="I864">
            <v>0</v>
          </cell>
          <cell r="J864">
            <v>0</v>
          </cell>
          <cell r="K864" t="str">
            <v>kg</v>
          </cell>
          <cell r="L864" t="str">
            <v>0</v>
          </cell>
        </row>
        <row r="865">
          <cell r="F865" t="str">
            <v>FMP00001</v>
          </cell>
          <cell r="G865" t="str">
            <v>(INACTIVE) PAHA BONELESS SKIN ON 60-70 G/PCS 2 KG</v>
          </cell>
          <cell r="H865">
            <v>27750</v>
          </cell>
          <cell r="I865">
            <v>0</v>
          </cell>
          <cell r="J865">
            <v>0</v>
          </cell>
          <cell r="K865" t="str">
            <v>kg</v>
          </cell>
          <cell r="L865" t="str">
            <v>0</v>
          </cell>
        </row>
        <row r="866">
          <cell r="F866" t="str">
            <v>FMP00002</v>
          </cell>
          <cell r="G866" t="str">
            <v>SAYAP 65-75 G/PCS (CUT 2) 2 KG</v>
          </cell>
          <cell r="H866">
            <v>16500</v>
          </cell>
          <cell r="I866">
            <v>0</v>
          </cell>
          <cell r="J866">
            <v>0</v>
          </cell>
          <cell r="K866" t="str">
            <v>kg</v>
          </cell>
          <cell r="L866" t="str">
            <v>0</v>
          </cell>
        </row>
        <row r="867">
          <cell r="F867" t="str">
            <v>FMP00003</v>
          </cell>
          <cell r="G867" t="str">
            <v>TOKUSEN WAGYU CHUCK CUT 2 (INACTIVE)</v>
          </cell>
          <cell r="H867">
            <v>135000</v>
          </cell>
          <cell r="I867">
            <v>0</v>
          </cell>
          <cell r="J867">
            <v>0</v>
          </cell>
          <cell r="K867" t="str">
            <v>kg</v>
          </cell>
          <cell r="L867" t="str">
            <v>0</v>
          </cell>
        </row>
        <row r="868">
          <cell r="F868" t="str">
            <v>FMP00004</v>
          </cell>
          <cell r="G868" t="str">
            <v>BEEF BRISKET /SHORT PLATE (BPT)</v>
          </cell>
          <cell r="H868">
            <v>90000</v>
          </cell>
          <cell r="I868">
            <v>0</v>
          </cell>
          <cell r="J868">
            <v>0</v>
          </cell>
          <cell r="K868" t="str">
            <v>kg</v>
          </cell>
          <cell r="L868" t="str">
            <v>0</v>
          </cell>
        </row>
        <row r="869">
          <cell r="F869" t="str">
            <v>FMP00005</v>
          </cell>
          <cell r="G869" t="str">
            <v>BEEF HAM LOAF 4 KG</v>
          </cell>
          <cell r="H869">
            <v>80000</v>
          </cell>
          <cell r="I869">
            <v>0</v>
          </cell>
          <cell r="J869">
            <v>0</v>
          </cell>
          <cell r="K869" t="str">
            <v>kg</v>
          </cell>
          <cell r="L869" t="str">
            <v>0</v>
          </cell>
        </row>
        <row r="870">
          <cell r="F870" t="str">
            <v>FMP00006</v>
          </cell>
          <cell r="G870" t="str">
            <v>DADA BONELESS SKINLESS 2 KG</v>
          </cell>
          <cell r="H870">
            <v>53500</v>
          </cell>
          <cell r="I870">
            <v>0</v>
          </cell>
          <cell r="J870">
            <v>0</v>
          </cell>
          <cell r="K870" t="str">
            <v>kg</v>
          </cell>
          <cell r="L870" t="str">
            <v>0</v>
          </cell>
        </row>
        <row r="871">
          <cell r="F871" t="str">
            <v>FMP00007</v>
          </cell>
          <cell r="G871" t="str">
            <v>BEEF BRISKET NE GRADE S KILCOY CUT 2</v>
          </cell>
          <cell r="H871">
            <v>90000</v>
          </cell>
          <cell r="I871">
            <v>0</v>
          </cell>
          <cell r="J871">
            <v>0</v>
          </cell>
          <cell r="K871" t="str">
            <v>kg</v>
          </cell>
          <cell r="L871" t="str">
            <v>0</v>
          </cell>
        </row>
        <row r="872">
          <cell r="F872" t="str">
            <v>FMP00008</v>
          </cell>
          <cell r="G872" t="str">
            <v>SHORTPLATE SWIFT (INACTIVE, PAKAI KODE BRISKET CUT 4)</v>
          </cell>
          <cell r="H872">
            <v>0</v>
          </cell>
          <cell r="I872">
            <v>0</v>
          </cell>
          <cell r="J872">
            <v>0</v>
          </cell>
          <cell r="K872" t="str">
            <v>kg</v>
          </cell>
          <cell r="L872" t="str">
            <v>0</v>
          </cell>
        </row>
        <row r="873">
          <cell r="F873" t="str">
            <v>FMP00009</v>
          </cell>
          <cell r="G873" t="str">
            <v>TOKUSEN WAGYU BRISKET PE CUT 4 &lt;=5 (CD)</v>
          </cell>
          <cell r="H873">
            <v>0</v>
          </cell>
          <cell r="I873">
            <v>0</v>
          </cell>
          <cell r="J873">
            <v>0</v>
          </cell>
          <cell r="K873" t="str">
            <v>kg</v>
          </cell>
          <cell r="L873" t="str">
            <v>0</v>
          </cell>
        </row>
        <row r="874">
          <cell r="F874" t="str">
            <v>FMP00010</v>
          </cell>
          <cell r="G874" t="str">
            <v>(INACTIVE) PAHA BONELESS TANPA KULIT 60-70G/PCS 2 KG</v>
          </cell>
          <cell r="H874">
            <v>0</v>
          </cell>
          <cell r="I874">
            <v>0</v>
          </cell>
          <cell r="J874">
            <v>0</v>
          </cell>
          <cell r="K874" t="str">
            <v>kg</v>
          </cell>
          <cell r="L874" t="str">
            <v>0</v>
          </cell>
        </row>
        <row r="875">
          <cell r="F875" t="str">
            <v>FMP00011</v>
          </cell>
          <cell r="G875" t="str">
            <v>(INACTIVE) PAHA BONELESS TANPA KULIT 20-25 G 2 KG</v>
          </cell>
          <cell r="H875">
            <v>27750</v>
          </cell>
          <cell r="I875">
            <v>0</v>
          </cell>
          <cell r="J875">
            <v>0</v>
          </cell>
          <cell r="K875" t="str">
            <v>kg</v>
          </cell>
          <cell r="L875" t="str">
            <v>0</v>
          </cell>
        </row>
        <row r="876">
          <cell r="F876" t="str">
            <v>FMP00012</v>
          </cell>
          <cell r="G876" t="str">
            <v>SHORTPLATE SWIFT US</v>
          </cell>
          <cell r="H876">
            <v>0</v>
          </cell>
          <cell r="I876">
            <v>0</v>
          </cell>
          <cell r="J876">
            <v>0</v>
          </cell>
          <cell r="K876" t="str">
            <v>kg</v>
          </cell>
          <cell r="L876" t="str">
            <v>0</v>
          </cell>
        </row>
        <row r="877">
          <cell r="F877" t="str">
            <v>FMP00013</v>
          </cell>
          <cell r="G877" t="str">
            <v>(INACTIVE) PAHA AYAM UTUH BONELESS SKIN ON 2 KG</v>
          </cell>
          <cell r="H877">
            <v>0</v>
          </cell>
          <cell r="I877">
            <v>0</v>
          </cell>
          <cell r="J877">
            <v>0</v>
          </cell>
          <cell r="K877" t="str">
            <v>kg</v>
          </cell>
          <cell r="L877" t="str">
            <v>0</v>
          </cell>
        </row>
        <row r="878">
          <cell r="F878" t="str">
            <v>FMP00014</v>
          </cell>
          <cell r="G878" t="str">
            <v>DAGING SAPI GILING FAT 10-20%</v>
          </cell>
          <cell r="H878">
            <v>0</v>
          </cell>
          <cell r="I878">
            <v>0</v>
          </cell>
          <cell r="J878">
            <v>0</v>
          </cell>
          <cell r="K878" t="str">
            <v>kg</v>
          </cell>
          <cell r="L878" t="str">
            <v>0</v>
          </cell>
        </row>
        <row r="879">
          <cell r="F879" t="str">
            <v>FMP00015</v>
          </cell>
          <cell r="G879" t="str">
            <v>PAHA BONELESS SKINLESS FREE SIZE 2 KG</v>
          </cell>
          <cell r="H879">
            <v>0</v>
          </cell>
          <cell r="I879">
            <v>0</v>
          </cell>
          <cell r="J879">
            <v>0</v>
          </cell>
          <cell r="K879" t="str">
            <v>kg</v>
          </cell>
          <cell r="L879" t="str">
            <v>0</v>
          </cell>
        </row>
        <row r="880">
          <cell r="F880" t="str">
            <v>FMP00016</v>
          </cell>
          <cell r="G880" t="str">
            <v>BEEF BLADE</v>
          </cell>
          <cell r="H880">
            <v>0</v>
          </cell>
          <cell r="I880">
            <v>0</v>
          </cell>
          <cell r="J880">
            <v>0</v>
          </cell>
          <cell r="K880" t="str">
            <v>kg</v>
          </cell>
          <cell r="L880" t="str">
            <v>0</v>
          </cell>
        </row>
        <row r="881">
          <cell r="F881" t="str">
            <v>FMP00017</v>
          </cell>
          <cell r="G881" t="str">
            <v>(INACTIVE) PAHA BONELESS SKINLESS 65-75 G 2 KG</v>
          </cell>
          <cell r="H881">
            <v>0</v>
          </cell>
          <cell r="I881">
            <v>0</v>
          </cell>
          <cell r="J881">
            <v>0</v>
          </cell>
          <cell r="K881" t="str">
            <v>kg</v>
          </cell>
          <cell r="L881" t="str">
            <v>0</v>
          </cell>
        </row>
        <row r="882">
          <cell r="F882" t="str">
            <v>FMP00018</v>
          </cell>
          <cell r="G882" t="str">
            <v>PAHA GILING KASAR 2 KG</v>
          </cell>
          <cell r="H882">
            <v>0</v>
          </cell>
          <cell r="I882">
            <v>0</v>
          </cell>
          <cell r="J882">
            <v>0</v>
          </cell>
          <cell r="K882" t="str">
            <v>kg</v>
          </cell>
          <cell r="L882" t="str">
            <v>0</v>
          </cell>
        </row>
        <row r="883">
          <cell r="F883" t="str">
            <v>FMP00019</v>
          </cell>
          <cell r="G883" t="str">
            <v>PAHA BONELESS TANPA KULIT 20-25 G 2 KG</v>
          </cell>
          <cell r="H883">
            <v>0</v>
          </cell>
          <cell r="I883">
            <v>0</v>
          </cell>
          <cell r="J883">
            <v>0</v>
          </cell>
          <cell r="K883" t="str">
            <v>kg</v>
          </cell>
          <cell r="L883" t="str">
            <v>0</v>
          </cell>
        </row>
        <row r="884">
          <cell r="F884" t="str">
            <v>FMP00020</v>
          </cell>
          <cell r="G884" t="str">
            <v>PAHA BONELESS SKINLESS 65-75 G 2 KG</v>
          </cell>
          <cell r="H884">
            <v>0</v>
          </cell>
          <cell r="I884">
            <v>0</v>
          </cell>
          <cell r="J884">
            <v>0</v>
          </cell>
          <cell r="K884" t="str">
            <v>kg</v>
          </cell>
          <cell r="L884" t="str">
            <v>0</v>
          </cell>
        </row>
        <row r="885">
          <cell r="F885" t="str">
            <v>FSF00001</v>
          </cell>
          <cell r="G885" t="str">
            <v>KERANG HIJAU</v>
          </cell>
          <cell r="H885">
            <v>0</v>
          </cell>
          <cell r="I885">
            <v>0</v>
          </cell>
          <cell r="J885">
            <v>0</v>
          </cell>
          <cell r="K885" t="str">
            <v>kg</v>
          </cell>
          <cell r="L885" t="str">
            <v>0</v>
          </cell>
        </row>
        <row r="886">
          <cell r="F886" t="str">
            <v>FSF00002</v>
          </cell>
          <cell r="G886" t="str">
            <v>KERANG BATIK (SAMPLE)</v>
          </cell>
          <cell r="H886">
            <v>0</v>
          </cell>
          <cell r="I886">
            <v>0</v>
          </cell>
          <cell r="J886">
            <v>0</v>
          </cell>
          <cell r="K886" t="str">
            <v>kg</v>
          </cell>
          <cell r="L886" t="str">
            <v>0</v>
          </cell>
        </row>
        <row r="887">
          <cell r="F887" t="str">
            <v>FSF00003</v>
          </cell>
          <cell r="G887" t="str">
            <v>KERANG KEPA / KERANG TAHU</v>
          </cell>
          <cell r="H887">
            <v>0</v>
          </cell>
          <cell r="I887">
            <v>0</v>
          </cell>
          <cell r="J887">
            <v>0</v>
          </cell>
          <cell r="K887" t="str">
            <v>kg</v>
          </cell>
          <cell r="L887" t="str">
            <v>0</v>
          </cell>
        </row>
        <row r="888">
          <cell r="F888" t="str">
            <v>FSF00004</v>
          </cell>
          <cell r="G888" t="str">
            <v>UDANG VANAME 41-50 (SAMPLE)</v>
          </cell>
          <cell r="H888">
            <v>0</v>
          </cell>
          <cell r="I888">
            <v>0</v>
          </cell>
          <cell r="J888">
            <v>0</v>
          </cell>
          <cell r="K888" t="str">
            <v>kg</v>
          </cell>
          <cell r="L888" t="str">
            <v>0</v>
          </cell>
        </row>
        <row r="889">
          <cell r="F889" t="str">
            <v>FSF00005</v>
          </cell>
          <cell r="G889" t="str">
            <v>GURITA BABY</v>
          </cell>
          <cell r="H889">
            <v>0</v>
          </cell>
          <cell r="I889">
            <v>0</v>
          </cell>
          <cell r="J889">
            <v>0</v>
          </cell>
          <cell r="K889" t="str">
            <v>kg</v>
          </cell>
          <cell r="L889" t="str">
            <v>0</v>
          </cell>
        </row>
        <row r="890">
          <cell r="F890" t="str">
            <v>FSF00006</v>
          </cell>
          <cell r="G890" t="str">
            <v>CUMI LOKAL KUPAS FRESH (UKURAN SEBELUM KUPAS 2 EKOR/KG)</v>
          </cell>
          <cell r="H890">
            <v>0</v>
          </cell>
          <cell r="I890">
            <v>0</v>
          </cell>
          <cell r="J890">
            <v>0</v>
          </cell>
          <cell r="K890" t="str">
            <v>kg</v>
          </cell>
          <cell r="L890" t="str">
            <v>0</v>
          </cell>
        </row>
        <row r="891">
          <cell r="F891" t="str">
            <v>FSF00007</v>
          </cell>
          <cell r="G891" t="str">
            <v>UDANG VANAME 40-45</v>
          </cell>
          <cell r="H891">
            <v>0</v>
          </cell>
          <cell r="I891">
            <v>0</v>
          </cell>
          <cell r="J891">
            <v>0</v>
          </cell>
          <cell r="K891" t="str">
            <v>kg</v>
          </cell>
          <cell r="L891" t="str">
            <v>0</v>
          </cell>
        </row>
        <row r="892">
          <cell r="F892" t="str">
            <v>FSF00008</v>
          </cell>
          <cell r="G892" t="str">
            <v>KEPALA + CANGKANG UDANG</v>
          </cell>
          <cell r="H892">
            <v>0</v>
          </cell>
          <cell r="I892">
            <v>0</v>
          </cell>
          <cell r="J892">
            <v>0</v>
          </cell>
          <cell r="K892" t="str">
            <v>kg</v>
          </cell>
          <cell r="L892" t="str">
            <v>0</v>
          </cell>
        </row>
        <row r="893">
          <cell r="F893" t="str">
            <v>FSP00001</v>
          </cell>
          <cell r="G893" t="str">
            <v>GOCHUJANG PASTE 14 KG</v>
          </cell>
          <cell r="H893">
            <v>41140.5</v>
          </cell>
          <cell r="I893">
            <v>0</v>
          </cell>
          <cell r="J893">
            <v>0</v>
          </cell>
          <cell r="K893" t="str">
            <v>kg</v>
          </cell>
          <cell r="L893" t="str">
            <v>0</v>
          </cell>
        </row>
        <row r="894">
          <cell r="F894" t="str">
            <v>FSP00003</v>
          </cell>
          <cell r="G894" t="str">
            <v>KEWPIE MAYO PRO USE 1 KG</v>
          </cell>
          <cell r="H894">
            <v>36300</v>
          </cell>
          <cell r="I894">
            <v>0</v>
          </cell>
          <cell r="J894">
            <v>0</v>
          </cell>
          <cell r="K894" t="str">
            <v>kg</v>
          </cell>
          <cell r="L894" t="str">
            <v>0</v>
          </cell>
        </row>
        <row r="895">
          <cell r="F895" t="str">
            <v>FSP00004</v>
          </cell>
          <cell r="G895" t="str">
            <v>CIRIO PASSATA SIEVED TOMATO 700 G</v>
          </cell>
          <cell r="H895">
            <v>31080</v>
          </cell>
          <cell r="I895">
            <v>0</v>
          </cell>
          <cell r="J895">
            <v>0</v>
          </cell>
          <cell r="K895" t="str">
            <v>bottle</v>
          </cell>
          <cell r="L895" t="str">
            <v>0</v>
          </cell>
        </row>
        <row r="896">
          <cell r="F896" t="str">
            <v>FSP00005</v>
          </cell>
          <cell r="G896" t="str">
            <v>SAUEJEOT/CINCALOK 235 G</v>
          </cell>
          <cell r="H896">
            <v>33000</v>
          </cell>
          <cell r="I896">
            <v>0</v>
          </cell>
          <cell r="J896">
            <v>0</v>
          </cell>
          <cell r="K896" t="str">
            <v>bottle</v>
          </cell>
          <cell r="L896" t="str">
            <v>0</v>
          </cell>
        </row>
        <row r="897">
          <cell r="F897" t="str">
            <v>FSP00006</v>
          </cell>
          <cell r="G897" t="str">
            <v>SAOS TOMAT DEL MONTE 1 KG</v>
          </cell>
          <cell r="H897">
            <v>17000</v>
          </cell>
          <cell r="I897">
            <v>0</v>
          </cell>
          <cell r="J897">
            <v>0</v>
          </cell>
          <cell r="K897" t="str">
            <v>kg</v>
          </cell>
          <cell r="L897" t="str">
            <v>0</v>
          </cell>
        </row>
        <row r="898">
          <cell r="F898" t="str">
            <v>FSP00008</v>
          </cell>
          <cell r="G898" t="str">
            <v>BOIRON LEMON PUREE 1 KG</v>
          </cell>
          <cell r="H898">
            <v>119000</v>
          </cell>
          <cell r="I898">
            <v>0</v>
          </cell>
          <cell r="J898">
            <v>0</v>
          </cell>
          <cell r="K898" t="str">
            <v>kg</v>
          </cell>
          <cell r="L898" t="str">
            <v>0</v>
          </cell>
        </row>
        <row r="899">
          <cell r="F899" t="str">
            <v>FSP00009</v>
          </cell>
          <cell r="G899" t="str">
            <v>CHOONJANG BLACK BEAN PASTE SAJAPYO 18 KG</v>
          </cell>
          <cell r="H899">
            <v>0</v>
          </cell>
          <cell r="I899">
            <v>0</v>
          </cell>
          <cell r="J899">
            <v>0</v>
          </cell>
          <cell r="K899" t="str">
            <v>kg</v>
          </cell>
          <cell r="L899" t="str">
            <v>0</v>
          </cell>
        </row>
        <row r="900">
          <cell r="F900" t="str">
            <v>FSP00010</v>
          </cell>
          <cell r="G900" t="str">
            <v>SAMJANG PASTE 14 KG</v>
          </cell>
          <cell r="H900">
            <v>0</v>
          </cell>
          <cell r="I900">
            <v>0</v>
          </cell>
          <cell r="J900">
            <v>0</v>
          </cell>
          <cell r="K900" t="str">
            <v>kg</v>
          </cell>
          <cell r="L900" t="str">
            <v>0</v>
          </cell>
        </row>
        <row r="901">
          <cell r="F901" t="str">
            <v>FSP00011</v>
          </cell>
          <cell r="G901" t="str">
            <v>LKK OYSTER SAUCE 2.2 KG</v>
          </cell>
          <cell r="H901">
            <v>0</v>
          </cell>
          <cell r="I901">
            <v>0</v>
          </cell>
          <cell r="J901">
            <v>0</v>
          </cell>
          <cell r="K901" t="str">
            <v>kg</v>
          </cell>
          <cell r="L901" t="str">
            <v>0</v>
          </cell>
        </row>
        <row r="902">
          <cell r="F902" t="str">
            <v>FSP00015</v>
          </cell>
          <cell r="G902" t="str">
            <v>SAUEJEOT/CINCALOK 500 G</v>
          </cell>
          <cell r="H902">
            <v>0</v>
          </cell>
          <cell r="I902">
            <v>0</v>
          </cell>
          <cell r="J902">
            <v>0</v>
          </cell>
          <cell r="K902" t="str">
            <v>kg</v>
          </cell>
          <cell r="L902" t="str">
            <v>0</v>
          </cell>
        </row>
        <row r="903">
          <cell r="F903" t="str">
            <v>FSP00016</v>
          </cell>
          <cell r="G903" t="str">
            <v>PALETTA EXCELLENT STRAWBERRY 500 G</v>
          </cell>
          <cell r="H903">
            <v>0</v>
          </cell>
          <cell r="I903">
            <v>0</v>
          </cell>
          <cell r="J903">
            <v>0</v>
          </cell>
          <cell r="K903" t="str">
            <v>pack</v>
          </cell>
          <cell r="L903" t="str">
            <v>0</v>
          </cell>
        </row>
        <row r="904">
          <cell r="F904" t="str">
            <v>FSP00017</v>
          </cell>
          <cell r="G904" t="str">
            <v>COLATTA GLAZE DARK CHOCOLATE 1 KG</v>
          </cell>
          <cell r="H904">
            <v>0</v>
          </cell>
          <cell r="I904">
            <v>0</v>
          </cell>
          <cell r="J904">
            <v>0</v>
          </cell>
          <cell r="K904" t="str">
            <v>pail</v>
          </cell>
          <cell r="L904" t="str">
            <v>0</v>
          </cell>
        </row>
        <row r="905">
          <cell r="F905" t="str">
            <v>FSP00018</v>
          </cell>
          <cell r="G905" t="str">
            <v>KEWPIE MAYO PRO USE KONTAINER 3 KG</v>
          </cell>
          <cell r="H905">
            <v>0</v>
          </cell>
          <cell r="I905">
            <v>0</v>
          </cell>
          <cell r="J905">
            <v>0</v>
          </cell>
          <cell r="K905" t="str">
            <v>kg</v>
          </cell>
          <cell r="L905" t="str">
            <v>0</v>
          </cell>
        </row>
        <row r="906">
          <cell r="F906" t="str">
            <v>FSS00002</v>
          </cell>
          <cell r="G906" t="str">
            <v>GOCHUGARU HALUS 1 KG</v>
          </cell>
          <cell r="H906">
            <v>0</v>
          </cell>
          <cell r="I906">
            <v>0</v>
          </cell>
          <cell r="J906">
            <v>0</v>
          </cell>
          <cell r="K906" t="str">
            <v>kg</v>
          </cell>
          <cell r="L906" t="str">
            <v>0</v>
          </cell>
        </row>
        <row r="907">
          <cell r="F907" t="str">
            <v>FSS00003</v>
          </cell>
          <cell r="G907" t="str">
            <v>CORN SYRUP 10 KG</v>
          </cell>
          <cell r="H907">
            <v>25900</v>
          </cell>
          <cell r="I907">
            <v>0</v>
          </cell>
          <cell r="J907">
            <v>0</v>
          </cell>
          <cell r="K907" t="str">
            <v>kg</v>
          </cell>
          <cell r="L907" t="str">
            <v>0</v>
          </cell>
        </row>
        <row r="908">
          <cell r="F908" t="str">
            <v>FSS00005</v>
          </cell>
          <cell r="G908" t="str">
            <v>BEEF STOCK FDX 1 KG</v>
          </cell>
          <cell r="H908">
            <v>140000</v>
          </cell>
          <cell r="I908">
            <v>0</v>
          </cell>
          <cell r="J908">
            <v>0</v>
          </cell>
          <cell r="K908" t="str">
            <v>kg</v>
          </cell>
          <cell r="L908" t="str">
            <v>0</v>
          </cell>
        </row>
        <row r="909">
          <cell r="F909" t="str">
            <v>FSS00006</v>
          </cell>
          <cell r="G909" t="str">
            <v>ANCHOVY DASHIDA (DASHIDA IKAN TERI) 500 G</v>
          </cell>
          <cell r="H909">
            <v>189514</v>
          </cell>
          <cell r="I909">
            <v>0</v>
          </cell>
          <cell r="J909">
            <v>0</v>
          </cell>
          <cell r="K909" t="str">
            <v>kg</v>
          </cell>
          <cell r="L909" t="str">
            <v>0</v>
          </cell>
        </row>
        <row r="910">
          <cell r="F910" t="str">
            <v>FSS00009</v>
          </cell>
          <cell r="G910" t="str">
            <v>WASABI POWDER 1 KG</v>
          </cell>
          <cell r="H910">
            <v>135000</v>
          </cell>
          <cell r="I910">
            <v>0</v>
          </cell>
          <cell r="J910">
            <v>0</v>
          </cell>
          <cell r="K910" t="str">
            <v>kg</v>
          </cell>
          <cell r="L910" t="str">
            <v>0</v>
          </cell>
        </row>
        <row r="911">
          <cell r="F911" t="str">
            <v>FSS00011</v>
          </cell>
          <cell r="G911" t="str">
            <v>KATSUODASHI 1 KG</v>
          </cell>
          <cell r="H911">
            <v>129900</v>
          </cell>
          <cell r="I911">
            <v>0</v>
          </cell>
          <cell r="J911">
            <v>0</v>
          </cell>
          <cell r="K911" t="str">
            <v>kg</v>
          </cell>
          <cell r="L911" t="str">
            <v>0</v>
          </cell>
        </row>
        <row r="912">
          <cell r="F912" t="str">
            <v>FSS00012</v>
          </cell>
          <cell r="G912" t="str">
            <v>GULA AREN BUBUK 1 KG</v>
          </cell>
          <cell r="H912">
            <v>43000</v>
          </cell>
          <cell r="I912">
            <v>0</v>
          </cell>
          <cell r="J912">
            <v>0</v>
          </cell>
          <cell r="K912" t="str">
            <v>kg</v>
          </cell>
          <cell r="L912" t="str">
            <v>0</v>
          </cell>
        </row>
        <row r="913">
          <cell r="F913" t="str">
            <v>FSS00013</v>
          </cell>
          <cell r="G913" t="str">
            <v>LADA HITAM HALUS 1 KG</v>
          </cell>
          <cell r="H913">
            <v>109000</v>
          </cell>
          <cell r="I913">
            <v>0</v>
          </cell>
          <cell r="J913">
            <v>0</v>
          </cell>
          <cell r="K913" t="str">
            <v>kg</v>
          </cell>
          <cell r="L913" t="str">
            <v>0</v>
          </cell>
        </row>
        <row r="914">
          <cell r="F914" t="str">
            <v>FSS00014</v>
          </cell>
          <cell r="G914" t="str">
            <v>KECAP MANIS BANGO 520 ML</v>
          </cell>
          <cell r="H914">
            <v>38405.800000000003</v>
          </cell>
          <cell r="I914">
            <v>0</v>
          </cell>
          <cell r="J914">
            <v>0</v>
          </cell>
          <cell r="K914" t="str">
            <v>kg</v>
          </cell>
          <cell r="L914" t="str">
            <v>0</v>
          </cell>
        </row>
        <row r="915">
          <cell r="F915" t="str">
            <v>FSS00015</v>
          </cell>
          <cell r="G915" t="str">
            <v>BUTTER POWDER MASTER CHU 3,5KG</v>
          </cell>
          <cell r="H915">
            <v>0</v>
          </cell>
          <cell r="I915">
            <v>0</v>
          </cell>
          <cell r="J915">
            <v>0</v>
          </cell>
          <cell r="K915" t="str">
            <v>can</v>
          </cell>
          <cell r="L915" t="str">
            <v>0</v>
          </cell>
        </row>
        <row r="916">
          <cell r="F916" t="str">
            <v>FSS00016</v>
          </cell>
          <cell r="G916" t="str">
            <v>GARAM HALUS DOLPHIN 500 G</v>
          </cell>
          <cell r="H916">
            <v>8750</v>
          </cell>
          <cell r="I916">
            <v>0</v>
          </cell>
          <cell r="J916">
            <v>0</v>
          </cell>
          <cell r="K916" t="str">
            <v>kg</v>
          </cell>
          <cell r="L916" t="str">
            <v>0</v>
          </cell>
        </row>
        <row r="917">
          <cell r="F917" t="str">
            <v>FSS00017</v>
          </cell>
          <cell r="G917" t="str">
            <v>AJINOMOTO 1 KG</v>
          </cell>
          <cell r="H917">
            <v>50500</v>
          </cell>
          <cell r="I917">
            <v>0</v>
          </cell>
          <cell r="J917">
            <v>0</v>
          </cell>
          <cell r="K917" t="str">
            <v>kg</v>
          </cell>
          <cell r="L917" t="str">
            <v>0</v>
          </cell>
        </row>
        <row r="918">
          <cell r="F918" t="str">
            <v>FSS00018</v>
          </cell>
          <cell r="G918" t="str">
            <v>SLOT KOSONG SS 2</v>
          </cell>
          <cell r="H918">
            <v>0</v>
          </cell>
          <cell r="I918">
            <v>0</v>
          </cell>
          <cell r="J918">
            <v>0</v>
          </cell>
          <cell r="K918" t="str">
            <v>kg</v>
          </cell>
          <cell r="L918" t="str">
            <v>0</v>
          </cell>
        </row>
        <row r="919">
          <cell r="F919" t="str">
            <v>FSS00019</v>
          </cell>
          <cell r="G919" t="str">
            <v>GULA PASIR 1 KG</v>
          </cell>
          <cell r="H919">
            <v>15750</v>
          </cell>
          <cell r="I919">
            <v>0</v>
          </cell>
          <cell r="J919">
            <v>0</v>
          </cell>
          <cell r="K919" t="str">
            <v>kg</v>
          </cell>
          <cell r="L919" t="str">
            <v>0</v>
          </cell>
        </row>
        <row r="920">
          <cell r="F920" t="str">
            <v>FSS00020</v>
          </cell>
          <cell r="G920" t="str">
            <v>LADA LADAKU BUBUK (SAMPLE)</v>
          </cell>
          <cell r="H920">
            <v>0</v>
          </cell>
          <cell r="I920">
            <v>0</v>
          </cell>
          <cell r="J920">
            <v>0</v>
          </cell>
          <cell r="K920" t="str">
            <v>bottle</v>
          </cell>
          <cell r="L920" t="str">
            <v>0</v>
          </cell>
        </row>
        <row r="921">
          <cell r="F921" t="str">
            <v>FSS00021</v>
          </cell>
          <cell r="G921" t="str">
            <v>BAWANG PUTIH BUBUK (SAMPLE)</v>
          </cell>
          <cell r="H921">
            <v>0</v>
          </cell>
          <cell r="I921">
            <v>0</v>
          </cell>
          <cell r="J921">
            <v>0</v>
          </cell>
          <cell r="K921" t="str">
            <v>gr</v>
          </cell>
          <cell r="L921" t="str">
            <v>0</v>
          </cell>
        </row>
        <row r="922">
          <cell r="F922" t="str">
            <v>FSS00022</v>
          </cell>
          <cell r="G922" t="str">
            <v>BAWANG BOMBAY BUBUK (SAMPLE)</v>
          </cell>
          <cell r="H922">
            <v>0</v>
          </cell>
          <cell r="I922">
            <v>0</v>
          </cell>
          <cell r="J922">
            <v>0</v>
          </cell>
          <cell r="K922" t="str">
            <v>bottle</v>
          </cell>
          <cell r="L922" t="str">
            <v>0</v>
          </cell>
        </row>
        <row r="923">
          <cell r="F923" t="str">
            <v>FSS00023</v>
          </cell>
          <cell r="G923" t="str">
            <v>SOGOGI DASHIDA (BEEF DASHIDA) 2,25 KG</v>
          </cell>
          <cell r="H923">
            <v>0</v>
          </cell>
          <cell r="I923">
            <v>0</v>
          </cell>
          <cell r="J923">
            <v>0</v>
          </cell>
          <cell r="K923" t="str">
            <v>kg</v>
          </cell>
          <cell r="L923" t="str">
            <v>0</v>
          </cell>
        </row>
        <row r="924">
          <cell r="F924" t="str">
            <v>FSS00024</v>
          </cell>
          <cell r="G924" t="str">
            <v>GARLIC POWDER 1 KG</v>
          </cell>
          <cell r="H924">
            <v>0</v>
          </cell>
          <cell r="I924">
            <v>0</v>
          </cell>
          <cell r="J924">
            <v>0</v>
          </cell>
          <cell r="K924" t="str">
            <v>kg</v>
          </cell>
          <cell r="L924" t="str">
            <v>0</v>
          </cell>
        </row>
        <row r="925">
          <cell r="F925" t="str">
            <v>FSS00025</v>
          </cell>
          <cell r="G925" t="str">
            <v>ANCHOVY FISH SAUCE (KECAP IKAN TERI) 9 KG</v>
          </cell>
          <cell r="H925">
            <v>0</v>
          </cell>
          <cell r="I925">
            <v>0</v>
          </cell>
          <cell r="J925">
            <v>0</v>
          </cell>
          <cell r="K925" t="str">
            <v>kg</v>
          </cell>
          <cell r="L925" t="str">
            <v>0</v>
          </cell>
        </row>
        <row r="926">
          <cell r="F926" t="str">
            <v>FSS00026</v>
          </cell>
          <cell r="G926" t="str">
            <v>GOCHUGARU HALUS 10 KG</v>
          </cell>
          <cell r="H926">
            <v>0</v>
          </cell>
          <cell r="I926">
            <v>0</v>
          </cell>
          <cell r="J926">
            <v>0</v>
          </cell>
          <cell r="K926" t="str">
            <v>kg</v>
          </cell>
          <cell r="L926" t="str">
            <v>0</v>
          </cell>
        </row>
        <row r="927">
          <cell r="F927" t="str">
            <v>FSS00027</v>
          </cell>
          <cell r="G927" t="str">
            <v>KERRY CHEZ-TONE 8108-22 25 KG</v>
          </cell>
          <cell r="H927">
            <v>0</v>
          </cell>
          <cell r="I927">
            <v>0</v>
          </cell>
          <cell r="J927">
            <v>0</v>
          </cell>
          <cell r="K927" t="str">
            <v>kg</v>
          </cell>
          <cell r="L927" t="str">
            <v>0</v>
          </cell>
        </row>
        <row r="928">
          <cell r="F928" t="str">
            <v>FSS00028</v>
          </cell>
          <cell r="G928" t="str">
            <v>SPICY DIPPING POWDER CUIHONG 2.5 KG</v>
          </cell>
          <cell r="H928">
            <v>0</v>
          </cell>
          <cell r="I928">
            <v>0</v>
          </cell>
          <cell r="J928">
            <v>0</v>
          </cell>
          <cell r="K928" t="str">
            <v>pack</v>
          </cell>
          <cell r="L928" t="str">
            <v>0</v>
          </cell>
        </row>
        <row r="929">
          <cell r="F929" t="str">
            <v>FSS00029</v>
          </cell>
          <cell r="G929" t="str">
            <v>ONION POWDER 1 KG</v>
          </cell>
          <cell r="H929">
            <v>0</v>
          </cell>
          <cell r="I929">
            <v>0</v>
          </cell>
          <cell r="J929">
            <v>0</v>
          </cell>
          <cell r="K929" t="str">
            <v>kg</v>
          </cell>
          <cell r="L929" t="str">
            <v>0</v>
          </cell>
        </row>
        <row r="930">
          <cell r="F930" t="str">
            <v>FSS00030</v>
          </cell>
          <cell r="G930" t="str">
            <v>NANAMI TOGARASHI 300 G</v>
          </cell>
          <cell r="H930">
            <v>0</v>
          </cell>
          <cell r="I930">
            <v>0</v>
          </cell>
          <cell r="J930">
            <v>0</v>
          </cell>
          <cell r="K930" t="str">
            <v>pack</v>
          </cell>
          <cell r="L930" t="str">
            <v>0</v>
          </cell>
        </row>
        <row r="931">
          <cell r="F931" t="str">
            <v>FSS00031</v>
          </cell>
          <cell r="G931" t="str">
            <v>I+G 10 KG</v>
          </cell>
          <cell r="H931">
            <v>0</v>
          </cell>
          <cell r="I931">
            <v>0</v>
          </cell>
          <cell r="J931">
            <v>0</v>
          </cell>
          <cell r="K931" t="str">
            <v>kg</v>
          </cell>
          <cell r="L931" t="str">
            <v>0</v>
          </cell>
        </row>
        <row r="932">
          <cell r="F932" t="str">
            <v>FSS00032</v>
          </cell>
          <cell r="G932" t="str">
            <v>GARAM HALUS KADAR AIR 0.1%/MESH 60 25 KG</v>
          </cell>
          <cell r="H932">
            <v>0</v>
          </cell>
          <cell r="I932">
            <v>0</v>
          </cell>
          <cell r="J932">
            <v>0</v>
          </cell>
          <cell r="K932" t="str">
            <v>kg</v>
          </cell>
          <cell r="L932" t="str">
            <v>0</v>
          </cell>
        </row>
        <row r="933">
          <cell r="F933" t="str">
            <v>FSS00033</v>
          </cell>
          <cell r="G933" t="str">
            <v>KECAP IKAN KENARI 800 ML</v>
          </cell>
          <cell r="H933">
            <v>0</v>
          </cell>
          <cell r="I933">
            <v>0</v>
          </cell>
          <cell r="J933">
            <v>0</v>
          </cell>
          <cell r="K933" t="str">
            <v>bottle</v>
          </cell>
          <cell r="L933" t="str">
            <v>0</v>
          </cell>
        </row>
        <row r="934">
          <cell r="F934" t="str">
            <v>FSS00034</v>
          </cell>
          <cell r="G934" t="str">
            <v>ANCHOVY STOCK FDX 1 KG</v>
          </cell>
          <cell r="H934">
            <v>0</v>
          </cell>
          <cell r="I934">
            <v>0</v>
          </cell>
          <cell r="J934">
            <v>0</v>
          </cell>
          <cell r="K934" t="str">
            <v>kg</v>
          </cell>
          <cell r="L934" t="str">
            <v>0</v>
          </cell>
        </row>
        <row r="935">
          <cell r="F935" t="str">
            <v>FVF00001</v>
          </cell>
          <cell r="G935" t="str">
            <v>MINARI</v>
          </cell>
          <cell r="H935">
            <v>17500</v>
          </cell>
          <cell r="I935">
            <v>0</v>
          </cell>
          <cell r="J935">
            <v>0</v>
          </cell>
          <cell r="K935" t="str">
            <v>kg</v>
          </cell>
          <cell r="L935" t="str">
            <v>0</v>
          </cell>
        </row>
        <row r="936">
          <cell r="F936" t="str">
            <v>FVF00002</v>
          </cell>
          <cell r="G936" t="str">
            <v>SHIITAKE FRESH 5 KG</v>
          </cell>
          <cell r="H936">
            <v>78000</v>
          </cell>
          <cell r="I936">
            <v>0</v>
          </cell>
          <cell r="J936">
            <v>0</v>
          </cell>
          <cell r="K936" t="str">
            <v>kg</v>
          </cell>
          <cell r="L936" t="str">
            <v>0</v>
          </cell>
        </row>
        <row r="937">
          <cell r="F937" t="str">
            <v>FVF00003</v>
          </cell>
          <cell r="G937" t="str">
            <v>ENOKI 50 PACK x 100 G</v>
          </cell>
          <cell r="H937">
            <v>56</v>
          </cell>
          <cell r="I937">
            <v>0</v>
          </cell>
          <cell r="J937">
            <v>0</v>
          </cell>
          <cell r="K937" t="str">
            <v>pack</v>
          </cell>
          <cell r="L937" t="str">
            <v>0</v>
          </cell>
        </row>
        <row r="938">
          <cell r="F938" t="str">
            <v>FVF00004</v>
          </cell>
          <cell r="G938" t="str">
            <v>TAUGE</v>
          </cell>
          <cell r="H938">
            <v>14000</v>
          </cell>
          <cell r="I938">
            <v>0</v>
          </cell>
          <cell r="J938">
            <v>0</v>
          </cell>
          <cell r="K938" t="str">
            <v>kg</v>
          </cell>
          <cell r="L938" t="str">
            <v>0</v>
          </cell>
        </row>
        <row r="939">
          <cell r="F939" t="str">
            <v>FVF00005</v>
          </cell>
          <cell r="G939" t="str">
            <v>SAWI PUTIH</v>
          </cell>
          <cell r="H939">
            <v>11000</v>
          </cell>
          <cell r="I939">
            <v>0</v>
          </cell>
          <cell r="J939">
            <v>0</v>
          </cell>
          <cell r="K939" t="str">
            <v>kg</v>
          </cell>
          <cell r="L939" t="str">
            <v>0</v>
          </cell>
        </row>
        <row r="940">
          <cell r="F940" t="str">
            <v>FVF00006</v>
          </cell>
          <cell r="G940" t="str">
            <v>KOL</v>
          </cell>
          <cell r="H940">
            <v>10750</v>
          </cell>
          <cell r="I940">
            <v>0</v>
          </cell>
          <cell r="J940">
            <v>0</v>
          </cell>
          <cell r="K940" t="str">
            <v>kg</v>
          </cell>
          <cell r="L940" t="str">
            <v>0</v>
          </cell>
        </row>
        <row r="941">
          <cell r="F941" t="str">
            <v>FVF00007</v>
          </cell>
          <cell r="G941" t="str">
            <v>WORTEL</v>
          </cell>
          <cell r="H941">
            <v>17250</v>
          </cell>
          <cell r="I941">
            <v>0</v>
          </cell>
          <cell r="J941">
            <v>0</v>
          </cell>
          <cell r="K941" t="str">
            <v>kg</v>
          </cell>
          <cell r="L941" t="str">
            <v>0</v>
          </cell>
        </row>
        <row r="942">
          <cell r="F942" t="str">
            <v>FVF00008</v>
          </cell>
          <cell r="G942" t="str">
            <v>KYURI LURUS (TIDAK BENGKOK)</v>
          </cell>
          <cell r="H942">
            <v>16000</v>
          </cell>
          <cell r="I942">
            <v>0</v>
          </cell>
          <cell r="J942">
            <v>0</v>
          </cell>
          <cell r="K942" t="str">
            <v>kg</v>
          </cell>
          <cell r="L942" t="str">
            <v>0</v>
          </cell>
        </row>
        <row r="943">
          <cell r="F943" t="str">
            <v>FVF00009</v>
          </cell>
          <cell r="G943" t="str">
            <v>ZUCCHINI</v>
          </cell>
          <cell r="H943">
            <v>16000</v>
          </cell>
          <cell r="I943">
            <v>0</v>
          </cell>
          <cell r="J943">
            <v>0</v>
          </cell>
          <cell r="K943" t="str">
            <v>kg</v>
          </cell>
          <cell r="L943" t="str">
            <v>0</v>
          </cell>
        </row>
        <row r="944">
          <cell r="F944" t="str">
            <v>FVF00010</v>
          </cell>
          <cell r="G944" t="str">
            <v>LOBAK</v>
          </cell>
          <cell r="H944">
            <v>8000</v>
          </cell>
          <cell r="I944">
            <v>0</v>
          </cell>
          <cell r="J944">
            <v>0</v>
          </cell>
          <cell r="K944" t="str">
            <v>kg</v>
          </cell>
          <cell r="L944" t="str">
            <v>0</v>
          </cell>
        </row>
        <row r="945">
          <cell r="F945" t="str">
            <v>FVF00011</v>
          </cell>
          <cell r="G945" t="str">
            <v>KUCAI</v>
          </cell>
          <cell r="H945">
            <v>17500</v>
          </cell>
          <cell r="I945">
            <v>0</v>
          </cell>
          <cell r="J945">
            <v>0</v>
          </cell>
          <cell r="K945" t="str">
            <v>kg</v>
          </cell>
          <cell r="L945" t="str">
            <v>0</v>
          </cell>
        </row>
        <row r="946">
          <cell r="F946" t="str">
            <v>FVF00012</v>
          </cell>
          <cell r="G946" t="str">
            <v>GOBO</v>
          </cell>
          <cell r="H946">
            <v>36000</v>
          </cell>
          <cell r="I946">
            <v>0</v>
          </cell>
          <cell r="J946">
            <v>0</v>
          </cell>
          <cell r="K946" t="str">
            <v>kg</v>
          </cell>
          <cell r="L946" t="str">
            <v>0</v>
          </cell>
        </row>
        <row r="947">
          <cell r="F947" t="str">
            <v>FVF00013</v>
          </cell>
          <cell r="G947" t="str">
            <v>APEL FUJI</v>
          </cell>
          <cell r="H947">
            <v>32500</v>
          </cell>
          <cell r="I947">
            <v>0</v>
          </cell>
          <cell r="J947">
            <v>0</v>
          </cell>
          <cell r="K947" t="str">
            <v>kg</v>
          </cell>
          <cell r="L947" t="str">
            <v>0</v>
          </cell>
        </row>
        <row r="948">
          <cell r="F948" t="str">
            <v>FVF00014</v>
          </cell>
          <cell r="G948" t="str">
            <v>CABE RAWIT MERAH</v>
          </cell>
          <cell r="H948">
            <v>48500</v>
          </cell>
          <cell r="I948">
            <v>0</v>
          </cell>
          <cell r="J948">
            <v>0</v>
          </cell>
          <cell r="K948" t="str">
            <v>kg</v>
          </cell>
          <cell r="L948" t="str">
            <v>0</v>
          </cell>
        </row>
        <row r="949">
          <cell r="F949" t="str">
            <v>FVF00015</v>
          </cell>
          <cell r="G949" t="str">
            <v>CABE MERAH BESAR</v>
          </cell>
          <cell r="H949">
            <v>44500</v>
          </cell>
          <cell r="I949">
            <v>0</v>
          </cell>
          <cell r="J949">
            <v>0</v>
          </cell>
          <cell r="K949" t="str">
            <v>kg</v>
          </cell>
          <cell r="L949" t="str">
            <v>0</v>
          </cell>
        </row>
        <row r="950">
          <cell r="F950" t="str">
            <v>FVF00016</v>
          </cell>
          <cell r="G950" t="str">
            <v>BEET ROOT</v>
          </cell>
          <cell r="H950">
            <v>19000</v>
          </cell>
          <cell r="I950">
            <v>0</v>
          </cell>
          <cell r="J950">
            <v>0</v>
          </cell>
          <cell r="K950" t="str">
            <v>kg</v>
          </cell>
          <cell r="L950" t="str">
            <v>0</v>
          </cell>
        </row>
        <row r="951">
          <cell r="F951" t="str">
            <v>FVF00017</v>
          </cell>
          <cell r="G951" t="str">
            <v>DAUN BAWANG BESAR</v>
          </cell>
          <cell r="H951">
            <v>16900</v>
          </cell>
          <cell r="I951">
            <v>0</v>
          </cell>
          <cell r="J951">
            <v>0</v>
          </cell>
          <cell r="K951" t="str">
            <v>kg</v>
          </cell>
          <cell r="L951" t="str">
            <v>0</v>
          </cell>
        </row>
        <row r="952">
          <cell r="F952" t="str">
            <v>FVF00018</v>
          </cell>
          <cell r="G952" t="str">
            <v>DAUN BAWANG CUNG KECIL</v>
          </cell>
          <cell r="H952">
            <v>21000</v>
          </cell>
          <cell r="I952">
            <v>0</v>
          </cell>
          <cell r="J952">
            <v>0</v>
          </cell>
          <cell r="K952" t="str">
            <v>kg</v>
          </cell>
          <cell r="L952" t="str">
            <v>0</v>
          </cell>
        </row>
        <row r="953">
          <cell r="F953" t="str">
            <v>FVF00019</v>
          </cell>
          <cell r="G953" t="str">
            <v>BAWANG BOMBAY</v>
          </cell>
          <cell r="H953">
            <v>22500</v>
          </cell>
          <cell r="I953">
            <v>0</v>
          </cell>
          <cell r="J953">
            <v>0</v>
          </cell>
          <cell r="K953" t="str">
            <v>kg</v>
          </cell>
          <cell r="L953" t="str">
            <v>0</v>
          </cell>
        </row>
        <row r="954">
          <cell r="F954" t="str">
            <v>FVF00020</v>
          </cell>
          <cell r="G954" t="str">
            <v>BAWANG PUTIH KUPAS</v>
          </cell>
          <cell r="H954">
            <v>45000</v>
          </cell>
          <cell r="I954">
            <v>0</v>
          </cell>
          <cell r="J954">
            <v>0</v>
          </cell>
          <cell r="K954" t="str">
            <v>kg</v>
          </cell>
          <cell r="L954" t="str">
            <v>0</v>
          </cell>
        </row>
        <row r="955">
          <cell r="F955" t="str">
            <v>FVF00021</v>
          </cell>
          <cell r="G955" t="str">
            <v>BAWANG MERAH BESAR UTUH</v>
          </cell>
          <cell r="H955">
            <v>0</v>
          </cell>
          <cell r="I955">
            <v>0</v>
          </cell>
          <cell r="J955">
            <v>0</v>
          </cell>
          <cell r="K955" t="str">
            <v>kg</v>
          </cell>
          <cell r="L955" t="str">
            <v>0</v>
          </cell>
        </row>
        <row r="956">
          <cell r="F956" t="str">
            <v>FVF00022</v>
          </cell>
          <cell r="G956" t="str">
            <v>DAUN SELADA KERITING</v>
          </cell>
          <cell r="H956">
            <v>20000</v>
          </cell>
          <cell r="I956">
            <v>0</v>
          </cell>
          <cell r="J956">
            <v>0</v>
          </cell>
          <cell r="K956" t="str">
            <v>kg</v>
          </cell>
          <cell r="L956" t="str">
            <v>0</v>
          </cell>
        </row>
        <row r="957">
          <cell r="F957" t="str">
            <v>FVF00023</v>
          </cell>
          <cell r="G957" t="str">
            <v>UBI CILEMBU KUNING</v>
          </cell>
          <cell r="H957">
            <v>9500</v>
          </cell>
          <cell r="I957">
            <v>0</v>
          </cell>
          <cell r="J957">
            <v>0</v>
          </cell>
          <cell r="K957" t="str">
            <v>kg</v>
          </cell>
          <cell r="L957" t="str">
            <v>0</v>
          </cell>
        </row>
        <row r="958">
          <cell r="F958" t="str">
            <v>FVF00024</v>
          </cell>
          <cell r="G958" t="str">
            <v>TAHU CINA PADAT 420 G</v>
          </cell>
          <cell r="H958">
            <v>6250</v>
          </cell>
          <cell r="I958">
            <v>0</v>
          </cell>
          <cell r="J958">
            <v>0</v>
          </cell>
          <cell r="K958" t="str">
            <v>pcs</v>
          </cell>
          <cell r="L958" t="str">
            <v>0</v>
          </cell>
        </row>
        <row r="959">
          <cell r="F959" t="str">
            <v>FVF00025</v>
          </cell>
          <cell r="G959" t="str">
            <v>JAHE</v>
          </cell>
          <cell r="H959">
            <v>13800</v>
          </cell>
          <cell r="I959">
            <v>0</v>
          </cell>
          <cell r="J959">
            <v>0</v>
          </cell>
          <cell r="K959" t="str">
            <v>kg</v>
          </cell>
          <cell r="L959" t="str">
            <v>0</v>
          </cell>
        </row>
        <row r="960">
          <cell r="F960" t="str">
            <v>FVF00026</v>
          </cell>
          <cell r="G960" t="str">
            <v>WATERCRESS / SELADA AIR</v>
          </cell>
          <cell r="H960">
            <v>0</v>
          </cell>
          <cell r="I960">
            <v>0</v>
          </cell>
          <cell r="J960">
            <v>0</v>
          </cell>
          <cell r="K960" t="str">
            <v>kg</v>
          </cell>
          <cell r="L960" t="str">
            <v>0</v>
          </cell>
        </row>
        <row r="961">
          <cell r="F961" t="str">
            <v>FVF00027</v>
          </cell>
          <cell r="G961" t="str">
            <v>MELON (KAPAN BELI MELON)</v>
          </cell>
          <cell r="H961">
            <v>0</v>
          </cell>
          <cell r="I961">
            <v>0</v>
          </cell>
          <cell r="J961">
            <v>0</v>
          </cell>
          <cell r="K961" t="str">
            <v>pcs</v>
          </cell>
          <cell r="L961" t="str">
            <v>0</v>
          </cell>
        </row>
        <row r="962">
          <cell r="F962" t="str">
            <v>FVF00028</v>
          </cell>
          <cell r="G962" t="str">
            <v>SWEET POTATO VERMICELLI (INACTIVE OCT 2023)</v>
          </cell>
          <cell r="H962">
            <v>0</v>
          </cell>
          <cell r="I962">
            <v>0</v>
          </cell>
          <cell r="J962">
            <v>0</v>
          </cell>
          <cell r="K962" t="str">
            <v>ctn</v>
          </cell>
          <cell r="L962" t="str">
            <v>0</v>
          </cell>
        </row>
        <row r="963">
          <cell r="F963" t="str">
            <v>FVF00029</v>
          </cell>
          <cell r="G963" t="str">
            <v>APEL GRANNY SMITH (SAMPLE)</v>
          </cell>
          <cell r="H963">
            <v>0</v>
          </cell>
          <cell r="I963">
            <v>0</v>
          </cell>
          <cell r="J963">
            <v>0</v>
          </cell>
          <cell r="K963" t="str">
            <v>kg</v>
          </cell>
          <cell r="L963" t="str">
            <v>0</v>
          </cell>
        </row>
        <row r="964">
          <cell r="F964" t="str">
            <v>FVF00030</v>
          </cell>
          <cell r="G964" t="str">
            <v>KENTANG</v>
          </cell>
          <cell r="H964">
            <v>0</v>
          </cell>
          <cell r="I964">
            <v>0</v>
          </cell>
          <cell r="J964">
            <v>0</v>
          </cell>
          <cell r="K964" t="str">
            <v>kg</v>
          </cell>
          <cell r="L964" t="str">
            <v>0</v>
          </cell>
        </row>
        <row r="965">
          <cell r="F965" t="str">
            <v>FVF00031</v>
          </cell>
          <cell r="G965" t="str">
            <v>JAMUR KUPING KERING</v>
          </cell>
          <cell r="H965">
            <v>0</v>
          </cell>
          <cell r="I965">
            <v>0</v>
          </cell>
          <cell r="J965">
            <v>0</v>
          </cell>
          <cell r="K965" t="str">
            <v>kg</v>
          </cell>
          <cell r="L965" t="str">
            <v>0</v>
          </cell>
        </row>
        <row r="966">
          <cell r="F966" t="str">
            <v>FVF00032</v>
          </cell>
          <cell r="G966" t="str">
            <v>PAKCOY</v>
          </cell>
          <cell r="H966">
            <v>0</v>
          </cell>
          <cell r="I966">
            <v>0</v>
          </cell>
          <cell r="J966">
            <v>0</v>
          </cell>
          <cell r="K966" t="str">
            <v>kg</v>
          </cell>
          <cell r="L966" t="str">
            <v>0</v>
          </cell>
        </row>
        <row r="967">
          <cell r="F967" t="str">
            <v>FVF00033</v>
          </cell>
          <cell r="G967" t="str">
            <v>SHIMEJI 40 PACK x 150 G</v>
          </cell>
          <cell r="H967">
            <v>0</v>
          </cell>
          <cell r="I967">
            <v>0</v>
          </cell>
          <cell r="J967">
            <v>0</v>
          </cell>
          <cell r="K967" t="str">
            <v>pack</v>
          </cell>
          <cell r="L967" t="str">
            <v>0</v>
          </cell>
        </row>
        <row r="968">
          <cell r="F968" t="str">
            <v>FVF00034</v>
          </cell>
          <cell r="G968" t="str">
            <v>CABE RAWIT HIJAU</v>
          </cell>
          <cell r="H968">
            <v>0</v>
          </cell>
          <cell r="I968">
            <v>0</v>
          </cell>
          <cell r="J968">
            <v>0</v>
          </cell>
          <cell r="K968" t="str">
            <v>kg</v>
          </cell>
          <cell r="L968" t="str">
            <v>0</v>
          </cell>
        </row>
        <row r="969">
          <cell r="F969" t="str">
            <v>FVF00035</v>
          </cell>
          <cell r="G969" t="str">
            <v>TAHU SUTERA</v>
          </cell>
          <cell r="H969">
            <v>0</v>
          </cell>
          <cell r="I969">
            <v>0</v>
          </cell>
          <cell r="J969">
            <v>0</v>
          </cell>
          <cell r="K969" t="str">
            <v>gr</v>
          </cell>
          <cell r="L969" t="str">
            <v>0</v>
          </cell>
        </row>
        <row r="970">
          <cell r="F970" t="str">
            <v>FVF00036</v>
          </cell>
          <cell r="G970" t="str">
            <v>HORENZO</v>
          </cell>
          <cell r="H970">
            <v>0</v>
          </cell>
          <cell r="I970">
            <v>0</v>
          </cell>
          <cell r="J970">
            <v>0</v>
          </cell>
          <cell r="K970" t="str">
            <v>kg</v>
          </cell>
          <cell r="L970" t="str">
            <v>0</v>
          </cell>
        </row>
        <row r="971">
          <cell r="F971" t="str">
            <v>FVF00037</v>
          </cell>
          <cell r="G971" t="str">
            <v>LEMON</v>
          </cell>
          <cell r="H971">
            <v>0</v>
          </cell>
          <cell r="I971">
            <v>0</v>
          </cell>
          <cell r="J971">
            <v>0</v>
          </cell>
          <cell r="K971" t="str">
            <v>kg</v>
          </cell>
          <cell r="L971" t="str">
            <v>0</v>
          </cell>
        </row>
        <row r="972">
          <cell r="F972" t="str">
            <v>FVF00038</v>
          </cell>
          <cell r="G972" t="str">
            <v>TIMUN</v>
          </cell>
          <cell r="H972">
            <v>0</v>
          </cell>
          <cell r="I972">
            <v>0</v>
          </cell>
          <cell r="J972">
            <v>0</v>
          </cell>
          <cell r="K972" t="str">
            <v>kg</v>
          </cell>
          <cell r="L972" t="str">
            <v>0</v>
          </cell>
        </row>
        <row r="973">
          <cell r="F973" t="str">
            <v>FVF00039</v>
          </cell>
          <cell r="G973" t="str">
            <v>DAUN MINT</v>
          </cell>
          <cell r="H973">
            <v>0</v>
          </cell>
          <cell r="I973">
            <v>0</v>
          </cell>
          <cell r="J973">
            <v>0</v>
          </cell>
          <cell r="K973" t="str">
            <v>kg</v>
          </cell>
          <cell r="L973" t="str">
            <v>0</v>
          </cell>
        </row>
        <row r="974">
          <cell r="F974" t="str">
            <v>FVF00040</v>
          </cell>
          <cell r="G974" t="str">
            <v>TAHU CINA PADAT 125 G</v>
          </cell>
          <cell r="H974">
            <v>0</v>
          </cell>
          <cell r="I974">
            <v>0</v>
          </cell>
          <cell r="J974">
            <v>0</v>
          </cell>
          <cell r="K974" t="str">
            <v>pcs</v>
          </cell>
          <cell r="L974" t="str">
            <v>0</v>
          </cell>
        </row>
        <row r="975">
          <cell r="F975" t="str">
            <v>FVF00041</v>
          </cell>
          <cell r="G975" t="str">
            <v>LETTUCE</v>
          </cell>
          <cell r="H975">
            <v>0</v>
          </cell>
          <cell r="I975">
            <v>0</v>
          </cell>
          <cell r="J975">
            <v>0</v>
          </cell>
          <cell r="K975" t="str">
            <v>kg</v>
          </cell>
          <cell r="L975" t="str">
            <v>0</v>
          </cell>
        </row>
        <row r="976">
          <cell r="F976" t="str">
            <v>FVF00042</v>
          </cell>
          <cell r="G976" t="str">
            <v>CABE HIJAU BESAR</v>
          </cell>
          <cell r="H976">
            <v>0</v>
          </cell>
          <cell r="I976">
            <v>0</v>
          </cell>
          <cell r="J976">
            <v>0</v>
          </cell>
          <cell r="K976" t="str">
            <v>kg</v>
          </cell>
          <cell r="L976" t="str">
            <v>0</v>
          </cell>
        </row>
        <row r="977">
          <cell r="F977" t="str">
            <v>FVF00043</v>
          </cell>
          <cell r="G977" t="str">
            <v>KOL UNGU</v>
          </cell>
          <cell r="H977">
            <v>0</v>
          </cell>
          <cell r="I977">
            <v>0</v>
          </cell>
          <cell r="J977">
            <v>0</v>
          </cell>
          <cell r="K977" t="str">
            <v>kg</v>
          </cell>
          <cell r="L977" t="str">
            <v>0</v>
          </cell>
        </row>
        <row r="978">
          <cell r="F978" t="str">
            <v>FVF00044</v>
          </cell>
          <cell r="G978" t="str">
            <v>CABE KERING KERITING</v>
          </cell>
          <cell r="H978">
            <v>0</v>
          </cell>
          <cell r="I978">
            <v>0</v>
          </cell>
          <cell r="J978">
            <v>0</v>
          </cell>
          <cell r="K978" t="str">
            <v>kg</v>
          </cell>
          <cell r="L978" t="str">
            <v>0</v>
          </cell>
        </row>
        <row r="979">
          <cell r="F979" t="str">
            <v>FVF00045</v>
          </cell>
          <cell r="G979" t="str">
            <v>UBI PUTIH</v>
          </cell>
          <cell r="H979">
            <v>0</v>
          </cell>
          <cell r="I979">
            <v>0</v>
          </cell>
          <cell r="J979">
            <v>0</v>
          </cell>
          <cell r="K979" t="str">
            <v>kg</v>
          </cell>
          <cell r="L979" t="str">
            <v>0</v>
          </cell>
        </row>
        <row r="980">
          <cell r="F980" t="str">
            <v>FVF00046</v>
          </cell>
          <cell r="G980" t="str">
            <v>DAUN PERILLA 9-10CM @10LEMBAR</v>
          </cell>
          <cell r="H980">
            <v>0</v>
          </cell>
          <cell r="I980">
            <v>0</v>
          </cell>
          <cell r="J980">
            <v>0</v>
          </cell>
          <cell r="K980" t="str">
            <v>pack</v>
          </cell>
          <cell r="L980" t="str">
            <v>0</v>
          </cell>
        </row>
        <row r="981">
          <cell r="F981" t="str">
            <v>HKMS0001</v>
          </cell>
          <cell r="G981" t="str">
            <v>WIP Adonan Isi Keju</v>
          </cell>
          <cell r="H981">
            <v>0</v>
          </cell>
          <cell r="I981">
            <v>0</v>
          </cell>
          <cell r="J981">
            <v>0</v>
          </cell>
          <cell r="K981" t="str">
            <v>gr</v>
          </cell>
          <cell r="L981" t="str">
            <v>0</v>
          </cell>
        </row>
        <row r="982">
          <cell r="F982" t="str">
            <v>HKMS0002</v>
          </cell>
          <cell r="G982" t="str">
            <v>WIP Dangmyeon Rendam Hotok</v>
          </cell>
          <cell r="H982">
            <v>0</v>
          </cell>
          <cell r="I982">
            <v>0</v>
          </cell>
          <cell r="J982">
            <v>0</v>
          </cell>
          <cell r="K982" t="str">
            <v>gr</v>
          </cell>
          <cell r="L982" t="str">
            <v>0</v>
          </cell>
        </row>
        <row r="983">
          <cell r="F983" t="str">
            <v>HKMS0003</v>
          </cell>
          <cell r="G983" t="str">
            <v>WIP Isi Japchae Hotok</v>
          </cell>
          <cell r="H983">
            <v>0</v>
          </cell>
          <cell r="I983">
            <v>0</v>
          </cell>
          <cell r="J983">
            <v>0</v>
          </cell>
          <cell r="K983" t="str">
            <v>gr</v>
          </cell>
          <cell r="L983" t="str">
            <v>0</v>
          </cell>
        </row>
        <row r="984">
          <cell r="F984" t="str">
            <v>HKMS0004</v>
          </cell>
          <cell r="G984" t="str">
            <v>WIP Isi Original Hotok</v>
          </cell>
          <cell r="H984">
            <v>0</v>
          </cell>
          <cell r="I984">
            <v>0</v>
          </cell>
          <cell r="J984">
            <v>0</v>
          </cell>
          <cell r="K984" t="str">
            <v>gr</v>
          </cell>
          <cell r="L984" t="str">
            <v>0</v>
          </cell>
        </row>
        <row r="985">
          <cell r="F985" t="str">
            <v>HKVF0001</v>
          </cell>
          <cell r="G985" t="str">
            <v>WIP Bawang Bombay Iris Hotok</v>
          </cell>
          <cell r="H985">
            <v>0</v>
          </cell>
          <cell r="I985">
            <v>0</v>
          </cell>
          <cell r="J985">
            <v>0</v>
          </cell>
          <cell r="K985" t="str">
            <v>gr</v>
          </cell>
          <cell r="L985" t="str">
            <v>0</v>
          </cell>
        </row>
        <row r="986">
          <cell r="F986" t="str">
            <v>HWDL0001</v>
          </cell>
          <cell r="G986" t="str">
            <v>WIP HG CHICKEN SOUP STANDBY</v>
          </cell>
          <cell r="H986">
            <v>0</v>
          </cell>
          <cell r="I986">
            <v>0</v>
          </cell>
          <cell r="J986">
            <v>0</v>
          </cell>
          <cell r="K986" t="str">
            <v>gr</v>
          </cell>
          <cell r="L986" t="str">
            <v>0</v>
          </cell>
        </row>
        <row r="987">
          <cell r="F987" t="str">
            <v>HWDL0002</v>
          </cell>
          <cell r="G987" t="str">
            <v>WIP HG MINYAK BAWANG</v>
          </cell>
          <cell r="H987">
            <v>0</v>
          </cell>
          <cell r="I987">
            <v>0</v>
          </cell>
          <cell r="J987">
            <v>0</v>
          </cell>
          <cell r="K987" t="str">
            <v>gr</v>
          </cell>
          <cell r="L987" t="str">
            <v>0</v>
          </cell>
        </row>
        <row r="988">
          <cell r="F988" t="str">
            <v>HWDL0004</v>
          </cell>
          <cell r="G988" t="str">
            <v>WIP HG NASI PUTIH</v>
          </cell>
          <cell r="H988">
            <v>0</v>
          </cell>
          <cell r="I988">
            <v>0</v>
          </cell>
          <cell r="J988">
            <v>0</v>
          </cell>
          <cell r="K988" t="str">
            <v>gr</v>
          </cell>
          <cell r="L988" t="str">
            <v>0</v>
          </cell>
        </row>
        <row r="989">
          <cell r="F989" t="str">
            <v>HWDL0006</v>
          </cell>
          <cell r="G989" t="str">
            <v>WIP HG CHILLI OIL</v>
          </cell>
          <cell r="H989">
            <v>0</v>
          </cell>
          <cell r="I989">
            <v>0</v>
          </cell>
          <cell r="J989">
            <v>0</v>
          </cell>
          <cell r="K989" t="str">
            <v>gr</v>
          </cell>
          <cell r="L989" t="str">
            <v>0</v>
          </cell>
        </row>
        <row r="990">
          <cell r="F990" t="str">
            <v>HWDL0008</v>
          </cell>
          <cell r="G990" t="str">
            <v>WIP HG YURINGI SAUCE</v>
          </cell>
          <cell r="H990">
            <v>0</v>
          </cell>
          <cell r="I990">
            <v>0</v>
          </cell>
          <cell r="J990">
            <v>0</v>
          </cell>
          <cell r="K990" t="str">
            <v>gr</v>
          </cell>
          <cell r="L990" t="str">
            <v>0</v>
          </cell>
        </row>
        <row r="991">
          <cell r="F991" t="str">
            <v>HWDL0010</v>
          </cell>
          <cell r="G991" t="str">
            <v>WIP HG TEPUNG KKANPUNGGI</v>
          </cell>
          <cell r="H991">
            <v>0</v>
          </cell>
          <cell r="I991">
            <v>0</v>
          </cell>
          <cell r="J991">
            <v>0</v>
          </cell>
          <cell r="K991" t="str">
            <v>gr</v>
          </cell>
          <cell r="L991" t="str">
            <v>0</v>
          </cell>
        </row>
        <row r="992">
          <cell r="F992" t="str">
            <v>HWDL0015</v>
          </cell>
          <cell r="G992" t="str">
            <v>WIP HG AIR PENGENTAL</v>
          </cell>
          <cell r="H992">
            <v>0</v>
          </cell>
          <cell r="I992">
            <v>0</v>
          </cell>
          <cell r="J992">
            <v>0</v>
          </cell>
          <cell r="K992" t="str">
            <v>gr</v>
          </cell>
          <cell r="L992" t="str">
            <v>0</v>
          </cell>
        </row>
        <row r="993">
          <cell r="F993" t="str">
            <v>HWDL0016</v>
          </cell>
          <cell r="G993" t="str">
            <v>WIP HG GARAM GURIH</v>
          </cell>
          <cell r="H993">
            <v>0</v>
          </cell>
          <cell r="I993">
            <v>0</v>
          </cell>
          <cell r="J993">
            <v>0</v>
          </cell>
          <cell r="K993" t="str">
            <v>gr</v>
          </cell>
          <cell r="L993" t="str">
            <v>0</v>
          </cell>
        </row>
        <row r="994">
          <cell r="F994" t="str">
            <v>HWDL0017</v>
          </cell>
          <cell r="G994" t="str">
            <v>WIP HG TEPUNG TANGSUYUK</v>
          </cell>
          <cell r="H994">
            <v>0</v>
          </cell>
          <cell r="I994">
            <v>0</v>
          </cell>
          <cell r="J994">
            <v>0</v>
          </cell>
          <cell r="K994" t="str">
            <v>gr</v>
          </cell>
          <cell r="L994" t="str">
            <v>0</v>
          </cell>
        </row>
        <row r="995">
          <cell r="F995" t="str">
            <v>HWDL0018</v>
          </cell>
          <cell r="G995" t="str">
            <v>WIP HG TANGSUYUK SAUCE</v>
          </cell>
          <cell r="H995">
            <v>0</v>
          </cell>
          <cell r="I995">
            <v>0</v>
          </cell>
          <cell r="J995">
            <v>0</v>
          </cell>
          <cell r="K995" t="str">
            <v>gr</v>
          </cell>
          <cell r="L995" t="str">
            <v>0</v>
          </cell>
        </row>
        <row r="996">
          <cell r="F996" t="str">
            <v>HWDL0019</v>
          </cell>
          <cell r="G996" t="str">
            <v>WIP HG KKANPUNGGI SAUCE</v>
          </cell>
          <cell r="H996">
            <v>0</v>
          </cell>
          <cell r="I996">
            <v>0</v>
          </cell>
          <cell r="J996">
            <v>0</v>
          </cell>
          <cell r="K996" t="str">
            <v>gr</v>
          </cell>
          <cell r="L996" t="str">
            <v>0</v>
          </cell>
        </row>
        <row r="997">
          <cell r="F997" t="str">
            <v>HWDL0023</v>
          </cell>
          <cell r="G997" t="str">
            <v>WIP HG TELUR KOCOK</v>
          </cell>
          <cell r="H997">
            <v>0</v>
          </cell>
          <cell r="I997">
            <v>0</v>
          </cell>
          <cell r="J997">
            <v>0</v>
          </cell>
          <cell r="K997" t="str">
            <v>gr</v>
          </cell>
          <cell r="L997" t="str">
            <v>0</v>
          </cell>
        </row>
        <row r="998">
          <cell r="F998" t="str">
            <v>HWDL0024</v>
          </cell>
          <cell r="G998" t="str">
            <v>WIP HG CHICKEN JJAJANG SAUCE</v>
          </cell>
          <cell r="H998">
            <v>0</v>
          </cell>
          <cell r="I998">
            <v>0</v>
          </cell>
          <cell r="J998">
            <v>0</v>
          </cell>
          <cell r="K998" t="str">
            <v>gr</v>
          </cell>
          <cell r="L998" t="str">
            <v>0</v>
          </cell>
        </row>
        <row r="999">
          <cell r="F999" t="str">
            <v>HWDL0025</v>
          </cell>
          <cell r="G999" t="str">
            <v>WIP HG SHAKE DOSIRAK SAUCE</v>
          </cell>
          <cell r="H999">
            <v>0</v>
          </cell>
          <cell r="I999">
            <v>0</v>
          </cell>
          <cell r="J999">
            <v>0</v>
          </cell>
          <cell r="K999" t="str">
            <v>gr</v>
          </cell>
          <cell r="L999" t="str">
            <v>0</v>
          </cell>
        </row>
        <row r="1000">
          <cell r="F1000" t="str">
            <v>HWDL0026</v>
          </cell>
          <cell r="G1000" t="str">
            <v>WIP HG WIJEN SANGRAI</v>
          </cell>
          <cell r="H1000">
            <v>0</v>
          </cell>
          <cell r="I1000">
            <v>0</v>
          </cell>
          <cell r="J1000">
            <v>0</v>
          </cell>
          <cell r="K1000" t="str">
            <v>gr</v>
          </cell>
          <cell r="L1000" t="str">
            <v>0</v>
          </cell>
        </row>
        <row r="1001">
          <cell r="F1001" t="str">
            <v>HWDL0027</v>
          </cell>
          <cell r="G1001" t="str">
            <v>WIP HG MIX SEASONING</v>
          </cell>
          <cell r="H1001">
            <v>0</v>
          </cell>
          <cell r="I1001">
            <v>0</v>
          </cell>
          <cell r="J1001">
            <v>0</v>
          </cell>
          <cell r="K1001" t="str">
            <v>gr</v>
          </cell>
          <cell r="L1001" t="str">
            <v>0</v>
          </cell>
        </row>
        <row r="1002">
          <cell r="F1002" t="str">
            <v>HWDL0028</v>
          </cell>
          <cell r="G1002" t="str">
            <v>WIP HG CRISPY SWEET POTATO</v>
          </cell>
          <cell r="H1002">
            <v>0</v>
          </cell>
          <cell r="I1002">
            <v>0</v>
          </cell>
          <cell r="J1002">
            <v>0</v>
          </cell>
          <cell r="K1002" t="str">
            <v>gr</v>
          </cell>
          <cell r="L1002" t="str">
            <v>0</v>
          </cell>
        </row>
        <row r="1003">
          <cell r="F1003" t="str">
            <v>HWDL0029</v>
          </cell>
          <cell r="G1003" t="str">
            <v>WIP HG ADONAN CRISPY TWIGIM</v>
          </cell>
          <cell r="H1003">
            <v>0</v>
          </cell>
          <cell r="I1003">
            <v>0</v>
          </cell>
          <cell r="J1003">
            <v>0</v>
          </cell>
          <cell r="K1003" t="str">
            <v>gr</v>
          </cell>
          <cell r="L1003" t="str">
            <v>0</v>
          </cell>
        </row>
        <row r="1004">
          <cell r="F1004" t="str">
            <v>HWDL0030</v>
          </cell>
          <cell r="G1004" t="str">
            <v>WIP HG AIR TWIGIM</v>
          </cell>
          <cell r="H1004">
            <v>0</v>
          </cell>
          <cell r="I1004">
            <v>0</v>
          </cell>
          <cell r="J1004">
            <v>0</v>
          </cell>
          <cell r="K1004" t="str">
            <v>gr</v>
          </cell>
          <cell r="L1004" t="str">
            <v>0</v>
          </cell>
        </row>
        <row r="1005">
          <cell r="F1005" t="str">
            <v>HWDL0031</v>
          </cell>
          <cell r="G1005" t="str">
            <v>WIP HG AIR PEWARNA KUNING</v>
          </cell>
          <cell r="H1005">
            <v>0</v>
          </cell>
          <cell r="I1005">
            <v>0</v>
          </cell>
          <cell r="J1005">
            <v>0</v>
          </cell>
          <cell r="K1005" t="str">
            <v>gr</v>
          </cell>
          <cell r="L1005" t="str">
            <v>0</v>
          </cell>
        </row>
        <row r="1006">
          <cell r="F1006" t="str">
            <v>HWDL0032</v>
          </cell>
          <cell r="G1006" t="str">
            <v>WIP HG CORN TEA</v>
          </cell>
          <cell r="H1006">
            <v>0</v>
          </cell>
          <cell r="I1006">
            <v>0</v>
          </cell>
          <cell r="J1006">
            <v>0</v>
          </cell>
          <cell r="K1006" t="str">
            <v>gr</v>
          </cell>
          <cell r="L1006" t="str">
            <v>0</v>
          </cell>
        </row>
        <row r="1007">
          <cell r="F1007" t="str">
            <v>HWDL0033</v>
          </cell>
          <cell r="G1007" t="str">
            <v>WIP HG LEMON TEA</v>
          </cell>
          <cell r="H1007">
            <v>0</v>
          </cell>
          <cell r="I1007">
            <v>0</v>
          </cell>
          <cell r="J1007">
            <v>0</v>
          </cell>
          <cell r="K1007" t="str">
            <v>gr</v>
          </cell>
          <cell r="L1007" t="str">
            <v>0</v>
          </cell>
        </row>
        <row r="1008">
          <cell r="F1008" t="str">
            <v>HWDL0034</v>
          </cell>
          <cell r="G1008" t="str">
            <v>WIP HG SAMBAL</v>
          </cell>
          <cell r="H1008">
            <v>0</v>
          </cell>
          <cell r="I1008">
            <v>0</v>
          </cell>
          <cell r="J1008">
            <v>0</v>
          </cell>
          <cell r="K1008" t="str">
            <v>gr</v>
          </cell>
          <cell r="L1008" t="str">
            <v>0</v>
          </cell>
        </row>
        <row r="1009">
          <cell r="F1009" t="str">
            <v>HWDL0035</v>
          </cell>
          <cell r="G1009" t="str">
            <v>WIP HG SAUS ROSE JJAMPPONG</v>
          </cell>
          <cell r="H1009">
            <v>0</v>
          </cell>
          <cell r="I1009">
            <v>0</v>
          </cell>
          <cell r="J1009">
            <v>0</v>
          </cell>
          <cell r="K1009" t="str">
            <v>pack</v>
          </cell>
          <cell r="L1009" t="str">
            <v>0</v>
          </cell>
        </row>
        <row r="1010">
          <cell r="F1010" t="str">
            <v>HWDL0036</v>
          </cell>
          <cell r="G1010" t="str">
            <v>WIP HG ADONAN TANGSUYUK</v>
          </cell>
          <cell r="H1010">
            <v>0</v>
          </cell>
          <cell r="I1010">
            <v>0</v>
          </cell>
          <cell r="J1010">
            <v>0</v>
          </cell>
          <cell r="K1010" t="str">
            <v>gr</v>
          </cell>
          <cell r="L1010" t="str">
            <v>0</v>
          </cell>
        </row>
        <row r="1011">
          <cell r="F1011" t="str">
            <v>HWDL0037</v>
          </cell>
          <cell r="G1011" t="str">
            <v>WIP HG SIMPLE SYRUP</v>
          </cell>
          <cell r="H1011">
            <v>0</v>
          </cell>
          <cell r="I1011">
            <v>0</v>
          </cell>
          <cell r="J1011">
            <v>0</v>
          </cell>
          <cell r="K1011" t="str">
            <v>gr</v>
          </cell>
          <cell r="L1011" t="str">
            <v>0</v>
          </cell>
        </row>
        <row r="1012">
          <cell r="F1012" t="str">
            <v>HWDL0038</v>
          </cell>
          <cell r="G1012" t="str">
            <v>WIP HG KALDU UDANG</v>
          </cell>
          <cell r="H1012">
            <v>0</v>
          </cell>
          <cell r="I1012">
            <v>0</v>
          </cell>
          <cell r="J1012">
            <v>0</v>
          </cell>
          <cell r="K1012" t="str">
            <v>gr</v>
          </cell>
          <cell r="L1012" t="str">
            <v>0</v>
          </cell>
        </row>
        <row r="1013">
          <cell r="F1013" t="str">
            <v>HWDL0039</v>
          </cell>
          <cell r="G1013" t="str">
            <v>WIP HG BASE SEAFOOD JJAMPPONG</v>
          </cell>
          <cell r="H1013">
            <v>0</v>
          </cell>
          <cell r="I1013">
            <v>0</v>
          </cell>
          <cell r="J1013">
            <v>0</v>
          </cell>
          <cell r="K1013" t="str">
            <v>gr</v>
          </cell>
          <cell r="L1013" t="str">
            <v>0</v>
          </cell>
        </row>
        <row r="1014">
          <cell r="F1014" t="str">
            <v>HWDL0040</v>
          </cell>
          <cell r="G1014" t="str">
            <v>WIP HG JJAMPPONG SOUP STANDBY</v>
          </cell>
          <cell r="H1014">
            <v>0</v>
          </cell>
          <cell r="I1014">
            <v>0</v>
          </cell>
          <cell r="J1014">
            <v>0</v>
          </cell>
          <cell r="K1014" t="str">
            <v>gr</v>
          </cell>
          <cell r="L1014" t="str">
            <v>0</v>
          </cell>
        </row>
        <row r="1015">
          <cell r="F1015" t="str">
            <v>HWDL0041</v>
          </cell>
          <cell r="G1015" t="str">
            <v>WIP HG BUMBU CHICKEN SOUP</v>
          </cell>
          <cell r="H1015">
            <v>0</v>
          </cell>
          <cell r="I1015">
            <v>0</v>
          </cell>
          <cell r="J1015">
            <v>0</v>
          </cell>
          <cell r="K1015" t="str">
            <v>gr</v>
          </cell>
          <cell r="L1015" t="str">
            <v>0</v>
          </cell>
        </row>
        <row r="1016">
          <cell r="F1016" t="str">
            <v>HWDL0042</v>
          </cell>
          <cell r="G1016" t="str">
            <v>WIP HG SAUCE KIMCHI FRIED RICE</v>
          </cell>
          <cell r="H1016">
            <v>0</v>
          </cell>
          <cell r="I1016">
            <v>0</v>
          </cell>
          <cell r="J1016">
            <v>0</v>
          </cell>
          <cell r="K1016" t="str">
            <v>gr</v>
          </cell>
          <cell r="L1016" t="str">
            <v>0</v>
          </cell>
        </row>
        <row r="1017">
          <cell r="F1017" t="str">
            <v>HWDL0043</v>
          </cell>
          <cell r="G1017" t="str">
            <v>WIP HG SAUCE BULDAK FRIED RICE</v>
          </cell>
          <cell r="H1017">
            <v>0</v>
          </cell>
          <cell r="I1017">
            <v>0</v>
          </cell>
          <cell r="J1017">
            <v>0</v>
          </cell>
          <cell r="K1017" t="str">
            <v>gr</v>
          </cell>
          <cell r="L1017" t="str">
            <v>0</v>
          </cell>
        </row>
        <row r="1018">
          <cell r="F1018" t="str">
            <v>HWDL0044</v>
          </cell>
          <cell r="G1018" t="str">
            <v>WIP HG BIANG CORN TEA</v>
          </cell>
          <cell r="H1018">
            <v>0</v>
          </cell>
          <cell r="I1018">
            <v>0</v>
          </cell>
          <cell r="J1018">
            <v>0</v>
          </cell>
          <cell r="K1018" t="str">
            <v>gr</v>
          </cell>
          <cell r="L1018" t="str">
            <v>0</v>
          </cell>
        </row>
        <row r="1019">
          <cell r="F1019" t="str">
            <v>HWDL0045</v>
          </cell>
          <cell r="G1019" t="str">
            <v>WIP HG TWIGIM SAUCE WITH GARNISH</v>
          </cell>
          <cell r="H1019">
            <v>0</v>
          </cell>
          <cell r="I1019">
            <v>0</v>
          </cell>
          <cell r="J1019">
            <v>0</v>
          </cell>
          <cell r="K1019" t="str">
            <v>gr</v>
          </cell>
          <cell r="L1019" t="str">
            <v>0</v>
          </cell>
        </row>
        <row r="1020">
          <cell r="F1020" t="str">
            <v>HWMS0001</v>
          </cell>
          <cell r="G1020" t="str">
            <v>WIP HG BEEF BRISKET TRIM</v>
          </cell>
          <cell r="H1020">
            <v>0</v>
          </cell>
          <cell r="I1020">
            <v>0</v>
          </cell>
          <cell r="J1020">
            <v>0</v>
          </cell>
          <cell r="K1020" t="str">
            <v>gr</v>
          </cell>
          <cell r="L1020" t="str">
            <v>0</v>
          </cell>
        </row>
        <row r="1021">
          <cell r="F1021" t="str">
            <v>HWMS0002</v>
          </cell>
          <cell r="G1021" t="str">
            <v>WIP HG ISI MANDU</v>
          </cell>
          <cell r="H1021">
            <v>0</v>
          </cell>
          <cell r="I1021">
            <v>0</v>
          </cell>
          <cell r="J1021">
            <v>0</v>
          </cell>
          <cell r="K1021" t="str">
            <v>gr</v>
          </cell>
          <cell r="L1021" t="str">
            <v>0</v>
          </cell>
        </row>
        <row r="1022">
          <cell r="F1022" t="str">
            <v>HWMS0003</v>
          </cell>
          <cell r="G1022" t="str">
            <v>WIP HG BEEF BULGOGI</v>
          </cell>
          <cell r="H1022">
            <v>0</v>
          </cell>
          <cell r="I1022">
            <v>0</v>
          </cell>
          <cell r="J1022">
            <v>0</v>
          </cell>
          <cell r="K1022" t="str">
            <v>gr</v>
          </cell>
          <cell r="L1022" t="str">
            <v>0</v>
          </cell>
        </row>
        <row r="1023">
          <cell r="F1023" t="str">
            <v>HWMS0007</v>
          </cell>
          <cell r="G1023" t="str">
            <v>WIP HG MANDU 1 PCS</v>
          </cell>
          <cell r="H1023">
            <v>0</v>
          </cell>
          <cell r="I1023">
            <v>0</v>
          </cell>
          <cell r="J1023">
            <v>0</v>
          </cell>
          <cell r="K1023" t="str">
            <v>pcs</v>
          </cell>
          <cell r="L1023" t="str">
            <v>0</v>
          </cell>
        </row>
        <row r="1024">
          <cell r="F1024" t="str">
            <v>HWMS0009</v>
          </cell>
          <cell r="G1024" t="str">
            <v>WIP HG CHICKEN STEAK</v>
          </cell>
          <cell r="H1024">
            <v>0</v>
          </cell>
          <cell r="I1024">
            <v>0</v>
          </cell>
          <cell r="J1024">
            <v>0</v>
          </cell>
          <cell r="K1024" t="str">
            <v>gr</v>
          </cell>
          <cell r="L1024" t="str">
            <v>0</v>
          </cell>
        </row>
        <row r="1025">
          <cell r="F1025" t="str">
            <v>HWMS0010</v>
          </cell>
          <cell r="G1025" t="str">
            <v>WIP HG CHICKEN JJAJANG</v>
          </cell>
          <cell r="H1025">
            <v>0</v>
          </cell>
          <cell r="I1025">
            <v>0</v>
          </cell>
          <cell r="J1025">
            <v>0</v>
          </cell>
          <cell r="K1025" t="str">
            <v>gr</v>
          </cell>
          <cell r="L1025" t="str">
            <v>0</v>
          </cell>
        </row>
        <row r="1026">
          <cell r="F1026" t="str">
            <v>HWMS0012</v>
          </cell>
          <cell r="G1026" t="str">
            <v>WIP HG DANGMYEON RENDAM</v>
          </cell>
          <cell r="H1026">
            <v>0</v>
          </cell>
          <cell r="I1026">
            <v>0</v>
          </cell>
          <cell r="J1026">
            <v>0</v>
          </cell>
          <cell r="K1026" t="str">
            <v>gr</v>
          </cell>
          <cell r="L1026" t="str">
            <v>0</v>
          </cell>
        </row>
        <row r="1027">
          <cell r="F1027" t="str">
            <v>HWMS0013</v>
          </cell>
          <cell r="G1027" t="str">
            <v>WIP HG AYAM TOPPING KALGUKSU</v>
          </cell>
          <cell r="H1027">
            <v>0</v>
          </cell>
          <cell r="I1027">
            <v>0</v>
          </cell>
          <cell r="J1027">
            <v>0</v>
          </cell>
          <cell r="K1027" t="str">
            <v>gr</v>
          </cell>
          <cell r="L1027" t="str">
            <v>0</v>
          </cell>
        </row>
        <row r="1028">
          <cell r="F1028" t="str">
            <v>HWMS0015</v>
          </cell>
          <cell r="G1028" t="str">
            <v>WIP HG TERI GORENG</v>
          </cell>
          <cell r="H1028">
            <v>0</v>
          </cell>
          <cell r="I1028">
            <v>0</v>
          </cell>
          <cell r="J1028">
            <v>0</v>
          </cell>
          <cell r="K1028" t="str">
            <v>gr</v>
          </cell>
          <cell r="L1028" t="str">
            <v>0</v>
          </cell>
        </row>
        <row r="1029">
          <cell r="F1029" t="str">
            <v>HWMS0016</v>
          </cell>
          <cell r="G1029" t="str">
            <v>WIP HG CHICKEN KATSU 70 G</v>
          </cell>
          <cell r="H1029">
            <v>0</v>
          </cell>
          <cell r="I1029">
            <v>0</v>
          </cell>
          <cell r="J1029">
            <v>0</v>
          </cell>
          <cell r="K1029" t="str">
            <v>pcs</v>
          </cell>
          <cell r="L1029" t="str">
            <v>0</v>
          </cell>
        </row>
        <row r="1030">
          <cell r="F1030" t="str">
            <v>HWMS0017</v>
          </cell>
          <cell r="G1030" t="str">
            <v>WIP HG TELUR DADAR IRIS</v>
          </cell>
          <cell r="H1030">
            <v>0</v>
          </cell>
          <cell r="I1030">
            <v>0</v>
          </cell>
          <cell r="J1030">
            <v>0</v>
          </cell>
          <cell r="K1030" t="str">
            <v>gr</v>
          </cell>
          <cell r="L1030" t="str">
            <v>0</v>
          </cell>
        </row>
        <row r="1031">
          <cell r="F1031" t="str">
            <v>HWMS0018</v>
          </cell>
          <cell r="G1031" t="str">
            <v>WIP HG VEGGIE KIDS MEAL</v>
          </cell>
          <cell r="H1031">
            <v>0</v>
          </cell>
          <cell r="I1031">
            <v>0</v>
          </cell>
          <cell r="J1031">
            <v>0</v>
          </cell>
          <cell r="K1031" t="str">
            <v>gr</v>
          </cell>
          <cell r="L1031" t="str">
            <v>0</v>
          </cell>
        </row>
        <row r="1032">
          <cell r="F1032" t="str">
            <v>HWMS0019</v>
          </cell>
          <cell r="G1032" t="str">
            <v>WIP HG KERANG HIJAU BERSIH</v>
          </cell>
          <cell r="H1032">
            <v>0</v>
          </cell>
          <cell r="I1032">
            <v>0</v>
          </cell>
          <cell r="J1032">
            <v>0</v>
          </cell>
          <cell r="K1032" t="str">
            <v>gr</v>
          </cell>
          <cell r="L1032" t="str">
            <v>0</v>
          </cell>
        </row>
        <row r="1033">
          <cell r="F1033" t="str">
            <v>HWMS0020</v>
          </cell>
          <cell r="G1033" t="str">
            <v>WIP HG UDANG BERSIH KUPAS</v>
          </cell>
          <cell r="H1033">
            <v>0</v>
          </cell>
          <cell r="I1033">
            <v>0</v>
          </cell>
          <cell r="J1033">
            <v>0</v>
          </cell>
          <cell r="K1033" t="str">
            <v>gr</v>
          </cell>
          <cell r="L1033" t="str">
            <v>0</v>
          </cell>
        </row>
        <row r="1034">
          <cell r="F1034" t="str">
            <v>HWMS0021</v>
          </cell>
          <cell r="G1034" t="str">
            <v>WIP HG CUMI BERSIH</v>
          </cell>
          <cell r="H1034">
            <v>0</v>
          </cell>
          <cell r="I1034">
            <v>0</v>
          </cell>
          <cell r="J1034">
            <v>0</v>
          </cell>
          <cell r="K1034" t="str">
            <v>gr</v>
          </cell>
          <cell r="L1034" t="str">
            <v>0</v>
          </cell>
        </row>
        <row r="1035">
          <cell r="F1035" t="str">
            <v>HWMS0022</v>
          </cell>
          <cell r="G1035" t="str">
            <v>WIP HG CUMI SAUTE</v>
          </cell>
          <cell r="H1035">
            <v>0</v>
          </cell>
          <cell r="I1035">
            <v>0</v>
          </cell>
          <cell r="J1035">
            <v>0</v>
          </cell>
          <cell r="K1035" t="str">
            <v>gr</v>
          </cell>
          <cell r="L1035" t="str">
            <v>0</v>
          </cell>
        </row>
        <row r="1036">
          <cell r="F1036" t="str">
            <v>HWMS0023</v>
          </cell>
          <cell r="G1036" t="str">
            <v>WIP HG CHICKEN KKANPUNGGI (SUDAH GORENG)</v>
          </cell>
          <cell r="H1036">
            <v>0</v>
          </cell>
          <cell r="I1036">
            <v>0</v>
          </cell>
          <cell r="J1036">
            <v>0</v>
          </cell>
          <cell r="K1036" t="str">
            <v>pcs</v>
          </cell>
          <cell r="L1036" t="str">
            <v>0</v>
          </cell>
        </row>
        <row r="1037">
          <cell r="F1037" t="str">
            <v>HWMS0024</v>
          </cell>
          <cell r="G1037" t="str">
            <v>WIP HG CHICKEN TANGSUYUK (SUDAH GORENG)</v>
          </cell>
          <cell r="H1037">
            <v>0</v>
          </cell>
          <cell r="I1037">
            <v>0</v>
          </cell>
          <cell r="J1037">
            <v>0</v>
          </cell>
          <cell r="K1037" t="str">
            <v>pcs</v>
          </cell>
          <cell r="L1037" t="str">
            <v>0</v>
          </cell>
        </row>
        <row r="1038">
          <cell r="F1038" t="str">
            <v>HWMS0025</v>
          </cell>
          <cell r="G1038" t="str">
            <v>WIP HG CUMI REBUS</v>
          </cell>
          <cell r="H1038">
            <v>0</v>
          </cell>
          <cell r="I1038">
            <v>0</v>
          </cell>
          <cell r="J1038">
            <v>0</v>
          </cell>
          <cell r="K1038" t="str">
            <v>gr</v>
          </cell>
          <cell r="L1038" t="str">
            <v>0</v>
          </cell>
        </row>
        <row r="1039">
          <cell r="F1039" t="str">
            <v>HWMS0026</v>
          </cell>
          <cell r="G1039" t="str">
            <v>WIP HG BULDAK FRIED RICE</v>
          </cell>
          <cell r="H1039">
            <v>0</v>
          </cell>
          <cell r="I1039">
            <v>0</v>
          </cell>
          <cell r="J1039">
            <v>0</v>
          </cell>
          <cell r="K1039" t="str">
            <v>gr</v>
          </cell>
          <cell r="L1039" t="str">
            <v>0</v>
          </cell>
        </row>
        <row r="1040">
          <cell r="F1040" t="str">
            <v>HWMS0027</v>
          </cell>
          <cell r="G1040" t="str">
            <v>WIP HG KIMCHI FRIED RICE</v>
          </cell>
          <cell r="H1040">
            <v>0</v>
          </cell>
          <cell r="I1040">
            <v>0</v>
          </cell>
          <cell r="J1040">
            <v>0</v>
          </cell>
          <cell r="K1040" t="str">
            <v>gr</v>
          </cell>
          <cell r="L1040" t="str">
            <v>0</v>
          </cell>
        </row>
        <row r="1041">
          <cell r="F1041" t="str">
            <v>HWMS0028</v>
          </cell>
          <cell r="G1041" t="str">
            <v>WIP HG UDANG REBUS</v>
          </cell>
          <cell r="H1041">
            <v>0</v>
          </cell>
          <cell r="I1041">
            <v>0</v>
          </cell>
          <cell r="J1041">
            <v>0</v>
          </cell>
          <cell r="K1041" t="str">
            <v>gr</v>
          </cell>
          <cell r="L1041" t="str">
            <v>0</v>
          </cell>
        </row>
        <row r="1042">
          <cell r="F1042" t="str">
            <v>HWMS0029</v>
          </cell>
          <cell r="G1042" t="str">
            <v>WIP HG BEEF HAM SAUTE</v>
          </cell>
          <cell r="H1042">
            <v>0</v>
          </cell>
          <cell r="I1042">
            <v>0</v>
          </cell>
          <cell r="J1042">
            <v>0</v>
          </cell>
          <cell r="K1042" t="str">
            <v>gr</v>
          </cell>
          <cell r="L1042" t="str">
            <v>0</v>
          </cell>
        </row>
        <row r="1043">
          <cell r="F1043" t="str">
            <v>HWMS0030</v>
          </cell>
          <cell r="G1043" t="str">
            <v>WIP HG PAHA AYAM FREE SIZE</v>
          </cell>
          <cell r="H1043">
            <v>0</v>
          </cell>
          <cell r="I1043">
            <v>0</v>
          </cell>
          <cell r="J1043">
            <v>0</v>
          </cell>
          <cell r="K1043" t="str">
            <v>gr</v>
          </cell>
          <cell r="L1043" t="str">
            <v>0</v>
          </cell>
        </row>
        <row r="1044">
          <cell r="F1044" t="str">
            <v>HWMS0031</v>
          </cell>
          <cell r="G1044" t="str">
            <v>WIP HG PAHA AYAM 20-25 G</v>
          </cell>
          <cell r="H1044">
            <v>0</v>
          </cell>
          <cell r="I1044">
            <v>0</v>
          </cell>
          <cell r="J1044">
            <v>0</v>
          </cell>
          <cell r="K1044" t="str">
            <v>gr</v>
          </cell>
          <cell r="L1044" t="str">
            <v>0</v>
          </cell>
        </row>
        <row r="1045">
          <cell r="F1045" t="str">
            <v>HWMS0032</v>
          </cell>
          <cell r="G1045" t="str">
            <v>WIP HG TELUR MATA SAPI</v>
          </cell>
          <cell r="H1045">
            <v>0</v>
          </cell>
          <cell r="I1045">
            <v>0</v>
          </cell>
          <cell r="J1045">
            <v>0</v>
          </cell>
          <cell r="K1045" t="str">
            <v>pcs</v>
          </cell>
          <cell r="L1045" t="str">
            <v>0</v>
          </cell>
        </row>
        <row r="1046">
          <cell r="F1046" t="str">
            <v>HWMS0033</v>
          </cell>
          <cell r="G1046" t="str">
            <v>WIP HG NORI TWIGIM (SUDAH GORENG)</v>
          </cell>
          <cell r="H1046">
            <v>0</v>
          </cell>
          <cell r="I1046">
            <v>0</v>
          </cell>
          <cell r="J1046">
            <v>0</v>
          </cell>
          <cell r="K1046" t="str">
            <v>pcs</v>
          </cell>
          <cell r="L1046" t="str">
            <v>0</v>
          </cell>
        </row>
        <row r="1047">
          <cell r="F1047" t="str">
            <v>HWMS0034</v>
          </cell>
          <cell r="G1047" t="str">
            <v>WIP HG PAHA AYAM GILING KASAR</v>
          </cell>
          <cell r="H1047">
            <v>0</v>
          </cell>
          <cell r="I1047">
            <v>0</v>
          </cell>
          <cell r="J1047">
            <v>0</v>
          </cell>
          <cell r="K1047" t="str">
            <v>gr</v>
          </cell>
          <cell r="L1047" t="str">
            <v>0</v>
          </cell>
        </row>
        <row r="1048">
          <cell r="F1048" t="str">
            <v>HWVF0001</v>
          </cell>
          <cell r="G1048" t="str">
            <v>WIP HG BAWANG BOMBAY KUPAS</v>
          </cell>
          <cell r="H1048">
            <v>0</v>
          </cell>
          <cell r="I1048">
            <v>0</v>
          </cell>
          <cell r="J1048">
            <v>0</v>
          </cell>
          <cell r="K1048" t="str">
            <v>gr</v>
          </cell>
          <cell r="L1048" t="str">
            <v>0</v>
          </cell>
        </row>
        <row r="1049">
          <cell r="F1049" t="str">
            <v>HWVF0003</v>
          </cell>
          <cell r="G1049" t="str">
            <v>WIP HG KOL BERSIH</v>
          </cell>
          <cell r="H1049">
            <v>0</v>
          </cell>
          <cell r="I1049">
            <v>0</v>
          </cell>
          <cell r="J1049">
            <v>0</v>
          </cell>
          <cell r="K1049" t="str">
            <v>gr</v>
          </cell>
          <cell r="L1049" t="str">
            <v>0</v>
          </cell>
        </row>
        <row r="1050">
          <cell r="F1050" t="str">
            <v>HWVF0004</v>
          </cell>
          <cell r="G1050" t="str">
            <v>WIP HG KUCAI BERSIH</v>
          </cell>
          <cell r="H1050">
            <v>0</v>
          </cell>
          <cell r="I1050">
            <v>0</v>
          </cell>
          <cell r="J1050">
            <v>0</v>
          </cell>
          <cell r="K1050" t="str">
            <v>gr</v>
          </cell>
          <cell r="L1050" t="str">
            <v>0</v>
          </cell>
        </row>
        <row r="1051">
          <cell r="F1051" t="str">
            <v>HWVF0006</v>
          </cell>
          <cell r="G1051" t="str">
            <v>WIP HG BAWANG PUTIH IRIS/CHOP</v>
          </cell>
          <cell r="H1051">
            <v>0</v>
          </cell>
          <cell r="I1051">
            <v>0</v>
          </cell>
          <cell r="J1051">
            <v>0</v>
          </cell>
          <cell r="K1051" t="str">
            <v>gr</v>
          </cell>
          <cell r="L1051" t="str">
            <v>0</v>
          </cell>
        </row>
        <row r="1052">
          <cell r="F1052" t="str">
            <v>HWVF0007</v>
          </cell>
          <cell r="G1052" t="str">
            <v>WIP HG JAHE KUPAS</v>
          </cell>
          <cell r="H1052">
            <v>0</v>
          </cell>
          <cell r="I1052">
            <v>0</v>
          </cell>
          <cell r="J1052">
            <v>0</v>
          </cell>
          <cell r="K1052" t="str">
            <v>gr</v>
          </cell>
          <cell r="L1052" t="str">
            <v>0</v>
          </cell>
        </row>
        <row r="1053">
          <cell r="F1053" t="str">
            <v>HWVF0008</v>
          </cell>
          <cell r="G1053" t="str">
            <v>WIP HG SAWI PUTIH BERSIH</v>
          </cell>
          <cell r="H1053">
            <v>0</v>
          </cell>
          <cell r="I1053">
            <v>0</v>
          </cell>
          <cell r="J1053">
            <v>0</v>
          </cell>
          <cell r="K1053" t="str">
            <v>gr</v>
          </cell>
          <cell r="L1053" t="str">
            <v>0</v>
          </cell>
        </row>
        <row r="1054">
          <cell r="F1054" t="str">
            <v>HWVF0009</v>
          </cell>
          <cell r="G1054" t="str">
            <v>WIP HG ZUCCHINI BUANG UJUNG</v>
          </cell>
          <cell r="H1054">
            <v>0</v>
          </cell>
          <cell r="I1054">
            <v>0</v>
          </cell>
          <cell r="J1054">
            <v>0</v>
          </cell>
          <cell r="K1054" t="str">
            <v>gr</v>
          </cell>
          <cell r="L1054" t="str">
            <v>0</v>
          </cell>
        </row>
        <row r="1055">
          <cell r="F1055" t="str">
            <v>HWVF0010</v>
          </cell>
          <cell r="G1055" t="str">
            <v>WIP HG WORTEL KUPAS KULIT</v>
          </cell>
          <cell r="H1055">
            <v>0</v>
          </cell>
          <cell r="I1055">
            <v>0</v>
          </cell>
          <cell r="J1055">
            <v>0</v>
          </cell>
          <cell r="K1055" t="str">
            <v>gr</v>
          </cell>
          <cell r="L1055" t="str">
            <v>0</v>
          </cell>
        </row>
        <row r="1056">
          <cell r="F1056" t="str">
            <v>HWVF0011</v>
          </cell>
          <cell r="G1056" t="str">
            <v>WIP HG CABE MERAH BESAR TRIM</v>
          </cell>
          <cell r="H1056">
            <v>0</v>
          </cell>
          <cell r="I1056">
            <v>0</v>
          </cell>
          <cell r="J1056">
            <v>0</v>
          </cell>
          <cell r="K1056" t="str">
            <v>gr</v>
          </cell>
          <cell r="L1056" t="str">
            <v>0</v>
          </cell>
        </row>
        <row r="1057">
          <cell r="F1057" t="str">
            <v>HWVF0012</v>
          </cell>
          <cell r="G1057" t="str">
            <v>WIP HG CABE RAWIT MERAH BERSIH</v>
          </cell>
          <cell r="H1057">
            <v>0</v>
          </cell>
          <cell r="I1057">
            <v>0</v>
          </cell>
          <cell r="J1057">
            <v>0</v>
          </cell>
          <cell r="K1057" t="str">
            <v>gr</v>
          </cell>
          <cell r="L1057" t="str">
            <v>0</v>
          </cell>
        </row>
        <row r="1058">
          <cell r="F1058" t="str">
            <v>HWVF0013</v>
          </cell>
          <cell r="G1058" t="str">
            <v>WIP HG DAUN BAWANG BERSIH</v>
          </cell>
          <cell r="H1058">
            <v>0</v>
          </cell>
          <cell r="I1058">
            <v>0</v>
          </cell>
          <cell r="J1058">
            <v>0</v>
          </cell>
          <cell r="K1058" t="str">
            <v>gr</v>
          </cell>
          <cell r="L1058" t="str">
            <v>0</v>
          </cell>
        </row>
        <row r="1059">
          <cell r="F1059" t="str">
            <v>HWVF0015</v>
          </cell>
          <cell r="G1059" t="str">
            <v>WIP HG CABE HIJAU BESAR TRIM</v>
          </cell>
          <cell r="H1059">
            <v>0</v>
          </cell>
          <cell r="I1059">
            <v>0</v>
          </cell>
          <cell r="J1059">
            <v>0</v>
          </cell>
          <cell r="K1059" t="str">
            <v>gr</v>
          </cell>
          <cell r="L1059" t="str">
            <v>0</v>
          </cell>
        </row>
        <row r="1060">
          <cell r="F1060" t="str">
            <v>HWVF0016</v>
          </cell>
          <cell r="G1060" t="str">
            <v>WIP HG SELADA KERITING BERSIH</v>
          </cell>
          <cell r="H1060">
            <v>0</v>
          </cell>
          <cell r="I1060">
            <v>0</v>
          </cell>
          <cell r="J1060">
            <v>0</v>
          </cell>
          <cell r="K1060" t="str">
            <v>gr</v>
          </cell>
          <cell r="L1060" t="str">
            <v>0</v>
          </cell>
        </row>
        <row r="1061">
          <cell r="F1061" t="str">
            <v>HWVF0018</v>
          </cell>
          <cell r="G1061" t="str">
            <v>WIP HG MIXED VEGETABLE</v>
          </cell>
          <cell r="H1061">
            <v>0</v>
          </cell>
          <cell r="I1061">
            <v>0</v>
          </cell>
          <cell r="J1061">
            <v>0</v>
          </cell>
          <cell r="K1061" t="str">
            <v>pack</v>
          </cell>
          <cell r="L1061" t="str">
            <v>0</v>
          </cell>
        </row>
        <row r="1062">
          <cell r="F1062" t="str">
            <v>HWVF0019</v>
          </cell>
          <cell r="G1062" t="str">
            <v>WIP HG SAWI PUTIH DIASINKAN</v>
          </cell>
          <cell r="H1062">
            <v>0</v>
          </cell>
          <cell r="I1062">
            <v>0</v>
          </cell>
          <cell r="J1062">
            <v>0</v>
          </cell>
          <cell r="K1062" t="str">
            <v>gr</v>
          </cell>
          <cell r="L1062" t="str">
            <v>0</v>
          </cell>
        </row>
        <row r="1063">
          <cell r="F1063" t="str">
            <v>HWVF0020</v>
          </cell>
          <cell r="G1063" t="str">
            <v>WIP HG KIMCHI</v>
          </cell>
          <cell r="H1063">
            <v>0</v>
          </cell>
          <cell r="I1063">
            <v>0</v>
          </cell>
          <cell r="J1063">
            <v>0</v>
          </cell>
          <cell r="K1063" t="str">
            <v>gr</v>
          </cell>
          <cell r="L1063" t="str">
            <v>0</v>
          </cell>
        </row>
        <row r="1064">
          <cell r="F1064" t="str">
            <v>HWVF0021</v>
          </cell>
          <cell r="G1064" t="str">
            <v>WIP HG ZUCCHINI SAUTE</v>
          </cell>
          <cell r="H1064">
            <v>0</v>
          </cell>
          <cell r="I1064">
            <v>0</v>
          </cell>
          <cell r="J1064">
            <v>0</v>
          </cell>
          <cell r="K1064" t="str">
            <v>gr</v>
          </cell>
          <cell r="L1064" t="str">
            <v>0</v>
          </cell>
        </row>
        <row r="1065">
          <cell r="F1065" t="str">
            <v>HWVF0022</v>
          </cell>
          <cell r="G1065" t="str">
            <v>WIP HG UBI KUPAS</v>
          </cell>
          <cell r="H1065">
            <v>0</v>
          </cell>
          <cell r="I1065">
            <v>0</v>
          </cell>
          <cell r="J1065">
            <v>0</v>
          </cell>
          <cell r="K1065" t="str">
            <v>gr</v>
          </cell>
          <cell r="L1065" t="str">
            <v>0</v>
          </cell>
        </row>
        <row r="1066">
          <cell r="F1066" t="str">
            <v>HWVF0023</v>
          </cell>
          <cell r="G1066" t="str">
            <v>WIP HG DAUN BAWANG CUNG IRIS</v>
          </cell>
          <cell r="H1066">
            <v>0</v>
          </cell>
          <cell r="I1066">
            <v>0</v>
          </cell>
          <cell r="J1066">
            <v>0</v>
          </cell>
          <cell r="K1066" t="str">
            <v>gr</v>
          </cell>
          <cell r="L1066" t="str">
            <v>0</v>
          </cell>
        </row>
        <row r="1067">
          <cell r="F1067" t="str">
            <v>HWVF0024</v>
          </cell>
          <cell r="G1067" t="str">
            <v>WIP HG UBI RENDAM</v>
          </cell>
          <cell r="H1067">
            <v>0</v>
          </cell>
          <cell r="I1067">
            <v>0</v>
          </cell>
          <cell r="J1067">
            <v>0</v>
          </cell>
          <cell r="K1067" t="str">
            <v>gr</v>
          </cell>
          <cell r="L1067" t="str">
            <v>0</v>
          </cell>
        </row>
        <row r="1068">
          <cell r="F1068" t="str">
            <v>HWVF0025</v>
          </cell>
          <cell r="G1068" t="str">
            <v>WIP HG WORTEL REBUS KUPAS KULIT</v>
          </cell>
          <cell r="H1068">
            <v>0</v>
          </cell>
          <cell r="I1068">
            <v>0</v>
          </cell>
          <cell r="J1068">
            <v>0</v>
          </cell>
          <cell r="K1068" t="str">
            <v>gr</v>
          </cell>
          <cell r="L1068" t="str">
            <v>0</v>
          </cell>
        </row>
        <row r="1069">
          <cell r="F1069" t="str">
            <v>ITC00001</v>
          </cell>
          <cell r="G1069" t="str">
            <v>BLUETOOTH AUDIO TRANSMITTER 5,3 HD BTX-2100</v>
          </cell>
          <cell r="H1069">
            <v>0</v>
          </cell>
          <cell r="I1069">
            <v>0</v>
          </cell>
          <cell r="J1069">
            <v>0</v>
          </cell>
          <cell r="K1069" t="str">
            <v>unit</v>
          </cell>
          <cell r="L1069" t="str">
            <v>0</v>
          </cell>
        </row>
        <row r="1070">
          <cell r="F1070" t="str">
            <v>ITC00002</v>
          </cell>
          <cell r="G1070" t="str">
            <v>CONNECTOR RJ-45 AP700008</v>
          </cell>
          <cell r="H1070">
            <v>0</v>
          </cell>
          <cell r="I1070">
            <v>0</v>
          </cell>
          <cell r="J1070">
            <v>0</v>
          </cell>
          <cell r="K1070" t="str">
            <v>pack</v>
          </cell>
          <cell r="L1070" t="str">
            <v>0</v>
          </cell>
        </row>
        <row r="1071">
          <cell r="F1071" t="str">
            <v>ITC00003</v>
          </cell>
          <cell r="G1071" t="str">
            <v>BELDEN CAT6 PLUG RJ45 RJ11</v>
          </cell>
          <cell r="H1071">
            <v>0</v>
          </cell>
          <cell r="I1071">
            <v>0</v>
          </cell>
          <cell r="J1071">
            <v>0</v>
          </cell>
          <cell r="K1071" t="str">
            <v>pcs</v>
          </cell>
          <cell r="L1071" t="str">
            <v>0</v>
          </cell>
        </row>
        <row r="1072">
          <cell r="F1072" t="str">
            <v>ITC00004</v>
          </cell>
          <cell r="G1072" t="str">
            <v>CONNECTOR 1 TLP 3PIN TL-74</v>
          </cell>
          <cell r="H1072">
            <v>0</v>
          </cell>
          <cell r="I1072">
            <v>0</v>
          </cell>
          <cell r="J1072">
            <v>0</v>
          </cell>
          <cell r="K1072" t="str">
            <v>pcs</v>
          </cell>
          <cell r="L1072" t="str">
            <v>0</v>
          </cell>
        </row>
        <row r="1073">
          <cell r="F1073" t="str">
            <v>ITC00005</v>
          </cell>
          <cell r="G1073" t="str">
            <v>HARDISK SSD BLUE 500 GB</v>
          </cell>
          <cell r="H1073">
            <v>0</v>
          </cell>
          <cell r="I1073">
            <v>0</v>
          </cell>
          <cell r="J1073">
            <v>0</v>
          </cell>
          <cell r="K1073" t="str">
            <v>pcs</v>
          </cell>
          <cell r="L1073" t="str">
            <v>0</v>
          </cell>
        </row>
        <row r="1074">
          <cell r="F1074" t="str">
            <v>ITC00006</v>
          </cell>
          <cell r="G1074" t="str">
            <v>MEMORY SODIMM VGEN DDR4</v>
          </cell>
          <cell r="H1074">
            <v>0</v>
          </cell>
          <cell r="I1074">
            <v>0</v>
          </cell>
          <cell r="J1074">
            <v>0</v>
          </cell>
          <cell r="K1074" t="str">
            <v>pcs</v>
          </cell>
          <cell r="L1074" t="str">
            <v>0</v>
          </cell>
        </row>
        <row r="1075">
          <cell r="F1075" t="str">
            <v>ITC00007</v>
          </cell>
          <cell r="G1075" t="str">
            <v>KEYBOARD SILENT BUTTONG RK10</v>
          </cell>
          <cell r="H1075">
            <v>0</v>
          </cell>
          <cell r="I1075">
            <v>0</v>
          </cell>
          <cell r="J1075">
            <v>0</v>
          </cell>
          <cell r="K1075" t="str">
            <v>unit</v>
          </cell>
          <cell r="L1075" t="str">
            <v>0</v>
          </cell>
        </row>
        <row r="1076">
          <cell r="F1076" t="str">
            <v>KW000001</v>
          </cell>
          <cell r="G1076" t="str">
            <v>BIMA SAUCE POT BP1900240 40CMX24CM</v>
          </cell>
          <cell r="H1076">
            <v>473700</v>
          </cell>
          <cell r="I1076">
            <v>0</v>
          </cell>
          <cell r="J1076">
            <v>0</v>
          </cell>
          <cell r="K1076" t="str">
            <v>unit</v>
          </cell>
          <cell r="L1076" t="str">
            <v>0</v>
          </cell>
        </row>
        <row r="1077">
          <cell r="F1077" t="str">
            <v>KW000002</v>
          </cell>
          <cell r="G1077" t="str">
            <v>PANCI STOCKPOT STAINLESS 12QT/11 L</v>
          </cell>
          <cell r="H1077">
            <v>0</v>
          </cell>
          <cell r="I1077">
            <v>0</v>
          </cell>
          <cell r="J1077">
            <v>0</v>
          </cell>
          <cell r="K1077" t="str">
            <v>pcs</v>
          </cell>
          <cell r="L1077" t="str">
            <v>0</v>
          </cell>
        </row>
        <row r="1078">
          <cell r="F1078" t="str">
            <v>KW000003</v>
          </cell>
          <cell r="G1078" t="str">
            <v>KERANJANG SAYUR</v>
          </cell>
          <cell r="H1078">
            <v>15500</v>
          </cell>
          <cell r="I1078">
            <v>0</v>
          </cell>
          <cell r="J1078">
            <v>0</v>
          </cell>
          <cell r="K1078" t="str">
            <v>pcs</v>
          </cell>
          <cell r="L1078" t="str">
            <v>0</v>
          </cell>
        </row>
        <row r="1079">
          <cell r="F1079" t="str">
            <v>KW000004</v>
          </cell>
          <cell r="G1079" t="str">
            <v>MANGKOK STAINLESS</v>
          </cell>
          <cell r="H1079">
            <v>0</v>
          </cell>
          <cell r="I1079">
            <v>0</v>
          </cell>
          <cell r="J1079">
            <v>0</v>
          </cell>
          <cell r="K1079" t="str">
            <v>pcs</v>
          </cell>
          <cell r="L1079" t="str">
            <v>0</v>
          </cell>
        </row>
        <row r="1080">
          <cell r="F1080" t="str">
            <v>KW000005</v>
          </cell>
          <cell r="G1080" t="str">
            <v>BOTOL SAUS PLASTIK PUTIH12OZ</v>
          </cell>
          <cell r="H1080">
            <v>0</v>
          </cell>
          <cell r="I1080">
            <v>0</v>
          </cell>
          <cell r="J1080">
            <v>0</v>
          </cell>
          <cell r="K1080" t="str">
            <v>pcs</v>
          </cell>
          <cell r="L1080" t="str">
            <v>0</v>
          </cell>
        </row>
        <row r="1081">
          <cell r="F1081" t="str">
            <v>KW000006</v>
          </cell>
          <cell r="G1081" t="str">
            <v>DIGITAL SCALE</v>
          </cell>
          <cell r="H1081">
            <v>0</v>
          </cell>
          <cell r="I1081">
            <v>0</v>
          </cell>
          <cell r="J1081">
            <v>0</v>
          </cell>
          <cell r="K1081" t="str">
            <v>pcs</v>
          </cell>
          <cell r="L1081" t="str">
            <v>0</v>
          </cell>
        </row>
        <row r="1082">
          <cell r="F1082" t="str">
            <v>KW000007</v>
          </cell>
          <cell r="G1082" t="str">
            <v>THINWALL TEMPAT SAUS</v>
          </cell>
          <cell r="H1082">
            <v>0</v>
          </cell>
          <cell r="I1082">
            <v>0</v>
          </cell>
          <cell r="J1082">
            <v>0</v>
          </cell>
          <cell r="K1082" t="str">
            <v>pcs</v>
          </cell>
          <cell r="L1082" t="str">
            <v>0</v>
          </cell>
        </row>
        <row r="1083">
          <cell r="F1083" t="str">
            <v>KW000008</v>
          </cell>
          <cell r="G1083" t="str">
            <v>MANDOLIN</v>
          </cell>
          <cell r="H1083">
            <v>495000</v>
          </cell>
          <cell r="I1083">
            <v>0</v>
          </cell>
          <cell r="J1083">
            <v>0</v>
          </cell>
          <cell r="K1083" t="str">
            <v>pcs</v>
          </cell>
          <cell r="L1083" t="str">
            <v>0</v>
          </cell>
        </row>
        <row r="1084">
          <cell r="F1084" t="str">
            <v>KW000009</v>
          </cell>
          <cell r="G1084" t="str">
            <v>WAJAN/FRYPAN ANTI LENGKET</v>
          </cell>
          <cell r="H1084">
            <v>149900</v>
          </cell>
          <cell r="I1084">
            <v>0</v>
          </cell>
          <cell r="J1084">
            <v>0</v>
          </cell>
          <cell r="K1084" t="str">
            <v>pcs</v>
          </cell>
          <cell r="L1084" t="str">
            <v>0</v>
          </cell>
        </row>
        <row r="1085">
          <cell r="F1085" t="str">
            <v>KW000010</v>
          </cell>
          <cell r="G1085" t="str">
            <v>STORAGE BOX 6 L</v>
          </cell>
          <cell r="H1085">
            <v>0</v>
          </cell>
          <cell r="I1085">
            <v>0</v>
          </cell>
          <cell r="J1085">
            <v>0</v>
          </cell>
          <cell r="K1085" t="str">
            <v>pcs</v>
          </cell>
          <cell r="L1085" t="str">
            <v>0</v>
          </cell>
        </row>
        <row r="1086">
          <cell r="F1086" t="str">
            <v>KW000011</v>
          </cell>
          <cell r="G1086" t="str">
            <v>CETAKAN ES BATU</v>
          </cell>
          <cell r="H1086">
            <v>14950</v>
          </cell>
          <cell r="I1086">
            <v>0</v>
          </cell>
          <cell r="J1086">
            <v>0</v>
          </cell>
          <cell r="K1086" t="str">
            <v>pcs</v>
          </cell>
          <cell r="L1086" t="str">
            <v>0</v>
          </cell>
        </row>
        <row r="1087">
          <cell r="F1087" t="str">
            <v>KW000012</v>
          </cell>
          <cell r="G1087" t="str">
            <v>JUICE DISPENSER 12 L</v>
          </cell>
          <cell r="H1087">
            <v>0</v>
          </cell>
          <cell r="I1087">
            <v>0</v>
          </cell>
          <cell r="J1087">
            <v>0</v>
          </cell>
          <cell r="K1087" t="str">
            <v>unit</v>
          </cell>
          <cell r="L1087" t="str">
            <v>0</v>
          </cell>
        </row>
        <row r="1088">
          <cell r="F1088" t="str">
            <v>KW000013</v>
          </cell>
          <cell r="G1088" t="str">
            <v>BILL HOLDER GEA BH-24</v>
          </cell>
          <cell r="H1088">
            <v>83028</v>
          </cell>
          <cell r="I1088">
            <v>0</v>
          </cell>
          <cell r="J1088">
            <v>0</v>
          </cell>
          <cell r="K1088" t="str">
            <v>unit</v>
          </cell>
          <cell r="L1088" t="str">
            <v>0</v>
          </cell>
        </row>
        <row r="1089">
          <cell r="F1089" t="str">
            <v>KW000014</v>
          </cell>
          <cell r="G1089" t="str">
            <v>MAGNET KNIFE HOLDER GEA MKH-46</v>
          </cell>
          <cell r="H1089">
            <v>384615</v>
          </cell>
          <cell r="I1089">
            <v>0</v>
          </cell>
          <cell r="J1089">
            <v>0</v>
          </cell>
          <cell r="K1089" t="str">
            <v>pcs</v>
          </cell>
          <cell r="L1089" t="str">
            <v>0</v>
          </cell>
        </row>
        <row r="1090">
          <cell r="F1090" t="str">
            <v>KW000015</v>
          </cell>
          <cell r="G1090" t="str">
            <v>SJ-8503 FLAT RACK FOR SMALL CUTLERY</v>
          </cell>
          <cell r="H1090">
            <v>155400</v>
          </cell>
          <cell r="I1090">
            <v>0</v>
          </cell>
          <cell r="J1090">
            <v>0</v>
          </cell>
          <cell r="K1090" t="str">
            <v>unit</v>
          </cell>
          <cell r="L1090" t="str">
            <v>0</v>
          </cell>
        </row>
        <row r="1091">
          <cell r="F1091" t="str">
            <v>KW000016</v>
          </cell>
          <cell r="G1091" t="str">
            <v>SJ-8564B RACK EXTENDER FOR PLATE &amp; TRAY</v>
          </cell>
          <cell r="H1091">
            <v>186680</v>
          </cell>
          <cell r="I1091">
            <v>0</v>
          </cell>
          <cell r="J1091">
            <v>0</v>
          </cell>
          <cell r="K1091" t="str">
            <v>unit</v>
          </cell>
          <cell r="L1091" t="str">
            <v>0</v>
          </cell>
        </row>
        <row r="1092">
          <cell r="F1092" t="str">
            <v>KW000017</v>
          </cell>
          <cell r="G1092" t="str">
            <v>SJ-8536 RACK EXTENDER FOR 36 GLASS</v>
          </cell>
          <cell r="H1092">
            <v>108780</v>
          </cell>
          <cell r="I1092">
            <v>0</v>
          </cell>
          <cell r="J1092">
            <v>0</v>
          </cell>
          <cell r="K1092" t="str">
            <v>unit</v>
          </cell>
          <cell r="L1092" t="str">
            <v>0</v>
          </cell>
        </row>
        <row r="1093">
          <cell r="F1093" t="str">
            <v>KW000018</v>
          </cell>
          <cell r="G1093" t="str">
            <v>FLAT RACK BASE GEA SJ-8502</v>
          </cell>
          <cell r="H1093">
            <v>0</v>
          </cell>
          <cell r="I1093">
            <v>0</v>
          </cell>
          <cell r="J1093">
            <v>0</v>
          </cell>
          <cell r="K1093" t="str">
            <v>unit</v>
          </cell>
          <cell r="L1093" t="str">
            <v>0</v>
          </cell>
        </row>
        <row r="1094">
          <cell r="F1094" t="str">
            <v>KW000019</v>
          </cell>
          <cell r="G1094" t="str">
            <v>FOOD TONG/CAPITAN MAKANAN LUBANG STAINLESS9 INCH</v>
          </cell>
          <cell r="H1094">
            <v>6841.86</v>
          </cell>
          <cell r="I1094">
            <v>0</v>
          </cell>
          <cell r="J1094">
            <v>0</v>
          </cell>
          <cell r="K1094" t="str">
            <v>pcs</v>
          </cell>
          <cell r="L1094" t="str">
            <v>0</v>
          </cell>
        </row>
        <row r="1095">
          <cell r="F1095" t="str">
            <v>KW000020</v>
          </cell>
          <cell r="G1095" t="str">
            <v>GO CONTAINER/WADAH/BAKI</v>
          </cell>
          <cell r="H1095">
            <v>816100</v>
          </cell>
          <cell r="I1095">
            <v>0</v>
          </cell>
          <cell r="J1095">
            <v>0</v>
          </cell>
          <cell r="K1095" t="str">
            <v>pcs</v>
          </cell>
          <cell r="L1095" t="str">
            <v>0</v>
          </cell>
        </row>
        <row r="1096">
          <cell r="F1096" t="str">
            <v>KW000021</v>
          </cell>
          <cell r="G1096" t="str">
            <v>TRAY BULAT ANTI SLIP/NAMPAN KARET 40CM</v>
          </cell>
          <cell r="H1096">
            <v>63400</v>
          </cell>
          <cell r="I1096">
            <v>0</v>
          </cell>
          <cell r="J1096">
            <v>0</v>
          </cell>
          <cell r="K1096" t="str">
            <v>pcs</v>
          </cell>
          <cell r="L1096" t="str">
            <v>0</v>
          </cell>
        </row>
        <row r="1097">
          <cell r="F1097" t="str">
            <v>KW000022</v>
          </cell>
          <cell r="G1097" t="str">
            <v>STAINLESS STEEL MEASUREMENT CUP 20ML - 40 ML</v>
          </cell>
          <cell r="H1097">
            <v>27500</v>
          </cell>
          <cell r="I1097">
            <v>0</v>
          </cell>
          <cell r="J1097">
            <v>0</v>
          </cell>
          <cell r="K1097" t="str">
            <v>pcs</v>
          </cell>
          <cell r="L1097" t="str">
            <v>0</v>
          </cell>
        </row>
        <row r="1098">
          <cell r="F1098" t="str">
            <v>KW000023</v>
          </cell>
          <cell r="G1098" t="str">
            <v>HTC-1 TERMOMETER JAM DIGITAL PENGUKUR SUHU</v>
          </cell>
          <cell r="H1098">
            <v>23760</v>
          </cell>
          <cell r="I1098">
            <v>0</v>
          </cell>
          <cell r="J1098">
            <v>0</v>
          </cell>
          <cell r="K1098" t="str">
            <v>pcs</v>
          </cell>
          <cell r="L1098" t="str">
            <v>0</v>
          </cell>
        </row>
        <row r="1099">
          <cell r="F1099" t="str">
            <v>KW000024</v>
          </cell>
          <cell r="G1099" t="str">
            <v>TIMBANGAN KUE TANITA KD160</v>
          </cell>
          <cell r="H1099">
            <v>353100</v>
          </cell>
          <cell r="I1099">
            <v>0</v>
          </cell>
          <cell r="J1099">
            <v>0</v>
          </cell>
          <cell r="K1099" t="str">
            <v>unit</v>
          </cell>
          <cell r="L1099" t="str">
            <v>0</v>
          </cell>
        </row>
        <row r="1100">
          <cell r="F1100" t="str">
            <v>KW000025</v>
          </cell>
          <cell r="G1100" t="str">
            <v>GUNTING DAPUR</v>
          </cell>
          <cell r="H1100">
            <v>24650</v>
          </cell>
          <cell r="I1100">
            <v>0</v>
          </cell>
          <cell r="J1100">
            <v>0</v>
          </cell>
          <cell r="K1100" t="str">
            <v>pcs</v>
          </cell>
          <cell r="L1100" t="str">
            <v>0</v>
          </cell>
        </row>
        <row r="1101">
          <cell r="F1101" t="str">
            <v>KW000026</v>
          </cell>
          <cell r="G1101" t="str">
            <v>MEJA KAYU DORONG/ RAK DORONG 3 TINGKAT</v>
          </cell>
          <cell r="H1101">
            <v>275700</v>
          </cell>
          <cell r="I1101">
            <v>0</v>
          </cell>
          <cell r="J1101">
            <v>0</v>
          </cell>
          <cell r="K1101" t="str">
            <v>pcs</v>
          </cell>
          <cell r="L1101" t="str">
            <v>0</v>
          </cell>
        </row>
        <row r="1102">
          <cell r="F1102" t="str">
            <v>KW000027</v>
          </cell>
          <cell r="G1102" t="str">
            <v>TRAY RESTAURANTANTISLIP BALI SEGI SQUARE KARET 35X35</v>
          </cell>
          <cell r="H1102">
            <v>0</v>
          </cell>
          <cell r="I1102">
            <v>0</v>
          </cell>
          <cell r="J1102">
            <v>0</v>
          </cell>
          <cell r="K1102" t="str">
            <v>pcs</v>
          </cell>
          <cell r="L1102" t="str">
            <v>0</v>
          </cell>
        </row>
        <row r="1103">
          <cell r="F1103" t="str">
            <v>KW000028</v>
          </cell>
          <cell r="G1103" t="str">
            <v>CETAKAN ES BATU SILICON BULAT 33 - M</v>
          </cell>
          <cell r="H1103">
            <v>0</v>
          </cell>
          <cell r="I1103">
            <v>0</v>
          </cell>
          <cell r="J1103">
            <v>0</v>
          </cell>
          <cell r="K1103" t="str">
            <v>pcs</v>
          </cell>
          <cell r="L1103" t="str">
            <v>0</v>
          </cell>
        </row>
        <row r="1104">
          <cell r="F1104" t="str">
            <v>KW000029</v>
          </cell>
          <cell r="G1104" t="str">
            <v>CETAKAN ES BATU SILICON DENGAN TUTUP</v>
          </cell>
          <cell r="H1104">
            <v>0</v>
          </cell>
          <cell r="I1104">
            <v>0</v>
          </cell>
          <cell r="J1104">
            <v>0</v>
          </cell>
          <cell r="K1104" t="str">
            <v>pcs</v>
          </cell>
          <cell r="L1104" t="str">
            <v>0</v>
          </cell>
        </row>
        <row r="1105">
          <cell r="F1105" t="str">
            <v>KW000030</v>
          </cell>
          <cell r="G1105" t="str">
            <v>CETAKAN ES BATU BULAT 33 - BIRU</v>
          </cell>
          <cell r="H1105">
            <v>0</v>
          </cell>
          <cell r="I1105">
            <v>0</v>
          </cell>
          <cell r="J1105">
            <v>0</v>
          </cell>
          <cell r="K1105" t="str">
            <v>pcs</v>
          </cell>
          <cell r="L1105" t="str">
            <v>0</v>
          </cell>
        </row>
        <row r="1106">
          <cell r="F1106" t="str">
            <v>KW000031</v>
          </cell>
          <cell r="G1106" t="str">
            <v>CONTAINER ABU2 LARGE</v>
          </cell>
          <cell r="H1106">
            <v>91000</v>
          </cell>
          <cell r="I1106">
            <v>0</v>
          </cell>
          <cell r="J1106">
            <v>0</v>
          </cell>
          <cell r="K1106" t="str">
            <v>pcs</v>
          </cell>
          <cell r="L1106" t="str">
            <v>0</v>
          </cell>
        </row>
        <row r="1107">
          <cell r="F1107" t="str">
            <v>KW000032</v>
          </cell>
          <cell r="G1107" t="str">
            <v>HOMEMASTER WOK WF20 PIRING TOPOKI</v>
          </cell>
          <cell r="H1107">
            <v>55033.34</v>
          </cell>
          <cell r="I1107">
            <v>0</v>
          </cell>
          <cell r="J1107">
            <v>0</v>
          </cell>
          <cell r="K1107" t="str">
            <v>pcs</v>
          </cell>
          <cell r="L1107" t="str">
            <v>0</v>
          </cell>
        </row>
        <row r="1108">
          <cell r="F1108" t="str">
            <v>KW000033</v>
          </cell>
          <cell r="G1108" t="str">
            <v>BIMA CHEFS FRYPAN BP1901632</v>
          </cell>
          <cell r="H1108">
            <v>0</v>
          </cell>
          <cell r="I1108">
            <v>0</v>
          </cell>
          <cell r="J1108">
            <v>0</v>
          </cell>
          <cell r="K1108" t="str">
            <v>pcs</v>
          </cell>
          <cell r="L1108" t="str">
            <v>0</v>
          </cell>
        </row>
        <row r="1109">
          <cell r="F1109" t="str">
            <v>KW000034</v>
          </cell>
          <cell r="G1109" t="str">
            <v>SARINGAN STAINLESS BESAR 25CM</v>
          </cell>
          <cell r="H1109">
            <v>50850</v>
          </cell>
          <cell r="I1109">
            <v>0</v>
          </cell>
          <cell r="J1109">
            <v>0</v>
          </cell>
          <cell r="K1109" t="str">
            <v>pcs</v>
          </cell>
          <cell r="L1109" t="str">
            <v>0</v>
          </cell>
        </row>
        <row r="1110">
          <cell r="F1110" t="str">
            <v>KW000035</v>
          </cell>
          <cell r="G1110" t="str">
            <v>FRY PAN 4 ROUND BACK</v>
          </cell>
          <cell r="H1110">
            <v>0</v>
          </cell>
          <cell r="I1110">
            <v>0</v>
          </cell>
          <cell r="J1110">
            <v>0</v>
          </cell>
          <cell r="K1110" t="str">
            <v>pcs</v>
          </cell>
          <cell r="L1110" t="str">
            <v>0</v>
          </cell>
        </row>
        <row r="1111">
          <cell r="F1111" t="str">
            <v>KW000036</v>
          </cell>
          <cell r="G1111" t="str">
            <v>SAUCE PAN D20 BP 1900720</v>
          </cell>
          <cell r="H1111">
            <v>473700</v>
          </cell>
          <cell r="I1111">
            <v>0</v>
          </cell>
          <cell r="J1111">
            <v>0</v>
          </cell>
          <cell r="K1111" t="str">
            <v>pcs</v>
          </cell>
          <cell r="L1111" t="str">
            <v>0</v>
          </cell>
        </row>
        <row r="1112">
          <cell r="F1112" t="str">
            <v>KW000037</v>
          </cell>
          <cell r="G1112" t="str">
            <v>SAUCE PAN D28 BP 1900628</v>
          </cell>
          <cell r="H1112">
            <v>919500</v>
          </cell>
          <cell r="I1112">
            <v>0</v>
          </cell>
          <cell r="J1112">
            <v>0</v>
          </cell>
          <cell r="K1112" t="str">
            <v>pcs</v>
          </cell>
          <cell r="L1112" t="str">
            <v>0</v>
          </cell>
        </row>
        <row r="1113">
          <cell r="F1113" t="str">
            <v>KW000038</v>
          </cell>
          <cell r="G1113" t="str">
            <v>BIMA SUS304 FYING PAN NON STICK 32CM</v>
          </cell>
          <cell r="H1113">
            <v>0</v>
          </cell>
          <cell r="I1113">
            <v>0</v>
          </cell>
          <cell r="J1113">
            <v>0</v>
          </cell>
          <cell r="K1113" t="str">
            <v>pcs</v>
          </cell>
          <cell r="L1113" t="str">
            <v>0</v>
          </cell>
        </row>
        <row r="1114">
          <cell r="F1114" t="str">
            <v>KW000039</v>
          </cell>
          <cell r="G1114" t="str">
            <v>BALLON WISK</v>
          </cell>
          <cell r="H1114">
            <v>0</v>
          </cell>
          <cell r="I1114">
            <v>0</v>
          </cell>
          <cell r="J1114">
            <v>0</v>
          </cell>
          <cell r="K1114" t="str">
            <v>pcs</v>
          </cell>
          <cell r="L1114" t="str">
            <v>0</v>
          </cell>
        </row>
        <row r="1115">
          <cell r="F1115" t="str">
            <v>KW000040</v>
          </cell>
          <cell r="G1115" t="str">
            <v>FOOD PAN AS 1/1 X 4"</v>
          </cell>
          <cell r="H1115">
            <v>277500</v>
          </cell>
          <cell r="I1115">
            <v>0</v>
          </cell>
          <cell r="J1115">
            <v>0</v>
          </cell>
          <cell r="K1115" t="str">
            <v>pcs</v>
          </cell>
          <cell r="L1115" t="str">
            <v>0</v>
          </cell>
        </row>
        <row r="1116">
          <cell r="F1116" t="str">
            <v>KW000041</v>
          </cell>
          <cell r="G1116" t="str">
            <v>COVER FOOD PAN AS 1/1</v>
          </cell>
          <cell r="H1116">
            <v>87500</v>
          </cell>
          <cell r="I1116">
            <v>0</v>
          </cell>
          <cell r="J1116">
            <v>0</v>
          </cell>
          <cell r="K1116" t="str">
            <v>pcs</v>
          </cell>
          <cell r="L1116" t="str">
            <v>0</v>
          </cell>
        </row>
        <row r="1117">
          <cell r="F1117" t="str">
            <v>KW000042</v>
          </cell>
          <cell r="G1117" t="str">
            <v>STOCK POT 16 QT</v>
          </cell>
          <cell r="H1117">
            <v>0</v>
          </cell>
          <cell r="I1117">
            <v>0</v>
          </cell>
          <cell r="J1117">
            <v>0</v>
          </cell>
          <cell r="K1117" t="str">
            <v>pcs</v>
          </cell>
          <cell r="L1117" t="str">
            <v>0</v>
          </cell>
        </row>
        <row r="1118">
          <cell r="F1118" t="str">
            <v>KW000043</v>
          </cell>
          <cell r="G1118" t="str">
            <v>GELAS UKUR 500ML</v>
          </cell>
          <cell r="H1118">
            <v>0</v>
          </cell>
          <cell r="I1118">
            <v>0</v>
          </cell>
          <cell r="J1118">
            <v>0</v>
          </cell>
          <cell r="K1118" t="str">
            <v>pcs</v>
          </cell>
          <cell r="L1118" t="str">
            <v>0</v>
          </cell>
        </row>
        <row r="1119">
          <cell r="F1119" t="str">
            <v>KW000044</v>
          </cell>
          <cell r="G1119" t="str">
            <v>GELAS UKUR 1 L</v>
          </cell>
          <cell r="H1119">
            <v>18500</v>
          </cell>
          <cell r="I1119">
            <v>0</v>
          </cell>
          <cell r="J1119">
            <v>0</v>
          </cell>
          <cell r="K1119" t="str">
            <v>pcs</v>
          </cell>
          <cell r="L1119" t="str">
            <v>0</v>
          </cell>
        </row>
        <row r="1120">
          <cell r="F1120" t="str">
            <v>KW000045</v>
          </cell>
          <cell r="G1120" t="str">
            <v>GELAS UKUR 300 ML</v>
          </cell>
          <cell r="H1120">
            <v>0</v>
          </cell>
          <cell r="I1120">
            <v>0</v>
          </cell>
          <cell r="J1120">
            <v>0</v>
          </cell>
          <cell r="K1120" t="str">
            <v>pcs</v>
          </cell>
          <cell r="L1120" t="str">
            <v>0</v>
          </cell>
        </row>
        <row r="1121">
          <cell r="F1121" t="str">
            <v>KW000046</v>
          </cell>
          <cell r="G1121" t="str">
            <v>SPATULA KAYU / WOODEN SPATULA</v>
          </cell>
          <cell r="H1121">
            <v>13500</v>
          </cell>
          <cell r="I1121">
            <v>0</v>
          </cell>
          <cell r="J1121">
            <v>0</v>
          </cell>
          <cell r="K1121" t="str">
            <v>pcs</v>
          </cell>
          <cell r="L1121" t="str">
            <v>0</v>
          </cell>
        </row>
        <row r="1122">
          <cell r="F1122" t="str">
            <v>KW000047</v>
          </cell>
          <cell r="G1122" t="str">
            <v>SOUP LADLE 120 " 5005</v>
          </cell>
          <cell r="H1122">
            <v>0</v>
          </cell>
          <cell r="I1122">
            <v>0</v>
          </cell>
          <cell r="J1122">
            <v>0</v>
          </cell>
          <cell r="K1122" t="str">
            <v>pcs</v>
          </cell>
          <cell r="L1122" t="str">
            <v>0</v>
          </cell>
        </row>
        <row r="1123">
          <cell r="F1123" t="str">
            <v>KW000048</v>
          </cell>
          <cell r="G1123" t="str">
            <v>ICE TONG 9" SS</v>
          </cell>
          <cell r="H1123">
            <v>0</v>
          </cell>
          <cell r="I1123">
            <v>0</v>
          </cell>
          <cell r="J1123">
            <v>0</v>
          </cell>
          <cell r="K1123" t="str">
            <v>pcs</v>
          </cell>
          <cell r="L1123" t="str">
            <v>0</v>
          </cell>
        </row>
        <row r="1124">
          <cell r="F1124" t="str">
            <v>KW000049</v>
          </cell>
          <cell r="G1124" t="str">
            <v>GAS TORCH 8612</v>
          </cell>
          <cell r="H1124">
            <v>17550</v>
          </cell>
          <cell r="I1124">
            <v>0</v>
          </cell>
          <cell r="J1124">
            <v>0</v>
          </cell>
          <cell r="K1124" t="str">
            <v>pcs</v>
          </cell>
          <cell r="L1124" t="str">
            <v>0</v>
          </cell>
        </row>
        <row r="1125">
          <cell r="F1125" t="str">
            <v>KW000050</v>
          </cell>
          <cell r="G1125" t="str">
            <v>FOOD TONG 16 " 5074</v>
          </cell>
          <cell r="H1125">
            <v>0</v>
          </cell>
          <cell r="I1125">
            <v>0</v>
          </cell>
          <cell r="J1125">
            <v>0</v>
          </cell>
          <cell r="K1125" t="str">
            <v>pcs</v>
          </cell>
          <cell r="L1125" t="str">
            <v>0</v>
          </cell>
        </row>
        <row r="1126">
          <cell r="F1126" t="str">
            <v>KW000051</v>
          </cell>
          <cell r="G1126" t="str">
            <v>SUSHI MAT 3481</v>
          </cell>
          <cell r="H1126">
            <v>22500</v>
          </cell>
          <cell r="I1126">
            <v>0</v>
          </cell>
          <cell r="J1126">
            <v>0</v>
          </cell>
          <cell r="K1126" t="str">
            <v>pcs</v>
          </cell>
          <cell r="L1126" t="str">
            <v>0</v>
          </cell>
        </row>
        <row r="1127">
          <cell r="F1127" t="str">
            <v>KW000052</v>
          </cell>
          <cell r="G1127" t="str">
            <v>PRAXIS ROUND KEEPER 001 SET 4</v>
          </cell>
          <cell r="H1127">
            <v>14400</v>
          </cell>
          <cell r="I1127">
            <v>0</v>
          </cell>
          <cell r="J1127">
            <v>0</v>
          </cell>
          <cell r="K1127" t="str">
            <v>pcs</v>
          </cell>
          <cell r="L1127" t="str">
            <v>0</v>
          </cell>
        </row>
        <row r="1128">
          <cell r="F1128" t="str">
            <v>KW000053</v>
          </cell>
          <cell r="G1128" t="str">
            <v>PRAXIS KEEPER 301 5 LITER</v>
          </cell>
          <cell r="H1128">
            <v>0</v>
          </cell>
          <cell r="I1128">
            <v>0</v>
          </cell>
          <cell r="J1128">
            <v>0</v>
          </cell>
          <cell r="K1128" t="str">
            <v>pcs</v>
          </cell>
          <cell r="L1128" t="str">
            <v>0</v>
          </cell>
        </row>
        <row r="1129">
          <cell r="F1129" t="str">
            <v>KW000054</v>
          </cell>
          <cell r="G1129" t="str">
            <v>PRAXIS KEEPER 302 10 LITER</v>
          </cell>
          <cell r="H1129">
            <v>46500</v>
          </cell>
          <cell r="I1129">
            <v>0</v>
          </cell>
          <cell r="J1129">
            <v>0</v>
          </cell>
          <cell r="K1129" t="str">
            <v>pcs</v>
          </cell>
          <cell r="L1129" t="str">
            <v>0</v>
          </cell>
        </row>
        <row r="1130">
          <cell r="F1130" t="str">
            <v>KW000055</v>
          </cell>
          <cell r="G1130" t="str">
            <v>FRESHWARE SW28</v>
          </cell>
          <cell r="H1130">
            <v>0</v>
          </cell>
          <cell r="I1130">
            <v>0</v>
          </cell>
          <cell r="J1130">
            <v>0</v>
          </cell>
          <cell r="K1130" t="str">
            <v>pcs</v>
          </cell>
          <cell r="L1130" t="str">
            <v>0</v>
          </cell>
        </row>
        <row r="1131">
          <cell r="F1131" t="str">
            <v>KW000056</v>
          </cell>
          <cell r="G1131" t="str">
            <v>TEMPAT GULA B 46 PERSEGI</v>
          </cell>
          <cell r="H1131">
            <v>0</v>
          </cell>
          <cell r="I1131">
            <v>0</v>
          </cell>
          <cell r="J1131">
            <v>0</v>
          </cell>
          <cell r="K1131" t="str">
            <v>pcs</v>
          </cell>
          <cell r="L1131" t="str">
            <v>0</v>
          </cell>
        </row>
        <row r="1132">
          <cell r="F1132" t="str">
            <v>KW000057</v>
          </cell>
          <cell r="G1132" t="str">
            <v>SEALWARE B 48 PERSEGI</v>
          </cell>
          <cell r="H1132">
            <v>0</v>
          </cell>
          <cell r="I1132">
            <v>0</v>
          </cell>
          <cell r="J1132">
            <v>0</v>
          </cell>
          <cell r="K1132" t="str">
            <v>pcs</v>
          </cell>
          <cell r="L1132" t="str">
            <v>0</v>
          </cell>
        </row>
        <row r="1133">
          <cell r="F1133" t="str">
            <v>KW000058</v>
          </cell>
          <cell r="G1133" t="str">
            <v>BOX DICKY K 5 TRANSPARANT</v>
          </cell>
          <cell r="H1133">
            <v>0</v>
          </cell>
          <cell r="I1133">
            <v>0</v>
          </cell>
          <cell r="J1133">
            <v>0</v>
          </cell>
          <cell r="K1133" t="str">
            <v>pcs</v>
          </cell>
          <cell r="L1133" t="str">
            <v>0</v>
          </cell>
        </row>
        <row r="1134">
          <cell r="F1134" t="str">
            <v>KW000059</v>
          </cell>
          <cell r="G1134" t="str">
            <v>RINNAI RI 150 CC</v>
          </cell>
          <cell r="H1134">
            <v>0</v>
          </cell>
          <cell r="I1134">
            <v>0</v>
          </cell>
          <cell r="J1134">
            <v>0</v>
          </cell>
          <cell r="K1134" t="str">
            <v>unit</v>
          </cell>
          <cell r="L1134" t="str">
            <v>0</v>
          </cell>
        </row>
        <row r="1135">
          <cell r="F1135" t="str">
            <v>KW00060</v>
          </cell>
          <cell r="G1135" t="str">
            <v>CORONG AIR/MINYAK 15 CM</v>
          </cell>
          <cell r="H1135">
            <v>0</v>
          </cell>
          <cell r="I1135">
            <v>0</v>
          </cell>
          <cell r="J1135">
            <v>0</v>
          </cell>
          <cell r="K1135" t="str">
            <v>pcs</v>
          </cell>
          <cell r="L1135" t="str">
            <v>0</v>
          </cell>
        </row>
        <row r="1136">
          <cell r="F1136" t="str">
            <v>KW00061</v>
          </cell>
          <cell r="G1136" t="str">
            <v>MIYAKO MAGICOM</v>
          </cell>
          <cell r="H1136">
            <v>0</v>
          </cell>
          <cell r="I1136">
            <v>0</v>
          </cell>
          <cell r="J1136">
            <v>0</v>
          </cell>
          <cell r="K1136" t="str">
            <v>unit</v>
          </cell>
          <cell r="L1136" t="str">
            <v>0</v>
          </cell>
        </row>
        <row r="1137">
          <cell r="F1137" t="str">
            <v>KW00062</v>
          </cell>
          <cell r="G1137" t="str">
            <v>MIYAKO MAGIC JAR</v>
          </cell>
          <cell r="H1137">
            <v>0</v>
          </cell>
          <cell r="I1137">
            <v>0</v>
          </cell>
          <cell r="J1137">
            <v>0</v>
          </cell>
          <cell r="K1137" t="str">
            <v>unit</v>
          </cell>
          <cell r="L1137" t="str">
            <v>0</v>
          </cell>
        </row>
        <row r="1138">
          <cell r="F1138" t="str">
            <v>KW00063</v>
          </cell>
          <cell r="G1138" t="str">
            <v>AKEBONO TERMOS AIR 1,9L</v>
          </cell>
          <cell r="H1138">
            <v>0</v>
          </cell>
          <cell r="I1138">
            <v>0</v>
          </cell>
          <cell r="J1138">
            <v>0</v>
          </cell>
          <cell r="K1138" t="str">
            <v>unit</v>
          </cell>
          <cell r="L1138" t="str">
            <v>0</v>
          </cell>
        </row>
        <row r="1139">
          <cell r="F1139" t="str">
            <v>KW00064</v>
          </cell>
          <cell r="G1139" t="str">
            <v>KUMA BOTOL SAUS 250ML</v>
          </cell>
          <cell r="H1139">
            <v>0</v>
          </cell>
          <cell r="I1139">
            <v>0</v>
          </cell>
          <cell r="J1139">
            <v>0</v>
          </cell>
          <cell r="K1139" t="str">
            <v>pcs</v>
          </cell>
          <cell r="L1139" t="str">
            <v>0</v>
          </cell>
        </row>
        <row r="1140">
          <cell r="F1140" t="str">
            <v>KW00065</v>
          </cell>
          <cell r="G1140" t="str">
            <v>PAPPER SHAKER/TEMPAT BUMBU</v>
          </cell>
          <cell r="H1140">
            <v>0</v>
          </cell>
          <cell r="I1140">
            <v>0</v>
          </cell>
          <cell r="J1140">
            <v>0</v>
          </cell>
          <cell r="K1140" t="str">
            <v>pcs</v>
          </cell>
          <cell r="L1140" t="str">
            <v>0</v>
          </cell>
        </row>
        <row r="1141">
          <cell r="F1141" t="str">
            <v>KW00066</v>
          </cell>
          <cell r="G1141" t="str">
            <v>SPATULA SILIKON - HITAM</v>
          </cell>
          <cell r="H1141">
            <v>0</v>
          </cell>
          <cell r="I1141">
            <v>0</v>
          </cell>
          <cell r="J1141">
            <v>0</v>
          </cell>
          <cell r="K1141" t="str">
            <v>pcs</v>
          </cell>
          <cell r="L1141" t="str">
            <v>0</v>
          </cell>
        </row>
        <row r="1142">
          <cell r="F1142" t="str">
            <v>KW00067</v>
          </cell>
          <cell r="G1142" t="str">
            <v>SPATULA SILIKON - MERAH</v>
          </cell>
          <cell r="H1142">
            <v>0</v>
          </cell>
          <cell r="I1142">
            <v>0</v>
          </cell>
          <cell r="J1142">
            <v>0</v>
          </cell>
          <cell r="K1142" t="str">
            <v>pcs</v>
          </cell>
          <cell r="L1142" t="str">
            <v>0</v>
          </cell>
        </row>
        <row r="1143">
          <cell r="F1143" t="str">
            <v>KW00068</v>
          </cell>
          <cell r="G1143" t="str">
            <v>NAGATA TIMBANGAN DIGITAL 150 KG</v>
          </cell>
          <cell r="H1143">
            <v>5802000</v>
          </cell>
          <cell r="I1143">
            <v>0</v>
          </cell>
          <cell r="J1143">
            <v>0</v>
          </cell>
          <cell r="K1143" t="str">
            <v>unit</v>
          </cell>
          <cell r="L1143" t="str">
            <v>0</v>
          </cell>
        </row>
        <row r="1144">
          <cell r="F1144" t="str">
            <v>KW00069</v>
          </cell>
          <cell r="G1144" t="str">
            <v>SAUCE BOTTLE</v>
          </cell>
          <cell r="H1144">
            <v>0</v>
          </cell>
          <cell r="I1144">
            <v>0</v>
          </cell>
          <cell r="J1144">
            <v>0</v>
          </cell>
          <cell r="K1144" t="str">
            <v>pcs</v>
          </cell>
          <cell r="L1144" t="str">
            <v>0</v>
          </cell>
        </row>
        <row r="1145">
          <cell r="F1145" t="str">
            <v>KW00070</v>
          </cell>
          <cell r="G1145" t="str">
            <v>BLENDER PHILIPS 5000  2 L</v>
          </cell>
          <cell r="H1145">
            <v>626900</v>
          </cell>
          <cell r="I1145">
            <v>0</v>
          </cell>
          <cell r="J1145">
            <v>0</v>
          </cell>
          <cell r="K1145" t="str">
            <v>unit</v>
          </cell>
          <cell r="L1145" t="str">
            <v>0</v>
          </cell>
        </row>
        <row r="1146">
          <cell r="F1146" t="str">
            <v>KW00071</v>
          </cell>
          <cell r="G1146" t="str">
            <v>CAMBRO WADAH MAKANAN</v>
          </cell>
          <cell r="H1146">
            <v>497100</v>
          </cell>
          <cell r="I1146">
            <v>0</v>
          </cell>
          <cell r="J1146">
            <v>0</v>
          </cell>
          <cell r="K1146" t="str">
            <v>pcs</v>
          </cell>
          <cell r="L1146" t="str">
            <v>0</v>
          </cell>
        </row>
        <row r="1147">
          <cell r="F1147" t="str">
            <v>KW00072</v>
          </cell>
          <cell r="G1147" t="str">
            <v>CAMBRO LID</v>
          </cell>
          <cell r="H1147">
            <v>64075</v>
          </cell>
          <cell r="I1147">
            <v>0</v>
          </cell>
          <cell r="J1147">
            <v>0</v>
          </cell>
          <cell r="K1147" t="str">
            <v>pcs</v>
          </cell>
          <cell r="L1147" t="str">
            <v>0</v>
          </cell>
        </row>
        <row r="1148">
          <cell r="F1148" t="str">
            <v>KW00073</v>
          </cell>
          <cell r="G1148" t="str">
            <v>FOOD PAN 1/2 STAINLESS</v>
          </cell>
          <cell r="H1148">
            <v>0</v>
          </cell>
          <cell r="I1148">
            <v>0</v>
          </cell>
          <cell r="J1148">
            <v>0</v>
          </cell>
          <cell r="K1148" t="str">
            <v>pcs</v>
          </cell>
          <cell r="L1148" t="str">
            <v>0</v>
          </cell>
        </row>
        <row r="1149">
          <cell r="F1149" t="str">
            <v>KW00074</v>
          </cell>
          <cell r="G1149" t="str">
            <v>WATER JUG AKEBONO 12 L</v>
          </cell>
          <cell r="H1149">
            <v>0</v>
          </cell>
          <cell r="I1149">
            <v>0</v>
          </cell>
          <cell r="J1149">
            <v>0</v>
          </cell>
          <cell r="K1149" t="str">
            <v>unit</v>
          </cell>
          <cell r="L1149" t="str">
            <v>0</v>
          </cell>
        </row>
        <row r="1150">
          <cell r="F1150" t="str">
            <v>KW00075</v>
          </cell>
          <cell r="G1150" t="str">
            <v>SARINGAN SINK</v>
          </cell>
          <cell r="H1150">
            <v>0</v>
          </cell>
          <cell r="I1150">
            <v>0</v>
          </cell>
          <cell r="J1150">
            <v>0</v>
          </cell>
          <cell r="K1150" t="str">
            <v>pcs</v>
          </cell>
          <cell r="L1150" t="str">
            <v>0</v>
          </cell>
        </row>
        <row r="1151">
          <cell r="F1151" t="str">
            <v>KW00076</v>
          </cell>
          <cell r="G1151" t="str">
            <v>PISAU DAPUR 10 INCH - BIRU</v>
          </cell>
          <cell r="H1151">
            <v>0</v>
          </cell>
          <cell r="I1151">
            <v>0</v>
          </cell>
          <cell r="J1151">
            <v>0</v>
          </cell>
          <cell r="K1151" t="str">
            <v>pcs</v>
          </cell>
          <cell r="L1151" t="str">
            <v>0</v>
          </cell>
        </row>
        <row r="1152">
          <cell r="F1152" t="str">
            <v>KW00077</v>
          </cell>
          <cell r="G1152" t="str">
            <v>PISAU DAPUR 10 INCH - PUTIH</v>
          </cell>
          <cell r="H1152">
            <v>0</v>
          </cell>
          <cell r="I1152">
            <v>0</v>
          </cell>
          <cell r="J1152">
            <v>0</v>
          </cell>
          <cell r="K1152" t="str">
            <v>pcs</v>
          </cell>
          <cell r="L1152" t="str">
            <v>0</v>
          </cell>
        </row>
        <row r="1153">
          <cell r="F1153" t="str">
            <v>KW00078</v>
          </cell>
          <cell r="G1153" t="str">
            <v>PISAU DAPUR 10 INCH - HIJAU</v>
          </cell>
          <cell r="H1153">
            <v>0</v>
          </cell>
          <cell r="I1153">
            <v>0</v>
          </cell>
          <cell r="J1153">
            <v>0</v>
          </cell>
          <cell r="K1153" t="str">
            <v>pcs</v>
          </cell>
          <cell r="L1153" t="str">
            <v>0</v>
          </cell>
        </row>
        <row r="1154">
          <cell r="F1154" t="str">
            <v>KW00079</v>
          </cell>
          <cell r="G1154" t="str">
            <v>PISAU DAPUR 10 INCH - HITAM</v>
          </cell>
          <cell r="H1154">
            <v>0</v>
          </cell>
          <cell r="I1154">
            <v>0</v>
          </cell>
          <cell r="J1154">
            <v>0</v>
          </cell>
          <cell r="K1154" t="str">
            <v>pcs</v>
          </cell>
          <cell r="L1154" t="str">
            <v>0</v>
          </cell>
        </row>
        <row r="1155">
          <cell r="F1155" t="str">
            <v>KW00080</v>
          </cell>
          <cell r="G1155" t="str">
            <v>RAK CUTTING BOARD 6 SLOT</v>
          </cell>
          <cell r="H1155">
            <v>0</v>
          </cell>
          <cell r="I1155">
            <v>0</v>
          </cell>
          <cell r="J1155">
            <v>0</v>
          </cell>
          <cell r="K1155" t="str">
            <v>pcs</v>
          </cell>
          <cell r="L1155" t="str">
            <v>0</v>
          </cell>
        </row>
        <row r="1156">
          <cell r="F1156" t="str">
            <v>KW00081</v>
          </cell>
          <cell r="G1156" t="str">
            <v>SAMBUNGAN KRAN AIR MODE SPRAY</v>
          </cell>
          <cell r="H1156">
            <v>0</v>
          </cell>
          <cell r="I1156">
            <v>0</v>
          </cell>
          <cell r="J1156">
            <v>0</v>
          </cell>
          <cell r="K1156" t="str">
            <v>pcs</v>
          </cell>
          <cell r="L1156" t="str">
            <v>0</v>
          </cell>
        </row>
        <row r="1157">
          <cell r="F1157" t="str">
            <v>KW00082</v>
          </cell>
          <cell r="G1157" t="str">
            <v>SAPU KUALI</v>
          </cell>
          <cell r="H1157">
            <v>0</v>
          </cell>
          <cell r="I1157">
            <v>0</v>
          </cell>
          <cell r="J1157">
            <v>0</v>
          </cell>
          <cell r="K1157" t="str">
            <v>pcs</v>
          </cell>
          <cell r="L1157" t="str">
            <v>0</v>
          </cell>
        </row>
        <row r="1158">
          <cell r="F1158" t="str">
            <v>KW00083</v>
          </cell>
          <cell r="G1158" t="str">
            <v>IRUS CENTONG STAINLESS GAGANG KAYU 15 x 2.5 CM</v>
          </cell>
          <cell r="H1158">
            <v>0</v>
          </cell>
          <cell r="I1158">
            <v>0</v>
          </cell>
          <cell r="J1158">
            <v>0</v>
          </cell>
          <cell r="K1158" t="str">
            <v>pcs</v>
          </cell>
          <cell r="L1158" t="str">
            <v>0</v>
          </cell>
        </row>
        <row r="1159">
          <cell r="F1159" t="str">
            <v>KW00084</v>
          </cell>
          <cell r="G1159" t="str">
            <v>SODET STAINLESS GAGANG KAYU 50.5 x 11.5 CM</v>
          </cell>
          <cell r="H1159">
            <v>0</v>
          </cell>
          <cell r="I1159">
            <v>0</v>
          </cell>
          <cell r="J1159">
            <v>0</v>
          </cell>
          <cell r="K1159" t="str">
            <v>pcs</v>
          </cell>
          <cell r="L1159" t="str">
            <v>0</v>
          </cell>
        </row>
        <row r="1160">
          <cell r="F1160" t="str">
            <v>KW00085</v>
          </cell>
          <cell r="G1160" t="str">
            <v>PENGGARIS STAINLESS 100 CM</v>
          </cell>
          <cell r="H1160">
            <v>0</v>
          </cell>
          <cell r="I1160">
            <v>0</v>
          </cell>
          <cell r="J1160">
            <v>0</v>
          </cell>
          <cell r="K1160" t="str">
            <v>pcs</v>
          </cell>
          <cell r="L1160" t="str">
            <v>0</v>
          </cell>
        </row>
        <row r="1161">
          <cell r="F1161" t="str">
            <v>KW00086</v>
          </cell>
          <cell r="G1161" t="str">
            <v>BELL MEJA STAINLESS</v>
          </cell>
          <cell r="H1161">
            <v>0</v>
          </cell>
          <cell r="I1161">
            <v>0</v>
          </cell>
          <cell r="J1161">
            <v>0</v>
          </cell>
          <cell r="K1161" t="str">
            <v>pcs</v>
          </cell>
          <cell r="L1161" t="str">
            <v>0</v>
          </cell>
        </row>
        <row r="1162">
          <cell r="F1162" t="str">
            <v>KW00087</v>
          </cell>
          <cell r="G1162" t="str">
            <v>TIMBANGA TANITA KD-321</v>
          </cell>
          <cell r="H1162">
            <v>0</v>
          </cell>
          <cell r="I1162">
            <v>0</v>
          </cell>
          <cell r="J1162">
            <v>0</v>
          </cell>
          <cell r="K1162" t="str">
            <v>unit</v>
          </cell>
          <cell r="L1162" t="str">
            <v>0</v>
          </cell>
        </row>
        <row r="1163">
          <cell r="F1163" t="str">
            <v>KW00088</v>
          </cell>
          <cell r="G1163" t="str">
            <v>DRAWER ORGANIZER 18X13X4</v>
          </cell>
          <cell r="H1163">
            <v>0</v>
          </cell>
          <cell r="I1163">
            <v>0</v>
          </cell>
          <cell r="J1163">
            <v>0</v>
          </cell>
          <cell r="K1163" t="str">
            <v>pcs</v>
          </cell>
          <cell r="L1163" t="str">
            <v>0</v>
          </cell>
        </row>
        <row r="1164">
          <cell r="F1164" t="str">
            <v>KW00089</v>
          </cell>
          <cell r="G1164" t="str">
            <v>DRAWER ORGANIZER 26X8.5X4</v>
          </cell>
          <cell r="H1164">
            <v>0</v>
          </cell>
          <cell r="I1164">
            <v>0</v>
          </cell>
          <cell r="J1164">
            <v>0</v>
          </cell>
          <cell r="K1164" t="str">
            <v>pcs</v>
          </cell>
          <cell r="L1164" t="str">
            <v>0</v>
          </cell>
        </row>
        <row r="1165">
          <cell r="F1165" t="str">
            <v>KW00090</v>
          </cell>
          <cell r="G1165" t="str">
            <v>RAK ORION 3 SUSUN TEMPAT</v>
          </cell>
          <cell r="H1165">
            <v>0</v>
          </cell>
          <cell r="I1165">
            <v>0</v>
          </cell>
          <cell r="J1165">
            <v>0</v>
          </cell>
          <cell r="K1165" t="str">
            <v>pcs</v>
          </cell>
          <cell r="L1165" t="str">
            <v>0</v>
          </cell>
        </row>
        <row r="1166">
          <cell r="F1166" t="str">
            <v>KW00091</v>
          </cell>
          <cell r="G1166" t="str">
            <v>SPATULA SILIKON - HIJAU</v>
          </cell>
          <cell r="H1166">
            <v>0</v>
          </cell>
          <cell r="I1166">
            <v>0</v>
          </cell>
          <cell r="J1166">
            <v>0</v>
          </cell>
          <cell r="K1166" t="str">
            <v>pcs</v>
          </cell>
          <cell r="L1166" t="str">
            <v>0</v>
          </cell>
        </row>
        <row r="1167">
          <cell r="F1167" t="str">
            <v>KW00092</v>
          </cell>
          <cell r="G1167" t="str">
            <v>GELAS UKUR 5 L</v>
          </cell>
          <cell r="H1167">
            <v>0</v>
          </cell>
          <cell r="I1167">
            <v>0</v>
          </cell>
          <cell r="J1167">
            <v>0</v>
          </cell>
          <cell r="K1167" t="str">
            <v>pcs</v>
          </cell>
          <cell r="L1167" t="str">
            <v>0</v>
          </cell>
        </row>
        <row r="1168">
          <cell r="F1168" t="str">
            <v>KW00093</v>
          </cell>
          <cell r="G1168" t="str">
            <v>GELAS UKUR 2 L</v>
          </cell>
          <cell r="H1168">
            <v>0</v>
          </cell>
          <cell r="I1168">
            <v>0</v>
          </cell>
          <cell r="J1168">
            <v>0</v>
          </cell>
          <cell r="K1168" t="str">
            <v>pcs</v>
          </cell>
          <cell r="L1168" t="str">
            <v>0</v>
          </cell>
        </row>
        <row r="1169">
          <cell r="F1169" t="str">
            <v>KW00094</v>
          </cell>
          <cell r="G1169" t="str">
            <v>PRAXIS KEEPER 102 1,9 LITER</v>
          </cell>
          <cell r="H1169">
            <v>0</v>
          </cell>
          <cell r="I1169">
            <v>0</v>
          </cell>
          <cell r="J1169">
            <v>0</v>
          </cell>
          <cell r="K1169" t="str">
            <v>pcs</v>
          </cell>
          <cell r="L1169" t="str">
            <v>0</v>
          </cell>
        </row>
        <row r="1170">
          <cell r="F1170" t="str">
            <v>KW00095</v>
          </cell>
          <cell r="G1170" t="str">
            <v>SEALWARE B 47 PERSEGI</v>
          </cell>
          <cell r="H1170">
            <v>0</v>
          </cell>
          <cell r="I1170">
            <v>0</v>
          </cell>
          <cell r="J1170">
            <v>0</v>
          </cell>
          <cell r="K1170" t="str">
            <v>pcs</v>
          </cell>
          <cell r="L1170" t="str">
            <v>0</v>
          </cell>
        </row>
        <row r="1171">
          <cell r="F1171" t="str">
            <v>KW00096</v>
          </cell>
          <cell r="G1171" t="str">
            <v>BOX / SEALWARE DONAT</v>
          </cell>
          <cell r="H1171">
            <v>0</v>
          </cell>
          <cell r="I1171">
            <v>0</v>
          </cell>
          <cell r="J1171">
            <v>0</v>
          </cell>
          <cell r="K1171" t="str">
            <v>pcs</v>
          </cell>
          <cell r="L1171" t="str">
            <v>0</v>
          </cell>
        </row>
        <row r="1172">
          <cell r="F1172" t="str">
            <v>KW00097</v>
          </cell>
          <cell r="G1172" t="str">
            <v>GELAS UKUR 250 ML</v>
          </cell>
          <cell r="H1172">
            <v>0</v>
          </cell>
          <cell r="I1172">
            <v>0</v>
          </cell>
          <cell r="J1172">
            <v>0</v>
          </cell>
          <cell r="K1172" t="str">
            <v>pcs</v>
          </cell>
          <cell r="L1172" t="str">
            <v>0</v>
          </cell>
        </row>
        <row r="1173">
          <cell r="F1173" t="str">
            <v>KW00098</v>
          </cell>
          <cell r="G1173" t="str">
            <v>SENDOK UKUR</v>
          </cell>
          <cell r="H1173">
            <v>0</v>
          </cell>
          <cell r="I1173">
            <v>0</v>
          </cell>
          <cell r="J1173">
            <v>0</v>
          </cell>
          <cell r="K1173" t="str">
            <v>pcs</v>
          </cell>
          <cell r="L1173" t="str">
            <v>0</v>
          </cell>
        </row>
        <row r="1174">
          <cell r="F1174" t="str">
            <v>KW00099</v>
          </cell>
          <cell r="G1174" t="str">
            <v>CUTTING BOARD - MERAH</v>
          </cell>
          <cell r="H1174">
            <v>0</v>
          </cell>
          <cell r="I1174">
            <v>0</v>
          </cell>
          <cell r="J1174">
            <v>0</v>
          </cell>
          <cell r="K1174" t="str">
            <v>pcs</v>
          </cell>
          <cell r="L1174" t="str">
            <v>0</v>
          </cell>
        </row>
        <row r="1175">
          <cell r="F1175" t="str">
            <v>KW00100</v>
          </cell>
          <cell r="G1175" t="str">
            <v>CUTTING BOARD - HIJAU</v>
          </cell>
          <cell r="H1175">
            <v>0</v>
          </cell>
          <cell r="I1175">
            <v>0</v>
          </cell>
          <cell r="J1175">
            <v>0</v>
          </cell>
          <cell r="K1175" t="str">
            <v>pcs</v>
          </cell>
          <cell r="L1175" t="str">
            <v>0</v>
          </cell>
        </row>
        <row r="1176">
          <cell r="F1176" t="str">
            <v>KW00101</v>
          </cell>
          <cell r="G1176" t="str">
            <v>CUTTING BOARD - BIRU</v>
          </cell>
          <cell r="H1176">
            <v>0</v>
          </cell>
          <cell r="I1176">
            <v>0</v>
          </cell>
          <cell r="J1176">
            <v>0</v>
          </cell>
          <cell r="K1176" t="str">
            <v>pcs</v>
          </cell>
          <cell r="L1176" t="str">
            <v>0</v>
          </cell>
        </row>
        <row r="1177">
          <cell r="F1177" t="str">
            <v>KW00102</v>
          </cell>
          <cell r="G1177" t="str">
            <v>CUTTING BOARD - PUTIH</v>
          </cell>
          <cell r="H1177">
            <v>0</v>
          </cell>
          <cell r="I1177">
            <v>0</v>
          </cell>
          <cell r="J1177">
            <v>0</v>
          </cell>
          <cell r="K1177" t="str">
            <v>pcs</v>
          </cell>
          <cell r="L1177" t="str">
            <v>0</v>
          </cell>
        </row>
        <row r="1178">
          <cell r="F1178" t="str">
            <v>KW00103</v>
          </cell>
          <cell r="G1178" t="str">
            <v>ALARM</v>
          </cell>
          <cell r="H1178">
            <v>0</v>
          </cell>
          <cell r="I1178">
            <v>0</v>
          </cell>
          <cell r="J1178">
            <v>0</v>
          </cell>
          <cell r="K1178" t="str">
            <v>pcs</v>
          </cell>
          <cell r="L1178" t="str">
            <v>0</v>
          </cell>
        </row>
        <row r="1179">
          <cell r="F1179" t="str">
            <v>KW00104</v>
          </cell>
          <cell r="G1179" t="str">
            <v>RICE STRAINER BASKET (S/S TANGGOK) 28 CM</v>
          </cell>
          <cell r="H1179">
            <v>0</v>
          </cell>
          <cell r="I1179">
            <v>0</v>
          </cell>
          <cell r="J1179">
            <v>0</v>
          </cell>
          <cell r="K1179" t="str">
            <v>pcs</v>
          </cell>
          <cell r="L1179" t="str">
            <v>0</v>
          </cell>
        </row>
        <row r="1180">
          <cell r="F1180" t="str">
            <v>KW00105</v>
          </cell>
          <cell r="G1180" t="str">
            <v>RICE STRAINER BASKET (S/S TANGGOK) 40 CM</v>
          </cell>
          <cell r="H1180">
            <v>0</v>
          </cell>
          <cell r="I1180">
            <v>0</v>
          </cell>
          <cell r="J1180">
            <v>0</v>
          </cell>
          <cell r="K1180" t="str">
            <v>pcs</v>
          </cell>
          <cell r="L1180" t="str">
            <v>0</v>
          </cell>
        </row>
        <row r="1181">
          <cell r="F1181" t="str">
            <v>KW00106</v>
          </cell>
          <cell r="G1181" t="str">
            <v>SOUP LADLE 30</v>
          </cell>
          <cell r="H1181">
            <v>0</v>
          </cell>
          <cell r="I1181">
            <v>0</v>
          </cell>
          <cell r="J1181">
            <v>0</v>
          </cell>
          <cell r="K1181" t="str">
            <v>pcs</v>
          </cell>
          <cell r="L1181" t="str">
            <v>0</v>
          </cell>
        </row>
        <row r="1182">
          <cell r="F1182" t="str">
            <v>KW00107</v>
          </cell>
          <cell r="G1182" t="str">
            <v>SOUP LADLE 150</v>
          </cell>
          <cell r="H1182">
            <v>0</v>
          </cell>
          <cell r="I1182">
            <v>0</v>
          </cell>
          <cell r="J1182">
            <v>0</v>
          </cell>
          <cell r="K1182" t="str">
            <v>pcs</v>
          </cell>
          <cell r="L1182" t="str">
            <v>0</v>
          </cell>
        </row>
        <row r="1183">
          <cell r="F1183" t="str">
            <v>KW00108</v>
          </cell>
          <cell r="G1183" t="str">
            <v>BHALON WHISK</v>
          </cell>
          <cell r="H1183">
            <v>0</v>
          </cell>
          <cell r="I1183">
            <v>0</v>
          </cell>
          <cell r="J1183">
            <v>0</v>
          </cell>
          <cell r="K1183" t="str">
            <v>pcs</v>
          </cell>
          <cell r="L1183" t="str">
            <v>0</v>
          </cell>
        </row>
        <row r="1184">
          <cell r="F1184" t="str">
            <v>KW00109</v>
          </cell>
          <cell r="G1184" t="str">
            <v>MIXING BOWL SIZE  20 cm</v>
          </cell>
          <cell r="H1184">
            <v>0</v>
          </cell>
          <cell r="I1184">
            <v>0</v>
          </cell>
          <cell r="J1184">
            <v>0</v>
          </cell>
          <cell r="K1184" t="str">
            <v>pcs</v>
          </cell>
          <cell r="L1184" t="str">
            <v>0</v>
          </cell>
        </row>
        <row r="1185">
          <cell r="F1185" t="str">
            <v>KW00110</v>
          </cell>
          <cell r="G1185" t="str">
            <v>MIXING BOWL SIZE 30 cm</v>
          </cell>
          <cell r="H1185">
            <v>0</v>
          </cell>
          <cell r="I1185">
            <v>0</v>
          </cell>
          <cell r="J1185">
            <v>0</v>
          </cell>
          <cell r="K1185" t="str">
            <v>pcs</v>
          </cell>
          <cell r="L1185" t="str">
            <v>0</v>
          </cell>
        </row>
        <row r="1186">
          <cell r="F1186" t="str">
            <v>KW00111</v>
          </cell>
          <cell r="G1186" t="str">
            <v>SARINGAN STAINLESS KECIL (HALUS) UK 16CM</v>
          </cell>
          <cell r="H1186">
            <v>0</v>
          </cell>
          <cell r="I1186">
            <v>0</v>
          </cell>
          <cell r="J1186">
            <v>0</v>
          </cell>
          <cell r="K1186" t="str">
            <v>pcs</v>
          </cell>
          <cell r="L1186" t="str">
            <v>0</v>
          </cell>
        </row>
        <row r="1187">
          <cell r="F1187" t="str">
            <v>KW00112</v>
          </cell>
          <cell r="G1187" t="str">
            <v>BATU ASAHAN</v>
          </cell>
          <cell r="H1187">
            <v>0</v>
          </cell>
          <cell r="I1187">
            <v>0</v>
          </cell>
          <cell r="J1187">
            <v>0</v>
          </cell>
          <cell r="K1187" t="str">
            <v>pcs</v>
          </cell>
          <cell r="L1187" t="str">
            <v>0</v>
          </cell>
        </row>
        <row r="1188">
          <cell r="F1188" t="str">
            <v>KW00113</v>
          </cell>
          <cell r="G1188" t="str">
            <v>CAN OPENER MANUAL</v>
          </cell>
          <cell r="H1188">
            <v>0</v>
          </cell>
          <cell r="I1188">
            <v>0</v>
          </cell>
          <cell r="J1188">
            <v>0</v>
          </cell>
          <cell r="K1188" t="str">
            <v>pcs</v>
          </cell>
          <cell r="L1188" t="str">
            <v>0</v>
          </cell>
        </row>
        <row r="1189">
          <cell r="F1189" t="str">
            <v>KW00114</v>
          </cell>
          <cell r="G1189" t="str">
            <v>PEELER VICTORINOX</v>
          </cell>
          <cell r="H1189">
            <v>0</v>
          </cell>
          <cell r="I1189">
            <v>0</v>
          </cell>
          <cell r="J1189">
            <v>0</v>
          </cell>
          <cell r="K1189" t="str">
            <v>pcs</v>
          </cell>
          <cell r="L1189" t="str">
            <v>0</v>
          </cell>
        </row>
        <row r="1190">
          <cell r="F1190" t="str">
            <v>KW00115</v>
          </cell>
          <cell r="G1190" t="str">
            <v>SUMPIT JP / SUMPIT BAMBU</v>
          </cell>
          <cell r="H1190">
            <v>0</v>
          </cell>
          <cell r="I1190">
            <v>0</v>
          </cell>
          <cell r="J1190">
            <v>0</v>
          </cell>
          <cell r="K1190" t="str">
            <v>pcs</v>
          </cell>
          <cell r="L1190" t="str">
            <v>0</v>
          </cell>
        </row>
        <row r="1191">
          <cell r="F1191" t="str">
            <v>KW00116</v>
          </cell>
          <cell r="G1191" t="str">
            <v>SCRAPER SPATULA SWALOW TNM-SPT</v>
          </cell>
          <cell r="H1191">
            <v>0</v>
          </cell>
          <cell r="I1191">
            <v>0</v>
          </cell>
          <cell r="J1191">
            <v>0</v>
          </cell>
          <cell r="K1191" t="str">
            <v>pcs</v>
          </cell>
          <cell r="L1191" t="str">
            <v>0</v>
          </cell>
        </row>
        <row r="1192">
          <cell r="F1192" t="str">
            <v>KW00117</v>
          </cell>
          <cell r="G1192" t="str">
            <v>RICE SPOON / SENDOK NASI</v>
          </cell>
          <cell r="H1192">
            <v>0</v>
          </cell>
          <cell r="I1192">
            <v>0</v>
          </cell>
          <cell r="J1192">
            <v>0</v>
          </cell>
          <cell r="K1192" t="str">
            <v>pcs</v>
          </cell>
          <cell r="L1192" t="str">
            <v>0</v>
          </cell>
        </row>
        <row r="1193">
          <cell r="F1193" t="str">
            <v>KW00118</v>
          </cell>
          <cell r="G1193" t="str">
            <v>RICE SPOON WARMER BESAR</v>
          </cell>
          <cell r="H1193">
            <v>0</v>
          </cell>
          <cell r="I1193">
            <v>0</v>
          </cell>
          <cell r="J1193">
            <v>0</v>
          </cell>
          <cell r="K1193" t="str">
            <v>pcs</v>
          </cell>
          <cell r="L1193" t="str">
            <v>0</v>
          </cell>
        </row>
        <row r="1194">
          <cell r="F1194" t="str">
            <v>KW00119</v>
          </cell>
          <cell r="G1194" t="str">
            <v>SENDOK KITCHEN</v>
          </cell>
          <cell r="H1194">
            <v>0</v>
          </cell>
          <cell r="I1194">
            <v>0</v>
          </cell>
          <cell r="J1194">
            <v>0</v>
          </cell>
          <cell r="K1194" t="str">
            <v>pcs</v>
          </cell>
          <cell r="L1194" t="str">
            <v>0</v>
          </cell>
        </row>
        <row r="1195">
          <cell r="F1195" t="str">
            <v>KW00120</v>
          </cell>
          <cell r="G1195" t="str">
            <v>CHOPSTICK HEXAGONAL</v>
          </cell>
          <cell r="H1195">
            <v>0</v>
          </cell>
          <cell r="I1195">
            <v>0</v>
          </cell>
          <cell r="J1195">
            <v>0</v>
          </cell>
          <cell r="K1195" t="str">
            <v>pcs</v>
          </cell>
          <cell r="L1195" t="str">
            <v>0</v>
          </cell>
        </row>
        <row r="1196">
          <cell r="F1196" t="str">
            <v>KW00121</v>
          </cell>
          <cell r="G1196" t="str">
            <v>DISWASHER APRON</v>
          </cell>
          <cell r="H1196">
            <v>0</v>
          </cell>
          <cell r="I1196">
            <v>0</v>
          </cell>
          <cell r="J1196">
            <v>0</v>
          </cell>
          <cell r="K1196" t="str">
            <v>pcs</v>
          </cell>
          <cell r="L1196" t="str">
            <v>0</v>
          </cell>
        </row>
        <row r="1197">
          <cell r="F1197" t="str">
            <v>KW00122</v>
          </cell>
          <cell r="G1197" t="str">
            <v>CUTTING BOARD - ORANGE</v>
          </cell>
          <cell r="H1197">
            <v>0</v>
          </cell>
          <cell r="I1197">
            <v>0</v>
          </cell>
          <cell r="J1197">
            <v>0</v>
          </cell>
          <cell r="K1197" t="str">
            <v>pcs</v>
          </cell>
          <cell r="L1197" t="str">
            <v>0</v>
          </cell>
        </row>
        <row r="1198">
          <cell r="F1198" t="str">
            <v>KW00123</v>
          </cell>
          <cell r="G1198" t="str">
            <v>PISAU GAGANG ORANGE</v>
          </cell>
          <cell r="H1198">
            <v>0</v>
          </cell>
          <cell r="I1198">
            <v>0</v>
          </cell>
          <cell r="J1198">
            <v>0</v>
          </cell>
          <cell r="K1198" t="str">
            <v>pcs</v>
          </cell>
          <cell r="L1198" t="str">
            <v>0</v>
          </cell>
        </row>
        <row r="1199">
          <cell r="F1199" t="str">
            <v>KW00124</v>
          </cell>
          <cell r="G1199" t="str">
            <v>KUALI BAJA</v>
          </cell>
          <cell r="H1199">
            <v>0</v>
          </cell>
          <cell r="I1199">
            <v>0</v>
          </cell>
          <cell r="J1199">
            <v>0</v>
          </cell>
          <cell r="K1199" t="str">
            <v>pcs</v>
          </cell>
          <cell r="L1199" t="str">
            <v>0</v>
          </cell>
        </row>
        <row r="1200">
          <cell r="F1200" t="str">
            <v>KW00125</v>
          </cell>
          <cell r="G1200" t="str">
            <v>LADDLE KUALI BAJA WOK IRUS GAGANG KAYU</v>
          </cell>
          <cell r="H1200">
            <v>0</v>
          </cell>
          <cell r="I1200">
            <v>0</v>
          </cell>
          <cell r="J1200">
            <v>0</v>
          </cell>
          <cell r="K1200" t="str">
            <v>pcs</v>
          </cell>
          <cell r="L1200" t="str">
            <v>0</v>
          </cell>
        </row>
        <row r="1201">
          <cell r="F1201" t="str">
            <v>KW00126</v>
          </cell>
          <cell r="G1201" t="str">
            <v>SODET KUALI BAJA GAGANG KAYU 52 X 13.5CM</v>
          </cell>
          <cell r="H1201">
            <v>0</v>
          </cell>
          <cell r="I1201">
            <v>0</v>
          </cell>
          <cell r="J1201">
            <v>0</v>
          </cell>
          <cell r="K1201" t="str">
            <v>pcs</v>
          </cell>
          <cell r="L1201" t="str">
            <v>0</v>
          </cell>
        </row>
        <row r="1202">
          <cell r="F1202" t="str">
            <v>KW00127</v>
          </cell>
          <cell r="G1202" t="str">
            <v>BUSH BOX ABU-ABU/BASKOM SEGI L</v>
          </cell>
          <cell r="H1202">
            <v>0</v>
          </cell>
          <cell r="I1202">
            <v>0</v>
          </cell>
          <cell r="J1202">
            <v>0</v>
          </cell>
          <cell r="K1202" t="str">
            <v>pcs</v>
          </cell>
          <cell r="L1202" t="str">
            <v>0</v>
          </cell>
        </row>
        <row r="1203">
          <cell r="F1203" t="str">
            <v>KW00128</v>
          </cell>
          <cell r="G1203" t="str">
            <v>TERMOS ES/ TERMOS NASI COOL 5 L</v>
          </cell>
          <cell r="H1203">
            <v>0</v>
          </cell>
          <cell r="I1203">
            <v>0</v>
          </cell>
          <cell r="J1203">
            <v>0</v>
          </cell>
          <cell r="K1203" t="str">
            <v>pcs</v>
          </cell>
          <cell r="L1203" t="str">
            <v>0</v>
          </cell>
        </row>
        <row r="1204">
          <cell r="F1204" t="str">
            <v>KW00129</v>
          </cell>
          <cell r="G1204" t="str">
            <v>BOX CONTAINER RTP 620x430x250</v>
          </cell>
          <cell r="H1204">
            <v>0</v>
          </cell>
          <cell r="I1204">
            <v>0</v>
          </cell>
          <cell r="J1204">
            <v>0</v>
          </cell>
          <cell r="K1204" t="str">
            <v>box</v>
          </cell>
          <cell r="L1204" t="str">
            <v>0</v>
          </cell>
        </row>
        <row r="1205">
          <cell r="F1205" t="str">
            <v>KW00130</v>
          </cell>
          <cell r="G1205" t="str">
            <v>SCOOP ES BATU</v>
          </cell>
          <cell r="H1205">
            <v>0</v>
          </cell>
          <cell r="I1205">
            <v>0</v>
          </cell>
          <cell r="J1205">
            <v>0</v>
          </cell>
          <cell r="K1205" t="str">
            <v>pcs</v>
          </cell>
          <cell r="L1205" t="str">
            <v>0</v>
          </cell>
        </row>
        <row r="1206">
          <cell r="F1206" t="str">
            <v>KW00131</v>
          </cell>
          <cell r="G1206" t="str">
            <v>KITCHEN DIGITAL TIMER</v>
          </cell>
          <cell r="H1206">
            <v>0</v>
          </cell>
          <cell r="I1206">
            <v>0</v>
          </cell>
          <cell r="J1206">
            <v>0</v>
          </cell>
          <cell r="K1206" t="str">
            <v>pcs</v>
          </cell>
          <cell r="L1206" t="str">
            <v>0</v>
          </cell>
        </row>
        <row r="1207">
          <cell r="F1207" t="str">
            <v>KW00132</v>
          </cell>
          <cell r="G1207" t="str">
            <v>BOTOL SAUS 16OZ</v>
          </cell>
          <cell r="H1207">
            <v>0</v>
          </cell>
          <cell r="I1207">
            <v>0</v>
          </cell>
          <cell r="J1207">
            <v>0</v>
          </cell>
          <cell r="K1207" t="str">
            <v>pcs</v>
          </cell>
          <cell r="L1207" t="str">
            <v>0</v>
          </cell>
        </row>
        <row r="1208">
          <cell r="F1208" t="str">
            <v>KW00133</v>
          </cell>
          <cell r="G1208" t="str">
            <v>SCOOP ICE CREAM</v>
          </cell>
          <cell r="H1208">
            <v>0</v>
          </cell>
          <cell r="I1208">
            <v>0</v>
          </cell>
          <cell r="J1208">
            <v>0</v>
          </cell>
          <cell r="K1208" t="str">
            <v>pcs</v>
          </cell>
          <cell r="L1208" t="str">
            <v>0</v>
          </cell>
        </row>
        <row r="1209">
          <cell r="F1209" t="str">
            <v>KW00134</v>
          </cell>
          <cell r="G1209" t="str">
            <v>CAPITAN SILIKON/FOOD TONGS SILICONE</v>
          </cell>
          <cell r="H1209">
            <v>0</v>
          </cell>
          <cell r="I1209">
            <v>0</v>
          </cell>
          <cell r="J1209">
            <v>0</v>
          </cell>
          <cell r="K1209" t="str">
            <v>pcs</v>
          </cell>
          <cell r="L1209" t="str">
            <v>0</v>
          </cell>
        </row>
        <row r="1210">
          <cell r="F1210" t="str">
            <v>KW00135</v>
          </cell>
          <cell r="G1210" t="str">
            <v>PENEKAN HOTTEOK D 11 CM KAYU</v>
          </cell>
          <cell r="H1210">
            <v>0</v>
          </cell>
          <cell r="I1210">
            <v>0</v>
          </cell>
          <cell r="J1210">
            <v>0</v>
          </cell>
          <cell r="K1210" t="str">
            <v>pcs</v>
          </cell>
          <cell r="L1210" t="str">
            <v>0</v>
          </cell>
        </row>
        <row r="1211">
          <cell r="F1211" t="str">
            <v>KW00136</v>
          </cell>
          <cell r="G1211" t="str">
            <v>PENEKAN HOTTEOK D 11 CM STAINLESS</v>
          </cell>
          <cell r="H1211">
            <v>0</v>
          </cell>
          <cell r="I1211">
            <v>0</v>
          </cell>
          <cell r="J1211">
            <v>0</v>
          </cell>
          <cell r="K1211" t="str">
            <v>pcs</v>
          </cell>
          <cell r="L1211" t="str">
            <v>0</v>
          </cell>
        </row>
        <row r="1212">
          <cell r="F1212" t="str">
            <v>KW00137</v>
          </cell>
          <cell r="G1212" t="str">
            <v>SPATULA SILIKON GAGANG KAYU</v>
          </cell>
          <cell r="H1212">
            <v>0</v>
          </cell>
          <cell r="I1212">
            <v>0</v>
          </cell>
          <cell r="J1212">
            <v>0</v>
          </cell>
          <cell r="K1212" t="str">
            <v>pcs</v>
          </cell>
          <cell r="L1212" t="str">
            <v>0</v>
          </cell>
        </row>
        <row r="1213">
          <cell r="F1213" t="str">
            <v>KW00138</v>
          </cell>
          <cell r="G1213" t="str">
            <v>BOTOL BUMBU TUTUP BUNGA</v>
          </cell>
          <cell r="H1213">
            <v>0</v>
          </cell>
          <cell r="I1213">
            <v>0</v>
          </cell>
          <cell r="J1213">
            <v>0</v>
          </cell>
          <cell r="K1213" t="str">
            <v>pcs</v>
          </cell>
          <cell r="L1213" t="str">
            <v>0</v>
          </cell>
        </row>
        <row r="1214">
          <cell r="F1214" t="str">
            <v>KW00139</v>
          </cell>
          <cell r="G1214" t="str">
            <v>FRYING PAN 26CM BIMA</v>
          </cell>
          <cell r="H1214">
            <v>0</v>
          </cell>
          <cell r="I1214">
            <v>0</v>
          </cell>
          <cell r="J1214">
            <v>0</v>
          </cell>
          <cell r="K1214" t="str">
            <v>pcs</v>
          </cell>
          <cell r="L1214" t="str">
            <v>0</v>
          </cell>
        </row>
        <row r="1215">
          <cell r="F1215" t="str">
            <v>KW00140</v>
          </cell>
          <cell r="G1215" t="str">
            <v>PRAXIS KEEPER 1,2 L</v>
          </cell>
          <cell r="H1215">
            <v>0</v>
          </cell>
          <cell r="I1215">
            <v>0</v>
          </cell>
          <cell r="J1215">
            <v>0</v>
          </cell>
          <cell r="K1215" t="str">
            <v>pcs</v>
          </cell>
          <cell r="L1215" t="str">
            <v>0</v>
          </cell>
        </row>
        <row r="1216">
          <cell r="F1216" t="str">
            <v>KW00141</v>
          </cell>
          <cell r="G1216" t="str">
            <v>PRAXIS KEEPER 2,2 L</v>
          </cell>
          <cell r="H1216">
            <v>0</v>
          </cell>
          <cell r="I1216">
            <v>0</v>
          </cell>
          <cell r="J1216">
            <v>0</v>
          </cell>
          <cell r="K1216" t="str">
            <v>pcs</v>
          </cell>
          <cell r="L1216" t="str">
            <v>0</v>
          </cell>
        </row>
        <row r="1217">
          <cell r="F1217" t="str">
            <v>KW00142</v>
          </cell>
          <cell r="G1217" t="str">
            <v>MIXING BOWL SIZE 32 cm</v>
          </cell>
          <cell r="H1217">
            <v>0</v>
          </cell>
          <cell r="I1217">
            <v>0</v>
          </cell>
          <cell r="J1217">
            <v>0</v>
          </cell>
          <cell r="K1217" t="str">
            <v>pcs</v>
          </cell>
          <cell r="L1217" t="str">
            <v>0</v>
          </cell>
        </row>
        <row r="1218">
          <cell r="F1218" t="str">
            <v>KW00143</v>
          </cell>
          <cell r="G1218" t="str">
            <v>MIXING BOWL SIZE 33 CM</v>
          </cell>
          <cell r="H1218">
            <v>0</v>
          </cell>
          <cell r="I1218">
            <v>0</v>
          </cell>
          <cell r="J1218">
            <v>0</v>
          </cell>
          <cell r="K1218" t="str">
            <v>pcs</v>
          </cell>
          <cell r="L1218" t="str">
            <v>0</v>
          </cell>
        </row>
        <row r="1219">
          <cell r="F1219" t="str">
            <v>KW00144</v>
          </cell>
          <cell r="G1219" t="str">
            <v>MIXING BOWL SIZE 21 CM</v>
          </cell>
          <cell r="H1219">
            <v>0</v>
          </cell>
          <cell r="I1219">
            <v>0</v>
          </cell>
          <cell r="J1219">
            <v>0</v>
          </cell>
          <cell r="K1219" t="str">
            <v>pcs</v>
          </cell>
          <cell r="L1219" t="str">
            <v>0</v>
          </cell>
        </row>
        <row r="1220">
          <cell r="F1220" t="str">
            <v>KW00145</v>
          </cell>
          <cell r="G1220" t="str">
            <v>SARINGAN STAINLESS HALUS 24 CM</v>
          </cell>
          <cell r="H1220">
            <v>0</v>
          </cell>
          <cell r="I1220">
            <v>0</v>
          </cell>
          <cell r="J1220">
            <v>0</v>
          </cell>
          <cell r="K1220" t="str">
            <v>pcs</v>
          </cell>
          <cell r="L1220" t="str">
            <v>0</v>
          </cell>
        </row>
        <row r="1221">
          <cell r="F1221" t="str">
            <v>KW00146</v>
          </cell>
          <cell r="G1221" t="str">
            <v>CHADOL PAN</v>
          </cell>
          <cell r="H1221">
            <v>0</v>
          </cell>
          <cell r="I1221">
            <v>0</v>
          </cell>
          <cell r="J1221">
            <v>0</v>
          </cell>
          <cell r="K1221" t="str">
            <v>pcs</v>
          </cell>
          <cell r="L1221" t="str">
            <v>0</v>
          </cell>
        </row>
        <row r="1222">
          <cell r="F1222" t="str">
            <v>KW00147</v>
          </cell>
          <cell r="G1222" t="str">
            <v>TEMPAT BUMBU HOTOK SET 6 PCS</v>
          </cell>
          <cell r="H1222">
            <v>0</v>
          </cell>
          <cell r="I1222">
            <v>0</v>
          </cell>
          <cell r="J1222">
            <v>0</v>
          </cell>
          <cell r="K1222" t="str">
            <v>pack</v>
          </cell>
          <cell r="L1222" t="str">
            <v>0</v>
          </cell>
        </row>
        <row r="1223">
          <cell r="F1223" t="str">
            <v>KW00148</v>
          </cell>
          <cell r="G1223" t="str">
            <v>NAMPAN ALUMINIUM 40 X 30 CM</v>
          </cell>
          <cell r="H1223">
            <v>0</v>
          </cell>
          <cell r="I1223">
            <v>0</v>
          </cell>
          <cell r="J1223">
            <v>0</v>
          </cell>
          <cell r="K1223" t="str">
            <v>pcs</v>
          </cell>
          <cell r="L1223" t="str">
            <v>0</v>
          </cell>
        </row>
        <row r="1224">
          <cell r="F1224" t="str">
            <v>KW00149</v>
          </cell>
          <cell r="G1224" t="str">
            <v>BASKOM JUMBO 50 CM</v>
          </cell>
          <cell r="H1224">
            <v>0</v>
          </cell>
          <cell r="I1224">
            <v>0</v>
          </cell>
          <cell r="J1224">
            <v>0</v>
          </cell>
          <cell r="K1224" t="str">
            <v>pcs</v>
          </cell>
          <cell r="L1224" t="str">
            <v>0</v>
          </cell>
        </row>
        <row r="1225">
          <cell r="F1225" t="str">
            <v>KW00150</v>
          </cell>
          <cell r="G1225" t="str">
            <v>KUAS SILIKON</v>
          </cell>
          <cell r="H1225">
            <v>0</v>
          </cell>
          <cell r="I1225">
            <v>0</v>
          </cell>
          <cell r="J1225">
            <v>0</v>
          </cell>
          <cell r="K1225" t="str">
            <v>pcs</v>
          </cell>
          <cell r="L1225" t="str">
            <v>0</v>
          </cell>
        </row>
        <row r="1226">
          <cell r="F1226" t="str">
            <v>KW00151</v>
          </cell>
          <cell r="G1226" t="str">
            <v>BASKOM STAINLESS 26 CM</v>
          </cell>
          <cell r="H1226">
            <v>0</v>
          </cell>
          <cell r="I1226">
            <v>0</v>
          </cell>
          <cell r="J1226">
            <v>0</v>
          </cell>
          <cell r="K1226" t="str">
            <v>pcs</v>
          </cell>
          <cell r="L1226" t="str">
            <v>0</v>
          </cell>
        </row>
        <row r="1227">
          <cell r="F1227" t="str">
            <v>KW00152</v>
          </cell>
          <cell r="G1227" t="str">
            <v>STINLESS INDUCTION HEATER</v>
          </cell>
          <cell r="H1227">
            <v>0</v>
          </cell>
          <cell r="I1227">
            <v>0</v>
          </cell>
          <cell r="J1227">
            <v>0</v>
          </cell>
          <cell r="K1227" t="str">
            <v>pcs</v>
          </cell>
          <cell r="L1227" t="str">
            <v>0</v>
          </cell>
        </row>
        <row r="1228">
          <cell r="F1228" t="str">
            <v>KW00153</v>
          </cell>
          <cell r="G1228" t="str">
            <v>PENJEPIT PANCI/WAJAN</v>
          </cell>
          <cell r="H1228">
            <v>0</v>
          </cell>
          <cell r="I1228">
            <v>0</v>
          </cell>
          <cell r="J1228">
            <v>0</v>
          </cell>
          <cell r="K1228" t="str">
            <v>pcs</v>
          </cell>
          <cell r="L1228" t="str">
            <v>0</v>
          </cell>
        </row>
        <row r="1229">
          <cell r="F1229" t="str">
            <v>KW00154</v>
          </cell>
          <cell r="G1229" t="str">
            <v>PISAU DAPUR - MERAH</v>
          </cell>
          <cell r="H1229">
            <v>0</v>
          </cell>
          <cell r="I1229">
            <v>0</v>
          </cell>
          <cell r="J1229">
            <v>0</v>
          </cell>
          <cell r="K1229" t="str">
            <v>pcs</v>
          </cell>
          <cell r="L1229" t="str">
            <v>0</v>
          </cell>
        </row>
        <row r="1230">
          <cell r="F1230" t="str">
            <v>KW00155</v>
          </cell>
          <cell r="G1230" t="str">
            <v>BASKOM STAINLESS 18 CM</v>
          </cell>
          <cell r="H1230">
            <v>0</v>
          </cell>
          <cell r="I1230">
            <v>0</v>
          </cell>
          <cell r="J1230">
            <v>0</v>
          </cell>
          <cell r="K1230" t="str">
            <v>pcs</v>
          </cell>
          <cell r="L1230" t="str">
            <v>0</v>
          </cell>
        </row>
        <row r="1231">
          <cell r="F1231" t="str">
            <v>KW00156</v>
          </cell>
          <cell r="G1231" t="str">
            <v>BOX DONUT MINI</v>
          </cell>
          <cell r="H1231">
            <v>0</v>
          </cell>
          <cell r="I1231">
            <v>0</v>
          </cell>
          <cell r="J1231">
            <v>0</v>
          </cell>
          <cell r="K1231" t="str">
            <v>pcs</v>
          </cell>
          <cell r="L1231" t="str">
            <v>0</v>
          </cell>
        </row>
        <row r="1232">
          <cell r="F1232" t="str">
            <v>KW00157</v>
          </cell>
          <cell r="G1232" t="str">
            <v>FRYPAN BIMA BP1952528</v>
          </cell>
          <cell r="H1232">
            <v>0</v>
          </cell>
          <cell r="I1232">
            <v>0</v>
          </cell>
          <cell r="J1232">
            <v>0</v>
          </cell>
          <cell r="K1232" t="str">
            <v>pcs</v>
          </cell>
          <cell r="L1232" t="str">
            <v>0</v>
          </cell>
        </row>
        <row r="1233">
          <cell r="F1233" t="str">
            <v>KW00158</v>
          </cell>
          <cell r="G1233" t="str">
            <v>CENTONG STAINLESS</v>
          </cell>
          <cell r="H1233">
            <v>0</v>
          </cell>
          <cell r="I1233">
            <v>0</v>
          </cell>
          <cell r="J1233">
            <v>0</v>
          </cell>
          <cell r="K1233" t="str">
            <v>pcs</v>
          </cell>
          <cell r="L1233" t="str">
            <v>0</v>
          </cell>
        </row>
        <row r="1234">
          <cell r="F1234" t="str">
            <v>KW00159</v>
          </cell>
          <cell r="G1234" t="str">
            <v>RICE NET</v>
          </cell>
          <cell r="H1234">
            <v>0</v>
          </cell>
          <cell r="I1234">
            <v>0</v>
          </cell>
          <cell r="J1234">
            <v>0</v>
          </cell>
          <cell r="K1234" t="str">
            <v>pcs</v>
          </cell>
          <cell r="L1234" t="str">
            <v>0</v>
          </cell>
        </row>
        <row r="1235">
          <cell r="F1235" t="str">
            <v>KW00160</v>
          </cell>
          <cell r="G1235" t="str">
            <v>MIXING BOWL SIZE 40 CM</v>
          </cell>
          <cell r="H1235">
            <v>0</v>
          </cell>
          <cell r="I1235">
            <v>0</v>
          </cell>
          <cell r="J1235">
            <v>0</v>
          </cell>
          <cell r="K1235" t="str">
            <v>pcs</v>
          </cell>
          <cell r="L1235" t="str">
            <v>0</v>
          </cell>
        </row>
        <row r="1236">
          <cell r="F1236" t="str">
            <v>KW00161</v>
          </cell>
          <cell r="G1236" t="str">
            <v>STOCKPOT 8 QT</v>
          </cell>
          <cell r="H1236">
            <v>0</v>
          </cell>
          <cell r="I1236">
            <v>0</v>
          </cell>
          <cell r="J1236">
            <v>0</v>
          </cell>
          <cell r="K1236" t="str">
            <v>pcs</v>
          </cell>
          <cell r="L1236" t="str">
            <v>0</v>
          </cell>
        </row>
        <row r="1237">
          <cell r="F1237" t="str">
            <v>KW00162</v>
          </cell>
          <cell r="G1237" t="str">
            <v>MIXING BOWL SIZE 16 CM</v>
          </cell>
          <cell r="H1237">
            <v>0</v>
          </cell>
          <cell r="I1237">
            <v>0</v>
          </cell>
          <cell r="J1237">
            <v>0</v>
          </cell>
          <cell r="K1237" t="str">
            <v>pcs</v>
          </cell>
          <cell r="L1237" t="str">
            <v>0</v>
          </cell>
        </row>
        <row r="1238">
          <cell r="F1238" t="str">
            <v>KW00163</v>
          </cell>
          <cell r="G1238" t="str">
            <v>FOOD PAN PF ( LUBANG )</v>
          </cell>
          <cell r="H1238">
            <v>0</v>
          </cell>
          <cell r="I1238">
            <v>0</v>
          </cell>
          <cell r="J1238">
            <v>0</v>
          </cell>
          <cell r="K1238" t="str">
            <v>pcs</v>
          </cell>
          <cell r="L1238" t="str">
            <v>0</v>
          </cell>
        </row>
        <row r="1239">
          <cell r="F1239" t="str">
            <v>KW00164</v>
          </cell>
          <cell r="G1239" t="str">
            <v>BOX CONTAINER RABIT 70 L</v>
          </cell>
          <cell r="H1239">
            <v>0</v>
          </cell>
          <cell r="I1239">
            <v>0</v>
          </cell>
          <cell r="J1239">
            <v>0</v>
          </cell>
          <cell r="K1239" t="str">
            <v>box</v>
          </cell>
          <cell r="L1239" t="str">
            <v>0</v>
          </cell>
        </row>
        <row r="1240">
          <cell r="F1240" t="str">
            <v>KW00165</v>
          </cell>
          <cell r="G1240" t="str">
            <v>BOTOL SAUS  650ml 24oz</v>
          </cell>
          <cell r="H1240">
            <v>0</v>
          </cell>
          <cell r="I1240">
            <v>0</v>
          </cell>
          <cell r="J1240">
            <v>0</v>
          </cell>
          <cell r="K1240" t="str">
            <v>pcs</v>
          </cell>
          <cell r="L1240" t="str">
            <v>0</v>
          </cell>
        </row>
        <row r="1241">
          <cell r="F1241" t="str">
            <v>KW00214</v>
          </cell>
          <cell r="G1241" t="str">
            <v>PENEKAN ADONAN KUE 12 CM - KAYU</v>
          </cell>
          <cell r="H1241">
            <v>0</v>
          </cell>
          <cell r="I1241">
            <v>0</v>
          </cell>
          <cell r="J1241">
            <v>0</v>
          </cell>
          <cell r="K1241" t="str">
            <v>pcs</v>
          </cell>
          <cell r="L1241" t="str">
            <v>0</v>
          </cell>
        </row>
        <row r="1242">
          <cell r="F1242" t="str">
            <v>KW00218</v>
          </cell>
          <cell r="G1242" t="str">
            <v>THERMOMETER JARUM WATERPROOF</v>
          </cell>
          <cell r="H1242">
            <v>0</v>
          </cell>
          <cell r="I1242">
            <v>0</v>
          </cell>
          <cell r="J1242">
            <v>0</v>
          </cell>
          <cell r="K1242" t="str">
            <v>pcs</v>
          </cell>
          <cell r="L1242" t="str">
            <v>0</v>
          </cell>
        </row>
        <row r="1243">
          <cell r="F1243" t="str">
            <v>KW00220</v>
          </cell>
          <cell r="G1243" t="str">
            <v>SPUIT KUE SUS 5 CM</v>
          </cell>
          <cell r="H1243">
            <v>0</v>
          </cell>
          <cell r="I1243">
            <v>0</v>
          </cell>
          <cell r="J1243">
            <v>0</v>
          </cell>
          <cell r="K1243" t="str">
            <v>pcs</v>
          </cell>
          <cell r="L1243" t="str">
            <v>0</v>
          </cell>
        </row>
        <row r="1244">
          <cell r="F1244" t="str">
            <v>KW00221</v>
          </cell>
          <cell r="G1244" t="str">
            <v>PUDDING GLASS JAR</v>
          </cell>
          <cell r="H1244">
            <v>0</v>
          </cell>
          <cell r="I1244">
            <v>0</v>
          </cell>
          <cell r="J1244">
            <v>0</v>
          </cell>
          <cell r="K1244" t="str">
            <v>pcs</v>
          </cell>
          <cell r="L1244" t="str">
            <v>0</v>
          </cell>
        </row>
        <row r="1245">
          <cell r="F1245" t="str">
            <v>KW00226</v>
          </cell>
          <cell r="G1245" t="str">
            <v>KERANJANG HOTOK 20*15.5*10.5CM</v>
          </cell>
          <cell r="H1245">
            <v>0</v>
          </cell>
          <cell r="I1245">
            <v>0</v>
          </cell>
          <cell r="J1245">
            <v>0</v>
          </cell>
          <cell r="K1245" t="str">
            <v>pcs</v>
          </cell>
          <cell r="L1245" t="str">
            <v>0</v>
          </cell>
        </row>
        <row r="1246">
          <cell r="F1246" t="str">
            <v>KW00310</v>
          </cell>
          <cell r="G1246" t="str">
            <v>SARINGAN STAINELSS D9CM</v>
          </cell>
          <cell r="H1246">
            <v>0</v>
          </cell>
          <cell r="I1246">
            <v>0</v>
          </cell>
          <cell r="J1246">
            <v>0</v>
          </cell>
          <cell r="K1246" t="str">
            <v>pcs</v>
          </cell>
          <cell r="L1246" t="str">
            <v>0</v>
          </cell>
        </row>
        <row r="1247">
          <cell r="F1247" t="str">
            <v>KW00314</v>
          </cell>
          <cell r="G1247" t="str">
            <v>BOX CONTAINER 50 LT TRANSPARAN</v>
          </cell>
          <cell r="H1247">
            <v>0</v>
          </cell>
          <cell r="I1247">
            <v>0</v>
          </cell>
          <cell r="J1247">
            <v>0</v>
          </cell>
          <cell r="K1247" t="str">
            <v>pcs</v>
          </cell>
          <cell r="L1247" t="str">
            <v>0</v>
          </cell>
        </row>
        <row r="1248">
          <cell r="F1248" t="str">
            <v>KW00317</v>
          </cell>
          <cell r="G1248" t="str">
            <v>SPATULA SILIKON - ABU</v>
          </cell>
          <cell r="H1248">
            <v>0</v>
          </cell>
          <cell r="I1248">
            <v>0</v>
          </cell>
          <cell r="J1248">
            <v>0</v>
          </cell>
          <cell r="K1248" t="str">
            <v>pcs</v>
          </cell>
          <cell r="L1248" t="str">
            <v>0</v>
          </cell>
        </row>
        <row r="1249">
          <cell r="F1249" t="str">
            <v>KW00318</v>
          </cell>
          <cell r="G1249" t="str">
            <v>KOTAK DUDUKAN KOMPOR</v>
          </cell>
          <cell r="H1249">
            <v>0</v>
          </cell>
          <cell r="I1249">
            <v>0</v>
          </cell>
          <cell r="J1249">
            <v>0</v>
          </cell>
          <cell r="K1249" t="str">
            <v>pcs</v>
          </cell>
          <cell r="L1249" t="str">
            <v>0</v>
          </cell>
        </row>
        <row r="1250">
          <cell r="F1250" t="str">
            <v>KW00320</v>
          </cell>
          <cell r="G1250" t="str">
            <v>STOCKPOT 20 QT</v>
          </cell>
          <cell r="H1250">
            <v>0</v>
          </cell>
          <cell r="I1250">
            <v>0</v>
          </cell>
          <cell r="J1250">
            <v>0</v>
          </cell>
          <cell r="K1250" t="str">
            <v>pcs</v>
          </cell>
          <cell r="L1250" t="str">
            <v>0</v>
          </cell>
        </row>
        <row r="1251">
          <cell r="F1251" t="str">
            <v>KW00321</v>
          </cell>
          <cell r="G1251" t="str">
            <v>MIXING  BOWL 5 CM</v>
          </cell>
          <cell r="H1251">
            <v>0</v>
          </cell>
          <cell r="I1251">
            <v>0</v>
          </cell>
          <cell r="J1251">
            <v>0</v>
          </cell>
          <cell r="K1251" t="str">
            <v>pcs</v>
          </cell>
          <cell r="L1251" t="str">
            <v>0</v>
          </cell>
        </row>
        <row r="1252">
          <cell r="F1252" t="str">
            <v>KW00322</v>
          </cell>
          <cell r="G1252" t="str">
            <v>PEMATIK GAS</v>
          </cell>
          <cell r="H1252">
            <v>0</v>
          </cell>
          <cell r="I1252">
            <v>0</v>
          </cell>
          <cell r="J1252">
            <v>0</v>
          </cell>
          <cell r="K1252" t="str">
            <v>pcs</v>
          </cell>
          <cell r="L1252" t="str">
            <v>0</v>
          </cell>
        </row>
        <row r="1253">
          <cell r="F1253" t="str">
            <v>KW00323</v>
          </cell>
          <cell r="G1253" t="str">
            <v>MIXING BOWL 18 CM</v>
          </cell>
          <cell r="H1253">
            <v>0</v>
          </cell>
          <cell r="I1253">
            <v>0</v>
          </cell>
          <cell r="J1253">
            <v>0</v>
          </cell>
          <cell r="K1253" t="str">
            <v>pcs</v>
          </cell>
          <cell r="L1253" t="str">
            <v>0</v>
          </cell>
        </row>
        <row r="1254">
          <cell r="F1254" t="str">
            <v>KW00324</v>
          </cell>
          <cell r="G1254" t="str">
            <v>CETAKAN NASI</v>
          </cell>
          <cell r="H1254">
            <v>0</v>
          </cell>
          <cell r="I1254">
            <v>0</v>
          </cell>
          <cell r="J1254">
            <v>0</v>
          </cell>
          <cell r="K1254" t="str">
            <v>pcs</v>
          </cell>
          <cell r="L1254" t="str">
            <v>0</v>
          </cell>
        </row>
        <row r="1255">
          <cell r="F1255" t="str">
            <v>KW00325</v>
          </cell>
          <cell r="G1255" t="str">
            <v>ALAT PENGHANCUR ES BATU</v>
          </cell>
          <cell r="H1255">
            <v>0</v>
          </cell>
          <cell r="I1255">
            <v>0</v>
          </cell>
          <cell r="J1255">
            <v>0</v>
          </cell>
          <cell r="K1255" t="str">
            <v>pcs</v>
          </cell>
          <cell r="L1255" t="str">
            <v>0</v>
          </cell>
        </row>
        <row r="1256">
          <cell r="F1256" t="str">
            <v>KW00326</v>
          </cell>
          <cell r="G1256" t="str">
            <v>MIXING BOWL 5 CM ( NON ACTIVER)</v>
          </cell>
          <cell r="H1256">
            <v>0</v>
          </cell>
          <cell r="I1256">
            <v>0</v>
          </cell>
          <cell r="J1256">
            <v>0</v>
          </cell>
          <cell r="K1256" t="str">
            <v>pcs</v>
          </cell>
          <cell r="L1256" t="str">
            <v>0</v>
          </cell>
        </row>
        <row r="1257">
          <cell r="F1257" t="str">
            <v>KW00327</v>
          </cell>
          <cell r="G1257" t="str">
            <v>SENDOK NASI KECIL</v>
          </cell>
          <cell r="H1257">
            <v>0</v>
          </cell>
          <cell r="I1257">
            <v>0</v>
          </cell>
          <cell r="J1257">
            <v>0</v>
          </cell>
          <cell r="K1257" t="str">
            <v>pcs</v>
          </cell>
          <cell r="L1257" t="str">
            <v>0</v>
          </cell>
        </row>
        <row r="1258">
          <cell r="F1258" t="str">
            <v>KW00328</v>
          </cell>
          <cell r="G1258" t="str">
            <v>TRAY BULAT ANTI SLIP 35 CM</v>
          </cell>
          <cell r="H1258">
            <v>0</v>
          </cell>
          <cell r="I1258">
            <v>0</v>
          </cell>
          <cell r="J1258">
            <v>0</v>
          </cell>
          <cell r="K1258" t="str">
            <v>pcs</v>
          </cell>
          <cell r="L1258" t="str">
            <v>0</v>
          </cell>
        </row>
        <row r="1259">
          <cell r="F1259" t="str">
            <v>KW00331</v>
          </cell>
          <cell r="G1259" t="str">
            <v>SPATULA / SUTIL SILIKON 33 CM</v>
          </cell>
          <cell r="H1259">
            <v>0</v>
          </cell>
          <cell r="I1259">
            <v>0</v>
          </cell>
          <cell r="J1259">
            <v>0</v>
          </cell>
          <cell r="K1259" t="str">
            <v>pcs</v>
          </cell>
          <cell r="L1259" t="str">
            <v>0</v>
          </cell>
        </row>
        <row r="1260">
          <cell r="F1260" t="str">
            <v>KW00332</v>
          </cell>
          <cell r="G1260" t="str">
            <v>SARINGAN STAINLESS 18 CM</v>
          </cell>
          <cell r="H1260">
            <v>0</v>
          </cell>
          <cell r="I1260">
            <v>0</v>
          </cell>
          <cell r="J1260">
            <v>0</v>
          </cell>
          <cell r="K1260" t="str">
            <v>pcs</v>
          </cell>
          <cell r="L1260" t="str">
            <v>0</v>
          </cell>
        </row>
        <row r="1261">
          <cell r="F1261" t="str">
            <v>KW00333</v>
          </cell>
          <cell r="G1261" t="str">
            <v>SARINGAN STAINLESS 20 CM</v>
          </cell>
          <cell r="H1261">
            <v>0</v>
          </cell>
          <cell r="I1261">
            <v>0</v>
          </cell>
          <cell r="J1261">
            <v>0</v>
          </cell>
          <cell r="K1261" t="str">
            <v>pcs</v>
          </cell>
          <cell r="L1261" t="str">
            <v>0</v>
          </cell>
        </row>
        <row r="1262">
          <cell r="F1262" t="str">
            <v>KW00334</v>
          </cell>
          <cell r="G1262" t="str">
            <v>BOWL KOBOKAN 15 CM</v>
          </cell>
          <cell r="H1262">
            <v>0</v>
          </cell>
          <cell r="I1262">
            <v>0</v>
          </cell>
          <cell r="J1262">
            <v>0</v>
          </cell>
          <cell r="K1262" t="str">
            <v>pcs</v>
          </cell>
          <cell r="L1262" t="str">
            <v>0</v>
          </cell>
        </row>
        <row r="1263">
          <cell r="F1263" t="str">
            <v>KW00335</v>
          </cell>
          <cell r="G1263" t="str">
            <v>LADDLE IRUS 300 CC</v>
          </cell>
          <cell r="H1263">
            <v>0</v>
          </cell>
          <cell r="I1263">
            <v>0</v>
          </cell>
          <cell r="J1263">
            <v>0</v>
          </cell>
          <cell r="K1263" t="str">
            <v>pcs</v>
          </cell>
          <cell r="L1263" t="str">
            <v>0</v>
          </cell>
        </row>
        <row r="1264">
          <cell r="F1264" t="str">
            <v>KW00336</v>
          </cell>
          <cell r="G1264" t="str">
            <v>LADLE IRUS 360 CC</v>
          </cell>
          <cell r="H1264">
            <v>0</v>
          </cell>
          <cell r="I1264">
            <v>0</v>
          </cell>
          <cell r="J1264">
            <v>0</v>
          </cell>
          <cell r="K1264" t="str">
            <v>pcs</v>
          </cell>
          <cell r="L1264" t="str">
            <v>0</v>
          </cell>
        </row>
        <row r="1265">
          <cell r="F1265" t="str">
            <v>KW00337</v>
          </cell>
          <cell r="G1265" t="str">
            <v>FOOD TONG 12"</v>
          </cell>
          <cell r="H1265">
            <v>0</v>
          </cell>
          <cell r="I1265">
            <v>0</v>
          </cell>
          <cell r="J1265">
            <v>0</v>
          </cell>
          <cell r="K1265" t="str">
            <v>pcs</v>
          </cell>
          <cell r="L1265" t="str">
            <v>0</v>
          </cell>
        </row>
        <row r="1266">
          <cell r="F1266" t="str">
            <v>KW00338</v>
          </cell>
          <cell r="G1266" t="str">
            <v>STOCK POT 25 QT</v>
          </cell>
          <cell r="H1266">
            <v>0</v>
          </cell>
          <cell r="I1266">
            <v>0</v>
          </cell>
          <cell r="J1266">
            <v>0</v>
          </cell>
          <cell r="K1266" t="str">
            <v>pcs</v>
          </cell>
          <cell r="L1266" t="str">
            <v>0</v>
          </cell>
        </row>
        <row r="1267">
          <cell r="F1267" t="str">
            <v>KW00339</v>
          </cell>
          <cell r="G1267" t="str">
            <v>SARINGAN STAINLESS 14 CM</v>
          </cell>
          <cell r="H1267">
            <v>0</v>
          </cell>
          <cell r="I1267">
            <v>0</v>
          </cell>
          <cell r="J1267">
            <v>0</v>
          </cell>
          <cell r="K1267" t="str">
            <v>pcs</v>
          </cell>
          <cell r="L1267" t="str">
            <v>0</v>
          </cell>
        </row>
        <row r="1268">
          <cell r="F1268" t="str">
            <v>KW00340</v>
          </cell>
          <cell r="G1268" t="str">
            <v>TEKO PLASTIK/TEMPAT MUSTARD</v>
          </cell>
          <cell r="H1268">
            <v>0</v>
          </cell>
          <cell r="I1268">
            <v>0</v>
          </cell>
          <cell r="J1268">
            <v>0</v>
          </cell>
          <cell r="K1268" t="str">
            <v>pcs</v>
          </cell>
          <cell r="L1268" t="str">
            <v>0</v>
          </cell>
        </row>
        <row r="1269">
          <cell r="F1269" t="str">
            <v>KW00341</v>
          </cell>
          <cell r="G1269" t="str">
            <v>AYAKAN STAINLESS BULAT 28 CM</v>
          </cell>
          <cell r="H1269">
            <v>0</v>
          </cell>
          <cell r="I1269">
            <v>0</v>
          </cell>
          <cell r="J1269">
            <v>0</v>
          </cell>
          <cell r="K1269" t="str">
            <v>pcs</v>
          </cell>
          <cell r="L1269" t="str">
            <v>0</v>
          </cell>
        </row>
        <row r="1270">
          <cell r="F1270" t="str">
            <v>KW00342</v>
          </cell>
          <cell r="G1270" t="str">
            <v>SARINGAN STAINLESS 10 CM</v>
          </cell>
          <cell r="H1270">
            <v>0</v>
          </cell>
          <cell r="I1270">
            <v>0</v>
          </cell>
          <cell r="J1270">
            <v>0</v>
          </cell>
          <cell r="K1270" t="str">
            <v>pcs</v>
          </cell>
          <cell r="L1270" t="str">
            <v>0</v>
          </cell>
        </row>
        <row r="1271">
          <cell r="F1271" t="str">
            <v>KW00343</v>
          </cell>
          <cell r="G1271" t="str">
            <v>COVER FOOD PAN 1/2</v>
          </cell>
          <cell r="H1271">
            <v>0</v>
          </cell>
          <cell r="I1271">
            <v>0</v>
          </cell>
          <cell r="J1271">
            <v>0</v>
          </cell>
          <cell r="K1271" t="str">
            <v>pcs</v>
          </cell>
          <cell r="L1271" t="str">
            <v>0</v>
          </cell>
        </row>
        <row r="1272">
          <cell r="F1272" t="str">
            <v>KW00344</v>
          </cell>
          <cell r="G1272" t="str">
            <v>TEMPAT BUMBU SHAKER KECIL HANGUKSU</v>
          </cell>
          <cell r="H1272">
            <v>0</v>
          </cell>
          <cell r="I1272">
            <v>0</v>
          </cell>
          <cell r="J1272">
            <v>0</v>
          </cell>
          <cell r="K1272" t="str">
            <v>pcs</v>
          </cell>
          <cell r="L1272" t="str">
            <v>0</v>
          </cell>
        </row>
        <row r="1273">
          <cell r="F1273" t="str">
            <v>KW00345</v>
          </cell>
          <cell r="G1273" t="str">
            <v>SENDOK BBURINKLE 20 ML</v>
          </cell>
          <cell r="H1273">
            <v>0</v>
          </cell>
          <cell r="I1273">
            <v>0</v>
          </cell>
          <cell r="J1273">
            <v>0</v>
          </cell>
          <cell r="K1273" t="str">
            <v>pcs</v>
          </cell>
          <cell r="L1273" t="str">
            <v>0</v>
          </cell>
        </row>
        <row r="1274">
          <cell r="F1274" t="str">
            <v>KW00346</v>
          </cell>
          <cell r="G1274" t="str">
            <v>CONTAINER RABBIT DENGAN TUTUP 7000 - ABU ABU</v>
          </cell>
          <cell r="H1274">
            <v>0</v>
          </cell>
          <cell r="I1274">
            <v>0</v>
          </cell>
          <cell r="J1274">
            <v>0</v>
          </cell>
          <cell r="K1274" t="str">
            <v>box</v>
          </cell>
          <cell r="L1274" t="str">
            <v>0</v>
          </cell>
        </row>
        <row r="1275">
          <cell r="F1275" t="str">
            <v>KW00347</v>
          </cell>
          <cell r="G1275" t="str">
            <v>CONTAINER RABBIT DENGAN TUTUP 7100 - MERAH</v>
          </cell>
          <cell r="H1275">
            <v>0</v>
          </cell>
          <cell r="I1275">
            <v>0</v>
          </cell>
          <cell r="J1275">
            <v>0</v>
          </cell>
          <cell r="K1275" t="str">
            <v>box</v>
          </cell>
          <cell r="L1275" t="str">
            <v>0</v>
          </cell>
        </row>
        <row r="1276">
          <cell r="F1276" t="str">
            <v>KW00350</v>
          </cell>
          <cell r="G1276" t="str">
            <v>PARUTAN KEJU</v>
          </cell>
          <cell r="H1276">
            <v>0</v>
          </cell>
          <cell r="I1276">
            <v>0</v>
          </cell>
          <cell r="J1276">
            <v>0</v>
          </cell>
          <cell r="K1276" t="str">
            <v>pcs</v>
          </cell>
          <cell r="L1276" t="str">
            <v>0</v>
          </cell>
        </row>
        <row r="1277">
          <cell r="F1277" t="str">
            <v>KW00351</v>
          </cell>
          <cell r="G1277" t="str">
            <v>BASKOM STAINLESS 30 CM</v>
          </cell>
          <cell r="H1277">
            <v>0</v>
          </cell>
          <cell r="I1277">
            <v>0</v>
          </cell>
          <cell r="J1277">
            <v>0</v>
          </cell>
          <cell r="K1277" t="str">
            <v>pcs</v>
          </cell>
          <cell r="L1277" t="str">
            <v>0</v>
          </cell>
        </row>
        <row r="1278">
          <cell r="F1278" t="str">
            <v>KW00352</v>
          </cell>
          <cell r="G1278" t="str">
            <v>BASKOM STAINLESS 16 CM</v>
          </cell>
          <cell r="H1278">
            <v>0</v>
          </cell>
          <cell r="I1278">
            <v>0</v>
          </cell>
          <cell r="J1278">
            <v>0</v>
          </cell>
          <cell r="K1278" t="str">
            <v>pcs</v>
          </cell>
          <cell r="L1278" t="str">
            <v>0</v>
          </cell>
        </row>
        <row r="1279">
          <cell r="F1279" t="str">
            <v>KW00353</v>
          </cell>
          <cell r="G1279" t="str">
            <v>BASKOM STAINLESS 32 CM</v>
          </cell>
          <cell r="H1279">
            <v>0</v>
          </cell>
          <cell r="I1279">
            <v>0</v>
          </cell>
          <cell r="J1279">
            <v>0</v>
          </cell>
          <cell r="K1279" t="str">
            <v>pcs</v>
          </cell>
          <cell r="L1279" t="str">
            <v>0</v>
          </cell>
        </row>
        <row r="1280">
          <cell r="F1280" t="str">
            <v>KW00354</v>
          </cell>
          <cell r="G1280" t="str">
            <v>CETAKAN TELUR CEPLOK</v>
          </cell>
          <cell r="H1280">
            <v>0</v>
          </cell>
          <cell r="I1280">
            <v>0</v>
          </cell>
          <cell r="J1280">
            <v>0</v>
          </cell>
          <cell r="K1280" t="str">
            <v>pcs</v>
          </cell>
          <cell r="L1280" t="str">
            <v>0</v>
          </cell>
        </row>
        <row r="1281">
          <cell r="F1281" t="str">
            <v>KW00355</v>
          </cell>
          <cell r="G1281" t="str">
            <v>BASKOM STAINLESS 20 CM</v>
          </cell>
          <cell r="H1281">
            <v>0</v>
          </cell>
          <cell r="I1281">
            <v>0</v>
          </cell>
          <cell r="J1281">
            <v>0</v>
          </cell>
          <cell r="K1281" t="str">
            <v>pcs</v>
          </cell>
          <cell r="L1281" t="str">
            <v>0</v>
          </cell>
        </row>
        <row r="1282">
          <cell r="F1282" t="str">
            <v>KW00356</v>
          </cell>
          <cell r="G1282" t="str">
            <v>RAK TROLY 72 X 28 CM</v>
          </cell>
          <cell r="H1282">
            <v>0</v>
          </cell>
          <cell r="I1282">
            <v>0</v>
          </cell>
          <cell r="J1282">
            <v>0</v>
          </cell>
          <cell r="K1282" t="str">
            <v>unit</v>
          </cell>
          <cell r="L1282" t="str">
            <v>0</v>
          </cell>
        </row>
        <row r="1283">
          <cell r="F1283" t="str">
            <v>KW00361</v>
          </cell>
          <cell r="G1283" t="str">
            <v>CENTONG LUBANG STAINLESS 20 CM</v>
          </cell>
          <cell r="H1283">
            <v>0</v>
          </cell>
          <cell r="I1283">
            <v>0</v>
          </cell>
          <cell r="J1283">
            <v>0</v>
          </cell>
          <cell r="K1283" t="str">
            <v>pcs</v>
          </cell>
          <cell r="L1283" t="str">
            <v>0</v>
          </cell>
        </row>
        <row r="1284">
          <cell r="F1284" t="str">
            <v>KW00362</v>
          </cell>
          <cell r="G1284" t="str">
            <v>SAUCEPAN 18 CM</v>
          </cell>
          <cell r="H1284">
            <v>0</v>
          </cell>
          <cell r="I1284">
            <v>0</v>
          </cell>
          <cell r="J1284">
            <v>0</v>
          </cell>
          <cell r="K1284" t="str">
            <v>pcs</v>
          </cell>
          <cell r="L1284" t="str">
            <v>0</v>
          </cell>
        </row>
        <row r="1285">
          <cell r="F1285" t="str">
            <v>KW00363</v>
          </cell>
          <cell r="G1285" t="str">
            <v>COVER FOOD PAN 1/4</v>
          </cell>
          <cell r="H1285">
            <v>0</v>
          </cell>
          <cell r="I1285">
            <v>0</v>
          </cell>
          <cell r="J1285">
            <v>0</v>
          </cell>
          <cell r="K1285" t="str">
            <v>pcs</v>
          </cell>
          <cell r="L1285" t="str">
            <v>0</v>
          </cell>
        </row>
        <row r="1286">
          <cell r="F1286" t="str">
            <v>KW00364</v>
          </cell>
          <cell r="G1286" t="str">
            <v>FOOD PAN 1/4</v>
          </cell>
          <cell r="H1286">
            <v>0</v>
          </cell>
          <cell r="I1286">
            <v>0</v>
          </cell>
          <cell r="J1286">
            <v>0</v>
          </cell>
          <cell r="K1286" t="str">
            <v>pcs</v>
          </cell>
          <cell r="L1286" t="str">
            <v>0</v>
          </cell>
        </row>
        <row r="1287">
          <cell r="F1287" t="str">
            <v>KW00365</v>
          </cell>
          <cell r="G1287" t="str">
            <v>ALAT CETAKAN PANGSIT</v>
          </cell>
          <cell r="H1287">
            <v>0</v>
          </cell>
          <cell r="I1287">
            <v>0</v>
          </cell>
          <cell r="J1287">
            <v>0</v>
          </cell>
          <cell r="K1287" t="str">
            <v>pcs</v>
          </cell>
          <cell r="L1287" t="str">
            <v>0</v>
          </cell>
        </row>
        <row r="1288">
          <cell r="F1288" t="str">
            <v>KW00366</v>
          </cell>
          <cell r="G1288" t="str">
            <v>TEMPAT MINYAK STAINLESS (OIL POT)</v>
          </cell>
          <cell r="H1288">
            <v>0</v>
          </cell>
          <cell r="I1288">
            <v>0</v>
          </cell>
          <cell r="J1288">
            <v>0</v>
          </cell>
          <cell r="K1288" t="str">
            <v>pcs</v>
          </cell>
          <cell r="L1288" t="str">
            <v>0</v>
          </cell>
        </row>
        <row r="1289">
          <cell r="F1289" t="str">
            <v>KW00367</v>
          </cell>
          <cell r="G1289" t="str">
            <v>BH-48 BILL HOLDER</v>
          </cell>
          <cell r="H1289">
            <v>0</v>
          </cell>
          <cell r="I1289">
            <v>0</v>
          </cell>
          <cell r="J1289">
            <v>0</v>
          </cell>
          <cell r="K1289" t="str">
            <v>pcs</v>
          </cell>
          <cell r="L1289" t="str">
            <v>0</v>
          </cell>
        </row>
        <row r="1290">
          <cell r="F1290" t="str">
            <v>KW00368</v>
          </cell>
          <cell r="G1290" t="str">
            <v>PIRING MELAMIN LOGO BUNGA HANGUKSU  3475</v>
          </cell>
          <cell r="H1290">
            <v>0</v>
          </cell>
          <cell r="I1290">
            <v>0</v>
          </cell>
          <cell r="J1290">
            <v>0</v>
          </cell>
          <cell r="K1290" t="str">
            <v>pcs</v>
          </cell>
          <cell r="L1290" t="str">
            <v>0</v>
          </cell>
        </row>
        <row r="1291">
          <cell r="F1291" t="str">
            <v>KW00369</v>
          </cell>
          <cell r="G1291" t="str">
            <v>CONTAINER CB 20</v>
          </cell>
          <cell r="H1291">
            <v>0</v>
          </cell>
          <cell r="I1291">
            <v>0</v>
          </cell>
          <cell r="J1291">
            <v>0</v>
          </cell>
          <cell r="K1291" t="str">
            <v>pcs</v>
          </cell>
          <cell r="L1291" t="str">
            <v>0</v>
          </cell>
        </row>
        <row r="1292">
          <cell r="F1292" t="str">
            <v>KW00370</v>
          </cell>
          <cell r="G1292" t="str">
            <v>STOCKPOT 30 QT</v>
          </cell>
          <cell r="H1292">
            <v>0</v>
          </cell>
          <cell r="I1292">
            <v>0</v>
          </cell>
          <cell r="J1292">
            <v>0</v>
          </cell>
          <cell r="K1292" t="str">
            <v>pcs</v>
          </cell>
          <cell r="L1292" t="str">
            <v>0</v>
          </cell>
        </row>
        <row r="1293">
          <cell r="F1293" t="str">
            <v>KW00371</v>
          </cell>
          <cell r="G1293" t="str">
            <v>WAJAN BAJA 40 CM</v>
          </cell>
          <cell r="H1293">
            <v>0</v>
          </cell>
          <cell r="I1293">
            <v>0</v>
          </cell>
          <cell r="J1293">
            <v>0</v>
          </cell>
          <cell r="K1293" t="str">
            <v>pcs</v>
          </cell>
          <cell r="L1293" t="str">
            <v>0</v>
          </cell>
        </row>
        <row r="1294">
          <cell r="F1294" t="str">
            <v>KW00372</v>
          </cell>
          <cell r="G1294" t="str">
            <v>RICE STRAINER BASKET (S/S TANGGOK) 30 CM</v>
          </cell>
          <cell r="H1294">
            <v>0</v>
          </cell>
          <cell r="I1294">
            <v>0</v>
          </cell>
          <cell r="J1294">
            <v>0</v>
          </cell>
          <cell r="K1294" t="str">
            <v>pcs</v>
          </cell>
          <cell r="L1294" t="str">
            <v>0</v>
          </cell>
        </row>
        <row r="1295">
          <cell r="F1295" t="str">
            <v>KW00373</v>
          </cell>
          <cell r="G1295" t="str">
            <v>RICE STRAINER BASKET (S/S TANGGOK) 45 CM</v>
          </cell>
          <cell r="H1295">
            <v>0</v>
          </cell>
          <cell r="I1295">
            <v>0</v>
          </cell>
          <cell r="J1295">
            <v>0</v>
          </cell>
          <cell r="K1295" t="str">
            <v>pcs</v>
          </cell>
          <cell r="L1295" t="str">
            <v>0</v>
          </cell>
        </row>
        <row r="1296">
          <cell r="F1296" t="str">
            <v>KW00374</v>
          </cell>
          <cell r="G1296" t="str">
            <v>LADLE 1000 CC</v>
          </cell>
          <cell r="H1296">
            <v>0</v>
          </cell>
          <cell r="I1296">
            <v>0</v>
          </cell>
          <cell r="J1296">
            <v>0</v>
          </cell>
          <cell r="K1296" t="str">
            <v>pcs</v>
          </cell>
          <cell r="L1296" t="str">
            <v>0</v>
          </cell>
        </row>
        <row r="1297">
          <cell r="F1297" t="str">
            <v>KW00375</v>
          </cell>
          <cell r="G1297" t="str">
            <v>MIXING BOWL SIZE 60 CM</v>
          </cell>
          <cell r="H1297">
            <v>0</v>
          </cell>
          <cell r="I1297">
            <v>0</v>
          </cell>
          <cell r="J1297">
            <v>0</v>
          </cell>
          <cell r="K1297" t="str">
            <v>pcs</v>
          </cell>
          <cell r="L1297" t="str">
            <v>0</v>
          </cell>
        </row>
        <row r="1298">
          <cell r="F1298" t="str">
            <v>KW00376</v>
          </cell>
          <cell r="G1298" t="str">
            <v>RING 26 CM (UNTUK PROTECT SAAT TORCH)</v>
          </cell>
          <cell r="H1298">
            <v>0</v>
          </cell>
          <cell r="I1298">
            <v>0</v>
          </cell>
          <cell r="J1298">
            <v>0</v>
          </cell>
          <cell r="K1298" t="str">
            <v>pcs</v>
          </cell>
          <cell r="L1298" t="str">
            <v>0</v>
          </cell>
        </row>
        <row r="1299">
          <cell r="F1299" t="str">
            <v>KW00377</v>
          </cell>
          <cell r="G1299" t="str">
            <v>DUDUKAN PANCI</v>
          </cell>
          <cell r="H1299">
            <v>0</v>
          </cell>
          <cell r="I1299">
            <v>0</v>
          </cell>
          <cell r="J1299">
            <v>0</v>
          </cell>
          <cell r="K1299" t="str">
            <v>unit</v>
          </cell>
          <cell r="L1299" t="str">
            <v>0</v>
          </cell>
        </row>
        <row r="1300">
          <cell r="F1300" t="str">
            <v>KW00379</v>
          </cell>
          <cell r="G1300" t="str">
            <v>TEMPAT SENDOK GARPU STAINLESS</v>
          </cell>
          <cell r="H1300">
            <v>0</v>
          </cell>
          <cell r="I1300">
            <v>0</v>
          </cell>
          <cell r="J1300">
            <v>0</v>
          </cell>
          <cell r="K1300" t="str">
            <v>pcs</v>
          </cell>
          <cell r="L1300" t="str">
            <v>0</v>
          </cell>
        </row>
        <row r="1301">
          <cell r="F1301" t="str">
            <v>KW00380</v>
          </cell>
          <cell r="G1301" t="str">
            <v>SENDOK PUDING (UNTUK SAUCE SAMJANG) PACK@50PCS</v>
          </cell>
          <cell r="H1301">
            <v>0</v>
          </cell>
          <cell r="I1301">
            <v>0</v>
          </cell>
          <cell r="J1301">
            <v>0</v>
          </cell>
          <cell r="K1301" t="str">
            <v>pack</v>
          </cell>
          <cell r="L1301" t="str">
            <v>0</v>
          </cell>
        </row>
        <row r="1302">
          <cell r="F1302" t="str">
            <v>KW00381</v>
          </cell>
          <cell r="G1302" t="str">
            <v>BOTOL SAUS 8 OZ 240 ML</v>
          </cell>
          <cell r="H1302">
            <v>0</v>
          </cell>
          <cell r="I1302">
            <v>0</v>
          </cell>
          <cell r="J1302">
            <v>0</v>
          </cell>
          <cell r="K1302" t="str">
            <v>pcs</v>
          </cell>
          <cell r="L1302" t="str">
            <v>0</v>
          </cell>
        </row>
        <row r="1303">
          <cell r="F1303" t="str">
            <v>KW00382</v>
          </cell>
          <cell r="G1303" t="str">
            <v>SOUP LADLE 360 CC</v>
          </cell>
          <cell r="H1303">
            <v>0</v>
          </cell>
          <cell r="I1303">
            <v>0</v>
          </cell>
          <cell r="J1303">
            <v>0</v>
          </cell>
          <cell r="K1303" t="str">
            <v>pcs</v>
          </cell>
          <cell r="L1303" t="str">
            <v>0</v>
          </cell>
        </row>
        <row r="1304">
          <cell r="F1304" t="str">
            <v>KW00383</v>
          </cell>
          <cell r="G1304" t="str">
            <v>SOUP LADLE  1 L</v>
          </cell>
          <cell r="H1304">
            <v>0</v>
          </cell>
          <cell r="I1304">
            <v>0</v>
          </cell>
          <cell r="J1304">
            <v>0</v>
          </cell>
          <cell r="K1304" t="str">
            <v>pcs</v>
          </cell>
          <cell r="L1304" t="str">
            <v>0</v>
          </cell>
        </row>
        <row r="1305">
          <cell r="F1305" t="str">
            <v>KW00384</v>
          </cell>
          <cell r="G1305" t="str">
            <v>CONTAINER RABBIT 65 LT</v>
          </cell>
          <cell r="H1305">
            <v>0</v>
          </cell>
          <cell r="I1305">
            <v>0</v>
          </cell>
          <cell r="J1305">
            <v>0</v>
          </cell>
          <cell r="K1305" t="str">
            <v>pcs</v>
          </cell>
          <cell r="L1305" t="str">
            <v>0</v>
          </cell>
        </row>
        <row r="1306">
          <cell r="F1306" t="str">
            <v>KW00385</v>
          </cell>
          <cell r="G1306" t="str">
            <v>RICE STRAINER BASKET (S/S TANGGOK) 35 CM</v>
          </cell>
          <cell r="H1306">
            <v>0</v>
          </cell>
          <cell r="I1306">
            <v>0</v>
          </cell>
          <cell r="J1306">
            <v>0</v>
          </cell>
          <cell r="K1306" t="str">
            <v>unit</v>
          </cell>
          <cell r="L1306" t="str">
            <v>0</v>
          </cell>
        </row>
        <row r="1307">
          <cell r="F1307" t="str">
            <v>KWCK0001</v>
          </cell>
          <cell r="G1307" t="str">
            <v>ALAS ADONAN ROTI SILIKON BIRU</v>
          </cell>
          <cell r="H1307">
            <v>0</v>
          </cell>
          <cell r="I1307">
            <v>0</v>
          </cell>
          <cell r="J1307">
            <v>0</v>
          </cell>
          <cell r="K1307" t="str">
            <v>pcs</v>
          </cell>
          <cell r="L1307" t="str">
            <v>0</v>
          </cell>
        </row>
        <row r="1308">
          <cell r="F1308" t="str">
            <v>KWCK0002</v>
          </cell>
          <cell r="G1308" t="str">
            <v>AYAKAN STAINLESS BULAT 26.5 CM</v>
          </cell>
          <cell r="H1308">
            <v>0</v>
          </cell>
          <cell r="I1308">
            <v>0</v>
          </cell>
          <cell r="J1308">
            <v>0</v>
          </cell>
          <cell r="K1308" t="str">
            <v>pcs</v>
          </cell>
          <cell r="L1308" t="str">
            <v>0</v>
          </cell>
        </row>
        <row r="1309">
          <cell r="F1309" t="str">
            <v>KWCK0003</v>
          </cell>
          <cell r="G1309" t="str">
            <v>BAK PERSEGI ABU 53 x 38 x 15 CM</v>
          </cell>
          <cell r="H1309">
            <v>0</v>
          </cell>
          <cell r="I1309">
            <v>0</v>
          </cell>
          <cell r="J1309">
            <v>0</v>
          </cell>
          <cell r="K1309" t="str">
            <v>pcs</v>
          </cell>
          <cell r="L1309" t="str">
            <v>0</v>
          </cell>
        </row>
        <row r="1310">
          <cell r="F1310" t="str">
            <v>KWCK0004</v>
          </cell>
          <cell r="G1310" t="str">
            <v>BAKUL JUMBO SHINPO 42 CM</v>
          </cell>
          <cell r="H1310">
            <v>0</v>
          </cell>
          <cell r="I1310">
            <v>0</v>
          </cell>
          <cell r="J1310">
            <v>0</v>
          </cell>
          <cell r="K1310" t="str">
            <v>pcs</v>
          </cell>
          <cell r="L1310" t="str">
            <v>0</v>
          </cell>
        </row>
        <row r="1311">
          <cell r="F1311" t="str">
            <v>KWCK0005</v>
          </cell>
          <cell r="G1311" t="str">
            <v>BALLOON WHISK STAINLESS 23 CM</v>
          </cell>
          <cell r="H1311">
            <v>0</v>
          </cell>
          <cell r="I1311">
            <v>0</v>
          </cell>
          <cell r="J1311">
            <v>0</v>
          </cell>
          <cell r="K1311" t="str">
            <v>pcs</v>
          </cell>
          <cell r="L1311" t="str">
            <v>0</v>
          </cell>
        </row>
        <row r="1312">
          <cell r="F1312" t="str">
            <v>KWCK0006</v>
          </cell>
          <cell r="G1312" t="str">
            <v>BASKOM CUCI BERAS PLASTIK BIRU</v>
          </cell>
          <cell r="H1312">
            <v>0</v>
          </cell>
          <cell r="I1312">
            <v>0</v>
          </cell>
          <cell r="J1312">
            <v>0</v>
          </cell>
          <cell r="K1312" t="str">
            <v>pcs</v>
          </cell>
          <cell r="L1312" t="str">
            <v>0</v>
          </cell>
        </row>
        <row r="1313">
          <cell r="F1313" t="str">
            <v>KWCK0007</v>
          </cell>
          <cell r="G1313" t="str">
            <v>BASKOM SARINGAN STAINLESS 30 CM</v>
          </cell>
          <cell r="H1313">
            <v>0</v>
          </cell>
          <cell r="I1313">
            <v>0</v>
          </cell>
          <cell r="J1313">
            <v>0</v>
          </cell>
          <cell r="K1313" t="str">
            <v>pcs</v>
          </cell>
          <cell r="L1313" t="str">
            <v>0</v>
          </cell>
        </row>
        <row r="1314">
          <cell r="F1314" t="str">
            <v>KWCK0008</v>
          </cell>
          <cell r="G1314" t="str">
            <v>BASKOM STAINLESS 14 CM</v>
          </cell>
          <cell r="H1314">
            <v>0</v>
          </cell>
          <cell r="I1314">
            <v>0</v>
          </cell>
          <cell r="J1314">
            <v>0</v>
          </cell>
          <cell r="K1314" t="str">
            <v>pcs</v>
          </cell>
          <cell r="L1314" t="str">
            <v>0</v>
          </cell>
        </row>
        <row r="1315">
          <cell r="F1315" t="str">
            <v>KWCK0009</v>
          </cell>
          <cell r="G1315" t="str">
            <v>BASKOM STAINLESS 16 CM</v>
          </cell>
          <cell r="H1315">
            <v>0</v>
          </cell>
          <cell r="I1315">
            <v>0</v>
          </cell>
          <cell r="J1315">
            <v>0</v>
          </cell>
          <cell r="K1315" t="str">
            <v>pcs</v>
          </cell>
          <cell r="L1315" t="str">
            <v>0</v>
          </cell>
        </row>
        <row r="1316">
          <cell r="F1316" t="str">
            <v>KWCK0010</v>
          </cell>
          <cell r="G1316" t="str">
            <v>BASKOM STAINLESS 36 CM</v>
          </cell>
          <cell r="H1316">
            <v>0</v>
          </cell>
          <cell r="I1316">
            <v>0</v>
          </cell>
          <cell r="J1316">
            <v>0</v>
          </cell>
          <cell r="K1316" t="str">
            <v>pcs</v>
          </cell>
          <cell r="L1316" t="str">
            <v>0</v>
          </cell>
        </row>
        <row r="1317">
          <cell r="F1317" t="str">
            <v>KWCK0011</v>
          </cell>
          <cell r="G1317" t="str">
            <v>BASKOM STAINLESS 38 CM</v>
          </cell>
          <cell r="H1317">
            <v>0</v>
          </cell>
          <cell r="I1317">
            <v>0</v>
          </cell>
          <cell r="J1317">
            <v>0</v>
          </cell>
          <cell r="K1317" t="str">
            <v>pcs</v>
          </cell>
          <cell r="L1317" t="str">
            <v>0</v>
          </cell>
        </row>
        <row r="1318">
          <cell r="F1318" t="str">
            <v>KWCK0012</v>
          </cell>
          <cell r="G1318" t="str">
            <v>BASKOM STAINLESS JUMBO 55 CM</v>
          </cell>
          <cell r="H1318">
            <v>0</v>
          </cell>
          <cell r="I1318">
            <v>0</v>
          </cell>
          <cell r="J1318">
            <v>0</v>
          </cell>
          <cell r="K1318" t="str">
            <v>pcs</v>
          </cell>
          <cell r="L1318" t="str">
            <v>0</v>
          </cell>
        </row>
        <row r="1319">
          <cell r="F1319" t="str">
            <v>KWCK0013</v>
          </cell>
          <cell r="G1319" t="str">
            <v>BASKOM STAINLESS TEBAL 18 CM</v>
          </cell>
          <cell r="H1319">
            <v>0</v>
          </cell>
          <cell r="I1319">
            <v>0</v>
          </cell>
          <cell r="J1319">
            <v>0</v>
          </cell>
          <cell r="K1319" t="str">
            <v>pcs</v>
          </cell>
          <cell r="L1319" t="str">
            <v>0</v>
          </cell>
        </row>
        <row r="1320">
          <cell r="F1320" t="str">
            <v>KWCK0014</v>
          </cell>
          <cell r="G1320" t="str">
            <v>BASKOM STAINLESS TEBAL 26 CM</v>
          </cell>
          <cell r="H1320">
            <v>0</v>
          </cell>
          <cell r="I1320">
            <v>0</v>
          </cell>
          <cell r="J1320">
            <v>0</v>
          </cell>
          <cell r="K1320" t="str">
            <v>pcs</v>
          </cell>
          <cell r="L1320" t="str">
            <v>0</v>
          </cell>
        </row>
        <row r="1321">
          <cell r="F1321" t="str">
            <v>KWCK0015</v>
          </cell>
          <cell r="G1321" t="str">
            <v xml:space="preserve"> BATU ASAH CROCODILE 8"</v>
          </cell>
          <cell r="H1321">
            <v>0</v>
          </cell>
          <cell r="I1321">
            <v>0</v>
          </cell>
          <cell r="J1321">
            <v>0</v>
          </cell>
          <cell r="K1321" t="str">
            <v>pcs</v>
          </cell>
          <cell r="L1321" t="str">
            <v>0</v>
          </cell>
        </row>
        <row r="1322">
          <cell r="F1322" t="str">
            <v>KWCK0016</v>
          </cell>
          <cell r="G1322" t="str">
            <v>BLENDER TURBO</v>
          </cell>
          <cell r="H1322">
            <v>0</v>
          </cell>
          <cell r="I1322">
            <v>0</v>
          </cell>
          <cell r="J1322">
            <v>0</v>
          </cell>
          <cell r="K1322" t="str">
            <v>pcs</v>
          </cell>
          <cell r="L1322" t="str">
            <v>0</v>
          </cell>
        </row>
        <row r="1323">
          <cell r="F1323" t="str">
            <v>KWCK0017</v>
          </cell>
          <cell r="G1323" t="str">
            <v>BOTOL SABUN CAIR HIJAU TUA 280 mL</v>
          </cell>
          <cell r="H1323">
            <v>0</v>
          </cell>
          <cell r="I1323">
            <v>0</v>
          </cell>
          <cell r="J1323">
            <v>0</v>
          </cell>
          <cell r="K1323" t="str">
            <v>pcs</v>
          </cell>
          <cell r="L1323" t="str">
            <v>0</v>
          </cell>
        </row>
        <row r="1324">
          <cell r="F1324" t="str">
            <v>KWCK0018</v>
          </cell>
          <cell r="G1324" t="str">
            <v>BOTOL SAUS BENING 250 ML</v>
          </cell>
          <cell r="H1324">
            <v>0</v>
          </cell>
          <cell r="I1324">
            <v>0</v>
          </cell>
          <cell r="J1324">
            <v>0</v>
          </cell>
          <cell r="K1324" t="str">
            <v>pcs</v>
          </cell>
          <cell r="L1324" t="str">
            <v>0</v>
          </cell>
        </row>
        <row r="1325">
          <cell r="F1325" t="str">
            <v>KWCK0019</v>
          </cell>
          <cell r="G1325" t="str">
            <v>BOTOL SAUS BENING 300 ML</v>
          </cell>
          <cell r="H1325">
            <v>0</v>
          </cell>
          <cell r="I1325">
            <v>0</v>
          </cell>
          <cell r="J1325">
            <v>0</v>
          </cell>
          <cell r="K1325" t="str">
            <v>pcs</v>
          </cell>
          <cell r="L1325" t="str">
            <v>0</v>
          </cell>
        </row>
        <row r="1326">
          <cell r="F1326" t="str">
            <v>KWCK0020</v>
          </cell>
          <cell r="G1326" t="str">
            <v>BOTOL SAUS BENING 400 ML</v>
          </cell>
          <cell r="H1326">
            <v>0</v>
          </cell>
          <cell r="I1326">
            <v>0</v>
          </cell>
          <cell r="J1326">
            <v>0</v>
          </cell>
          <cell r="K1326" t="str">
            <v>pcs</v>
          </cell>
          <cell r="L1326" t="str">
            <v>0</v>
          </cell>
        </row>
        <row r="1327">
          <cell r="F1327" t="str">
            <v>KWCK0021</v>
          </cell>
          <cell r="G1327" t="str">
            <v>BOTOL SAUS METRAH 250 ML</v>
          </cell>
          <cell r="H1327">
            <v>0</v>
          </cell>
          <cell r="I1327">
            <v>0</v>
          </cell>
          <cell r="J1327">
            <v>0</v>
          </cell>
          <cell r="K1327" t="str">
            <v>pcs</v>
          </cell>
          <cell r="L1327" t="str">
            <v>0</v>
          </cell>
        </row>
        <row r="1328">
          <cell r="F1328" t="str">
            <v>KWCK0022</v>
          </cell>
          <cell r="G1328" t="str">
            <v>SHAKER WIJEN STAINLESS 5 X 10 CM</v>
          </cell>
          <cell r="H1328">
            <v>0</v>
          </cell>
          <cell r="I1328">
            <v>0</v>
          </cell>
          <cell r="J1328">
            <v>0</v>
          </cell>
          <cell r="K1328" t="str">
            <v>pcs</v>
          </cell>
          <cell r="L1328" t="str">
            <v>0</v>
          </cell>
        </row>
        <row r="1329">
          <cell r="F1329" t="str">
            <v>KWCK0023</v>
          </cell>
          <cell r="G1329" t="str">
            <v>SHAKER WIJEN STAINLESS 6 X 10.5 CM</v>
          </cell>
          <cell r="H1329">
            <v>0</v>
          </cell>
          <cell r="I1329">
            <v>0</v>
          </cell>
          <cell r="J1329">
            <v>0</v>
          </cell>
          <cell r="K1329" t="str">
            <v>pcs</v>
          </cell>
          <cell r="L1329" t="str">
            <v>0</v>
          </cell>
        </row>
        <row r="1330">
          <cell r="F1330" t="str">
            <v>KWCK0024</v>
          </cell>
          <cell r="G1330" t="str">
            <v>CONTAINER BIRU HANATA 64 X 43 X 31 CM</v>
          </cell>
          <cell r="H1330">
            <v>0</v>
          </cell>
          <cell r="I1330">
            <v>0</v>
          </cell>
          <cell r="J1330">
            <v>0</v>
          </cell>
          <cell r="K1330" t="str">
            <v>pcs</v>
          </cell>
          <cell r="L1330" t="str">
            <v>0</v>
          </cell>
        </row>
        <row r="1331">
          <cell r="F1331" t="str">
            <v>KWCK0025</v>
          </cell>
          <cell r="G1331" t="str">
            <v>CAPIT STAINLESS TIPIS</v>
          </cell>
          <cell r="H1331">
            <v>0</v>
          </cell>
          <cell r="I1331">
            <v>0</v>
          </cell>
          <cell r="J1331">
            <v>0</v>
          </cell>
          <cell r="K1331" t="str">
            <v>pcs</v>
          </cell>
          <cell r="L1331" t="str">
            <v>0</v>
          </cell>
        </row>
        <row r="1332">
          <cell r="F1332" t="str">
            <v>KWCK0026</v>
          </cell>
          <cell r="G1332" t="str">
            <v>JAM DINDING HITAM GOLD</v>
          </cell>
          <cell r="H1332">
            <v>0</v>
          </cell>
          <cell r="I1332">
            <v>0</v>
          </cell>
          <cell r="J1332">
            <v>0</v>
          </cell>
          <cell r="K1332" t="str">
            <v>pcs</v>
          </cell>
          <cell r="L1332" t="str">
            <v>0</v>
          </cell>
        </row>
        <row r="1333">
          <cell r="F1333" t="str">
            <v>KWCK0027</v>
          </cell>
          <cell r="G1333" t="str">
            <v>CENTONG SAYUR GOLDEN HORSE 24.5 X 6.5</v>
          </cell>
          <cell r="H1333">
            <v>0</v>
          </cell>
          <cell r="I1333">
            <v>0</v>
          </cell>
          <cell r="J1333">
            <v>0</v>
          </cell>
          <cell r="K1333" t="str">
            <v>pcs</v>
          </cell>
          <cell r="L1333" t="str">
            <v>0</v>
          </cell>
        </row>
        <row r="1334">
          <cell r="F1334" t="str">
            <v>KWCK0028</v>
          </cell>
          <cell r="G1334" t="str">
            <v>CENTONG SAYUR SILIKON BIRU</v>
          </cell>
          <cell r="H1334">
            <v>0</v>
          </cell>
          <cell r="I1334">
            <v>0</v>
          </cell>
          <cell r="J1334">
            <v>0</v>
          </cell>
          <cell r="K1334" t="str">
            <v>pcs</v>
          </cell>
          <cell r="L1334" t="str">
            <v>0</v>
          </cell>
        </row>
        <row r="1335">
          <cell r="F1335" t="str">
            <v>KWCK0029</v>
          </cell>
          <cell r="G1335" t="str">
            <v>CENTONG SAYUR SILIKON PINK</v>
          </cell>
          <cell r="H1335">
            <v>0</v>
          </cell>
          <cell r="I1335">
            <v>0</v>
          </cell>
          <cell r="J1335">
            <v>0</v>
          </cell>
          <cell r="K1335" t="str">
            <v>pcs</v>
          </cell>
          <cell r="L1335" t="str">
            <v>0</v>
          </cell>
        </row>
        <row r="1336">
          <cell r="F1336" t="str">
            <v>KWCK0030</v>
          </cell>
          <cell r="G1336" t="str">
            <v>CENTONG SAYUR STAINLESS SHUMA 24.5 X 6.5</v>
          </cell>
          <cell r="H1336">
            <v>0</v>
          </cell>
          <cell r="I1336">
            <v>0</v>
          </cell>
          <cell r="J1336">
            <v>0</v>
          </cell>
          <cell r="K1336" t="str">
            <v>pcs</v>
          </cell>
          <cell r="L1336" t="str">
            <v>0</v>
          </cell>
        </row>
        <row r="1337">
          <cell r="F1337" t="str">
            <v>KWCK0031</v>
          </cell>
          <cell r="G1337" t="str">
            <v>CENTONG WOK STAINLESS GAGANG KAYU 51 X 12.5 CM</v>
          </cell>
          <cell r="H1337">
            <v>0</v>
          </cell>
          <cell r="I1337">
            <v>0</v>
          </cell>
          <cell r="J1337">
            <v>0</v>
          </cell>
          <cell r="K1337" t="str">
            <v>pcs</v>
          </cell>
          <cell r="L1337" t="str">
            <v>0</v>
          </cell>
        </row>
        <row r="1338">
          <cell r="F1338" t="str">
            <v>KWCK0032</v>
          </cell>
          <cell r="G1338" t="str">
            <v>CHOPPER KAPSUL 250 W</v>
          </cell>
          <cell r="H1338">
            <v>0</v>
          </cell>
          <cell r="I1338">
            <v>0</v>
          </cell>
          <cell r="J1338">
            <v>0</v>
          </cell>
          <cell r="K1338" t="str">
            <v>pcs</v>
          </cell>
          <cell r="L1338" t="str">
            <v>0</v>
          </cell>
        </row>
        <row r="1339">
          <cell r="F1339" t="str">
            <v>KWCK0033</v>
          </cell>
          <cell r="G1339" t="str">
            <v>COOLING RACK JARING PENIRIS (UTK NAMPAN 60 X 40)</v>
          </cell>
          <cell r="H1339">
            <v>0</v>
          </cell>
          <cell r="I1339">
            <v>0</v>
          </cell>
          <cell r="J1339">
            <v>0</v>
          </cell>
          <cell r="K1339" t="str">
            <v>pcs</v>
          </cell>
          <cell r="L1339" t="str">
            <v>0</v>
          </cell>
        </row>
        <row r="1340">
          <cell r="F1340" t="str">
            <v>KWCK0034</v>
          </cell>
          <cell r="G1340" t="str">
            <v>CORONG PLASTIK DENGAN PEGANGAN</v>
          </cell>
          <cell r="H1340">
            <v>0</v>
          </cell>
          <cell r="I1340">
            <v>0</v>
          </cell>
          <cell r="J1340">
            <v>0</v>
          </cell>
          <cell r="K1340" t="str">
            <v>pcs</v>
          </cell>
          <cell r="L1340" t="str">
            <v>0</v>
          </cell>
        </row>
        <row r="1341">
          <cell r="F1341" t="str">
            <v>KWCK0035</v>
          </cell>
          <cell r="G1341" t="str">
            <v>DAISO PLASTIC TRAY WOOD GRAIN HITAM</v>
          </cell>
          <cell r="H1341">
            <v>0</v>
          </cell>
          <cell r="I1341">
            <v>0</v>
          </cell>
          <cell r="J1341">
            <v>0</v>
          </cell>
          <cell r="K1341" t="str">
            <v>pcs</v>
          </cell>
          <cell r="L1341" t="str">
            <v>0</v>
          </cell>
        </row>
        <row r="1342">
          <cell r="F1342" t="str">
            <v>KWCK0036</v>
          </cell>
          <cell r="G1342" t="str">
            <v>DIGITAL TIMER</v>
          </cell>
          <cell r="H1342">
            <v>0</v>
          </cell>
          <cell r="I1342">
            <v>0</v>
          </cell>
          <cell r="J1342">
            <v>0</v>
          </cell>
          <cell r="K1342" t="str">
            <v>pcs</v>
          </cell>
          <cell r="L1342" t="str">
            <v>0</v>
          </cell>
        </row>
        <row r="1343">
          <cell r="F1343" t="str">
            <v>KWCK0037</v>
          </cell>
          <cell r="G1343" t="str">
            <v>FOOD TONG STAINLESS BERLUBANG 7"</v>
          </cell>
          <cell r="H1343">
            <v>0</v>
          </cell>
          <cell r="I1343">
            <v>0</v>
          </cell>
          <cell r="J1343">
            <v>0</v>
          </cell>
          <cell r="K1343" t="str">
            <v>pcs</v>
          </cell>
          <cell r="L1343" t="str">
            <v>0</v>
          </cell>
        </row>
        <row r="1344">
          <cell r="F1344" t="str">
            <v>KWCK0038</v>
          </cell>
          <cell r="G1344" t="str">
            <v>FRY PAN TEFLON 22 CM</v>
          </cell>
          <cell r="H1344">
            <v>0</v>
          </cell>
          <cell r="I1344">
            <v>0</v>
          </cell>
          <cell r="J1344">
            <v>0</v>
          </cell>
          <cell r="K1344" t="str">
            <v>pcs</v>
          </cell>
          <cell r="L1344" t="str">
            <v>0</v>
          </cell>
        </row>
        <row r="1345">
          <cell r="F1345" t="str">
            <v>KWCK0039</v>
          </cell>
          <cell r="G1345" t="str">
            <v>FRY PAN TEFLON 26 CM</v>
          </cell>
          <cell r="H1345">
            <v>0</v>
          </cell>
          <cell r="I1345">
            <v>0</v>
          </cell>
          <cell r="J1345">
            <v>0</v>
          </cell>
          <cell r="K1345" t="str">
            <v>pcs</v>
          </cell>
          <cell r="L1345" t="str">
            <v>0</v>
          </cell>
        </row>
        <row r="1346">
          <cell r="F1346" t="str">
            <v>KWCK0040</v>
          </cell>
          <cell r="G1346" t="str">
            <v>KOREK API FLEKSIBEL ISI ULANG</v>
          </cell>
          <cell r="H1346">
            <v>0</v>
          </cell>
          <cell r="I1346">
            <v>0</v>
          </cell>
          <cell r="J1346">
            <v>0</v>
          </cell>
          <cell r="K1346" t="str">
            <v>pcs</v>
          </cell>
          <cell r="L1346" t="str">
            <v>0</v>
          </cell>
        </row>
        <row r="1347">
          <cell r="F1347" t="str">
            <v>KWCK0041</v>
          </cell>
          <cell r="G1347" t="str">
            <v>GELAS UKUR 250 ML</v>
          </cell>
          <cell r="H1347">
            <v>0</v>
          </cell>
          <cell r="I1347">
            <v>0</v>
          </cell>
          <cell r="J1347">
            <v>0</v>
          </cell>
          <cell r="K1347" t="str">
            <v>pcs</v>
          </cell>
          <cell r="L1347" t="str">
            <v>0</v>
          </cell>
        </row>
        <row r="1348">
          <cell r="F1348" t="str">
            <v>KWCK0042</v>
          </cell>
          <cell r="G1348" t="str">
            <v>GELAS UKUR 3 LITER</v>
          </cell>
          <cell r="H1348">
            <v>0</v>
          </cell>
          <cell r="I1348">
            <v>0</v>
          </cell>
          <cell r="J1348">
            <v>0</v>
          </cell>
          <cell r="K1348" t="str">
            <v>pcs</v>
          </cell>
          <cell r="L1348" t="str">
            <v>0</v>
          </cell>
        </row>
        <row r="1349">
          <cell r="F1349" t="str">
            <v>KWCK0043</v>
          </cell>
          <cell r="G1349" t="str">
            <v>GELAS UKUR 5 LITER</v>
          </cell>
          <cell r="H1349">
            <v>0</v>
          </cell>
          <cell r="I1349">
            <v>0</v>
          </cell>
          <cell r="J1349">
            <v>0</v>
          </cell>
          <cell r="K1349" t="str">
            <v>pcs</v>
          </cell>
          <cell r="L1349" t="str">
            <v>0</v>
          </cell>
        </row>
        <row r="1350">
          <cell r="F1350" t="str">
            <v>KWCK0044</v>
          </cell>
          <cell r="G1350" t="str">
            <v>GUNTING JOYKO BESAR SOFT GRIP</v>
          </cell>
          <cell r="H1350">
            <v>0</v>
          </cell>
          <cell r="I1350">
            <v>0</v>
          </cell>
          <cell r="J1350">
            <v>0</v>
          </cell>
          <cell r="K1350" t="str">
            <v>pcs</v>
          </cell>
          <cell r="L1350" t="str">
            <v>0</v>
          </cell>
        </row>
        <row r="1351">
          <cell r="F1351" t="str">
            <v>KWCK0045</v>
          </cell>
          <cell r="G1351" t="str">
            <v>GUNTING KITCHEN STAINLESS MERAH</v>
          </cell>
          <cell r="H1351">
            <v>0</v>
          </cell>
          <cell r="I1351">
            <v>0</v>
          </cell>
          <cell r="J1351">
            <v>0</v>
          </cell>
          <cell r="K1351" t="str">
            <v>pcs</v>
          </cell>
          <cell r="L1351" t="str">
            <v>0</v>
          </cell>
        </row>
        <row r="1352">
          <cell r="F1352" t="str">
            <v>KWCK0046</v>
          </cell>
          <cell r="G1352" t="str">
            <v>KERANJANG PLASTIK PERSEGI 38.8 X 31.7 X 10.5 CM</v>
          </cell>
          <cell r="H1352">
            <v>0</v>
          </cell>
          <cell r="I1352">
            <v>0</v>
          </cell>
          <cell r="J1352">
            <v>0</v>
          </cell>
          <cell r="K1352" t="str">
            <v>pcs</v>
          </cell>
          <cell r="L1352" t="str">
            <v>0</v>
          </cell>
        </row>
        <row r="1353">
          <cell r="F1353" t="str">
            <v>KWCK0047</v>
          </cell>
          <cell r="G1353" t="str">
            <v>KOMPOR PORTABLE COSMOS</v>
          </cell>
          <cell r="H1353">
            <v>0</v>
          </cell>
          <cell r="I1353">
            <v>0</v>
          </cell>
          <cell r="J1353">
            <v>0</v>
          </cell>
          <cell r="K1353" t="str">
            <v>pcs</v>
          </cell>
          <cell r="L1353" t="str">
            <v>0</v>
          </cell>
        </row>
        <row r="1354">
          <cell r="F1354" t="str">
            <v>KWCK0048</v>
          </cell>
          <cell r="G1354" t="str">
            <v>KUAS SILIKON</v>
          </cell>
          <cell r="H1354">
            <v>0</v>
          </cell>
          <cell r="I1354">
            <v>0</v>
          </cell>
          <cell r="J1354">
            <v>0</v>
          </cell>
          <cell r="K1354" t="str">
            <v>pcs</v>
          </cell>
          <cell r="L1354" t="str">
            <v>0</v>
          </cell>
        </row>
        <row r="1355">
          <cell r="F1355" t="str">
            <v>KWCK0049</v>
          </cell>
          <cell r="G1355" t="str">
            <v>LADLE STAINLESS 105 CC</v>
          </cell>
          <cell r="H1355">
            <v>0</v>
          </cell>
          <cell r="I1355">
            <v>0</v>
          </cell>
          <cell r="J1355">
            <v>0</v>
          </cell>
          <cell r="K1355" t="str">
            <v>pcs</v>
          </cell>
          <cell r="L1355" t="str">
            <v>0</v>
          </cell>
        </row>
        <row r="1356">
          <cell r="F1356" t="str">
            <v>KWCK0050</v>
          </cell>
          <cell r="G1356" t="str">
            <v>LADLE STAINLESS 90 CC</v>
          </cell>
          <cell r="H1356">
            <v>0</v>
          </cell>
          <cell r="I1356">
            <v>0</v>
          </cell>
          <cell r="J1356">
            <v>0</v>
          </cell>
          <cell r="K1356" t="str">
            <v>pcs</v>
          </cell>
          <cell r="L1356" t="str">
            <v>0</v>
          </cell>
        </row>
        <row r="1357">
          <cell r="F1357" t="str">
            <v>KWCK0051</v>
          </cell>
          <cell r="G1357" t="str">
            <v>LAP MICROFIBER 40 X 40 BIRU MUDA</v>
          </cell>
          <cell r="H1357">
            <v>0</v>
          </cell>
          <cell r="I1357">
            <v>0</v>
          </cell>
          <cell r="J1357">
            <v>0</v>
          </cell>
          <cell r="K1357" t="str">
            <v>pcs</v>
          </cell>
          <cell r="L1357" t="str">
            <v>0</v>
          </cell>
        </row>
        <row r="1358">
          <cell r="F1358" t="str">
            <v>KWCK0052</v>
          </cell>
          <cell r="G1358" t="str">
            <v>LAP MICROFIBER 40 X 40 HIJAU</v>
          </cell>
          <cell r="H1358">
            <v>0</v>
          </cell>
          <cell r="I1358">
            <v>0</v>
          </cell>
          <cell r="J1358">
            <v>0</v>
          </cell>
          <cell r="K1358" t="str">
            <v>pcs</v>
          </cell>
          <cell r="L1358" t="str">
            <v>0</v>
          </cell>
        </row>
        <row r="1359">
          <cell r="F1359" t="str">
            <v>KWCK0053</v>
          </cell>
          <cell r="G1359" t="str">
            <v>LAP MICROFIBER 40 X 40 KUNING</v>
          </cell>
          <cell r="H1359">
            <v>0</v>
          </cell>
          <cell r="I1359">
            <v>0</v>
          </cell>
          <cell r="J1359">
            <v>0</v>
          </cell>
          <cell r="K1359" t="str">
            <v>pcs</v>
          </cell>
          <cell r="L1359" t="str">
            <v>0</v>
          </cell>
        </row>
        <row r="1360">
          <cell r="F1360" t="str">
            <v>KWCK0054</v>
          </cell>
          <cell r="G1360" t="str">
            <v>MEJA STAINLESS MR. DAPUR 100 X 50 X 80 CM</v>
          </cell>
          <cell r="H1360">
            <v>0</v>
          </cell>
          <cell r="I1360">
            <v>0</v>
          </cell>
          <cell r="J1360">
            <v>0</v>
          </cell>
          <cell r="K1360" t="str">
            <v>pcs</v>
          </cell>
          <cell r="L1360" t="str">
            <v>0</v>
          </cell>
        </row>
        <row r="1361">
          <cell r="F1361" t="str">
            <v>KWCK0055</v>
          </cell>
          <cell r="G1361" t="str">
            <v>NAMPAN JUMBO 60 X 40 X 4.8 CM</v>
          </cell>
          <cell r="H1361">
            <v>0</v>
          </cell>
          <cell r="I1361">
            <v>0</v>
          </cell>
          <cell r="J1361">
            <v>0</v>
          </cell>
          <cell r="K1361" t="str">
            <v>pcs</v>
          </cell>
          <cell r="L1361" t="str">
            <v>0</v>
          </cell>
        </row>
        <row r="1362">
          <cell r="F1362" t="str">
            <v>KWCK0056</v>
          </cell>
          <cell r="G1362" t="str">
            <v>PANCI SAUCE POT BIMA D40 X H24</v>
          </cell>
          <cell r="H1362">
            <v>0</v>
          </cell>
          <cell r="I1362">
            <v>0</v>
          </cell>
          <cell r="J1362">
            <v>0</v>
          </cell>
          <cell r="K1362" t="str">
            <v>pcs</v>
          </cell>
          <cell r="L1362" t="str">
            <v>0</v>
          </cell>
        </row>
        <row r="1363">
          <cell r="F1363" t="str">
            <v>KWCK0057</v>
          </cell>
          <cell r="G1363" t="str">
            <v>STOCK POT SUPRA 44 X 34 CM (50QT)</v>
          </cell>
          <cell r="H1363">
            <v>0</v>
          </cell>
          <cell r="I1363">
            <v>0</v>
          </cell>
          <cell r="J1363">
            <v>0</v>
          </cell>
          <cell r="K1363" t="str">
            <v>pcs</v>
          </cell>
          <cell r="L1363" t="str">
            <v>0</v>
          </cell>
        </row>
        <row r="1364">
          <cell r="F1364" t="str">
            <v>KWCK0058</v>
          </cell>
          <cell r="G1364" t="str">
            <v>PANCI SUSU ALUMINIUM 18 CM</v>
          </cell>
          <cell r="H1364">
            <v>0</v>
          </cell>
          <cell r="I1364">
            <v>0</v>
          </cell>
          <cell r="J1364">
            <v>0</v>
          </cell>
          <cell r="K1364" t="str">
            <v>pcs</v>
          </cell>
          <cell r="L1364" t="str">
            <v>0</v>
          </cell>
        </row>
        <row r="1365">
          <cell r="F1365" t="str">
            <v>KWCK0059</v>
          </cell>
          <cell r="G1365" t="str">
            <v>PARUTAN KEJU GONDRONG STAINLESS</v>
          </cell>
          <cell r="H1365">
            <v>0</v>
          </cell>
          <cell r="I1365">
            <v>0</v>
          </cell>
          <cell r="J1365">
            <v>0</v>
          </cell>
          <cell r="K1365" t="str">
            <v>pcs</v>
          </cell>
          <cell r="L1365" t="str">
            <v>0</v>
          </cell>
        </row>
        <row r="1366">
          <cell r="F1366" t="str">
            <v>KWCK0060</v>
          </cell>
          <cell r="G1366" t="str">
            <v>PARUTAN KEJU STAINLESS</v>
          </cell>
          <cell r="H1366">
            <v>0</v>
          </cell>
          <cell r="I1366">
            <v>0</v>
          </cell>
          <cell r="J1366">
            <v>0</v>
          </cell>
          <cell r="K1366" t="str">
            <v>pcs</v>
          </cell>
          <cell r="L1366" t="str">
            <v>0</v>
          </cell>
        </row>
        <row r="1367">
          <cell r="F1367" t="str">
            <v>KWCK0061</v>
          </cell>
          <cell r="G1367" t="str">
            <v>PEELER TRAMONTINA PUTIH</v>
          </cell>
          <cell r="H1367">
            <v>0</v>
          </cell>
          <cell r="I1367">
            <v>0</v>
          </cell>
          <cell r="J1367">
            <v>0</v>
          </cell>
          <cell r="K1367" t="str">
            <v>pcs</v>
          </cell>
          <cell r="L1367" t="str">
            <v>0</v>
          </cell>
        </row>
        <row r="1368">
          <cell r="F1368" t="str">
            <v>KWCK0062</v>
          </cell>
          <cell r="G1368" t="str">
            <v>PENGGARIS STAINLESS 100CM</v>
          </cell>
          <cell r="H1368">
            <v>0</v>
          </cell>
          <cell r="I1368">
            <v>0</v>
          </cell>
          <cell r="J1368">
            <v>0</v>
          </cell>
          <cell r="K1368" t="str">
            <v>pcs</v>
          </cell>
          <cell r="L1368" t="str">
            <v>0</v>
          </cell>
        </row>
        <row r="1369">
          <cell r="F1369" t="str">
            <v>KWCK0063</v>
          </cell>
          <cell r="G1369" t="str">
            <v>PENGGULUNG SUSHI BAMBU 24 X 24 CM</v>
          </cell>
          <cell r="H1369">
            <v>0</v>
          </cell>
          <cell r="I1369">
            <v>0</v>
          </cell>
          <cell r="J1369">
            <v>0</v>
          </cell>
          <cell r="K1369" t="str">
            <v>pcs</v>
          </cell>
          <cell r="L1369" t="str">
            <v>0</v>
          </cell>
        </row>
        <row r="1370">
          <cell r="F1370" t="str">
            <v>KWCK0064</v>
          </cell>
          <cell r="G1370" t="str">
            <v>PISAU TRAMONTINA 10" HIJAU</v>
          </cell>
          <cell r="H1370">
            <v>0</v>
          </cell>
          <cell r="I1370">
            <v>0</v>
          </cell>
          <cell r="J1370">
            <v>0</v>
          </cell>
          <cell r="K1370" t="str">
            <v>pcs</v>
          </cell>
          <cell r="L1370" t="str">
            <v>0</v>
          </cell>
        </row>
        <row r="1371">
          <cell r="F1371" t="str">
            <v>KWCK0065</v>
          </cell>
          <cell r="G1371" t="str">
            <v>PISAU TRAMONTINA 8" MERAH</v>
          </cell>
          <cell r="H1371">
            <v>0</v>
          </cell>
          <cell r="I1371">
            <v>0</v>
          </cell>
          <cell r="J1371">
            <v>0</v>
          </cell>
          <cell r="K1371" t="str">
            <v>pcs</v>
          </cell>
          <cell r="L1371" t="str">
            <v>0</v>
          </cell>
        </row>
        <row r="1372">
          <cell r="F1372" t="str">
            <v>KWCK0066</v>
          </cell>
          <cell r="G1372" t="str">
            <v>PISAU TRAMONTINA 8" PUTIH</v>
          </cell>
          <cell r="H1372">
            <v>0</v>
          </cell>
          <cell r="I1372">
            <v>0</v>
          </cell>
          <cell r="J1372">
            <v>0</v>
          </cell>
          <cell r="K1372" t="str">
            <v>pcs</v>
          </cell>
          <cell r="L1372" t="str">
            <v>0</v>
          </cell>
        </row>
        <row r="1373">
          <cell r="F1373" t="str">
            <v>KWCK0067</v>
          </cell>
          <cell r="G1373" t="str">
            <v>RAK JEMUR DINDING ALUMINIUM 58 X 21 CM</v>
          </cell>
          <cell r="H1373">
            <v>0</v>
          </cell>
          <cell r="I1373">
            <v>0</v>
          </cell>
          <cell r="J1373">
            <v>0</v>
          </cell>
          <cell r="K1373" t="str">
            <v>pcs</v>
          </cell>
          <cell r="L1373" t="str">
            <v>0</v>
          </cell>
        </row>
        <row r="1374">
          <cell r="F1374" t="str">
            <v>KWCK0068</v>
          </cell>
          <cell r="G1374" t="str">
            <v>RAK PENIRIS STAINLESS 2 SUSUN 85 CM</v>
          </cell>
          <cell r="H1374">
            <v>0</v>
          </cell>
          <cell r="I1374">
            <v>0</v>
          </cell>
          <cell r="J1374">
            <v>0</v>
          </cell>
          <cell r="K1374" t="str">
            <v>pcs</v>
          </cell>
          <cell r="L1374" t="str">
            <v>0</v>
          </cell>
        </row>
        <row r="1375">
          <cell r="F1375" t="str">
            <v>KWCK0069</v>
          </cell>
          <cell r="G1375" t="str">
            <v>RAK TALENAN 6 SLOT</v>
          </cell>
          <cell r="H1375">
            <v>0</v>
          </cell>
          <cell r="I1375">
            <v>0</v>
          </cell>
          <cell r="J1375">
            <v>0</v>
          </cell>
          <cell r="K1375" t="str">
            <v>pcs</v>
          </cell>
          <cell r="L1375" t="str">
            <v>0</v>
          </cell>
        </row>
        <row r="1376">
          <cell r="F1376" t="str">
            <v>KWCK0070</v>
          </cell>
          <cell r="G1376" t="str">
            <v>RICE COOKER CUCKOO 1.8 L</v>
          </cell>
          <cell r="H1376">
            <v>0</v>
          </cell>
          <cell r="I1376">
            <v>0</v>
          </cell>
          <cell r="J1376">
            <v>0</v>
          </cell>
          <cell r="K1376" t="str">
            <v>unit</v>
          </cell>
          <cell r="L1376" t="str">
            <v>0</v>
          </cell>
        </row>
        <row r="1377">
          <cell r="F1377" t="str">
            <v>KWCK0071</v>
          </cell>
          <cell r="G1377" t="str">
            <v>SAMBUNGAN KEPALA KRAN TURBO FLEX</v>
          </cell>
          <cell r="H1377">
            <v>0</v>
          </cell>
          <cell r="I1377">
            <v>0</v>
          </cell>
          <cell r="J1377">
            <v>0</v>
          </cell>
          <cell r="K1377" t="str">
            <v>pcs</v>
          </cell>
          <cell r="L1377" t="str">
            <v>0</v>
          </cell>
        </row>
        <row r="1378">
          <cell r="F1378" t="str">
            <v>KWCK0072</v>
          </cell>
          <cell r="G1378" t="str">
            <v>SAPU KUALI TOTOGIYO</v>
          </cell>
          <cell r="H1378">
            <v>0</v>
          </cell>
          <cell r="I1378">
            <v>0</v>
          </cell>
          <cell r="J1378">
            <v>0</v>
          </cell>
          <cell r="K1378" t="str">
            <v>pcs</v>
          </cell>
          <cell r="L1378" t="str">
            <v>0</v>
          </cell>
        </row>
        <row r="1379">
          <cell r="F1379" t="str">
            <v>KWCK0073</v>
          </cell>
          <cell r="G1379" t="str">
            <v>SAPU LANTAI DRAGON</v>
          </cell>
          <cell r="H1379">
            <v>0</v>
          </cell>
          <cell r="I1379">
            <v>0</v>
          </cell>
          <cell r="J1379">
            <v>0</v>
          </cell>
          <cell r="K1379" t="str">
            <v>pcs</v>
          </cell>
          <cell r="L1379" t="str">
            <v>0</v>
          </cell>
        </row>
        <row r="1380">
          <cell r="F1380" t="str">
            <v>KWCK0074</v>
          </cell>
          <cell r="G1380" t="str">
            <v>SAPU LANTAI NAGATA</v>
          </cell>
          <cell r="H1380">
            <v>0</v>
          </cell>
          <cell r="I1380">
            <v>0</v>
          </cell>
          <cell r="J1380">
            <v>0</v>
          </cell>
          <cell r="K1380" t="str">
            <v>pcs</v>
          </cell>
          <cell r="L1380" t="str">
            <v>0</v>
          </cell>
        </row>
        <row r="1381">
          <cell r="F1381" t="str">
            <v>KWCK0075</v>
          </cell>
          <cell r="G1381" t="str">
            <v>SARINGAN HALUS KOTORAN MINYAK 16CM</v>
          </cell>
          <cell r="H1381">
            <v>0</v>
          </cell>
          <cell r="I1381">
            <v>0</v>
          </cell>
          <cell r="J1381">
            <v>0</v>
          </cell>
          <cell r="K1381" t="str">
            <v>pcs</v>
          </cell>
          <cell r="L1381" t="str">
            <v>0</v>
          </cell>
        </row>
        <row r="1382">
          <cell r="F1382" t="str">
            <v>KWCK0076</v>
          </cell>
          <cell r="G1382" t="str">
            <v>SARINGAN SINK STAINLESS</v>
          </cell>
          <cell r="H1382">
            <v>0</v>
          </cell>
          <cell r="I1382">
            <v>0</v>
          </cell>
          <cell r="J1382">
            <v>0</v>
          </cell>
          <cell r="K1382" t="str">
            <v>pcs</v>
          </cell>
          <cell r="L1382" t="str">
            <v>0</v>
          </cell>
        </row>
        <row r="1383">
          <cell r="F1383" t="str">
            <v>KWCK0077</v>
          </cell>
          <cell r="G1383" t="str">
            <v>SCRAPER STAINLESS 15 CM</v>
          </cell>
          <cell r="H1383">
            <v>0</v>
          </cell>
          <cell r="I1383">
            <v>0</v>
          </cell>
          <cell r="J1383">
            <v>0</v>
          </cell>
          <cell r="K1383" t="str">
            <v>pcs</v>
          </cell>
          <cell r="L1383" t="str">
            <v>0</v>
          </cell>
        </row>
        <row r="1384">
          <cell r="F1384" t="str">
            <v>KWCK0078</v>
          </cell>
          <cell r="G1384" t="str">
            <v>SODET KAYU SONOKELING 45CM</v>
          </cell>
          <cell r="H1384">
            <v>0</v>
          </cell>
          <cell r="I1384">
            <v>0</v>
          </cell>
          <cell r="J1384">
            <v>0</v>
          </cell>
          <cell r="K1384" t="str">
            <v>pcs</v>
          </cell>
          <cell r="L1384" t="str">
            <v>0</v>
          </cell>
        </row>
        <row r="1385">
          <cell r="F1385" t="str">
            <v>KWCK0079</v>
          </cell>
          <cell r="G1385" t="str">
            <v>SODET KWALI GAGANG KAYU 50.5 CM</v>
          </cell>
          <cell r="H1385">
            <v>0</v>
          </cell>
          <cell r="I1385">
            <v>0</v>
          </cell>
          <cell r="J1385">
            <v>0</v>
          </cell>
          <cell r="K1385" t="str">
            <v>pcs</v>
          </cell>
          <cell r="L1385" t="str">
            <v>0</v>
          </cell>
        </row>
        <row r="1386">
          <cell r="F1386" t="str">
            <v>KWCK0080</v>
          </cell>
          <cell r="G1386" t="str">
            <v>SPATULA KAYU SONOKELING 45 CM</v>
          </cell>
          <cell r="H1386">
            <v>0</v>
          </cell>
          <cell r="I1386">
            <v>0</v>
          </cell>
          <cell r="J1386">
            <v>0</v>
          </cell>
          <cell r="K1386" t="str">
            <v>pcs</v>
          </cell>
          <cell r="L1386" t="str">
            <v>0</v>
          </cell>
        </row>
        <row r="1387">
          <cell r="F1387" t="str">
            <v>KWCK0081</v>
          </cell>
          <cell r="G1387" t="str">
            <v>SPATULA SILIKON 28 CM</v>
          </cell>
          <cell r="H1387">
            <v>0</v>
          </cell>
          <cell r="I1387">
            <v>0</v>
          </cell>
          <cell r="J1387">
            <v>0</v>
          </cell>
          <cell r="K1387" t="str">
            <v>pcs</v>
          </cell>
          <cell r="L1387" t="str">
            <v>0</v>
          </cell>
        </row>
        <row r="1388">
          <cell r="F1388" t="str">
            <v>KWCK0082</v>
          </cell>
          <cell r="G1388" t="str">
            <v>SPATULA SILIKON MERAH 3 GARIS LUBANG</v>
          </cell>
          <cell r="H1388">
            <v>0</v>
          </cell>
          <cell r="I1388">
            <v>0</v>
          </cell>
          <cell r="J1388">
            <v>0</v>
          </cell>
          <cell r="K1388" t="str">
            <v>pcs</v>
          </cell>
          <cell r="L1388" t="str">
            <v>0</v>
          </cell>
        </row>
        <row r="1389">
          <cell r="F1389" t="str">
            <v>KWCK0083</v>
          </cell>
          <cell r="G1389" t="str">
            <v>SPATULA SILIKON TAMAGOYAKI</v>
          </cell>
          <cell r="H1389">
            <v>0</v>
          </cell>
          <cell r="I1389">
            <v>0</v>
          </cell>
          <cell r="J1389">
            <v>0</v>
          </cell>
          <cell r="K1389" t="str">
            <v>pcs</v>
          </cell>
          <cell r="L1389" t="str">
            <v>0</v>
          </cell>
        </row>
        <row r="1390">
          <cell r="F1390" t="str">
            <v>KWCK0084</v>
          </cell>
          <cell r="G1390" t="str">
            <v>SUTIL SILIKON MERAH</v>
          </cell>
          <cell r="H1390">
            <v>0</v>
          </cell>
          <cell r="I1390">
            <v>0</v>
          </cell>
          <cell r="J1390">
            <v>0</v>
          </cell>
          <cell r="K1390" t="str">
            <v>pcs</v>
          </cell>
          <cell r="L1390" t="str">
            <v>0</v>
          </cell>
        </row>
        <row r="1391">
          <cell r="F1391" t="str">
            <v>KWCK0085</v>
          </cell>
          <cell r="G1391" t="str">
            <v>TALENAN HIJAU 50 X 35 X 2 CM</v>
          </cell>
          <cell r="H1391">
            <v>0</v>
          </cell>
          <cell r="I1391">
            <v>0</v>
          </cell>
          <cell r="J1391">
            <v>0</v>
          </cell>
          <cell r="K1391" t="str">
            <v>pcs</v>
          </cell>
          <cell r="L1391" t="str">
            <v>0</v>
          </cell>
        </row>
        <row r="1392">
          <cell r="F1392" t="str">
            <v>KWCK0086</v>
          </cell>
          <cell r="G1392" t="str">
            <v>TELANAN KAYU JATI 40 X 30 X 2 CM</v>
          </cell>
          <cell r="H1392">
            <v>0</v>
          </cell>
          <cell r="I1392">
            <v>0</v>
          </cell>
          <cell r="J1392">
            <v>0</v>
          </cell>
          <cell r="K1392" t="str">
            <v>pcs</v>
          </cell>
          <cell r="L1392" t="str">
            <v>0</v>
          </cell>
        </row>
        <row r="1393">
          <cell r="F1393" t="str">
            <v>KWCK0087</v>
          </cell>
          <cell r="G1393" t="str">
            <v>TALENAN MERAH 40 X 30 X 2 CM</v>
          </cell>
          <cell r="H1393">
            <v>0</v>
          </cell>
          <cell r="I1393">
            <v>0</v>
          </cell>
          <cell r="J1393">
            <v>0</v>
          </cell>
          <cell r="K1393" t="str">
            <v>pcs</v>
          </cell>
          <cell r="L1393" t="str">
            <v>0</v>
          </cell>
        </row>
        <row r="1394">
          <cell r="F1394" t="str">
            <v>KWCK0088</v>
          </cell>
          <cell r="G1394" t="str">
            <v>TALENAN PUTIH 50 X 35 X 2 CM</v>
          </cell>
          <cell r="H1394">
            <v>0</v>
          </cell>
          <cell r="I1394">
            <v>0</v>
          </cell>
          <cell r="J1394">
            <v>0</v>
          </cell>
          <cell r="K1394" t="str">
            <v>pcs</v>
          </cell>
          <cell r="L1394" t="str">
            <v>0</v>
          </cell>
        </row>
        <row r="1395">
          <cell r="F1395" t="str">
            <v>KWCK0089</v>
          </cell>
          <cell r="G1395" t="str">
            <v>TANGGOK STAINLESS 28 CM</v>
          </cell>
          <cell r="H1395">
            <v>0</v>
          </cell>
          <cell r="I1395">
            <v>0</v>
          </cell>
          <cell r="J1395">
            <v>0</v>
          </cell>
          <cell r="K1395" t="str">
            <v>pcs</v>
          </cell>
          <cell r="L1395" t="str">
            <v>0</v>
          </cell>
        </row>
        <row r="1396">
          <cell r="F1396" t="str">
            <v>KWCK0090</v>
          </cell>
          <cell r="G1396" t="str">
            <v>TEKO LION STAR 4.1 L</v>
          </cell>
          <cell r="H1396">
            <v>0</v>
          </cell>
          <cell r="I1396">
            <v>0</v>
          </cell>
          <cell r="J1396">
            <v>0</v>
          </cell>
          <cell r="K1396" t="str">
            <v>pcs</v>
          </cell>
          <cell r="L1396" t="str">
            <v>0</v>
          </cell>
        </row>
        <row r="1397">
          <cell r="F1397" t="str">
            <v>KWCK0091</v>
          </cell>
          <cell r="G1397" t="str">
            <v>TEMPAT SAMPAH HIJAU GREEN LEAF 35 L</v>
          </cell>
          <cell r="H1397">
            <v>0</v>
          </cell>
          <cell r="I1397">
            <v>0</v>
          </cell>
          <cell r="J1397">
            <v>0</v>
          </cell>
          <cell r="K1397" t="str">
            <v>unit</v>
          </cell>
          <cell r="L1397" t="str">
            <v>0</v>
          </cell>
        </row>
        <row r="1398">
          <cell r="F1398" t="str">
            <v>KWCK0092</v>
          </cell>
          <cell r="G1398" t="str">
            <v>THERMOMETER LASER INFRA RED</v>
          </cell>
          <cell r="H1398">
            <v>0</v>
          </cell>
          <cell r="I1398">
            <v>0</v>
          </cell>
          <cell r="J1398">
            <v>0</v>
          </cell>
          <cell r="K1398" t="str">
            <v>pcs</v>
          </cell>
          <cell r="L1398" t="str">
            <v>0</v>
          </cell>
        </row>
        <row r="1399">
          <cell r="F1399" t="str">
            <v>KWCK0093</v>
          </cell>
          <cell r="G1399" t="str">
            <v>TIMBANGAN DIGITAL CAMRY 30 KG</v>
          </cell>
          <cell r="H1399">
            <v>0</v>
          </cell>
          <cell r="I1399">
            <v>0</v>
          </cell>
          <cell r="J1399">
            <v>0</v>
          </cell>
          <cell r="K1399" t="str">
            <v>pcs</v>
          </cell>
          <cell r="L1399" t="str">
            <v>0</v>
          </cell>
        </row>
        <row r="1400">
          <cell r="F1400" t="str">
            <v>KWCK0094</v>
          </cell>
          <cell r="G1400" t="str">
            <v>TIMBANGAN DIGITAL TANITA KD321</v>
          </cell>
          <cell r="H1400">
            <v>0</v>
          </cell>
          <cell r="I1400">
            <v>0</v>
          </cell>
          <cell r="J1400">
            <v>0</v>
          </cell>
          <cell r="K1400" t="str">
            <v>pcs</v>
          </cell>
          <cell r="L1400" t="str">
            <v>0</v>
          </cell>
        </row>
        <row r="1401">
          <cell r="F1401" t="str">
            <v>KWCK0095</v>
          </cell>
          <cell r="G1401" t="str">
            <v>WAJAN BAJA</v>
          </cell>
          <cell r="H1401">
            <v>0</v>
          </cell>
          <cell r="I1401">
            <v>0</v>
          </cell>
          <cell r="J1401">
            <v>0</v>
          </cell>
          <cell r="K1401" t="str">
            <v>unit</v>
          </cell>
          <cell r="L1401" t="str">
            <v>0</v>
          </cell>
        </row>
        <row r="1402">
          <cell r="F1402" t="str">
            <v>KWCK0096</v>
          </cell>
          <cell r="G1402" t="str">
            <v>WOK PAN TEFLON 28 CM</v>
          </cell>
          <cell r="H1402">
            <v>0</v>
          </cell>
          <cell r="I1402">
            <v>0</v>
          </cell>
          <cell r="J1402">
            <v>0</v>
          </cell>
          <cell r="K1402" t="str">
            <v>pcs</v>
          </cell>
          <cell r="L1402" t="str">
            <v>0</v>
          </cell>
        </row>
        <row r="1403">
          <cell r="F1403" t="str">
            <v>KWCK0097</v>
          </cell>
          <cell r="G1403" t="str">
            <v>MANDOLIN BENRINER LEBAR 9CM</v>
          </cell>
          <cell r="H1403">
            <v>0</v>
          </cell>
          <cell r="I1403">
            <v>0</v>
          </cell>
          <cell r="J1403">
            <v>0</v>
          </cell>
          <cell r="K1403" t="str">
            <v>pcs</v>
          </cell>
          <cell r="L1403" t="str">
            <v>0</v>
          </cell>
        </row>
        <row r="1404">
          <cell r="F1404" t="str">
            <v>KWCK0098</v>
          </cell>
          <cell r="G1404" t="str">
            <v>EMBER BULAT JUMBO BIRU</v>
          </cell>
          <cell r="H1404">
            <v>0</v>
          </cell>
          <cell r="I1404">
            <v>0</v>
          </cell>
          <cell r="J1404">
            <v>0</v>
          </cell>
          <cell r="K1404" t="str">
            <v>pcs</v>
          </cell>
          <cell r="L1404" t="str">
            <v>0</v>
          </cell>
        </row>
        <row r="1405">
          <cell r="F1405" t="str">
            <v>KWCK0099</v>
          </cell>
          <cell r="G1405" t="str">
            <v>KONTAINER BULAT LION STAR 11.1 X 5.5 CM</v>
          </cell>
          <cell r="H1405">
            <v>0</v>
          </cell>
          <cell r="I1405">
            <v>0</v>
          </cell>
          <cell r="J1405">
            <v>0</v>
          </cell>
          <cell r="K1405" t="str">
            <v>pcs</v>
          </cell>
          <cell r="L1405" t="str">
            <v>0</v>
          </cell>
        </row>
        <row r="1406">
          <cell r="F1406" t="str">
            <v>KWCK0100</v>
          </cell>
          <cell r="G1406" t="str">
            <v>KONTAINER BULAT LION STAR 14 X 9.2 CM</v>
          </cell>
          <cell r="H1406">
            <v>0</v>
          </cell>
          <cell r="I1406">
            <v>0</v>
          </cell>
          <cell r="J1406">
            <v>0</v>
          </cell>
          <cell r="K1406" t="str">
            <v>pcs</v>
          </cell>
          <cell r="L1406" t="str">
            <v>0</v>
          </cell>
        </row>
        <row r="1407">
          <cell r="F1407" t="str">
            <v>KWCK0101</v>
          </cell>
          <cell r="G1407" t="str">
            <v>BOX LION STAR SW-28 (23 X 16.3 X 7.2 CM)</v>
          </cell>
          <cell r="H1407">
            <v>0</v>
          </cell>
          <cell r="I1407">
            <v>0</v>
          </cell>
          <cell r="J1407">
            <v>0</v>
          </cell>
          <cell r="K1407" t="str">
            <v>pcs</v>
          </cell>
          <cell r="L1407" t="str">
            <v>0</v>
          </cell>
        </row>
        <row r="1408">
          <cell r="F1408" t="str">
            <v>KWCK0102</v>
          </cell>
          <cell r="G1408" t="str">
            <v>BOX LION STAR B-46 (15 X 15 X 5 CM)</v>
          </cell>
          <cell r="H1408">
            <v>0</v>
          </cell>
          <cell r="I1408">
            <v>0</v>
          </cell>
          <cell r="J1408">
            <v>0</v>
          </cell>
          <cell r="K1408" t="str">
            <v>pcs</v>
          </cell>
          <cell r="L1408" t="str">
            <v>0</v>
          </cell>
        </row>
        <row r="1409">
          <cell r="F1409" t="str">
            <v>KWCK0103</v>
          </cell>
          <cell r="G1409" t="str">
            <v>BOX LION STAR B-47 (15 X 15 X 9 CM)</v>
          </cell>
          <cell r="H1409">
            <v>0</v>
          </cell>
          <cell r="I1409">
            <v>0</v>
          </cell>
          <cell r="J1409">
            <v>0</v>
          </cell>
          <cell r="K1409" t="str">
            <v>pcs</v>
          </cell>
          <cell r="L1409" t="str">
            <v>0</v>
          </cell>
        </row>
        <row r="1410">
          <cell r="F1410" t="str">
            <v>KWCK0104</v>
          </cell>
          <cell r="G1410" t="str">
            <v>BOX LION STAR B-48 15 X 15 X 15.2 CM</v>
          </cell>
          <cell r="H1410">
            <v>0</v>
          </cell>
          <cell r="I1410">
            <v>0</v>
          </cell>
          <cell r="J1410">
            <v>0</v>
          </cell>
          <cell r="K1410" t="str">
            <v>pcs</v>
          </cell>
          <cell r="L1410" t="str">
            <v>0</v>
          </cell>
        </row>
        <row r="1411">
          <cell r="F1411" t="str">
            <v>KWCK0105</v>
          </cell>
          <cell r="G1411" t="str">
            <v>BOX DONAT DICKY K-5 (37 X 29.5 X 7.3 CM)</v>
          </cell>
          <cell r="H1411">
            <v>0</v>
          </cell>
          <cell r="I1411">
            <v>0</v>
          </cell>
          <cell r="J1411">
            <v>0</v>
          </cell>
          <cell r="K1411" t="str">
            <v>pcs</v>
          </cell>
          <cell r="L1411" t="str">
            <v>0</v>
          </cell>
        </row>
        <row r="1412">
          <cell r="F1412" t="str">
            <v>KWCK0106</v>
          </cell>
          <cell r="G1412" t="str">
            <v>KERANJANG LION STAR MERAH (39.2 X 31.2 X 10.3 CM)</v>
          </cell>
          <cell r="H1412">
            <v>0</v>
          </cell>
          <cell r="I1412">
            <v>0</v>
          </cell>
          <cell r="J1412">
            <v>0</v>
          </cell>
          <cell r="K1412" t="str">
            <v>pcs</v>
          </cell>
          <cell r="L1412" t="str">
            <v>0</v>
          </cell>
        </row>
        <row r="1413">
          <cell r="F1413" t="str">
            <v>KWCK0107</v>
          </cell>
          <cell r="G1413" t="str">
            <v>BAKI LION STAR BA-17 (41 X 32 X 13 CM)</v>
          </cell>
          <cell r="H1413">
            <v>0</v>
          </cell>
          <cell r="I1413">
            <v>0</v>
          </cell>
          <cell r="J1413">
            <v>0</v>
          </cell>
          <cell r="K1413" t="str">
            <v>pcs</v>
          </cell>
          <cell r="L1413" t="str">
            <v>0</v>
          </cell>
        </row>
        <row r="1414">
          <cell r="F1414" t="str">
            <v>KWCK0108</v>
          </cell>
          <cell r="G1414" t="str">
            <v>TEMPAT SENDOK GARPU LION STAR PINK</v>
          </cell>
          <cell r="H1414">
            <v>0</v>
          </cell>
          <cell r="I1414">
            <v>0</v>
          </cell>
          <cell r="J1414">
            <v>0</v>
          </cell>
          <cell r="K1414" t="str">
            <v>pcs</v>
          </cell>
          <cell r="L1414" t="str">
            <v>0</v>
          </cell>
        </row>
        <row r="1415">
          <cell r="F1415" t="str">
            <v>KWCK0109</v>
          </cell>
          <cell r="G1415" t="str">
            <v>TEMPAT SAMPAH LION STAR 15 L</v>
          </cell>
          <cell r="H1415">
            <v>0</v>
          </cell>
          <cell r="I1415">
            <v>0</v>
          </cell>
          <cell r="J1415">
            <v>0</v>
          </cell>
          <cell r="K1415" t="str">
            <v>unit</v>
          </cell>
          <cell r="L1415" t="str">
            <v>0</v>
          </cell>
        </row>
        <row r="1416">
          <cell r="F1416" t="str">
            <v>KWCK0110</v>
          </cell>
          <cell r="G1416" t="str">
            <v>BOX LION STAR KP-188 (28.7 X 22.2 X 10.4 CM)</v>
          </cell>
          <cell r="H1416">
            <v>0</v>
          </cell>
          <cell r="I1416">
            <v>0</v>
          </cell>
          <cell r="J1416">
            <v>0</v>
          </cell>
          <cell r="K1416" t="str">
            <v>pcs</v>
          </cell>
          <cell r="L1416" t="str">
            <v>0</v>
          </cell>
        </row>
        <row r="1417">
          <cell r="F1417" t="str">
            <v>KWCK0111</v>
          </cell>
          <cell r="G1417" t="str">
            <v>BOX LION STAR KP-19 (28.7 X 22.2 X 20.2 CM)</v>
          </cell>
          <cell r="H1417">
            <v>0</v>
          </cell>
          <cell r="I1417">
            <v>0</v>
          </cell>
          <cell r="J1417">
            <v>0</v>
          </cell>
          <cell r="K1417" t="str">
            <v>pcs</v>
          </cell>
          <cell r="L1417" t="str">
            <v>0</v>
          </cell>
        </row>
        <row r="1418">
          <cell r="F1418" t="str">
            <v>KWCK0112</v>
          </cell>
          <cell r="G1418" t="str">
            <v>SENDOK MAKAN DOLL</v>
          </cell>
          <cell r="H1418">
            <v>0</v>
          </cell>
          <cell r="I1418">
            <v>0</v>
          </cell>
          <cell r="J1418">
            <v>0</v>
          </cell>
          <cell r="K1418" t="str">
            <v>pcs</v>
          </cell>
          <cell r="L1418" t="str">
            <v>0</v>
          </cell>
        </row>
        <row r="1419">
          <cell r="F1419" t="str">
            <v>KWCK0113</v>
          </cell>
          <cell r="G1419" t="str">
            <v>SENDOK TEH DOLL</v>
          </cell>
          <cell r="H1419">
            <v>0</v>
          </cell>
          <cell r="I1419">
            <v>0</v>
          </cell>
          <cell r="J1419">
            <v>0</v>
          </cell>
          <cell r="K1419" t="str">
            <v>pcs</v>
          </cell>
          <cell r="L1419" t="str">
            <v>0</v>
          </cell>
        </row>
        <row r="1420">
          <cell r="F1420" t="str">
            <v>KWCK0114</v>
          </cell>
          <cell r="G1420" t="str">
            <v>BALLOON WHISH 1779 (TOKO DEWI)</v>
          </cell>
          <cell r="H1420">
            <v>0</v>
          </cell>
          <cell r="I1420">
            <v>0</v>
          </cell>
          <cell r="J1420">
            <v>0</v>
          </cell>
          <cell r="K1420" t="str">
            <v>pcs</v>
          </cell>
          <cell r="L1420" t="str">
            <v>0</v>
          </cell>
        </row>
        <row r="1421">
          <cell r="F1421" t="str">
            <v>KWCK0115</v>
          </cell>
          <cell r="G1421" t="str">
            <v>FOOD PAN 1/1 X 4"</v>
          </cell>
          <cell r="H1421">
            <v>0</v>
          </cell>
          <cell r="I1421">
            <v>0</v>
          </cell>
          <cell r="J1421">
            <v>0</v>
          </cell>
          <cell r="K1421" t="str">
            <v>pcs</v>
          </cell>
          <cell r="L1421" t="str">
            <v>0</v>
          </cell>
        </row>
        <row r="1422">
          <cell r="F1422" t="str">
            <v>KWCK0116</v>
          </cell>
          <cell r="G1422" t="str">
            <v>TUTUP FOOD PAN 1/1 X 4"</v>
          </cell>
          <cell r="H1422">
            <v>0</v>
          </cell>
          <cell r="I1422">
            <v>0</v>
          </cell>
          <cell r="J1422">
            <v>0</v>
          </cell>
          <cell r="K1422" t="str">
            <v>pcs</v>
          </cell>
          <cell r="L1422" t="str">
            <v>0</v>
          </cell>
        </row>
        <row r="1423">
          <cell r="F1423" t="str">
            <v>KWCK0117</v>
          </cell>
          <cell r="G1423" t="str">
            <v>STOCK POT 12 QT</v>
          </cell>
          <cell r="H1423">
            <v>0</v>
          </cell>
          <cell r="I1423">
            <v>0</v>
          </cell>
          <cell r="J1423">
            <v>0</v>
          </cell>
          <cell r="K1423" t="str">
            <v>pcs</v>
          </cell>
          <cell r="L1423" t="str">
            <v>0</v>
          </cell>
        </row>
        <row r="1424">
          <cell r="F1424" t="str">
            <v>KWCK0118</v>
          </cell>
          <cell r="G1424" t="str">
            <v>GELAS UKUR 500 ML</v>
          </cell>
          <cell r="H1424">
            <v>0</v>
          </cell>
          <cell r="I1424">
            <v>0</v>
          </cell>
          <cell r="J1424">
            <v>0</v>
          </cell>
          <cell r="K1424" t="str">
            <v>pcs</v>
          </cell>
          <cell r="L1424" t="str">
            <v>0</v>
          </cell>
        </row>
        <row r="1425">
          <cell r="F1425" t="str">
            <v>KWCK0119</v>
          </cell>
          <cell r="G1425" t="str">
            <v>GELAS UKUR 1 L</v>
          </cell>
          <cell r="H1425">
            <v>0</v>
          </cell>
          <cell r="I1425">
            <v>0</v>
          </cell>
          <cell r="J1425">
            <v>0</v>
          </cell>
          <cell r="K1425" t="str">
            <v>pcs</v>
          </cell>
          <cell r="L1425" t="str">
            <v>0</v>
          </cell>
        </row>
        <row r="1426">
          <cell r="F1426" t="str">
            <v>KWCK0120</v>
          </cell>
          <cell r="G1426" t="str">
            <v>SPATULA KAYU (TOKO DEWI)</v>
          </cell>
          <cell r="H1426">
            <v>0</v>
          </cell>
          <cell r="I1426">
            <v>0</v>
          </cell>
          <cell r="J1426">
            <v>0</v>
          </cell>
          <cell r="K1426" t="str">
            <v>pcs</v>
          </cell>
          <cell r="L1426" t="str">
            <v>0</v>
          </cell>
        </row>
        <row r="1427">
          <cell r="F1427" t="str">
            <v>KWCK0121</v>
          </cell>
          <cell r="G1427" t="str">
            <v>MAGNET KNIFE HOLDER 18"</v>
          </cell>
          <cell r="H1427">
            <v>0</v>
          </cell>
          <cell r="I1427">
            <v>0</v>
          </cell>
          <cell r="J1427">
            <v>0</v>
          </cell>
          <cell r="K1427" t="str">
            <v>pcs</v>
          </cell>
          <cell r="L1427" t="str">
            <v>0</v>
          </cell>
        </row>
        <row r="1428">
          <cell r="F1428" t="str">
            <v>KWCK0122</v>
          </cell>
          <cell r="G1428" t="str">
            <v>LADLE STAINLESS 120 CC</v>
          </cell>
          <cell r="H1428">
            <v>0</v>
          </cell>
          <cell r="I1428">
            <v>0</v>
          </cell>
          <cell r="J1428">
            <v>0</v>
          </cell>
          <cell r="K1428" t="str">
            <v>pcs</v>
          </cell>
          <cell r="L1428" t="str">
            <v>0</v>
          </cell>
        </row>
        <row r="1429">
          <cell r="F1429" t="str">
            <v>KWCK0123</v>
          </cell>
          <cell r="G1429" t="str">
            <v>ICE TONG 9"</v>
          </cell>
          <cell r="H1429">
            <v>0</v>
          </cell>
          <cell r="I1429">
            <v>0</v>
          </cell>
          <cell r="J1429">
            <v>0</v>
          </cell>
          <cell r="K1429" t="str">
            <v>pcs</v>
          </cell>
          <cell r="L1429" t="str">
            <v>0</v>
          </cell>
        </row>
        <row r="1430">
          <cell r="F1430" t="str">
            <v>KWCK0124</v>
          </cell>
          <cell r="G1430" t="str">
            <v>GAR TORCH ABURI</v>
          </cell>
          <cell r="H1430">
            <v>0</v>
          </cell>
          <cell r="I1430">
            <v>0</v>
          </cell>
          <cell r="J1430">
            <v>0</v>
          </cell>
          <cell r="K1430" t="str">
            <v>pcs</v>
          </cell>
          <cell r="L1430" t="str">
            <v>0</v>
          </cell>
        </row>
        <row r="1431">
          <cell r="F1431" t="str">
            <v>KWCK0125</v>
          </cell>
          <cell r="G1431" t="str">
            <v>FOOD TONG PANJANG 16"</v>
          </cell>
          <cell r="H1431">
            <v>0</v>
          </cell>
          <cell r="I1431">
            <v>0</v>
          </cell>
          <cell r="J1431">
            <v>0</v>
          </cell>
          <cell r="K1431" t="str">
            <v>pcs</v>
          </cell>
          <cell r="L1431" t="str">
            <v>0</v>
          </cell>
        </row>
        <row r="1432">
          <cell r="F1432" t="str">
            <v>KWCK0126</v>
          </cell>
          <cell r="G1432" t="str">
            <v>SUSHII MAT (TOKO DEWI)</v>
          </cell>
          <cell r="H1432">
            <v>0</v>
          </cell>
          <cell r="I1432">
            <v>0</v>
          </cell>
          <cell r="J1432">
            <v>0</v>
          </cell>
          <cell r="K1432" t="str">
            <v>pcs</v>
          </cell>
          <cell r="L1432" t="str">
            <v>0</v>
          </cell>
        </row>
        <row r="1433">
          <cell r="F1433" t="str">
            <v>KWCK0127</v>
          </cell>
          <cell r="G1433" t="str">
            <v>EMBER PLASTIK 80L + TUTUP</v>
          </cell>
          <cell r="H1433">
            <v>0</v>
          </cell>
          <cell r="I1433">
            <v>0</v>
          </cell>
          <cell r="J1433">
            <v>0</v>
          </cell>
          <cell r="K1433" t="str">
            <v>pcs</v>
          </cell>
          <cell r="L1433" t="str">
            <v>0</v>
          </cell>
        </row>
        <row r="1434">
          <cell r="F1434" t="str">
            <v>KWCK0128</v>
          </cell>
          <cell r="G1434" t="str">
            <v>SCRAPER PLASTIK PINK S 131 X 94 MM</v>
          </cell>
          <cell r="H1434">
            <v>0</v>
          </cell>
          <cell r="I1434">
            <v>0</v>
          </cell>
          <cell r="J1434">
            <v>0</v>
          </cell>
          <cell r="K1434" t="str">
            <v>pcs</v>
          </cell>
          <cell r="L1434" t="str">
            <v>0</v>
          </cell>
        </row>
        <row r="1435">
          <cell r="F1435" t="str">
            <v>KWCK0129</v>
          </cell>
          <cell r="G1435" t="str">
            <v>SCRAPER PLASTIK PINK M 155 X 106 MM</v>
          </cell>
          <cell r="H1435">
            <v>0</v>
          </cell>
          <cell r="I1435">
            <v>0</v>
          </cell>
          <cell r="J1435">
            <v>0</v>
          </cell>
          <cell r="K1435" t="str">
            <v>pcs</v>
          </cell>
          <cell r="L1435" t="str">
            <v>0</v>
          </cell>
        </row>
        <row r="1436">
          <cell r="F1436" t="str">
            <v>KWCK0130</v>
          </cell>
          <cell r="G1436" t="str">
            <v>TOPLES KRAN 15 L GREEN LEAF</v>
          </cell>
          <cell r="H1436">
            <v>0</v>
          </cell>
          <cell r="I1436">
            <v>0</v>
          </cell>
          <cell r="J1436">
            <v>0</v>
          </cell>
          <cell r="K1436" t="str">
            <v>pcs</v>
          </cell>
          <cell r="L1436" t="str">
            <v>0</v>
          </cell>
        </row>
        <row r="1437">
          <cell r="F1437" t="str">
            <v>KWCK0131</v>
          </cell>
          <cell r="G1437" t="str">
            <v>TOPLES 15 L + GAYUNG GREEN LEAF</v>
          </cell>
          <cell r="H1437">
            <v>0</v>
          </cell>
          <cell r="I1437">
            <v>0</v>
          </cell>
          <cell r="J1437">
            <v>0</v>
          </cell>
          <cell r="K1437" t="str">
            <v>pcs</v>
          </cell>
          <cell r="L1437" t="str">
            <v>0</v>
          </cell>
        </row>
        <row r="1438">
          <cell r="F1438" t="str">
            <v>KWCK0132</v>
          </cell>
          <cell r="G1438" t="str">
            <v>TEMPAT SAMPAH BIO 100 L GREEN LEAF</v>
          </cell>
          <cell r="H1438">
            <v>0</v>
          </cell>
          <cell r="I1438">
            <v>0</v>
          </cell>
          <cell r="J1438">
            <v>0</v>
          </cell>
          <cell r="K1438" t="str">
            <v>unit</v>
          </cell>
          <cell r="L1438" t="str">
            <v>0</v>
          </cell>
        </row>
        <row r="1439">
          <cell r="F1439" t="str">
            <v>KWCK0133</v>
          </cell>
          <cell r="G1439" t="str">
            <v>LADLE 240 CC</v>
          </cell>
          <cell r="H1439">
            <v>0</v>
          </cell>
          <cell r="I1439">
            <v>0</v>
          </cell>
          <cell r="J1439">
            <v>0</v>
          </cell>
          <cell r="K1439" t="str">
            <v>pcs</v>
          </cell>
          <cell r="L1439" t="str">
            <v>0</v>
          </cell>
        </row>
        <row r="1440">
          <cell r="F1440" t="str">
            <v>KWCK0134</v>
          </cell>
          <cell r="G1440" t="str">
            <v>ROLLING PIN GAGANG KAYU PUTAR ADONAN</v>
          </cell>
          <cell r="H1440">
            <v>0</v>
          </cell>
          <cell r="I1440">
            <v>0</v>
          </cell>
          <cell r="J1440">
            <v>0</v>
          </cell>
          <cell r="K1440" t="str">
            <v>pcs</v>
          </cell>
          <cell r="L1440" t="str">
            <v>0</v>
          </cell>
        </row>
        <row r="1441">
          <cell r="F1441" t="str">
            <v>KWCK0135</v>
          </cell>
          <cell r="G1441" t="str">
            <v>KONTAINER SHINPO 82 L</v>
          </cell>
          <cell r="H1441">
            <v>0</v>
          </cell>
          <cell r="I1441">
            <v>0</v>
          </cell>
          <cell r="J1441">
            <v>0</v>
          </cell>
          <cell r="K1441" t="str">
            <v>unit</v>
          </cell>
          <cell r="L1441" t="str">
            <v>0</v>
          </cell>
        </row>
        <row r="1442">
          <cell r="F1442" t="str">
            <v>KWCK0136</v>
          </cell>
          <cell r="G1442" t="str">
            <v>KONTAINER SHINPO 130 L</v>
          </cell>
          <cell r="H1442">
            <v>0</v>
          </cell>
          <cell r="I1442">
            <v>0</v>
          </cell>
          <cell r="J1442">
            <v>0</v>
          </cell>
          <cell r="K1442" t="str">
            <v>unit</v>
          </cell>
          <cell r="L1442" t="str">
            <v>0</v>
          </cell>
        </row>
        <row r="1443">
          <cell r="F1443" t="str">
            <v>KWCK0137</v>
          </cell>
          <cell r="G1443" t="str">
            <v>BOX CONTAINER RABIT 70 L</v>
          </cell>
          <cell r="H1443">
            <v>0</v>
          </cell>
          <cell r="I1443">
            <v>0</v>
          </cell>
          <cell r="J1443">
            <v>0</v>
          </cell>
          <cell r="K1443" t="str">
            <v>pcs</v>
          </cell>
          <cell r="L1443" t="str">
            <v>0</v>
          </cell>
        </row>
        <row r="1444">
          <cell r="F1444" t="str">
            <v>KWCK0138</v>
          </cell>
          <cell r="G1444" t="str">
            <v>SPATULA SILIKON - HIJAU</v>
          </cell>
          <cell r="H1444">
            <v>0</v>
          </cell>
          <cell r="I1444">
            <v>0</v>
          </cell>
          <cell r="J1444">
            <v>0</v>
          </cell>
          <cell r="K1444" t="str">
            <v>pcs</v>
          </cell>
          <cell r="L1444" t="str">
            <v>0</v>
          </cell>
        </row>
        <row r="1445">
          <cell r="F1445" t="str">
            <v>KWCK0139</v>
          </cell>
          <cell r="G1445" t="str">
            <v>BALLON WHISK 40 CM</v>
          </cell>
          <cell r="H1445">
            <v>0</v>
          </cell>
          <cell r="I1445">
            <v>0</v>
          </cell>
          <cell r="J1445">
            <v>0</v>
          </cell>
          <cell r="K1445" t="str">
            <v>pcs</v>
          </cell>
          <cell r="L1445" t="str">
            <v>0</v>
          </cell>
        </row>
        <row r="1446">
          <cell r="F1446" t="str">
            <v>KWCK0140</v>
          </cell>
          <cell r="G1446" t="str">
            <v>BLENDER PHILIPS HR2221 SERIES 5000</v>
          </cell>
          <cell r="H1446">
            <v>0</v>
          </cell>
          <cell r="I1446">
            <v>0</v>
          </cell>
          <cell r="J1446">
            <v>0</v>
          </cell>
          <cell r="K1446" t="str">
            <v>unit</v>
          </cell>
          <cell r="L1446" t="str">
            <v>0</v>
          </cell>
        </row>
        <row r="1447">
          <cell r="F1447" t="str">
            <v>KWCK0141</v>
          </cell>
          <cell r="G1447" t="str">
            <v>TERMOMETER HYGROMETER HTC-2</v>
          </cell>
          <cell r="H1447">
            <v>0</v>
          </cell>
          <cell r="I1447">
            <v>0</v>
          </cell>
          <cell r="J1447">
            <v>0</v>
          </cell>
          <cell r="K1447" t="str">
            <v>pcs</v>
          </cell>
          <cell r="L1447" t="str">
            <v>0</v>
          </cell>
        </row>
        <row r="1448">
          <cell r="F1448" t="str">
            <v>KWCK0142</v>
          </cell>
          <cell r="G1448" t="str">
            <v>KONTAINER HIJAU ATARI (60 X 40 X 38) + TUTUP BIRU</v>
          </cell>
          <cell r="H1448">
            <v>0</v>
          </cell>
          <cell r="I1448">
            <v>0</v>
          </cell>
          <cell r="J1448">
            <v>0</v>
          </cell>
          <cell r="K1448" t="str">
            <v>unit</v>
          </cell>
          <cell r="L1448" t="str">
            <v>0</v>
          </cell>
        </row>
        <row r="1449">
          <cell r="F1449" t="str">
            <v>KWCK0143</v>
          </cell>
          <cell r="G1449" t="str">
            <v>BOX DONATSU SHINPO 36.5 x 29 x 7.5 CM</v>
          </cell>
          <cell r="H1449">
            <v>0</v>
          </cell>
          <cell r="I1449">
            <v>0</v>
          </cell>
          <cell r="J1449">
            <v>0</v>
          </cell>
          <cell r="K1449" t="str">
            <v>pcs</v>
          </cell>
          <cell r="L1449" t="str">
            <v>0</v>
          </cell>
        </row>
        <row r="1450">
          <cell r="F1450" t="str">
            <v>KWCK0144</v>
          </cell>
          <cell r="G1450" t="str">
            <v>EMBER TONG AIR 120 L MERAH SHINPO + TUTUP</v>
          </cell>
          <cell r="H1450">
            <v>0</v>
          </cell>
          <cell r="I1450">
            <v>0</v>
          </cell>
          <cell r="J1450">
            <v>0</v>
          </cell>
          <cell r="K1450" t="str">
            <v>unit</v>
          </cell>
          <cell r="L1450" t="str">
            <v>0</v>
          </cell>
        </row>
        <row r="1451">
          <cell r="F1451" t="str">
            <v>KWCK0145</v>
          </cell>
          <cell r="G1451" t="str">
            <v>ALAT PEMBUANG BIJI CABE</v>
          </cell>
          <cell r="H1451">
            <v>0</v>
          </cell>
          <cell r="I1451">
            <v>0</v>
          </cell>
          <cell r="J1451">
            <v>0</v>
          </cell>
          <cell r="K1451" t="str">
            <v>pcs</v>
          </cell>
          <cell r="L1451" t="str">
            <v>0</v>
          </cell>
        </row>
        <row r="1452">
          <cell r="F1452" t="str">
            <v>KWCK0146</v>
          </cell>
          <cell r="G1452" t="str">
            <v>ALAT PEMBUKA KALENG</v>
          </cell>
          <cell r="H1452">
            <v>0</v>
          </cell>
          <cell r="I1452">
            <v>0</v>
          </cell>
          <cell r="J1452">
            <v>0</v>
          </cell>
          <cell r="K1452" t="str">
            <v>pcs</v>
          </cell>
          <cell r="L1452" t="str">
            <v>0</v>
          </cell>
        </row>
        <row r="1453">
          <cell r="F1453" t="str">
            <v>KWCK0147</v>
          </cell>
          <cell r="G1453" t="str">
            <v>Keset Karpet Anti Slip 50 x 120 cm (utk Sinmag)</v>
          </cell>
          <cell r="H1453">
            <v>0</v>
          </cell>
          <cell r="I1453">
            <v>0</v>
          </cell>
          <cell r="J1453">
            <v>0</v>
          </cell>
          <cell r="K1453" t="str">
            <v>lembar</v>
          </cell>
          <cell r="L1453" t="str">
            <v>0</v>
          </cell>
        </row>
        <row r="1454">
          <cell r="F1454" t="str">
            <v>MKT00001</v>
          </cell>
          <cell r="G1454" t="str">
            <v>MENU KERTAS A4</v>
          </cell>
          <cell r="H1454">
            <v>0</v>
          </cell>
          <cell r="I1454">
            <v>0</v>
          </cell>
          <cell r="J1454">
            <v>0</v>
          </cell>
          <cell r="K1454" t="str">
            <v>lembar</v>
          </cell>
          <cell r="L1454" t="str">
            <v>0</v>
          </cell>
        </row>
        <row r="1455">
          <cell r="F1455" t="str">
            <v>MKT00002</v>
          </cell>
          <cell r="G1455" t="str">
            <v>FLEXY BANNER</v>
          </cell>
          <cell r="H1455">
            <v>0</v>
          </cell>
          <cell r="I1455">
            <v>0</v>
          </cell>
          <cell r="J1455">
            <v>0</v>
          </cell>
          <cell r="K1455" t="str">
            <v>pcs</v>
          </cell>
          <cell r="L1455" t="str">
            <v>0</v>
          </cell>
        </row>
        <row r="1456">
          <cell r="F1456" t="str">
            <v>MKT00003</v>
          </cell>
          <cell r="G1456" t="str">
            <v>ROLL BANNER</v>
          </cell>
          <cell r="H1456">
            <v>0</v>
          </cell>
          <cell r="I1456">
            <v>0</v>
          </cell>
          <cell r="J1456">
            <v>0</v>
          </cell>
          <cell r="K1456" t="str">
            <v>ROLL</v>
          </cell>
          <cell r="L1456" t="str">
            <v>0</v>
          </cell>
        </row>
        <row r="1457">
          <cell r="F1457" t="str">
            <v>MKT00004</v>
          </cell>
          <cell r="G1457" t="str">
            <v>FOAMBOARD</v>
          </cell>
          <cell r="H1457">
            <v>0</v>
          </cell>
          <cell r="I1457">
            <v>0</v>
          </cell>
          <cell r="J1457">
            <v>0</v>
          </cell>
          <cell r="K1457" t="str">
            <v>pcs</v>
          </cell>
          <cell r="L1457" t="str">
            <v>0</v>
          </cell>
        </row>
        <row r="1458">
          <cell r="F1458" t="str">
            <v>MKT00005</v>
          </cell>
          <cell r="G1458" t="str">
            <v>FLYER B1G1 A5</v>
          </cell>
          <cell r="H1458">
            <v>0</v>
          </cell>
          <cell r="I1458">
            <v>0</v>
          </cell>
          <cell r="J1458">
            <v>0</v>
          </cell>
          <cell r="K1458" t="str">
            <v>lembar</v>
          </cell>
          <cell r="L1458" t="str">
            <v>0</v>
          </cell>
        </row>
        <row r="1459">
          <cell r="F1459" t="str">
            <v>MKT00006</v>
          </cell>
          <cell r="G1459" t="str">
            <v>LOMOCARD BTS HOLOGRAM 2 SISI</v>
          </cell>
          <cell r="H1459">
            <v>0</v>
          </cell>
          <cell r="I1459">
            <v>0</v>
          </cell>
          <cell r="J1459">
            <v>0</v>
          </cell>
          <cell r="K1459" t="str">
            <v>pack</v>
          </cell>
          <cell r="L1459" t="str">
            <v>0</v>
          </cell>
        </row>
        <row r="1460">
          <cell r="F1460" t="str">
            <v>MKT00007</v>
          </cell>
          <cell r="G1460" t="str">
            <v>AQUARIUM FISHBOWL</v>
          </cell>
          <cell r="H1460">
            <v>0</v>
          </cell>
          <cell r="I1460">
            <v>0</v>
          </cell>
          <cell r="J1460">
            <v>0</v>
          </cell>
          <cell r="K1460" t="str">
            <v>pcs</v>
          </cell>
          <cell r="L1460" t="str">
            <v>0</v>
          </cell>
        </row>
        <row r="1461">
          <cell r="F1461" t="str">
            <v>MKT00008</v>
          </cell>
          <cell r="G1461" t="str">
            <v>ID CARD KARYAWAN</v>
          </cell>
          <cell r="H1461">
            <v>0</v>
          </cell>
          <cell r="I1461">
            <v>0</v>
          </cell>
          <cell r="J1461">
            <v>0</v>
          </cell>
          <cell r="K1461" t="str">
            <v>pcs</v>
          </cell>
          <cell r="L1461" t="str">
            <v>0</v>
          </cell>
        </row>
        <row r="1462">
          <cell r="F1462" t="str">
            <v>MKT00009</v>
          </cell>
          <cell r="G1462" t="str">
            <v>LANYARD ID CARD</v>
          </cell>
          <cell r="H1462">
            <v>0</v>
          </cell>
          <cell r="I1462">
            <v>0</v>
          </cell>
          <cell r="J1462">
            <v>0</v>
          </cell>
          <cell r="K1462" t="str">
            <v>pcs</v>
          </cell>
          <cell r="L1462" t="str">
            <v>0</v>
          </cell>
        </row>
        <row r="1463">
          <cell r="F1463" t="str">
            <v>MKT00010</v>
          </cell>
          <cell r="G1463" t="str">
            <v>CARD HOLDER ID CARD</v>
          </cell>
          <cell r="H1463">
            <v>0</v>
          </cell>
          <cell r="I1463">
            <v>0</v>
          </cell>
          <cell r="J1463">
            <v>0</v>
          </cell>
          <cell r="K1463" t="str">
            <v>pcs</v>
          </cell>
          <cell r="L1463" t="str">
            <v>0</v>
          </cell>
        </row>
        <row r="1464">
          <cell r="F1464" t="str">
            <v>MKT00011</v>
          </cell>
          <cell r="G1464" t="str">
            <v>FEEDBACK QR</v>
          </cell>
          <cell r="H1464">
            <v>0</v>
          </cell>
          <cell r="I1464">
            <v>0</v>
          </cell>
          <cell r="J1464">
            <v>0</v>
          </cell>
          <cell r="K1464" t="str">
            <v>pcs</v>
          </cell>
          <cell r="L1464" t="str">
            <v>0</v>
          </cell>
        </row>
        <row r="1465">
          <cell r="F1465" t="str">
            <v>MKT00012</v>
          </cell>
          <cell r="G1465" t="str">
            <v>LOMOCARD NEW JEANS HOLOGRAM</v>
          </cell>
          <cell r="H1465">
            <v>0</v>
          </cell>
          <cell r="I1465">
            <v>0</v>
          </cell>
          <cell r="J1465">
            <v>0</v>
          </cell>
          <cell r="K1465" t="str">
            <v>pcs</v>
          </cell>
          <cell r="L1465" t="str">
            <v>0</v>
          </cell>
        </row>
        <row r="1466">
          <cell r="F1466" t="str">
            <v>MKT00013</v>
          </cell>
          <cell r="G1466" t="str">
            <v>LOMOCARD EXO HOLOGRAM</v>
          </cell>
          <cell r="H1466">
            <v>0</v>
          </cell>
          <cell r="I1466">
            <v>0</v>
          </cell>
          <cell r="J1466">
            <v>0</v>
          </cell>
          <cell r="K1466" t="str">
            <v>pcs</v>
          </cell>
          <cell r="L1466" t="str">
            <v>0</v>
          </cell>
        </row>
        <row r="1467">
          <cell r="F1467" t="str">
            <v>MKT00014</v>
          </cell>
          <cell r="G1467" t="str">
            <v>LOMOCARD RED VELVET HOLOGRAM</v>
          </cell>
          <cell r="H1467">
            <v>0</v>
          </cell>
          <cell r="I1467">
            <v>0</v>
          </cell>
          <cell r="J1467">
            <v>0</v>
          </cell>
          <cell r="K1467" t="str">
            <v>pcs</v>
          </cell>
          <cell r="L1467" t="str">
            <v>0</v>
          </cell>
        </row>
        <row r="1468">
          <cell r="F1468" t="str">
            <v>MKT00015</v>
          </cell>
          <cell r="G1468" t="str">
            <v>LOMOCARD G-IDLE HOLOGRAM</v>
          </cell>
          <cell r="H1468">
            <v>0</v>
          </cell>
          <cell r="I1468">
            <v>0</v>
          </cell>
          <cell r="J1468">
            <v>0</v>
          </cell>
          <cell r="K1468" t="str">
            <v>pcs</v>
          </cell>
          <cell r="L1468" t="str">
            <v>0</v>
          </cell>
        </row>
        <row r="1469">
          <cell r="F1469" t="str">
            <v>MKT00016</v>
          </cell>
          <cell r="G1469" t="str">
            <v>LOMOCARD JUNGKOOK</v>
          </cell>
          <cell r="H1469">
            <v>0</v>
          </cell>
          <cell r="I1469">
            <v>0</v>
          </cell>
          <cell r="J1469">
            <v>0</v>
          </cell>
          <cell r="K1469" t="str">
            <v>pcs</v>
          </cell>
          <cell r="L1469" t="str">
            <v>0</v>
          </cell>
        </row>
        <row r="1470">
          <cell r="F1470" t="str">
            <v>MKT00017</v>
          </cell>
          <cell r="G1470" t="str">
            <v>LOMOCARD V</v>
          </cell>
          <cell r="H1470">
            <v>0</v>
          </cell>
          <cell r="I1470">
            <v>0</v>
          </cell>
          <cell r="J1470">
            <v>0</v>
          </cell>
          <cell r="K1470" t="str">
            <v>pcs</v>
          </cell>
          <cell r="L1470" t="str">
            <v>0</v>
          </cell>
        </row>
        <row r="1471">
          <cell r="F1471" t="str">
            <v>MKT00018</v>
          </cell>
          <cell r="G1471" t="str">
            <v>MENU KERTA A5</v>
          </cell>
          <cell r="H1471">
            <v>0</v>
          </cell>
          <cell r="I1471">
            <v>0</v>
          </cell>
          <cell r="J1471">
            <v>0</v>
          </cell>
          <cell r="K1471" t="str">
            <v>lembar</v>
          </cell>
          <cell r="L1471" t="str">
            <v>0</v>
          </cell>
        </row>
        <row r="1472">
          <cell r="F1472" t="str">
            <v>MKT00019</v>
          </cell>
          <cell r="G1472" t="str">
            <v>WALL POSTER</v>
          </cell>
          <cell r="H1472">
            <v>0</v>
          </cell>
          <cell r="I1472">
            <v>0</v>
          </cell>
          <cell r="J1472">
            <v>0</v>
          </cell>
          <cell r="K1472" t="str">
            <v>pcs</v>
          </cell>
          <cell r="L1472" t="str">
            <v>0</v>
          </cell>
        </row>
        <row r="1473">
          <cell r="F1473" t="str">
            <v>MKT00020</v>
          </cell>
          <cell r="G1473" t="str">
            <v>POSTER MEDIA PROMO</v>
          </cell>
          <cell r="H1473">
            <v>0</v>
          </cell>
          <cell r="I1473">
            <v>0</v>
          </cell>
          <cell r="J1473">
            <v>0</v>
          </cell>
          <cell r="K1473" t="str">
            <v>pcs</v>
          </cell>
          <cell r="L1473" t="str">
            <v>0</v>
          </cell>
        </row>
        <row r="1474">
          <cell r="F1474" t="str">
            <v>MKT00021</v>
          </cell>
          <cell r="G1474" t="str">
            <v>LOMOCARD NCT DREAM</v>
          </cell>
          <cell r="H1474">
            <v>0</v>
          </cell>
          <cell r="I1474">
            <v>0</v>
          </cell>
          <cell r="J1474">
            <v>0</v>
          </cell>
          <cell r="K1474" t="str">
            <v>pack</v>
          </cell>
          <cell r="L1474" t="str">
            <v>0</v>
          </cell>
        </row>
        <row r="1475">
          <cell r="F1475" t="str">
            <v>MKT00022</v>
          </cell>
          <cell r="G1475" t="str">
            <v>HARDBOARD</v>
          </cell>
          <cell r="H1475">
            <v>0</v>
          </cell>
          <cell r="I1475">
            <v>0</v>
          </cell>
          <cell r="J1475">
            <v>0</v>
          </cell>
          <cell r="K1475" t="str">
            <v>pcs</v>
          </cell>
          <cell r="L1475" t="str">
            <v>0</v>
          </cell>
        </row>
        <row r="1476">
          <cell r="F1476" t="str">
            <v>MKT00023</v>
          </cell>
          <cell r="G1476" t="str">
            <v>VOCHER PROMO</v>
          </cell>
          <cell r="H1476">
            <v>0</v>
          </cell>
          <cell r="I1476">
            <v>0</v>
          </cell>
          <cell r="J1476">
            <v>0</v>
          </cell>
          <cell r="K1476" t="str">
            <v>buku</v>
          </cell>
          <cell r="L1476" t="str">
            <v>0</v>
          </cell>
        </row>
        <row r="1477">
          <cell r="F1477" t="str">
            <v>MKT00024</v>
          </cell>
          <cell r="G1477" t="str">
            <v>STICKER BUY 1 DRINK GET 1 FREE ICE CUP</v>
          </cell>
          <cell r="H1477">
            <v>0</v>
          </cell>
          <cell r="I1477">
            <v>0</v>
          </cell>
          <cell r="J1477">
            <v>0</v>
          </cell>
          <cell r="K1477" t="str">
            <v>lembar</v>
          </cell>
          <cell r="L1477" t="str">
            <v>0</v>
          </cell>
        </row>
        <row r="1478">
          <cell r="F1478" t="str">
            <v>MKT00025</v>
          </cell>
          <cell r="G1478" t="str">
            <v>FLYER 15 X 7 CM</v>
          </cell>
          <cell r="H1478">
            <v>0</v>
          </cell>
          <cell r="I1478">
            <v>0</v>
          </cell>
          <cell r="J1478">
            <v>0</v>
          </cell>
          <cell r="K1478" t="str">
            <v>pcs</v>
          </cell>
          <cell r="L1478" t="str">
            <v>0</v>
          </cell>
        </row>
        <row r="1479">
          <cell r="F1479" t="str">
            <v>MKT00026</v>
          </cell>
          <cell r="G1479" t="str">
            <v>MENU K-DRINK</v>
          </cell>
          <cell r="H1479">
            <v>0</v>
          </cell>
          <cell r="I1479">
            <v>0</v>
          </cell>
          <cell r="J1479">
            <v>0</v>
          </cell>
          <cell r="K1479" t="str">
            <v>pcs</v>
          </cell>
          <cell r="L1479" t="str">
            <v>0</v>
          </cell>
        </row>
        <row r="1480">
          <cell r="F1480" t="str">
            <v>MKT00027</v>
          </cell>
          <cell r="G1480" t="str">
            <v>FREESTANDING POSTER LED</v>
          </cell>
          <cell r="H1480">
            <v>0</v>
          </cell>
          <cell r="I1480">
            <v>0</v>
          </cell>
          <cell r="J1480">
            <v>0</v>
          </cell>
          <cell r="K1480" t="str">
            <v>unit</v>
          </cell>
          <cell r="L1480" t="str">
            <v>0</v>
          </cell>
        </row>
        <row r="1481">
          <cell r="F1481" t="str">
            <v>MKT00028</v>
          </cell>
          <cell r="G1481" t="str">
            <v>TRIPOD STANDING BANNER</v>
          </cell>
          <cell r="H1481">
            <v>0</v>
          </cell>
          <cell r="I1481">
            <v>0</v>
          </cell>
          <cell r="J1481">
            <v>0</v>
          </cell>
          <cell r="K1481" t="str">
            <v>pcs</v>
          </cell>
          <cell r="L1481" t="str">
            <v>0</v>
          </cell>
        </row>
        <row r="1482">
          <cell r="F1482" t="str">
            <v>MKT00029</v>
          </cell>
          <cell r="G1482" t="str">
            <v>FRAME SIDEWALKSIGN PAVEMENT</v>
          </cell>
          <cell r="H1482">
            <v>0</v>
          </cell>
          <cell r="I1482">
            <v>0</v>
          </cell>
          <cell r="J1482">
            <v>0</v>
          </cell>
          <cell r="K1482" t="str">
            <v>pcs</v>
          </cell>
          <cell r="L1482" t="str">
            <v>0</v>
          </cell>
        </row>
        <row r="1483">
          <cell r="F1483" t="str">
            <v>MKT00030</v>
          </cell>
          <cell r="G1483" t="str">
            <v>STICKER LOGO HANGUKSU</v>
          </cell>
          <cell r="H1483">
            <v>0</v>
          </cell>
          <cell r="I1483">
            <v>0</v>
          </cell>
          <cell r="J1483">
            <v>0</v>
          </cell>
          <cell r="K1483" t="str">
            <v>lembar</v>
          </cell>
          <cell r="L1483" t="str">
            <v>0</v>
          </cell>
        </row>
        <row r="1484">
          <cell r="F1484" t="str">
            <v>MKT00031</v>
          </cell>
          <cell r="G1484" t="str">
            <v>HUMAN STANDEE</v>
          </cell>
          <cell r="H1484">
            <v>0</v>
          </cell>
          <cell r="I1484">
            <v>0</v>
          </cell>
          <cell r="J1484">
            <v>0</v>
          </cell>
          <cell r="K1484" t="str">
            <v>pcs</v>
          </cell>
          <cell r="L1484" t="str">
            <v>0</v>
          </cell>
        </row>
        <row r="1485">
          <cell r="F1485" t="str">
            <v>MKT00032</v>
          </cell>
          <cell r="G1485" t="str">
            <v>FLYER A5</v>
          </cell>
          <cell r="H1485">
            <v>0</v>
          </cell>
          <cell r="I1485">
            <v>0</v>
          </cell>
          <cell r="J1485">
            <v>0</v>
          </cell>
          <cell r="K1485" t="str">
            <v>lembar</v>
          </cell>
          <cell r="L1485" t="str">
            <v>0</v>
          </cell>
        </row>
        <row r="1486">
          <cell r="F1486" t="str">
            <v>MKT00033</v>
          </cell>
          <cell r="G1486" t="str">
            <v>VOID BANNER</v>
          </cell>
          <cell r="H1486">
            <v>0</v>
          </cell>
          <cell r="I1486">
            <v>0</v>
          </cell>
          <cell r="J1486">
            <v>0</v>
          </cell>
          <cell r="K1486" t="str">
            <v>pcs</v>
          </cell>
          <cell r="L1486" t="str">
            <v>0</v>
          </cell>
        </row>
        <row r="1487">
          <cell r="F1487" t="str">
            <v>MKT00034</v>
          </cell>
          <cell r="G1487" t="str">
            <v>VERTIKAL BANNER</v>
          </cell>
          <cell r="H1487">
            <v>0</v>
          </cell>
          <cell r="I1487">
            <v>0</v>
          </cell>
          <cell r="J1487">
            <v>0</v>
          </cell>
          <cell r="K1487" t="str">
            <v>pcs</v>
          </cell>
          <cell r="L1487" t="str">
            <v>0</v>
          </cell>
        </row>
        <row r="1488">
          <cell r="F1488" t="str">
            <v>MKT00035</v>
          </cell>
          <cell r="G1488" t="str">
            <v>LIGHT BOX</v>
          </cell>
          <cell r="H1488">
            <v>0</v>
          </cell>
          <cell r="I1488">
            <v>0</v>
          </cell>
          <cell r="J1488">
            <v>0</v>
          </cell>
          <cell r="K1488" t="str">
            <v>pcs</v>
          </cell>
          <cell r="L1488" t="str">
            <v>0</v>
          </cell>
        </row>
        <row r="1489">
          <cell r="F1489" t="str">
            <v>MKT00036</v>
          </cell>
          <cell r="G1489" t="str">
            <v>RALLING BANNER</v>
          </cell>
          <cell r="H1489">
            <v>0</v>
          </cell>
          <cell r="I1489">
            <v>0</v>
          </cell>
          <cell r="J1489">
            <v>0</v>
          </cell>
          <cell r="K1489" t="str">
            <v>pcs</v>
          </cell>
          <cell r="L1489" t="str">
            <v>0</v>
          </cell>
        </row>
        <row r="1490">
          <cell r="F1490" t="str">
            <v>MKT00037</v>
          </cell>
          <cell r="G1490" t="str">
            <v>GIANT BANNER</v>
          </cell>
          <cell r="H1490">
            <v>0</v>
          </cell>
          <cell r="I1490">
            <v>0</v>
          </cell>
          <cell r="J1490">
            <v>0</v>
          </cell>
          <cell r="K1490" t="str">
            <v>pcs</v>
          </cell>
          <cell r="L1490" t="str">
            <v>0</v>
          </cell>
        </row>
        <row r="1491">
          <cell r="F1491" t="str">
            <v>MKT00038</v>
          </cell>
          <cell r="G1491" t="str">
            <v>TULISAN RESERVASI</v>
          </cell>
          <cell r="H1491">
            <v>0</v>
          </cell>
          <cell r="I1491">
            <v>0</v>
          </cell>
          <cell r="J1491">
            <v>0</v>
          </cell>
          <cell r="K1491" t="str">
            <v>pcs</v>
          </cell>
          <cell r="L1491" t="str">
            <v>0</v>
          </cell>
        </row>
        <row r="1492">
          <cell r="F1492" t="str">
            <v>MKT00039</v>
          </cell>
          <cell r="G1492" t="str">
            <v>TULISAN CARDLESS</v>
          </cell>
          <cell r="H1492">
            <v>0</v>
          </cell>
          <cell r="I1492">
            <v>0</v>
          </cell>
          <cell r="J1492">
            <v>0</v>
          </cell>
          <cell r="K1492" t="str">
            <v>pcs</v>
          </cell>
          <cell r="L1492" t="str">
            <v>0</v>
          </cell>
        </row>
        <row r="1493">
          <cell r="F1493" t="str">
            <v>MKT00040</v>
          </cell>
          <cell r="G1493" t="str">
            <v>POSTER LIGHTBOX</v>
          </cell>
          <cell r="H1493">
            <v>0</v>
          </cell>
          <cell r="I1493">
            <v>0</v>
          </cell>
          <cell r="J1493">
            <v>0</v>
          </cell>
          <cell r="K1493" t="str">
            <v>pcs</v>
          </cell>
          <cell r="L1493" t="str">
            <v>0</v>
          </cell>
        </row>
        <row r="1494">
          <cell r="F1494" t="str">
            <v>MKT00041</v>
          </cell>
          <cell r="G1494" t="str">
            <v>STICKER FLOOR HANGUKSU PHOTOBOOTH</v>
          </cell>
          <cell r="H1494">
            <v>0</v>
          </cell>
          <cell r="I1494">
            <v>0</v>
          </cell>
          <cell r="J1494">
            <v>0</v>
          </cell>
          <cell r="K1494" t="str">
            <v>pcs</v>
          </cell>
          <cell r="L1494" t="str">
            <v>0</v>
          </cell>
        </row>
        <row r="1495">
          <cell r="F1495" t="str">
            <v>MKT00042</v>
          </cell>
          <cell r="G1495" t="str">
            <v>MATERI PROMOSI LIGHT BOX</v>
          </cell>
          <cell r="H1495">
            <v>0</v>
          </cell>
          <cell r="I1495">
            <v>0</v>
          </cell>
          <cell r="J1495">
            <v>0</v>
          </cell>
          <cell r="K1495" t="str">
            <v>pcs</v>
          </cell>
          <cell r="L1495" t="str">
            <v>0</v>
          </cell>
        </row>
        <row r="1496">
          <cell r="F1496" t="str">
            <v>MKT00043</v>
          </cell>
          <cell r="G1496" t="str">
            <v>STICKER HARGA CORN TEA</v>
          </cell>
          <cell r="H1496">
            <v>0</v>
          </cell>
          <cell r="I1496">
            <v>0</v>
          </cell>
          <cell r="J1496">
            <v>0</v>
          </cell>
          <cell r="K1496" t="str">
            <v>pcs</v>
          </cell>
          <cell r="L1496" t="str">
            <v>0</v>
          </cell>
        </row>
        <row r="1497">
          <cell r="F1497" t="str">
            <v>MKT00044</v>
          </cell>
          <cell r="G1497" t="str">
            <v>STICKER PINTU SAKURA - HANGUKSU</v>
          </cell>
          <cell r="H1497">
            <v>0</v>
          </cell>
          <cell r="I1497">
            <v>0</v>
          </cell>
          <cell r="J1497">
            <v>0</v>
          </cell>
          <cell r="K1497" t="str">
            <v>pcs</v>
          </cell>
          <cell r="L1497" t="str">
            <v>0</v>
          </cell>
        </row>
        <row r="1498">
          <cell r="F1498" t="str">
            <v>MKT00045</v>
          </cell>
          <cell r="G1498" t="str">
            <v>STICKER JJUGUMI</v>
          </cell>
          <cell r="H1498">
            <v>0</v>
          </cell>
          <cell r="I1498">
            <v>0</v>
          </cell>
          <cell r="J1498">
            <v>0</v>
          </cell>
          <cell r="K1498" t="str">
            <v>lembar</v>
          </cell>
          <cell r="L1498" t="str">
            <v>0</v>
          </cell>
        </row>
        <row r="1499">
          <cell r="F1499" t="str">
            <v>MKT00046</v>
          </cell>
          <cell r="G1499" t="str">
            <v>HOLLOW</v>
          </cell>
          <cell r="H1499">
            <v>0</v>
          </cell>
          <cell r="I1499">
            <v>0</v>
          </cell>
          <cell r="J1499">
            <v>0</v>
          </cell>
          <cell r="K1499" t="str">
            <v>pcs</v>
          </cell>
          <cell r="L1499" t="str">
            <v>0</v>
          </cell>
        </row>
        <row r="1500">
          <cell r="F1500" t="str">
            <v>MKT00048</v>
          </cell>
          <cell r="G1500" t="str">
            <v>VOUCHER 50000 HANGUKSU</v>
          </cell>
          <cell r="H1500">
            <v>0</v>
          </cell>
          <cell r="I1500">
            <v>0</v>
          </cell>
          <cell r="J1500">
            <v>0</v>
          </cell>
          <cell r="K1500" t="str">
            <v>pcs</v>
          </cell>
          <cell r="L1500" t="str">
            <v>0</v>
          </cell>
        </row>
        <row r="1501">
          <cell r="F1501" t="str">
            <v>MKT00049</v>
          </cell>
          <cell r="G1501" t="str">
            <v>STICKER W 17.5</v>
          </cell>
          <cell r="H1501">
            <v>0</v>
          </cell>
          <cell r="I1501">
            <v>0</v>
          </cell>
          <cell r="J1501">
            <v>0</v>
          </cell>
          <cell r="K1501" t="str">
            <v>pcs</v>
          </cell>
          <cell r="L1501" t="str">
            <v>0</v>
          </cell>
        </row>
        <row r="1502">
          <cell r="F1502" t="str">
            <v>MKT00050</v>
          </cell>
          <cell r="G1502" t="str">
            <v>STICKER BOTOL SABUN A 3</v>
          </cell>
          <cell r="H1502">
            <v>0</v>
          </cell>
          <cell r="I1502">
            <v>0</v>
          </cell>
          <cell r="J1502">
            <v>0</v>
          </cell>
          <cell r="K1502" t="str">
            <v>pcs</v>
          </cell>
          <cell r="L1502" t="str">
            <v>0</v>
          </cell>
        </row>
        <row r="1503">
          <cell r="F1503" t="str">
            <v>MKT00051</v>
          </cell>
          <cell r="G1503" t="str">
            <v>VOUCHER FREE RAPOKKI CHADOL</v>
          </cell>
          <cell r="H1503">
            <v>0</v>
          </cell>
          <cell r="I1503">
            <v>0</v>
          </cell>
          <cell r="J1503">
            <v>0</v>
          </cell>
          <cell r="K1503" t="str">
            <v>pcs</v>
          </cell>
          <cell r="L1503" t="str">
            <v>0</v>
          </cell>
        </row>
        <row r="1504">
          <cell r="F1504" t="str">
            <v>MRP00001</v>
          </cell>
          <cell r="G1504" t="str">
            <v>ENTERANCE MAT (KESET ANTISLIP)</v>
          </cell>
          <cell r="H1504">
            <v>0</v>
          </cell>
          <cell r="I1504">
            <v>0</v>
          </cell>
          <cell r="J1504">
            <v>0</v>
          </cell>
          <cell r="K1504" t="str">
            <v>pcs</v>
          </cell>
          <cell r="L1504" t="str">
            <v>0</v>
          </cell>
        </row>
        <row r="1505">
          <cell r="F1505" t="str">
            <v>MRP00002</v>
          </cell>
          <cell r="G1505" t="str">
            <v>LEM GAJAH</v>
          </cell>
          <cell r="H1505">
            <v>0</v>
          </cell>
          <cell r="I1505">
            <v>0</v>
          </cell>
          <cell r="J1505">
            <v>0</v>
          </cell>
          <cell r="K1505" t="str">
            <v>pcs</v>
          </cell>
          <cell r="L1505" t="str">
            <v>0</v>
          </cell>
        </row>
        <row r="1506">
          <cell r="F1506" t="str">
            <v>MRP00003</v>
          </cell>
          <cell r="G1506" t="str">
            <v>POS</v>
          </cell>
          <cell r="H1506">
            <v>0</v>
          </cell>
          <cell r="I1506">
            <v>0</v>
          </cell>
          <cell r="J1506">
            <v>0</v>
          </cell>
          <cell r="K1506" t="str">
            <v>unit</v>
          </cell>
          <cell r="L1506" t="str">
            <v>0</v>
          </cell>
        </row>
        <row r="1507">
          <cell r="F1507" t="str">
            <v>MRP00004</v>
          </cell>
          <cell r="G1507" t="str">
            <v>LAMPU T5 28 WATT</v>
          </cell>
          <cell r="H1507">
            <v>0</v>
          </cell>
          <cell r="I1507">
            <v>0</v>
          </cell>
          <cell r="J1507">
            <v>0</v>
          </cell>
          <cell r="K1507" t="str">
            <v>pcs</v>
          </cell>
          <cell r="L1507" t="str">
            <v>0</v>
          </cell>
        </row>
        <row r="1508">
          <cell r="F1508" t="str">
            <v>MRP00005</v>
          </cell>
          <cell r="G1508" t="str">
            <v>SELANG GAS RINNAI RG-622</v>
          </cell>
          <cell r="H1508">
            <v>0</v>
          </cell>
          <cell r="I1508">
            <v>0</v>
          </cell>
          <cell r="J1508">
            <v>0</v>
          </cell>
          <cell r="K1508" t="str">
            <v>pcs</v>
          </cell>
          <cell r="L1508" t="str">
            <v>0</v>
          </cell>
        </row>
        <row r="1509">
          <cell r="F1509" t="str">
            <v>MRP00006</v>
          </cell>
          <cell r="G1509" t="str">
            <v>REGULATOR</v>
          </cell>
          <cell r="H1509">
            <v>0</v>
          </cell>
          <cell r="I1509">
            <v>0</v>
          </cell>
          <cell r="J1509">
            <v>0</v>
          </cell>
          <cell r="K1509" t="str">
            <v>set</v>
          </cell>
          <cell r="L1509" t="str">
            <v>0</v>
          </cell>
        </row>
        <row r="1510">
          <cell r="F1510" t="str">
            <v>MRP00007</v>
          </cell>
          <cell r="G1510" t="str">
            <v>UTICON S138SW STOP KONTAK 3 LUBANG STEKER ARDE SAKLAR</v>
          </cell>
          <cell r="H1510">
            <v>0</v>
          </cell>
          <cell r="I1510">
            <v>0</v>
          </cell>
          <cell r="J1510">
            <v>0</v>
          </cell>
          <cell r="K1510" t="str">
            <v>pcs</v>
          </cell>
          <cell r="L1510" t="str">
            <v>0</v>
          </cell>
        </row>
        <row r="1511">
          <cell r="F1511" t="str">
            <v>MRP00008</v>
          </cell>
          <cell r="G1511" t="str">
            <v>KABEL ROLL 10 M</v>
          </cell>
          <cell r="H1511">
            <v>0</v>
          </cell>
          <cell r="I1511">
            <v>0</v>
          </cell>
          <cell r="J1511">
            <v>0</v>
          </cell>
          <cell r="K1511" t="str">
            <v>pcs</v>
          </cell>
          <cell r="L1511" t="str">
            <v>0</v>
          </cell>
        </row>
        <row r="1512">
          <cell r="F1512" t="str">
            <v>MRP00009</v>
          </cell>
          <cell r="G1512" t="str">
            <v>POMPA AIR</v>
          </cell>
          <cell r="H1512">
            <v>0</v>
          </cell>
          <cell r="I1512">
            <v>0</v>
          </cell>
          <cell r="J1512">
            <v>0</v>
          </cell>
          <cell r="K1512" t="str">
            <v>pcs</v>
          </cell>
          <cell r="L1512" t="str">
            <v>0</v>
          </cell>
        </row>
        <row r="1513">
          <cell r="F1513" t="str">
            <v>MRP00010</v>
          </cell>
          <cell r="G1513" t="str">
            <v>KABEL HDMI V2.0 VENTION KABEL</v>
          </cell>
          <cell r="H1513">
            <v>0</v>
          </cell>
          <cell r="I1513">
            <v>0</v>
          </cell>
          <cell r="J1513">
            <v>0</v>
          </cell>
          <cell r="K1513" t="str">
            <v>pcs</v>
          </cell>
          <cell r="L1513" t="str">
            <v>0</v>
          </cell>
        </row>
        <row r="1514">
          <cell r="F1514" t="str">
            <v>MRP00011</v>
          </cell>
          <cell r="G1514" t="str">
            <v>BROCO COLOKAN GEPENG</v>
          </cell>
          <cell r="H1514">
            <v>0</v>
          </cell>
          <cell r="I1514">
            <v>0</v>
          </cell>
          <cell r="J1514">
            <v>0</v>
          </cell>
          <cell r="K1514" t="str">
            <v>pcs</v>
          </cell>
          <cell r="L1514" t="str">
            <v>0</v>
          </cell>
        </row>
        <row r="1515">
          <cell r="F1515" t="str">
            <v>MRP00012</v>
          </cell>
          <cell r="G1515" t="str">
            <v>ADAPTOR KEPALA BATOK MCDODO 18 W</v>
          </cell>
          <cell r="H1515">
            <v>0</v>
          </cell>
          <cell r="I1515">
            <v>0</v>
          </cell>
          <cell r="J1515">
            <v>0</v>
          </cell>
          <cell r="K1515" t="str">
            <v>pcs</v>
          </cell>
          <cell r="L1515" t="str">
            <v>0</v>
          </cell>
        </row>
        <row r="1516">
          <cell r="F1516" t="str">
            <v>MRP00013</v>
          </cell>
          <cell r="G1516" t="str">
            <v>KRISBOW PENAHAN KABEL</v>
          </cell>
          <cell r="H1516">
            <v>0</v>
          </cell>
          <cell r="I1516">
            <v>0</v>
          </cell>
          <cell r="J1516">
            <v>0</v>
          </cell>
          <cell r="K1516" t="str">
            <v>pcs</v>
          </cell>
          <cell r="L1516" t="str">
            <v>0</v>
          </cell>
        </row>
        <row r="1517">
          <cell r="F1517" t="str">
            <v>MRP00014</v>
          </cell>
          <cell r="G1517" t="str">
            <v>LAMPU VIQUA VH 200 ULTRA VIOLET</v>
          </cell>
          <cell r="H1517">
            <v>0</v>
          </cell>
          <cell r="I1517">
            <v>0</v>
          </cell>
          <cell r="J1517">
            <v>0</v>
          </cell>
          <cell r="K1517" t="str">
            <v>pcs</v>
          </cell>
          <cell r="L1517" t="str">
            <v>0</v>
          </cell>
        </row>
        <row r="1518">
          <cell r="F1518" t="str">
            <v>MRP00015</v>
          </cell>
          <cell r="G1518" t="str">
            <v>COLOKAN 4 LUBANG + KABEL 3 METER + STEKER L</v>
          </cell>
          <cell r="H1518">
            <v>0</v>
          </cell>
          <cell r="I1518">
            <v>0</v>
          </cell>
          <cell r="J1518">
            <v>0</v>
          </cell>
          <cell r="K1518" t="str">
            <v>unit</v>
          </cell>
          <cell r="L1518" t="str">
            <v>0</v>
          </cell>
        </row>
        <row r="1519">
          <cell r="F1519" t="str">
            <v>MRP00016</v>
          </cell>
          <cell r="G1519" t="str">
            <v>BROCO ADAPTOR UNIVERSAL</v>
          </cell>
          <cell r="H1519">
            <v>0</v>
          </cell>
          <cell r="I1519">
            <v>0</v>
          </cell>
          <cell r="J1519">
            <v>0</v>
          </cell>
          <cell r="K1519" t="str">
            <v>pcs</v>
          </cell>
          <cell r="L1519" t="str">
            <v>0</v>
          </cell>
        </row>
        <row r="1520">
          <cell r="F1520" t="str">
            <v>MRP00017</v>
          </cell>
          <cell r="G1520" t="str">
            <v>KABEL NYM  3 X 2,5 M</v>
          </cell>
          <cell r="H1520">
            <v>0</v>
          </cell>
          <cell r="I1520">
            <v>0</v>
          </cell>
          <cell r="J1520">
            <v>0</v>
          </cell>
          <cell r="K1520" t="str">
            <v>meter</v>
          </cell>
          <cell r="L1520" t="str">
            <v>0</v>
          </cell>
        </row>
        <row r="1521">
          <cell r="F1521" t="str">
            <v>MRP00018</v>
          </cell>
          <cell r="G1521" t="str">
            <v>STEKER BROCO</v>
          </cell>
          <cell r="H1521">
            <v>0</v>
          </cell>
          <cell r="I1521">
            <v>0</v>
          </cell>
          <cell r="J1521">
            <v>0</v>
          </cell>
          <cell r="K1521" t="str">
            <v>pcs</v>
          </cell>
          <cell r="L1521" t="str">
            <v>0</v>
          </cell>
        </row>
        <row r="1522">
          <cell r="F1522" t="str">
            <v>MRP00019</v>
          </cell>
          <cell r="G1522" t="str">
            <v>STOP KONTAK 6 LUBANG</v>
          </cell>
          <cell r="H1522">
            <v>0</v>
          </cell>
          <cell r="I1522">
            <v>0</v>
          </cell>
          <cell r="J1522">
            <v>0</v>
          </cell>
          <cell r="K1522" t="str">
            <v>pcs</v>
          </cell>
          <cell r="L1522" t="str">
            <v>0</v>
          </cell>
        </row>
        <row r="1523">
          <cell r="F1523" t="str">
            <v>MRP00020</v>
          </cell>
          <cell r="G1523" t="str">
            <v>KABEL TELEPON</v>
          </cell>
          <cell r="H1523">
            <v>0</v>
          </cell>
          <cell r="I1523">
            <v>0</v>
          </cell>
          <cell r="J1523">
            <v>0</v>
          </cell>
          <cell r="K1523" t="str">
            <v>pcs</v>
          </cell>
          <cell r="L1523" t="str">
            <v>0</v>
          </cell>
        </row>
        <row r="1524">
          <cell r="F1524" t="str">
            <v>MRP00021</v>
          </cell>
          <cell r="G1524" t="str">
            <v>TRIPOD BESTOOL Q09</v>
          </cell>
          <cell r="H1524">
            <v>0</v>
          </cell>
          <cell r="I1524">
            <v>0</v>
          </cell>
          <cell r="J1524">
            <v>0</v>
          </cell>
          <cell r="K1524" t="str">
            <v>unit</v>
          </cell>
          <cell r="L1524" t="str">
            <v>0</v>
          </cell>
        </row>
        <row r="1525">
          <cell r="F1525" t="str">
            <v>MRP00022</v>
          </cell>
          <cell r="G1525" t="str">
            <v>ROLAND STICKER LAMINATING DOFF 5 MM</v>
          </cell>
          <cell r="H1525">
            <v>0</v>
          </cell>
          <cell r="I1525">
            <v>0</v>
          </cell>
          <cell r="J1525">
            <v>0</v>
          </cell>
          <cell r="K1525" t="str">
            <v>pcs</v>
          </cell>
          <cell r="L1525" t="str">
            <v>0</v>
          </cell>
        </row>
        <row r="1526">
          <cell r="F1526" t="str">
            <v>MRP00023</v>
          </cell>
          <cell r="G1526" t="str">
            <v>FILTER AIR CTO / KARBON 10 INCH</v>
          </cell>
          <cell r="H1526">
            <v>0</v>
          </cell>
          <cell r="I1526">
            <v>0</v>
          </cell>
          <cell r="J1526">
            <v>0</v>
          </cell>
          <cell r="K1526" t="str">
            <v>pcs</v>
          </cell>
          <cell r="L1526" t="str">
            <v>0</v>
          </cell>
        </row>
        <row r="1527">
          <cell r="F1527" t="str">
            <v>MRP00024</v>
          </cell>
          <cell r="G1527" t="str">
            <v>FILTER AIR GAC 10 INCH</v>
          </cell>
          <cell r="H1527">
            <v>0</v>
          </cell>
          <cell r="I1527">
            <v>0</v>
          </cell>
          <cell r="J1527">
            <v>0</v>
          </cell>
          <cell r="K1527" t="str">
            <v>pcs</v>
          </cell>
          <cell r="L1527" t="str">
            <v>0</v>
          </cell>
        </row>
        <row r="1528">
          <cell r="F1528" t="str">
            <v>MRP00025</v>
          </cell>
          <cell r="G1528" t="str">
            <v>FILTER AIR GAC 20 INCH</v>
          </cell>
          <cell r="H1528">
            <v>0</v>
          </cell>
          <cell r="I1528">
            <v>0</v>
          </cell>
          <cell r="J1528">
            <v>0</v>
          </cell>
          <cell r="K1528" t="str">
            <v>pcs</v>
          </cell>
          <cell r="L1528" t="str">
            <v>0</v>
          </cell>
        </row>
        <row r="1529">
          <cell r="F1529" t="str">
            <v>MRP00026</v>
          </cell>
          <cell r="G1529" t="str">
            <v>FILTER AIR SEDIMEN NANO 5 MIKRON</v>
          </cell>
          <cell r="H1529">
            <v>0</v>
          </cell>
          <cell r="I1529">
            <v>0</v>
          </cell>
          <cell r="J1529">
            <v>0</v>
          </cell>
          <cell r="K1529" t="str">
            <v>pcs</v>
          </cell>
          <cell r="L1529" t="str">
            <v>0</v>
          </cell>
        </row>
        <row r="1530">
          <cell r="F1530" t="str">
            <v>MRP00027</v>
          </cell>
          <cell r="G1530" t="str">
            <v>FILTER AIR CTO 20 INCH</v>
          </cell>
          <cell r="H1530">
            <v>0</v>
          </cell>
          <cell r="I1530">
            <v>0</v>
          </cell>
          <cell r="J1530">
            <v>0</v>
          </cell>
          <cell r="K1530" t="str">
            <v>pcs</v>
          </cell>
          <cell r="L1530" t="str">
            <v>0</v>
          </cell>
        </row>
        <row r="1531">
          <cell r="F1531" t="str">
            <v>MRP00028</v>
          </cell>
          <cell r="G1531" t="str">
            <v>KEPALA GAS</v>
          </cell>
          <cell r="H1531">
            <v>0</v>
          </cell>
          <cell r="I1531">
            <v>0</v>
          </cell>
          <cell r="J1531">
            <v>0</v>
          </cell>
          <cell r="K1531" t="str">
            <v>pcs</v>
          </cell>
          <cell r="L1531" t="str">
            <v>0</v>
          </cell>
        </row>
        <row r="1532">
          <cell r="F1532" t="str">
            <v>MRP00029</v>
          </cell>
          <cell r="G1532" t="str">
            <v>LAMPU UV PERANGKAP SERANGGA</v>
          </cell>
          <cell r="H1532">
            <v>0</v>
          </cell>
          <cell r="I1532">
            <v>0</v>
          </cell>
          <cell r="J1532">
            <v>0</v>
          </cell>
          <cell r="K1532" t="str">
            <v>pcs</v>
          </cell>
          <cell r="L1532" t="str">
            <v>0</v>
          </cell>
        </row>
        <row r="1533">
          <cell r="F1533" t="str">
            <v>MRP00030</v>
          </cell>
          <cell r="G1533" t="str">
            <v>PP SEDIMENT FILTER CARTRIDGE 5 MIKRON 20 INCH D10,7CM</v>
          </cell>
          <cell r="H1533">
            <v>0</v>
          </cell>
          <cell r="I1533">
            <v>0</v>
          </cell>
          <cell r="J1533">
            <v>0</v>
          </cell>
          <cell r="K1533" t="str">
            <v>pcs</v>
          </cell>
          <cell r="L1533" t="str">
            <v>0</v>
          </cell>
        </row>
        <row r="1534">
          <cell r="F1534" t="str">
            <v>MRP00031</v>
          </cell>
          <cell r="G1534" t="str">
            <v>TABUNG PENGUIN FILTER AIR 20 INCH + PP CARTRIDGE</v>
          </cell>
          <cell r="H1534">
            <v>0</v>
          </cell>
          <cell r="I1534">
            <v>0</v>
          </cell>
          <cell r="J1534">
            <v>0</v>
          </cell>
          <cell r="K1534" t="str">
            <v>unit</v>
          </cell>
          <cell r="L1534" t="str">
            <v>0</v>
          </cell>
        </row>
        <row r="1535">
          <cell r="F1535" t="str">
            <v>MRP00032</v>
          </cell>
          <cell r="G1535" t="str">
            <v>TABUNG PENGUIN FILTER AIR 20 INCH + CARTRIDGE CTO</v>
          </cell>
          <cell r="H1535">
            <v>0</v>
          </cell>
          <cell r="I1535">
            <v>0</v>
          </cell>
          <cell r="J1535">
            <v>0</v>
          </cell>
          <cell r="K1535" t="str">
            <v>unit</v>
          </cell>
          <cell r="L1535" t="str">
            <v>0</v>
          </cell>
        </row>
        <row r="1536">
          <cell r="F1536" t="str">
            <v>MRP00033</v>
          </cell>
          <cell r="G1536" t="str">
            <v>TABUNG BLEU PENGUIN FILTER AIR 20 INCH+GAC FILTER</v>
          </cell>
          <cell r="H1536">
            <v>0</v>
          </cell>
          <cell r="I1536">
            <v>0</v>
          </cell>
          <cell r="J1536">
            <v>0</v>
          </cell>
          <cell r="K1536" t="str">
            <v>unit</v>
          </cell>
          <cell r="L1536" t="str">
            <v>0</v>
          </cell>
        </row>
        <row r="1537">
          <cell r="F1537" t="str">
            <v>MRP00034</v>
          </cell>
          <cell r="G1537" t="str">
            <v>LAMPU EMERGENCY</v>
          </cell>
          <cell r="H1537">
            <v>0</v>
          </cell>
          <cell r="I1537">
            <v>0</v>
          </cell>
          <cell r="J1537">
            <v>0</v>
          </cell>
          <cell r="K1537" t="str">
            <v>pcs</v>
          </cell>
          <cell r="L1537" t="str">
            <v>0</v>
          </cell>
        </row>
        <row r="1538">
          <cell r="F1538" t="str">
            <v>MRP00035</v>
          </cell>
          <cell r="G1538" t="str">
            <v>KABEL COLOKAN 5 M + 4 POS TERMINAL</v>
          </cell>
          <cell r="H1538">
            <v>0</v>
          </cell>
          <cell r="I1538">
            <v>0</v>
          </cell>
          <cell r="J1538">
            <v>0</v>
          </cell>
          <cell r="K1538" t="str">
            <v>unit</v>
          </cell>
          <cell r="L1538" t="str">
            <v>0</v>
          </cell>
        </row>
        <row r="1539">
          <cell r="F1539" t="str">
            <v>MRP00036</v>
          </cell>
          <cell r="G1539" t="str">
            <v>KABEL 2 X 15</v>
          </cell>
          <cell r="H1539">
            <v>0</v>
          </cell>
          <cell r="I1539">
            <v>0</v>
          </cell>
          <cell r="J1539">
            <v>0</v>
          </cell>
          <cell r="K1539" t="str">
            <v>meter</v>
          </cell>
          <cell r="L1539" t="str">
            <v>0</v>
          </cell>
        </row>
        <row r="1540">
          <cell r="F1540" t="str">
            <v>MRP00037</v>
          </cell>
          <cell r="G1540" t="str">
            <v>LAMPU TEMBAK/LAMPU SOROT</v>
          </cell>
          <cell r="H1540">
            <v>0</v>
          </cell>
          <cell r="I1540">
            <v>0</v>
          </cell>
          <cell r="J1540">
            <v>0</v>
          </cell>
          <cell r="K1540" t="str">
            <v>pcs</v>
          </cell>
          <cell r="L1540" t="str">
            <v>0</v>
          </cell>
        </row>
        <row r="1541">
          <cell r="F1541" t="str">
            <v>MRP00038</v>
          </cell>
          <cell r="G1541" t="str">
            <v>1 SET FILTER AIR RO 1000 GPD</v>
          </cell>
          <cell r="H1541">
            <v>0</v>
          </cell>
          <cell r="I1541">
            <v>0</v>
          </cell>
          <cell r="J1541">
            <v>0</v>
          </cell>
          <cell r="K1541" t="str">
            <v>unit</v>
          </cell>
          <cell r="L1541" t="str">
            <v>0</v>
          </cell>
        </row>
        <row r="1542">
          <cell r="F1542" t="str">
            <v>MRP00039</v>
          </cell>
          <cell r="G1542" t="str">
            <v>TABUNG FRP WATERTECH 10 X 54</v>
          </cell>
          <cell r="H1542">
            <v>0</v>
          </cell>
          <cell r="I1542">
            <v>0</v>
          </cell>
          <cell r="J1542">
            <v>0</v>
          </cell>
          <cell r="K1542" t="str">
            <v>unit</v>
          </cell>
          <cell r="L1542" t="str">
            <v>0</v>
          </cell>
        </row>
        <row r="1543">
          <cell r="F1543" t="str">
            <v>MRP00040</v>
          </cell>
          <cell r="G1543" t="str">
            <v>VALVE AUTOMATIC FOR FILTER F67C</v>
          </cell>
          <cell r="H1543">
            <v>0</v>
          </cell>
          <cell r="I1543">
            <v>0</v>
          </cell>
          <cell r="J1543">
            <v>0</v>
          </cell>
          <cell r="K1543" t="str">
            <v>unit</v>
          </cell>
          <cell r="L1543" t="str">
            <v>0</v>
          </cell>
        </row>
        <row r="1544">
          <cell r="F1544" t="str">
            <v>MRP00041</v>
          </cell>
          <cell r="G1544" t="str">
            <v>ACTIVATED CARBON 800MG/G</v>
          </cell>
          <cell r="H1544">
            <v>0</v>
          </cell>
          <cell r="I1544">
            <v>0</v>
          </cell>
          <cell r="J1544">
            <v>0</v>
          </cell>
          <cell r="K1544" t="str">
            <v>kg</v>
          </cell>
          <cell r="L1544" t="str">
            <v>0</v>
          </cell>
        </row>
        <row r="1545">
          <cell r="F1545" t="str">
            <v>MRP00042</v>
          </cell>
          <cell r="G1545" t="str">
            <v>GREASE TRAP</v>
          </cell>
          <cell r="H1545">
            <v>0</v>
          </cell>
          <cell r="I1545">
            <v>0</v>
          </cell>
          <cell r="J1545">
            <v>0</v>
          </cell>
          <cell r="K1545" t="str">
            <v>unit</v>
          </cell>
          <cell r="L1545" t="str">
            <v>0</v>
          </cell>
        </row>
        <row r="1546">
          <cell r="F1546" t="str">
            <v>MRP00043</v>
          </cell>
          <cell r="G1546" t="str">
            <v>SEDIMENT FILTER CARTRIDGE 1 MIKRON 20 INCH D10,7CM</v>
          </cell>
          <cell r="H1546">
            <v>0</v>
          </cell>
          <cell r="I1546">
            <v>0</v>
          </cell>
          <cell r="J1546">
            <v>0</v>
          </cell>
          <cell r="K1546" t="str">
            <v>pcs</v>
          </cell>
          <cell r="L1546" t="str">
            <v>0</v>
          </cell>
        </row>
        <row r="1547">
          <cell r="F1547" t="str">
            <v>MRP00044</v>
          </cell>
          <cell r="G1547" t="str">
            <v>ADAPTOR CHARGER XIAOMI 33W</v>
          </cell>
          <cell r="H1547">
            <v>0</v>
          </cell>
          <cell r="I1547">
            <v>0</v>
          </cell>
          <cell r="J1547">
            <v>0</v>
          </cell>
          <cell r="K1547" t="str">
            <v>pcs</v>
          </cell>
          <cell r="L1547" t="str">
            <v>0</v>
          </cell>
        </row>
        <row r="1548">
          <cell r="F1548" t="str">
            <v>MRP00045</v>
          </cell>
          <cell r="G1548" t="str">
            <v>PP CARTRIDGE/SEDIMENT</v>
          </cell>
          <cell r="H1548">
            <v>0</v>
          </cell>
          <cell r="I1548">
            <v>0</v>
          </cell>
          <cell r="J1548">
            <v>0</v>
          </cell>
          <cell r="K1548" t="str">
            <v>pcs</v>
          </cell>
          <cell r="L1548" t="str">
            <v>0</v>
          </cell>
        </row>
        <row r="1549">
          <cell r="F1549" t="str">
            <v>MRP00046</v>
          </cell>
          <cell r="G1549" t="str">
            <v>FLASHDISK</v>
          </cell>
          <cell r="H1549">
            <v>0</v>
          </cell>
          <cell r="I1549">
            <v>0</v>
          </cell>
          <cell r="J1549">
            <v>0</v>
          </cell>
          <cell r="K1549" t="str">
            <v>pcs</v>
          </cell>
          <cell r="L1549" t="str">
            <v>0</v>
          </cell>
        </row>
        <row r="1550">
          <cell r="F1550" t="str">
            <v>MRP00047</v>
          </cell>
          <cell r="G1550" t="str">
            <v>LAMPU JEPIT FLEKSIBLE E27</v>
          </cell>
          <cell r="H1550">
            <v>0</v>
          </cell>
          <cell r="I1550">
            <v>0</v>
          </cell>
          <cell r="J1550">
            <v>0</v>
          </cell>
          <cell r="K1550" t="str">
            <v>pcs</v>
          </cell>
          <cell r="L1550" t="str">
            <v>0</v>
          </cell>
        </row>
        <row r="1551">
          <cell r="F1551" t="str">
            <v>MRP00048</v>
          </cell>
          <cell r="G1551" t="str">
            <v>RIBBON BARCODE WAX 100 X 300</v>
          </cell>
          <cell r="H1551">
            <v>0</v>
          </cell>
          <cell r="I1551">
            <v>0</v>
          </cell>
          <cell r="J1551">
            <v>0</v>
          </cell>
          <cell r="K1551" t="str">
            <v>pcs</v>
          </cell>
          <cell r="L1551" t="str">
            <v>0</v>
          </cell>
        </row>
        <row r="1552">
          <cell r="F1552" t="str">
            <v>MRP00049</v>
          </cell>
          <cell r="G1552" t="str">
            <v>GREASE TRAP CUSTOM STAINLESS STEEL 400 X 300X 250</v>
          </cell>
          <cell r="H1552">
            <v>0</v>
          </cell>
          <cell r="I1552">
            <v>0</v>
          </cell>
          <cell r="J1552">
            <v>0</v>
          </cell>
          <cell r="K1552" t="str">
            <v>unit</v>
          </cell>
          <cell r="L1552" t="str">
            <v>0</v>
          </cell>
        </row>
        <row r="1553">
          <cell r="F1553" t="str">
            <v>MRP00050</v>
          </cell>
          <cell r="G1553" t="str">
            <v>MESIN ADVANCE SEDIMEN FILTER 14"</v>
          </cell>
          <cell r="H1553">
            <v>0</v>
          </cell>
          <cell r="I1553">
            <v>0</v>
          </cell>
          <cell r="J1553">
            <v>0</v>
          </cell>
          <cell r="K1553" t="str">
            <v>unit</v>
          </cell>
          <cell r="L1553" t="str">
            <v>0</v>
          </cell>
        </row>
        <row r="1554">
          <cell r="F1554" t="str">
            <v>MRP00051</v>
          </cell>
          <cell r="G1554" t="str">
            <v>KABEL LAN RJ-45</v>
          </cell>
          <cell r="H1554">
            <v>0</v>
          </cell>
          <cell r="I1554">
            <v>0</v>
          </cell>
          <cell r="J1554">
            <v>0</v>
          </cell>
          <cell r="K1554" t="str">
            <v>ROLL</v>
          </cell>
          <cell r="L1554" t="str">
            <v>0</v>
          </cell>
        </row>
        <row r="1555">
          <cell r="F1555" t="str">
            <v>MRP00052</v>
          </cell>
          <cell r="G1555" t="str">
            <v>KUNCI L LIPAT</v>
          </cell>
          <cell r="H1555">
            <v>0</v>
          </cell>
          <cell r="I1555">
            <v>0</v>
          </cell>
          <cell r="J1555">
            <v>0</v>
          </cell>
          <cell r="K1555" t="str">
            <v>pcs</v>
          </cell>
          <cell r="L1555" t="str">
            <v>0</v>
          </cell>
        </row>
        <row r="1556">
          <cell r="F1556" t="str">
            <v>MRP00053</v>
          </cell>
          <cell r="G1556" t="str">
            <v>LEM CAULK 10.1 OZ</v>
          </cell>
          <cell r="H1556">
            <v>0</v>
          </cell>
          <cell r="I1556">
            <v>0</v>
          </cell>
          <cell r="J1556">
            <v>0</v>
          </cell>
          <cell r="K1556" t="str">
            <v>pcs</v>
          </cell>
          <cell r="L1556" t="str">
            <v>0</v>
          </cell>
        </row>
        <row r="1557">
          <cell r="F1557" t="str">
            <v>MRP00054</v>
          </cell>
          <cell r="G1557" t="str">
            <v>SIKAT BOOM AP 750  ML</v>
          </cell>
          <cell r="H1557">
            <v>0</v>
          </cell>
          <cell r="I1557">
            <v>0</v>
          </cell>
          <cell r="J1557">
            <v>0</v>
          </cell>
          <cell r="K1557" t="str">
            <v>ml</v>
          </cell>
          <cell r="L1557" t="str">
            <v>0</v>
          </cell>
        </row>
        <row r="1558">
          <cell r="F1558" t="str">
            <v>MRP00055</v>
          </cell>
          <cell r="G1558" t="str">
            <v>KABEL HDMI B06. VENTION</v>
          </cell>
          <cell r="H1558">
            <v>0</v>
          </cell>
          <cell r="I1558">
            <v>0</v>
          </cell>
          <cell r="J1558">
            <v>0</v>
          </cell>
          <cell r="K1558" t="str">
            <v>pcs</v>
          </cell>
          <cell r="L1558" t="str">
            <v>0</v>
          </cell>
        </row>
        <row r="1559">
          <cell r="F1559" t="str">
            <v>MRP00056</v>
          </cell>
          <cell r="G1559" t="str">
            <v>KABEL USB 3.0</v>
          </cell>
          <cell r="H1559">
            <v>0</v>
          </cell>
          <cell r="I1559">
            <v>0</v>
          </cell>
          <cell r="J1559">
            <v>0</v>
          </cell>
          <cell r="K1559" t="str">
            <v>pcs</v>
          </cell>
          <cell r="L1559" t="str">
            <v>0</v>
          </cell>
        </row>
        <row r="1560">
          <cell r="F1560" t="str">
            <v>MRP00057</v>
          </cell>
          <cell r="G1560" t="str">
            <v>STEKER T</v>
          </cell>
          <cell r="H1560">
            <v>0</v>
          </cell>
          <cell r="I1560">
            <v>0</v>
          </cell>
          <cell r="J1560">
            <v>0</v>
          </cell>
          <cell r="K1560" t="str">
            <v>pcs</v>
          </cell>
          <cell r="L1560" t="str">
            <v>0</v>
          </cell>
        </row>
        <row r="1561">
          <cell r="F1561" t="str">
            <v>MRP00058</v>
          </cell>
          <cell r="G1561" t="str">
            <v>LAMPU MR16 LED</v>
          </cell>
          <cell r="H1561">
            <v>0</v>
          </cell>
          <cell r="I1561">
            <v>0</v>
          </cell>
          <cell r="J1561">
            <v>0</v>
          </cell>
          <cell r="K1561" t="str">
            <v>pcs</v>
          </cell>
          <cell r="L1561" t="str">
            <v>0</v>
          </cell>
        </row>
        <row r="1562">
          <cell r="F1562" t="str">
            <v>MRP00059</v>
          </cell>
          <cell r="G1562" t="str">
            <v>KUNCI INGRIS</v>
          </cell>
          <cell r="H1562">
            <v>0</v>
          </cell>
          <cell r="I1562">
            <v>0</v>
          </cell>
          <cell r="J1562">
            <v>0</v>
          </cell>
          <cell r="K1562" t="str">
            <v>pcs</v>
          </cell>
          <cell r="L1562" t="str">
            <v>0</v>
          </cell>
        </row>
        <row r="1563">
          <cell r="F1563" t="str">
            <v>MRP00060</v>
          </cell>
          <cell r="G1563" t="str">
            <v>LINGGIS</v>
          </cell>
          <cell r="H1563">
            <v>0</v>
          </cell>
          <cell r="I1563">
            <v>0</v>
          </cell>
          <cell r="J1563">
            <v>0</v>
          </cell>
          <cell r="K1563" t="str">
            <v>pcs</v>
          </cell>
          <cell r="L1563" t="str">
            <v>0</v>
          </cell>
        </row>
        <row r="1564">
          <cell r="F1564" t="str">
            <v>MRP00061</v>
          </cell>
          <cell r="G1564" t="str">
            <v>GASKET KARET UNDER COUNTER CHILLER 39 X 60 CM</v>
          </cell>
          <cell r="H1564">
            <v>0</v>
          </cell>
          <cell r="I1564">
            <v>0</v>
          </cell>
          <cell r="J1564">
            <v>0</v>
          </cell>
          <cell r="K1564" t="str">
            <v>pcs</v>
          </cell>
          <cell r="L1564" t="str">
            <v>0</v>
          </cell>
        </row>
        <row r="1565">
          <cell r="F1565" t="str">
            <v>MRP00062</v>
          </cell>
          <cell r="G1565" t="str">
            <v>LAMPU LED GODOX P120C</v>
          </cell>
          <cell r="H1565">
            <v>0</v>
          </cell>
          <cell r="I1565">
            <v>0</v>
          </cell>
          <cell r="J1565">
            <v>0</v>
          </cell>
          <cell r="K1565" t="str">
            <v>unit</v>
          </cell>
          <cell r="L1565" t="str">
            <v>0</v>
          </cell>
        </row>
        <row r="1566">
          <cell r="F1566" t="str">
            <v>MRP00063</v>
          </cell>
          <cell r="G1566" t="str">
            <v>LAMPU TL NEON T5 LED 18 WATT</v>
          </cell>
          <cell r="H1566">
            <v>0</v>
          </cell>
          <cell r="I1566">
            <v>0</v>
          </cell>
          <cell r="J1566">
            <v>0</v>
          </cell>
          <cell r="K1566" t="str">
            <v>pcs</v>
          </cell>
          <cell r="L1566" t="str">
            <v>0</v>
          </cell>
        </row>
        <row r="1567">
          <cell r="F1567" t="str">
            <v>MRP00064</v>
          </cell>
          <cell r="G1567" t="str">
            <v>KDK EXHAUST INDUSTRIAL FAN 16"</v>
          </cell>
          <cell r="H1567">
            <v>0</v>
          </cell>
          <cell r="I1567">
            <v>0</v>
          </cell>
          <cell r="J1567">
            <v>0</v>
          </cell>
          <cell r="K1567" t="str">
            <v>unit</v>
          </cell>
          <cell r="L1567" t="str">
            <v>0</v>
          </cell>
        </row>
        <row r="1568">
          <cell r="F1568" t="str">
            <v>MRP00065</v>
          </cell>
          <cell r="G1568" t="str">
            <v>LEM PVC</v>
          </cell>
          <cell r="H1568">
            <v>0</v>
          </cell>
          <cell r="I1568">
            <v>0</v>
          </cell>
          <cell r="J1568">
            <v>0</v>
          </cell>
          <cell r="K1568" t="str">
            <v>pcs</v>
          </cell>
          <cell r="L1568" t="str">
            <v>0</v>
          </cell>
        </row>
        <row r="1569">
          <cell r="F1569" t="str">
            <v>MRP00066</v>
          </cell>
          <cell r="G1569" t="str">
            <v>KLEMAN KABEL</v>
          </cell>
          <cell r="H1569">
            <v>0</v>
          </cell>
          <cell r="I1569">
            <v>0</v>
          </cell>
          <cell r="J1569">
            <v>0</v>
          </cell>
          <cell r="K1569" t="str">
            <v>pack</v>
          </cell>
          <cell r="L1569" t="str">
            <v>0</v>
          </cell>
        </row>
        <row r="1570">
          <cell r="F1570" t="str">
            <v>MRP00067</v>
          </cell>
          <cell r="G1570" t="str">
            <v>ISOLASI NITTO PVC</v>
          </cell>
          <cell r="H1570">
            <v>0</v>
          </cell>
          <cell r="I1570">
            <v>0</v>
          </cell>
          <cell r="J1570">
            <v>0</v>
          </cell>
          <cell r="K1570" t="str">
            <v>ROLL</v>
          </cell>
          <cell r="L1570" t="str">
            <v>0</v>
          </cell>
        </row>
        <row r="1571">
          <cell r="F1571" t="str">
            <v>MRP00068</v>
          </cell>
          <cell r="G1571" t="str">
            <v>CLOUD LAMP (LAMPU GANTUNG BUNGA) HANGUKSU</v>
          </cell>
          <cell r="H1571">
            <v>0</v>
          </cell>
          <cell r="I1571">
            <v>0</v>
          </cell>
          <cell r="J1571">
            <v>0</v>
          </cell>
          <cell r="K1571" t="str">
            <v>pcs</v>
          </cell>
          <cell r="L1571" t="str">
            <v>0</v>
          </cell>
        </row>
        <row r="1572">
          <cell r="F1572" t="str">
            <v>MRP00069</v>
          </cell>
          <cell r="G1572" t="str">
            <v>COLOKAN UNIVERSAL SOCKEY 3 MATA</v>
          </cell>
          <cell r="H1572">
            <v>0</v>
          </cell>
          <cell r="I1572">
            <v>0</v>
          </cell>
          <cell r="J1572">
            <v>0</v>
          </cell>
          <cell r="K1572" t="str">
            <v>pcs</v>
          </cell>
          <cell r="L1572" t="str">
            <v>0</v>
          </cell>
        </row>
        <row r="1573">
          <cell r="F1573" t="str">
            <v>MRP00070</v>
          </cell>
          <cell r="G1573" t="str">
            <v>FILTER CARBON 234 MM</v>
          </cell>
          <cell r="H1573">
            <v>0</v>
          </cell>
          <cell r="I1573">
            <v>0</v>
          </cell>
          <cell r="J1573">
            <v>0</v>
          </cell>
          <cell r="K1573" t="str">
            <v>pcs</v>
          </cell>
          <cell r="L1573" t="str">
            <v>0</v>
          </cell>
        </row>
        <row r="1574">
          <cell r="F1574" t="str">
            <v>MRP00071</v>
          </cell>
          <cell r="G1574" t="str">
            <v>KABEL SAMBUNG KOMPUTER</v>
          </cell>
          <cell r="H1574">
            <v>0</v>
          </cell>
          <cell r="I1574">
            <v>0</v>
          </cell>
          <cell r="J1574">
            <v>0</v>
          </cell>
          <cell r="K1574" t="str">
            <v>pcs</v>
          </cell>
          <cell r="L1574" t="str">
            <v>0</v>
          </cell>
        </row>
        <row r="1575">
          <cell r="F1575" t="str">
            <v>MRP00072</v>
          </cell>
          <cell r="G1575" t="str">
            <v>KUNCI GEMBOK ROCKBROS 3220001</v>
          </cell>
          <cell r="H1575">
            <v>0</v>
          </cell>
          <cell r="I1575">
            <v>0</v>
          </cell>
          <cell r="J1575">
            <v>0</v>
          </cell>
          <cell r="K1575" t="str">
            <v>pcs</v>
          </cell>
          <cell r="L1575" t="str">
            <v>0</v>
          </cell>
        </row>
        <row r="1576">
          <cell r="F1576" t="str">
            <v>MRP00073</v>
          </cell>
          <cell r="G1576" t="str">
            <v>LAMPU 8WATT</v>
          </cell>
          <cell r="H1576">
            <v>0</v>
          </cell>
          <cell r="I1576">
            <v>0</v>
          </cell>
          <cell r="J1576">
            <v>0</v>
          </cell>
          <cell r="K1576" t="str">
            <v>pcs</v>
          </cell>
          <cell r="L1576" t="str">
            <v>0</v>
          </cell>
        </row>
        <row r="1577">
          <cell r="F1577" t="str">
            <v>MRP00074</v>
          </cell>
          <cell r="G1577" t="str">
            <v>ADAPTORP PRINTER HPRT</v>
          </cell>
          <cell r="H1577">
            <v>0</v>
          </cell>
          <cell r="I1577">
            <v>0</v>
          </cell>
          <cell r="J1577">
            <v>0</v>
          </cell>
          <cell r="K1577" t="str">
            <v>pcs</v>
          </cell>
          <cell r="L1577" t="str">
            <v>0</v>
          </cell>
        </row>
        <row r="1578">
          <cell r="F1578" t="str">
            <v>MRP00075</v>
          </cell>
          <cell r="G1578" t="str">
            <v>KABEL ROLL 3/3M</v>
          </cell>
          <cell r="H1578">
            <v>0</v>
          </cell>
          <cell r="I1578">
            <v>0</v>
          </cell>
          <cell r="J1578">
            <v>0</v>
          </cell>
          <cell r="K1578" t="str">
            <v>ROLL</v>
          </cell>
          <cell r="L1578" t="str">
            <v>0</v>
          </cell>
        </row>
        <row r="1579">
          <cell r="F1579" t="str">
            <v>MRP00076</v>
          </cell>
          <cell r="G1579" t="str">
            <v>KRAN ONDA V-TUL KERAN CUCI PIRING ANGSA FLEXYBEL</v>
          </cell>
          <cell r="H1579">
            <v>0</v>
          </cell>
          <cell r="I1579">
            <v>0</v>
          </cell>
          <cell r="J1579">
            <v>0</v>
          </cell>
          <cell r="K1579" t="str">
            <v>pcs</v>
          </cell>
          <cell r="L1579" t="str">
            <v>0</v>
          </cell>
        </row>
        <row r="1580">
          <cell r="F1580" t="str">
            <v>MRP00077</v>
          </cell>
          <cell r="G1580" t="str">
            <v>SEAL TAPE</v>
          </cell>
          <cell r="H1580">
            <v>0</v>
          </cell>
          <cell r="I1580">
            <v>0</v>
          </cell>
          <cell r="J1580">
            <v>0</v>
          </cell>
          <cell r="K1580" t="str">
            <v>pcs</v>
          </cell>
          <cell r="L1580" t="str">
            <v>0</v>
          </cell>
        </row>
        <row r="1581">
          <cell r="F1581" t="str">
            <v>MRP00078</v>
          </cell>
          <cell r="G1581" t="str">
            <v>PITA SEALING BELT CONTINUOUS BAND SEALER 75 CM</v>
          </cell>
          <cell r="H1581">
            <v>0</v>
          </cell>
          <cell r="I1581">
            <v>0</v>
          </cell>
          <cell r="J1581">
            <v>0</v>
          </cell>
          <cell r="K1581" t="str">
            <v>pcs</v>
          </cell>
          <cell r="L1581" t="str">
            <v>0</v>
          </cell>
        </row>
        <row r="1582">
          <cell r="F1582" t="str">
            <v>MRP00079</v>
          </cell>
          <cell r="G1582" t="str">
            <v>RODA TROLLY</v>
          </cell>
          <cell r="H1582">
            <v>0</v>
          </cell>
          <cell r="I1582">
            <v>0</v>
          </cell>
          <cell r="J1582">
            <v>0</v>
          </cell>
          <cell r="K1582" t="str">
            <v>pcs</v>
          </cell>
          <cell r="L1582" t="str">
            <v>0</v>
          </cell>
        </row>
        <row r="1583">
          <cell r="F1583" t="str">
            <v>MRP00080</v>
          </cell>
          <cell r="G1583" t="str">
            <v>FILTER HOOD</v>
          </cell>
          <cell r="H1583">
            <v>0</v>
          </cell>
          <cell r="I1583">
            <v>0</v>
          </cell>
          <cell r="J1583">
            <v>0</v>
          </cell>
          <cell r="K1583" t="str">
            <v>pcs</v>
          </cell>
          <cell r="L1583" t="str">
            <v>0</v>
          </cell>
        </row>
        <row r="1584">
          <cell r="F1584" t="str">
            <v>MRP00081</v>
          </cell>
          <cell r="G1584" t="str">
            <v>GASKET UCC 39.5 X 60.5 CM</v>
          </cell>
          <cell r="H1584">
            <v>0</v>
          </cell>
          <cell r="I1584">
            <v>0</v>
          </cell>
          <cell r="J1584">
            <v>0</v>
          </cell>
          <cell r="K1584" t="str">
            <v>pcs</v>
          </cell>
          <cell r="L1584" t="str">
            <v>0</v>
          </cell>
        </row>
        <row r="1585">
          <cell r="F1585" t="str">
            <v>MRP00082</v>
          </cell>
          <cell r="G1585" t="str">
            <v>GEMBOK TAS GREE</v>
          </cell>
          <cell r="H1585">
            <v>0</v>
          </cell>
          <cell r="I1585">
            <v>0</v>
          </cell>
          <cell r="J1585">
            <v>0</v>
          </cell>
          <cell r="K1585" t="str">
            <v>pcs</v>
          </cell>
          <cell r="L1585" t="str">
            <v>0</v>
          </cell>
        </row>
        <row r="1586">
          <cell r="F1586" t="str">
            <v>MRP00083</v>
          </cell>
          <cell r="G1586" t="str">
            <v>SAKLAR</v>
          </cell>
          <cell r="H1586">
            <v>0</v>
          </cell>
          <cell r="I1586">
            <v>0</v>
          </cell>
          <cell r="J1586">
            <v>0</v>
          </cell>
          <cell r="K1586" t="str">
            <v>pcs</v>
          </cell>
          <cell r="L1586" t="str">
            <v>0</v>
          </cell>
        </row>
        <row r="1587">
          <cell r="F1587" t="str">
            <v>MRP00084</v>
          </cell>
          <cell r="G1587" t="str">
            <v>ISI LEM TEMBAK</v>
          </cell>
          <cell r="H1587">
            <v>0</v>
          </cell>
          <cell r="I1587">
            <v>0</v>
          </cell>
          <cell r="J1587">
            <v>0</v>
          </cell>
          <cell r="K1587" t="str">
            <v>pcs</v>
          </cell>
          <cell r="L1587" t="str">
            <v>0</v>
          </cell>
        </row>
        <row r="1588">
          <cell r="F1588" t="str">
            <v>MRP00085</v>
          </cell>
          <cell r="G1588" t="str">
            <v>CHARGER VIVO TYPE C USB MICRO</v>
          </cell>
          <cell r="H1588">
            <v>0</v>
          </cell>
          <cell r="I1588">
            <v>0</v>
          </cell>
          <cell r="J1588">
            <v>0</v>
          </cell>
          <cell r="K1588" t="str">
            <v>pcs</v>
          </cell>
          <cell r="L1588" t="str">
            <v>0</v>
          </cell>
        </row>
        <row r="1589">
          <cell r="F1589" t="str">
            <v>MRP00086</v>
          </cell>
          <cell r="G1589" t="str">
            <v>TALLED TRAFO POWER SUPPLU WATERPROF ADAPTOR</v>
          </cell>
          <cell r="H1589">
            <v>0</v>
          </cell>
          <cell r="I1589">
            <v>0</v>
          </cell>
          <cell r="J1589">
            <v>0</v>
          </cell>
          <cell r="K1589" t="str">
            <v>pcs</v>
          </cell>
          <cell r="L1589" t="str">
            <v>0</v>
          </cell>
        </row>
        <row r="1590">
          <cell r="F1590" t="str">
            <v>MRP00087</v>
          </cell>
          <cell r="G1590" t="str">
            <v>ANODIZERT</v>
          </cell>
          <cell r="H1590">
            <v>0</v>
          </cell>
          <cell r="I1590">
            <v>0</v>
          </cell>
          <cell r="J1590">
            <v>0</v>
          </cell>
          <cell r="K1590" t="str">
            <v>pcs</v>
          </cell>
          <cell r="L1590" t="str">
            <v>0</v>
          </cell>
        </row>
        <row r="1591">
          <cell r="F1591" t="str">
            <v>MRP00088</v>
          </cell>
          <cell r="G1591" t="str">
            <v>KABEL POWER PC</v>
          </cell>
          <cell r="H1591">
            <v>0</v>
          </cell>
          <cell r="I1591">
            <v>0</v>
          </cell>
          <cell r="J1591">
            <v>0</v>
          </cell>
          <cell r="K1591" t="str">
            <v>pcs</v>
          </cell>
          <cell r="L1591" t="str">
            <v>0</v>
          </cell>
        </row>
        <row r="1592">
          <cell r="F1592" t="str">
            <v>MRP00089</v>
          </cell>
          <cell r="G1592" t="str">
            <v>KABEL VETION KABEL AUX MALE BAG FABRIC 1,5 M</v>
          </cell>
          <cell r="H1592">
            <v>0</v>
          </cell>
          <cell r="I1592">
            <v>0</v>
          </cell>
          <cell r="J1592">
            <v>0</v>
          </cell>
          <cell r="K1592" t="str">
            <v>pcs</v>
          </cell>
          <cell r="L1592" t="str">
            <v>0</v>
          </cell>
        </row>
        <row r="1593">
          <cell r="F1593" t="str">
            <v>MRP00090</v>
          </cell>
          <cell r="G1593" t="str">
            <v>KABEL VENTION BCI KABEL AUDI MALE</v>
          </cell>
          <cell r="H1593">
            <v>0</v>
          </cell>
          <cell r="I1593">
            <v>0</v>
          </cell>
          <cell r="J1593">
            <v>0</v>
          </cell>
          <cell r="K1593" t="str">
            <v>pcs</v>
          </cell>
          <cell r="L1593" t="str">
            <v>0</v>
          </cell>
        </row>
        <row r="1594">
          <cell r="F1594" t="str">
            <v>MRP00091</v>
          </cell>
          <cell r="G1594" t="str">
            <v>WRENCH (KUNCI RING)</v>
          </cell>
          <cell r="H1594">
            <v>0</v>
          </cell>
          <cell r="I1594">
            <v>0</v>
          </cell>
          <cell r="J1594">
            <v>0</v>
          </cell>
          <cell r="K1594" t="str">
            <v>pcs</v>
          </cell>
          <cell r="L1594" t="str">
            <v>0</v>
          </cell>
        </row>
        <row r="1595">
          <cell r="F1595" t="str">
            <v>NCG00003</v>
          </cell>
          <cell r="G1595" t="str">
            <v>PLASTIK KLIP8 X 5 (KAPAN BELINYA?, harus ganti nama ke NCGK atau NCGS))</v>
          </cell>
          <cell r="H1595">
            <v>0</v>
          </cell>
          <cell r="I1595">
            <v>0</v>
          </cell>
          <cell r="J1595">
            <v>0</v>
          </cell>
          <cell r="K1595" t="str">
            <v>pack</v>
          </cell>
          <cell r="L1595" t="str">
            <v>0</v>
          </cell>
        </row>
        <row r="1596">
          <cell r="F1596" t="str">
            <v>NCG00015</v>
          </cell>
          <cell r="G1596" t="str">
            <v>MIKA JUMBO (harus ganti ke ncgk atau ncgs)</v>
          </cell>
          <cell r="H1596">
            <v>3000</v>
          </cell>
          <cell r="I1596">
            <v>0</v>
          </cell>
          <cell r="J1596">
            <v>0</v>
          </cell>
          <cell r="K1596" t="str">
            <v>pcs</v>
          </cell>
          <cell r="L1596" t="str">
            <v>0</v>
          </cell>
        </row>
        <row r="1597">
          <cell r="F1597" t="str">
            <v>NCG00016</v>
          </cell>
          <cell r="G1597" t="str">
            <v>SEDOTAN RUNCING 6MM @300PCS (INACTIVE OCT 2023)</v>
          </cell>
          <cell r="H1597">
            <v>60</v>
          </cell>
          <cell r="I1597">
            <v>0</v>
          </cell>
          <cell r="J1597">
            <v>0</v>
          </cell>
          <cell r="K1597" t="str">
            <v>pcs</v>
          </cell>
          <cell r="L1597" t="str">
            <v>0</v>
          </cell>
        </row>
        <row r="1598">
          <cell r="F1598" t="str">
            <v>NCG00020</v>
          </cell>
          <cell r="G1598" t="str">
            <v>GAS PORTABLE CULINARIA 235G @28 CAN</v>
          </cell>
          <cell r="H1598">
            <v>0</v>
          </cell>
          <cell r="I1598">
            <v>0</v>
          </cell>
          <cell r="J1598">
            <v>0</v>
          </cell>
          <cell r="K1598" t="str">
            <v>can</v>
          </cell>
          <cell r="L1598" t="str">
            <v>0</v>
          </cell>
        </row>
        <row r="1599">
          <cell r="F1599" t="str">
            <v>NCG00021</v>
          </cell>
          <cell r="G1599" t="str">
            <v>PLASTIK SEGITIGA</v>
          </cell>
          <cell r="H1599">
            <v>0</v>
          </cell>
          <cell r="I1599">
            <v>0</v>
          </cell>
          <cell r="J1599">
            <v>0</v>
          </cell>
          <cell r="K1599" t="str">
            <v>pack</v>
          </cell>
          <cell r="L1599" t="str">
            <v>0</v>
          </cell>
        </row>
        <row r="1600">
          <cell r="F1600" t="str">
            <v>NCG00022</v>
          </cell>
          <cell r="G1600" t="str">
            <v>CUP 160 ML PACK@50PCS (IN ACTIVE)</v>
          </cell>
          <cell r="H1600">
            <v>0</v>
          </cell>
          <cell r="I1600">
            <v>0</v>
          </cell>
          <cell r="J1600">
            <v>0</v>
          </cell>
          <cell r="K1600" t="str">
            <v>pack</v>
          </cell>
          <cell r="L1600" t="str">
            <v>0</v>
          </cell>
        </row>
        <row r="1601">
          <cell r="F1601" t="str">
            <v>NCG00023</v>
          </cell>
          <cell r="G1601" t="str">
            <v>TISSUE SEE-U ROLL ECO VALUE</v>
          </cell>
          <cell r="H1601">
            <v>0</v>
          </cell>
          <cell r="I1601">
            <v>0</v>
          </cell>
          <cell r="J1601">
            <v>0</v>
          </cell>
          <cell r="K1601" t="str">
            <v>ROLL</v>
          </cell>
          <cell r="L1601" t="str">
            <v>0</v>
          </cell>
        </row>
        <row r="1602">
          <cell r="F1602" t="str">
            <v>NCGK0002</v>
          </cell>
          <cell r="G1602" t="str">
            <v>(INACTIVE) PLASTIK SAMPAH 90 x 120 (5 LEMBAR)</v>
          </cell>
          <cell r="H1602">
            <v>0</v>
          </cell>
          <cell r="I1602">
            <v>0</v>
          </cell>
          <cell r="J1602">
            <v>0</v>
          </cell>
          <cell r="K1602" t="str">
            <v>lembar</v>
          </cell>
          <cell r="L1602" t="str">
            <v>0</v>
          </cell>
        </row>
        <row r="1603">
          <cell r="F1603" t="str">
            <v>NCGK0007</v>
          </cell>
          <cell r="G1603" t="str">
            <v>GAS BUTANE PORTABLE PURITY 230G @24 CAN</v>
          </cell>
          <cell r="H1603">
            <v>12500</v>
          </cell>
          <cell r="I1603">
            <v>0</v>
          </cell>
          <cell r="J1603">
            <v>0</v>
          </cell>
          <cell r="K1603" t="str">
            <v>can</v>
          </cell>
          <cell r="L1603" t="str">
            <v>0</v>
          </cell>
        </row>
        <row r="1604">
          <cell r="F1604" t="str">
            <v>NCGK0010</v>
          </cell>
          <cell r="G1604" t="str">
            <v>PLASTIK PE 20 KG 60 x 100</v>
          </cell>
          <cell r="H1604">
            <v>1875</v>
          </cell>
          <cell r="I1604">
            <v>0</v>
          </cell>
          <cell r="J1604">
            <v>0</v>
          </cell>
          <cell r="K1604" t="str">
            <v>pack</v>
          </cell>
          <cell r="L1604" t="str">
            <v>0</v>
          </cell>
        </row>
        <row r="1605">
          <cell r="F1605" t="str">
            <v>NCGK0013</v>
          </cell>
          <cell r="G1605" t="str">
            <v>HANDLE KAYU SUNGKAI GRAFIR LOGO (INI BUKAN NCG, harus ganti kode)</v>
          </cell>
          <cell r="H1605">
            <v>0</v>
          </cell>
          <cell r="I1605">
            <v>0</v>
          </cell>
          <cell r="J1605">
            <v>0</v>
          </cell>
          <cell r="K1605" t="str">
            <v>pcs</v>
          </cell>
          <cell r="L1605" t="str">
            <v>0</v>
          </cell>
        </row>
        <row r="1606">
          <cell r="F1606" t="str">
            <v>NCGK0014</v>
          </cell>
          <cell r="G1606" t="str">
            <v>WADAH TEMPAT KUE MAKANAN DONAT (Ini Bukan NCG)</v>
          </cell>
          <cell r="H1606">
            <v>0</v>
          </cell>
          <cell r="I1606">
            <v>0</v>
          </cell>
          <cell r="J1606">
            <v>0</v>
          </cell>
          <cell r="K1606" t="str">
            <v>pcs</v>
          </cell>
          <cell r="L1606" t="str">
            <v>0</v>
          </cell>
        </row>
        <row r="1607">
          <cell r="F1607" t="str">
            <v>NCGK0015</v>
          </cell>
          <cell r="G1607" t="str">
            <v>PLASTIK SHEET HD 20x20</v>
          </cell>
          <cell r="H1607">
            <v>0</v>
          </cell>
          <cell r="I1607">
            <v>0</v>
          </cell>
          <cell r="J1607">
            <v>0</v>
          </cell>
          <cell r="K1607" t="str">
            <v>pack</v>
          </cell>
          <cell r="L1607" t="str">
            <v>0</v>
          </cell>
        </row>
        <row r="1608">
          <cell r="F1608" t="str">
            <v>NCGK0016</v>
          </cell>
          <cell r="G1608" t="str">
            <v>HAIR NET @100 PCS</v>
          </cell>
          <cell r="H1608">
            <v>0</v>
          </cell>
          <cell r="I1608">
            <v>0</v>
          </cell>
          <cell r="J1608">
            <v>0</v>
          </cell>
          <cell r="K1608" t="str">
            <v>pack</v>
          </cell>
          <cell r="L1608" t="str">
            <v>0</v>
          </cell>
        </row>
        <row r="1609">
          <cell r="F1609" t="str">
            <v>NCGK0017</v>
          </cell>
          <cell r="G1609" t="str">
            <v>REFILL PEMANTIK GAS KITCHEN</v>
          </cell>
          <cell r="H1609">
            <v>0</v>
          </cell>
          <cell r="I1609">
            <v>0</v>
          </cell>
          <cell r="J1609">
            <v>0</v>
          </cell>
          <cell r="K1609" t="str">
            <v>pcs</v>
          </cell>
          <cell r="L1609" t="str">
            <v>0</v>
          </cell>
        </row>
        <row r="1610">
          <cell r="F1610" t="str">
            <v>NCGS0003</v>
          </cell>
          <cell r="G1610" t="str">
            <v>PLASTIK KLIP 5 X 8 CM (NON AKTIV)</v>
          </cell>
          <cell r="H1610">
            <v>0</v>
          </cell>
          <cell r="I1610">
            <v>0</v>
          </cell>
          <cell r="J1610">
            <v>0</v>
          </cell>
          <cell r="K1610" t="str">
            <v>pack</v>
          </cell>
          <cell r="L1610" t="str">
            <v>0</v>
          </cell>
        </row>
        <row r="1611">
          <cell r="F1611" t="str">
            <v>OTH00001</v>
          </cell>
          <cell r="G1611" t="str">
            <v>GAS 12 KG</v>
          </cell>
          <cell r="H1611">
            <v>0</v>
          </cell>
          <cell r="I1611">
            <v>0</v>
          </cell>
          <cell r="J1611">
            <v>0</v>
          </cell>
          <cell r="K1611" t="str">
            <v>unit</v>
          </cell>
          <cell r="L1611" t="str">
            <v>0</v>
          </cell>
        </row>
        <row r="1612">
          <cell r="F1612" t="str">
            <v>OTH00002</v>
          </cell>
          <cell r="G1612" t="str">
            <v>KUAS SILIKON BOCK&amp;BACKEN (Harusnya Kitchenware?)</v>
          </cell>
          <cell r="H1612">
            <v>0</v>
          </cell>
          <cell r="I1612">
            <v>0</v>
          </cell>
          <cell r="J1612">
            <v>0</v>
          </cell>
          <cell r="K1612" t="str">
            <v>pcs</v>
          </cell>
          <cell r="L1612" t="str">
            <v>0</v>
          </cell>
        </row>
        <row r="1613">
          <cell r="F1613" t="str">
            <v>OTH00003</v>
          </cell>
          <cell r="G1613" t="str">
            <v>KARTU/BUKU STOCK BARANG F4 (harusnya stationary?)</v>
          </cell>
          <cell r="H1613">
            <v>0</v>
          </cell>
          <cell r="I1613">
            <v>0</v>
          </cell>
          <cell r="J1613">
            <v>0</v>
          </cell>
          <cell r="K1613" t="str">
            <v>lembar</v>
          </cell>
          <cell r="L1613" t="str">
            <v>0</v>
          </cell>
        </row>
        <row r="1614">
          <cell r="F1614" t="str">
            <v>OTH00004</v>
          </cell>
          <cell r="G1614" t="str">
            <v>PLASTIC TOOL BOX (TEMPAT PENYIMPANAN HP)</v>
          </cell>
          <cell r="H1614">
            <v>0</v>
          </cell>
          <cell r="I1614">
            <v>0</v>
          </cell>
          <cell r="J1614">
            <v>0</v>
          </cell>
          <cell r="K1614" t="str">
            <v>pcs</v>
          </cell>
          <cell r="L1614" t="str">
            <v>0</v>
          </cell>
        </row>
        <row r="1615">
          <cell r="F1615" t="str">
            <v>OTH00005</v>
          </cell>
          <cell r="G1615" t="str">
            <v>CART TROLLEY</v>
          </cell>
          <cell r="H1615">
            <v>0</v>
          </cell>
          <cell r="I1615">
            <v>0</v>
          </cell>
          <cell r="J1615">
            <v>0</v>
          </cell>
          <cell r="K1615" t="str">
            <v>unit</v>
          </cell>
          <cell r="L1615" t="str">
            <v>0</v>
          </cell>
        </row>
        <row r="1616">
          <cell r="F1616" t="str">
            <v>OTH00006</v>
          </cell>
          <cell r="G1616" t="str">
            <v>DRAWER ORGANIZER 26X8.5X4 5CM ( INACTIVE)</v>
          </cell>
          <cell r="H1616">
            <v>0</v>
          </cell>
          <cell r="I1616">
            <v>0</v>
          </cell>
          <cell r="J1616">
            <v>0</v>
          </cell>
          <cell r="K1616" t="str">
            <v>pcs</v>
          </cell>
          <cell r="L1616" t="str">
            <v>0</v>
          </cell>
        </row>
        <row r="1617">
          <cell r="F1617" t="str">
            <v>OTH00007</v>
          </cell>
          <cell r="G1617" t="str">
            <v>KAOS TARA GEOUP</v>
          </cell>
          <cell r="H1617">
            <v>0</v>
          </cell>
          <cell r="I1617">
            <v>0</v>
          </cell>
          <cell r="J1617">
            <v>0</v>
          </cell>
          <cell r="K1617" t="str">
            <v>pcs</v>
          </cell>
          <cell r="L1617" t="str">
            <v>0</v>
          </cell>
        </row>
        <row r="1618">
          <cell r="F1618" t="str">
            <v>OTH00008</v>
          </cell>
          <cell r="G1618" t="str">
            <v>WADAH KANCING</v>
          </cell>
          <cell r="H1618">
            <v>5460</v>
          </cell>
          <cell r="I1618">
            <v>0</v>
          </cell>
          <cell r="J1618">
            <v>0</v>
          </cell>
          <cell r="K1618" t="str">
            <v>pcs</v>
          </cell>
          <cell r="L1618" t="str">
            <v>0</v>
          </cell>
        </row>
        <row r="1619">
          <cell r="F1619" t="str">
            <v>OTH00009</v>
          </cell>
          <cell r="G1619" t="str">
            <v>BOX TIP/CELENGAN 10X10X12CM PUTIH</v>
          </cell>
          <cell r="H1619">
            <v>37400</v>
          </cell>
          <cell r="I1619">
            <v>0</v>
          </cell>
          <cell r="J1619">
            <v>0</v>
          </cell>
          <cell r="K1619" t="str">
            <v>box</v>
          </cell>
          <cell r="L1619" t="str">
            <v>0</v>
          </cell>
        </row>
        <row r="1620">
          <cell r="F1620" t="str">
            <v>OTH00010</v>
          </cell>
          <cell r="G1620" t="str">
            <v>TISSUE LIVI ROLL HO</v>
          </cell>
          <cell r="H1620">
            <v>0</v>
          </cell>
          <cell r="I1620">
            <v>0</v>
          </cell>
          <cell r="J1620">
            <v>0</v>
          </cell>
          <cell r="K1620" t="str">
            <v>ROLL</v>
          </cell>
          <cell r="L1620" t="str">
            <v>0</v>
          </cell>
        </row>
        <row r="1621">
          <cell r="F1621" t="str">
            <v>OTH00011</v>
          </cell>
          <cell r="G1621" t="str">
            <v>APAR ABC 3 KG PREMIUM POWDER</v>
          </cell>
          <cell r="H1621">
            <v>226100</v>
          </cell>
          <cell r="I1621">
            <v>0</v>
          </cell>
          <cell r="J1621">
            <v>0</v>
          </cell>
          <cell r="K1621" t="str">
            <v>tbng</v>
          </cell>
          <cell r="L1621" t="str">
            <v>0</v>
          </cell>
        </row>
        <row r="1622">
          <cell r="F1622" t="str">
            <v>OTH00012</v>
          </cell>
          <cell r="G1622" t="str">
            <v>JAM DINDING</v>
          </cell>
          <cell r="H1622">
            <v>41200</v>
          </cell>
          <cell r="I1622">
            <v>0</v>
          </cell>
          <cell r="J1622">
            <v>0</v>
          </cell>
          <cell r="K1622" t="str">
            <v>pcs</v>
          </cell>
          <cell r="L1622" t="str">
            <v>0</v>
          </cell>
        </row>
        <row r="1623">
          <cell r="F1623" t="str">
            <v>OTH00013</v>
          </cell>
          <cell r="G1623" t="str">
            <v>TEMPAT SABUN BATANG</v>
          </cell>
          <cell r="H1623">
            <v>5475</v>
          </cell>
          <cell r="I1623">
            <v>0</v>
          </cell>
          <cell r="J1623">
            <v>0</v>
          </cell>
          <cell r="K1623" t="str">
            <v>pcs</v>
          </cell>
          <cell r="L1623" t="str">
            <v>0</v>
          </cell>
        </row>
        <row r="1624">
          <cell r="F1624" t="str">
            <v>OTH00014</v>
          </cell>
          <cell r="G1624" t="str">
            <v>BOTOL TEMPAT SABUN 450ML (harusnya Kitchenware?)</v>
          </cell>
          <cell r="H1624">
            <v>0</v>
          </cell>
          <cell r="I1624">
            <v>0</v>
          </cell>
          <cell r="J1624">
            <v>0</v>
          </cell>
          <cell r="K1624" t="str">
            <v>pcs</v>
          </cell>
          <cell r="L1624" t="str">
            <v>0</v>
          </cell>
        </row>
        <row r="1625">
          <cell r="F1625" t="str">
            <v>OTH00015</v>
          </cell>
          <cell r="G1625" t="str">
            <v>GANTUNGAN BAJU</v>
          </cell>
          <cell r="H1625">
            <v>0</v>
          </cell>
          <cell r="I1625">
            <v>0</v>
          </cell>
          <cell r="J1625">
            <v>0</v>
          </cell>
          <cell r="K1625" t="str">
            <v>pcs</v>
          </cell>
          <cell r="L1625" t="str">
            <v>0</v>
          </cell>
        </row>
        <row r="1626">
          <cell r="F1626" t="str">
            <v>OTH00016</v>
          </cell>
          <cell r="G1626" t="str">
            <v>SMARTSENSOR THERMOMETER TEMBAK INFRARED</v>
          </cell>
          <cell r="H1626">
            <v>101700</v>
          </cell>
          <cell r="I1626">
            <v>0</v>
          </cell>
          <cell r="J1626">
            <v>0</v>
          </cell>
          <cell r="K1626" t="str">
            <v>pcs</v>
          </cell>
          <cell r="L1626" t="str">
            <v>0</v>
          </cell>
        </row>
        <row r="1627">
          <cell r="F1627" t="str">
            <v>OTH00017</v>
          </cell>
          <cell r="G1627" t="str">
            <v>RAK HANDUK STAINLESS</v>
          </cell>
          <cell r="H1627">
            <v>0</v>
          </cell>
          <cell r="I1627">
            <v>0</v>
          </cell>
          <cell r="J1627">
            <v>0</v>
          </cell>
          <cell r="K1627" t="str">
            <v>pcs</v>
          </cell>
          <cell r="L1627" t="str">
            <v>0</v>
          </cell>
        </row>
        <row r="1628">
          <cell r="F1628" t="str">
            <v>OTH00018</v>
          </cell>
          <cell r="G1628" t="str">
            <v>BOTOL SPRAY 500 ML</v>
          </cell>
          <cell r="H1628">
            <v>5383</v>
          </cell>
          <cell r="I1628">
            <v>0</v>
          </cell>
          <cell r="J1628">
            <v>0</v>
          </cell>
          <cell r="K1628" t="str">
            <v>pca</v>
          </cell>
          <cell r="L1628" t="str">
            <v>0</v>
          </cell>
        </row>
        <row r="1629">
          <cell r="F1629" t="str">
            <v>OTH00019</v>
          </cell>
          <cell r="G1629" t="str">
            <v>EMBER TUTUP 2,5 L</v>
          </cell>
          <cell r="H1629">
            <v>26500</v>
          </cell>
          <cell r="I1629">
            <v>0</v>
          </cell>
          <cell r="J1629">
            <v>0</v>
          </cell>
          <cell r="K1629" t="str">
            <v>pcs</v>
          </cell>
          <cell r="L1629" t="str">
            <v>0</v>
          </cell>
        </row>
        <row r="1630">
          <cell r="F1630" t="str">
            <v>OTH00020</v>
          </cell>
          <cell r="G1630" t="str">
            <v>GELAS PLASTIK 5002 7,6 X 11CM</v>
          </cell>
          <cell r="H1630">
            <v>15000</v>
          </cell>
          <cell r="I1630">
            <v>0</v>
          </cell>
          <cell r="J1630">
            <v>0</v>
          </cell>
          <cell r="K1630" t="str">
            <v>pcs</v>
          </cell>
          <cell r="L1630" t="str">
            <v>0</v>
          </cell>
        </row>
        <row r="1631">
          <cell r="F1631" t="str">
            <v>OTH00021</v>
          </cell>
          <cell r="G1631" t="str">
            <v>EMBER GAGANG 3 GLN PL-3 LION</v>
          </cell>
          <cell r="H1631">
            <v>24400</v>
          </cell>
          <cell r="I1631">
            <v>0</v>
          </cell>
          <cell r="J1631">
            <v>0</v>
          </cell>
          <cell r="K1631" t="str">
            <v>pcs</v>
          </cell>
          <cell r="L1631" t="str">
            <v>0</v>
          </cell>
        </row>
        <row r="1632">
          <cell r="F1632" t="str">
            <v>OTH00022</v>
          </cell>
          <cell r="G1632" t="str">
            <v>LACI ORION 3 SUSUN P18,5 X L27 X T19,3 CM</v>
          </cell>
          <cell r="H1632">
            <v>0</v>
          </cell>
          <cell r="I1632">
            <v>0</v>
          </cell>
          <cell r="J1632">
            <v>0</v>
          </cell>
          <cell r="K1632" t="str">
            <v>unit</v>
          </cell>
          <cell r="L1632" t="str">
            <v>0</v>
          </cell>
        </row>
        <row r="1633">
          <cell r="F1633" t="str">
            <v>OTH00023</v>
          </cell>
          <cell r="G1633" t="str">
            <v>TANK HOLEDER/DUDUKAN TABUNG GAS HI-COOKED</v>
          </cell>
          <cell r="H1633">
            <v>25293.35</v>
          </cell>
          <cell r="I1633">
            <v>0</v>
          </cell>
          <cell r="J1633">
            <v>0</v>
          </cell>
          <cell r="K1633" t="str">
            <v>unit</v>
          </cell>
          <cell r="L1633" t="str">
            <v>0</v>
          </cell>
        </row>
        <row r="1634">
          <cell r="F1634" t="str">
            <v>OTH00024</v>
          </cell>
          <cell r="G1634" t="str">
            <v>NANO SPRAY GUN WIRELESS 800 ML YJ-01</v>
          </cell>
          <cell r="H1634">
            <v>45000</v>
          </cell>
          <cell r="I1634">
            <v>0</v>
          </cell>
          <cell r="J1634">
            <v>0</v>
          </cell>
          <cell r="K1634" t="str">
            <v>unit</v>
          </cell>
          <cell r="L1634" t="str">
            <v>0</v>
          </cell>
        </row>
        <row r="1635">
          <cell r="F1635" t="str">
            <v>OTH00025</v>
          </cell>
          <cell r="G1635" t="str">
            <v>SIGN BOARD ACRYLIC OPEN CLOSE TIPIS 22MM 2 MUKA</v>
          </cell>
          <cell r="H1635">
            <v>82700</v>
          </cell>
          <cell r="I1635">
            <v>0</v>
          </cell>
          <cell r="J1635">
            <v>0</v>
          </cell>
          <cell r="K1635" t="str">
            <v>pcs</v>
          </cell>
          <cell r="L1635" t="str">
            <v>0</v>
          </cell>
        </row>
        <row r="1636">
          <cell r="F1636" t="str">
            <v>OTH00026</v>
          </cell>
          <cell r="G1636" t="str">
            <v>RAK EDC 3 SUSUN/TATAKAN EDC 3 TINGKAT</v>
          </cell>
          <cell r="H1636">
            <v>146000</v>
          </cell>
          <cell r="I1636">
            <v>0</v>
          </cell>
          <cell r="J1636">
            <v>0</v>
          </cell>
          <cell r="K1636" t="str">
            <v>unit</v>
          </cell>
          <cell r="L1636" t="str">
            <v>0</v>
          </cell>
        </row>
        <row r="1637">
          <cell r="F1637" t="str">
            <v>OTH00027</v>
          </cell>
          <cell r="G1637" t="str">
            <v>CARD HOLDER BOOK/TEMPAT BUKU KARTU NAMA</v>
          </cell>
          <cell r="H1637">
            <v>0</v>
          </cell>
          <cell r="I1637">
            <v>0</v>
          </cell>
          <cell r="J1637">
            <v>0</v>
          </cell>
          <cell r="K1637" t="str">
            <v>pcs</v>
          </cell>
          <cell r="L1637" t="str">
            <v>0</v>
          </cell>
        </row>
        <row r="1638">
          <cell r="F1638" t="str">
            <v>OTH00028</v>
          </cell>
          <cell r="G1638" t="str">
            <v>SERAGAM AREA CHEF HITAM SIZE M</v>
          </cell>
          <cell r="H1638">
            <v>0</v>
          </cell>
          <cell r="I1638">
            <v>0</v>
          </cell>
          <cell r="J1638">
            <v>0</v>
          </cell>
          <cell r="K1638" t="str">
            <v>pcs</v>
          </cell>
          <cell r="L1638" t="str">
            <v>0</v>
          </cell>
        </row>
        <row r="1639">
          <cell r="F1639" t="str">
            <v>OTH00029</v>
          </cell>
          <cell r="G1639" t="str">
            <v>SERAGAM CDP KERAH HIJAU MUDA - L</v>
          </cell>
          <cell r="H1639">
            <v>0</v>
          </cell>
          <cell r="I1639">
            <v>0</v>
          </cell>
          <cell r="J1639">
            <v>0</v>
          </cell>
          <cell r="K1639" t="str">
            <v>pcs</v>
          </cell>
          <cell r="L1639" t="str">
            <v>0</v>
          </cell>
        </row>
        <row r="1640">
          <cell r="F1640" t="str">
            <v>OTH00030</v>
          </cell>
          <cell r="G1640" t="str">
            <v>SERAGAM KITCHEN HIJAU TUA XL</v>
          </cell>
          <cell r="H1640">
            <v>0</v>
          </cell>
          <cell r="I1640">
            <v>0</v>
          </cell>
          <cell r="J1640">
            <v>0</v>
          </cell>
          <cell r="K1640" t="str">
            <v>pcs</v>
          </cell>
          <cell r="L1640" t="str">
            <v>0</v>
          </cell>
        </row>
        <row r="1641">
          <cell r="F1641" t="str">
            <v>OTH00031</v>
          </cell>
          <cell r="G1641" t="str">
            <v>APRON AREA CHEF</v>
          </cell>
          <cell r="H1641">
            <v>55000</v>
          </cell>
          <cell r="I1641">
            <v>0</v>
          </cell>
          <cell r="J1641">
            <v>0</v>
          </cell>
          <cell r="K1641" t="str">
            <v>pcs</v>
          </cell>
          <cell r="L1641" t="str">
            <v>0</v>
          </cell>
        </row>
        <row r="1642">
          <cell r="F1642" t="str">
            <v>OTH00032</v>
          </cell>
          <cell r="G1642" t="str">
            <v>APRON KITCHEN  COKLAT</v>
          </cell>
          <cell r="H1642">
            <v>0</v>
          </cell>
          <cell r="I1642">
            <v>0</v>
          </cell>
          <cell r="J1642">
            <v>0</v>
          </cell>
          <cell r="K1642" t="str">
            <v>pcs</v>
          </cell>
          <cell r="L1642" t="str">
            <v>0</v>
          </cell>
        </row>
        <row r="1643">
          <cell r="F1643" t="str">
            <v>OTH00033</v>
          </cell>
          <cell r="G1643" t="str">
            <v>TOPI PET KITCHEN HITAM LOGO CHADOL</v>
          </cell>
          <cell r="H1643">
            <v>0</v>
          </cell>
          <cell r="I1643">
            <v>0</v>
          </cell>
          <cell r="J1643">
            <v>0</v>
          </cell>
          <cell r="K1643" t="str">
            <v>pcs</v>
          </cell>
          <cell r="L1643" t="str">
            <v>0</v>
          </cell>
        </row>
        <row r="1644">
          <cell r="F1644" t="str">
            <v>OTH00034</v>
          </cell>
          <cell r="G1644" t="str">
            <v>TOPI PET KITCHEN HITAM LOGO TARA GROUP</v>
          </cell>
          <cell r="H1644">
            <v>0</v>
          </cell>
          <cell r="I1644">
            <v>0</v>
          </cell>
          <cell r="J1644">
            <v>0</v>
          </cell>
          <cell r="K1644" t="str">
            <v>pcs</v>
          </cell>
          <cell r="L1644" t="str">
            <v>0</v>
          </cell>
        </row>
        <row r="1645">
          <cell r="F1645" t="str">
            <v>OTH00035</v>
          </cell>
          <cell r="G1645" t="str">
            <v>APRON SERVICE HIJAU TUA</v>
          </cell>
          <cell r="H1645">
            <v>0</v>
          </cell>
          <cell r="I1645">
            <v>0</v>
          </cell>
          <cell r="J1645">
            <v>0</v>
          </cell>
          <cell r="K1645" t="str">
            <v>pcs</v>
          </cell>
          <cell r="L1645" t="str">
            <v>0</v>
          </cell>
        </row>
        <row r="1646">
          <cell r="F1646" t="str">
            <v>OTH00036</v>
          </cell>
          <cell r="G1646" t="str">
            <v>GAS 3 KG</v>
          </cell>
          <cell r="H1646">
            <v>0</v>
          </cell>
          <cell r="I1646">
            <v>0</v>
          </cell>
          <cell r="J1646">
            <v>0</v>
          </cell>
          <cell r="K1646" t="str">
            <v>tbg</v>
          </cell>
          <cell r="L1646" t="str">
            <v>0</v>
          </cell>
        </row>
        <row r="1647">
          <cell r="F1647" t="str">
            <v>OTH00037</v>
          </cell>
          <cell r="G1647" t="str">
            <v>ACRYLIC HOLDER STANDING/TEMPAT BROSUR A4</v>
          </cell>
          <cell r="H1647">
            <v>0</v>
          </cell>
          <cell r="I1647">
            <v>0</v>
          </cell>
          <cell r="J1647">
            <v>0</v>
          </cell>
          <cell r="K1647" t="str">
            <v>pcs</v>
          </cell>
          <cell r="L1647" t="str">
            <v>0</v>
          </cell>
        </row>
        <row r="1648">
          <cell r="F1648" t="str">
            <v>OTH00038</v>
          </cell>
          <cell r="G1648" t="str">
            <v>GALON KOSONG AQUA</v>
          </cell>
          <cell r="H1648">
            <v>0</v>
          </cell>
          <cell r="I1648">
            <v>0</v>
          </cell>
          <cell r="J1648">
            <v>0</v>
          </cell>
          <cell r="K1648" t="str">
            <v>gln</v>
          </cell>
          <cell r="L1648" t="str">
            <v>0</v>
          </cell>
        </row>
        <row r="1649">
          <cell r="F1649" t="str">
            <v>OTH00039</v>
          </cell>
          <cell r="G1649" t="str">
            <v>ALUMUNIUM HANDLE PINTU</v>
          </cell>
          <cell r="H1649">
            <v>0</v>
          </cell>
          <cell r="I1649">
            <v>0</v>
          </cell>
          <cell r="J1649">
            <v>0</v>
          </cell>
          <cell r="K1649" t="str">
            <v>pcs</v>
          </cell>
          <cell r="L1649" t="str">
            <v>0</v>
          </cell>
        </row>
        <row r="1650">
          <cell r="F1650" t="str">
            <v>OTH00040</v>
          </cell>
          <cell r="G1650" t="str">
            <v>NAME TAG</v>
          </cell>
          <cell r="H1650">
            <v>0</v>
          </cell>
          <cell r="I1650">
            <v>0</v>
          </cell>
          <cell r="J1650">
            <v>0</v>
          </cell>
          <cell r="K1650" t="str">
            <v>pcs</v>
          </cell>
          <cell r="L1650" t="str">
            <v>0</v>
          </cell>
        </row>
        <row r="1651">
          <cell r="F1651" t="str">
            <v>OTH00041</v>
          </cell>
          <cell r="G1651" t="str">
            <v>ANTI SLIP DASH MAT</v>
          </cell>
          <cell r="H1651">
            <v>0</v>
          </cell>
          <cell r="I1651">
            <v>0</v>
          </cell>
          <cell r="J1651">
            <v>0</v>
          </cell>
          <cell r="K1651" t="str">
            <v>pcs</v>
          </cell>
          <cell r="L1651" t="str">
            <v>0</v>
          </cell>
        </row>
        <row r="1652">
          <cell r="F1652" t="str">
            <v>OTH00042</v>
          </cell>
          <cell r="G1652" t="str">
            <v>TANGGA LIPAT</v>
          </cell>
          <cell r="H1652">
            <v>0</v>
          </cell>
          <cell r="I1652">
            <v>0</v>
          </cell>
          <cell r="J1652">
            <v>0</v>
          </cell>
          <cell r="K1652" t="str">
            <v>pcs</v>
          </cell>
          <cell r="L1652" t="str">
            <v>0</v>
          </cell>
        </row>
        <row r="1653">
          <cell r="F1653" t="str">
            <v>OTH00043</v>
          </cell>
          <cell r="G1653" t="str">
            <v>KABEL TIS TOHO 20 CM</v>
          </cell>
          <cell r="H1653">
            <v>0</v>
          </cell>
          <cell r="I1653">
            <v>0</v>
          </cell>
          <cell r="J1653">
            <v>0</v>
          </cell>
          <cell r="K1653" t="str">
            <v>pcs</v>
          </cell>
          <cell r="L1653" t="str">
            <v>0</v>
          </cell>
        </row>
        <row r="1654">
          <cell r="F1654" t="str">
            <v>OTH00044</v>
          </cell>
          <cell r="G1654" t="str">
            <v>PLASTIK TOOL CARRIER</v>
          </cell>
          <cell r="H1654">
            <v>0</v>
          </cell>
          <cell r="I1654">
            <v>0</v>
          </cell>
          <cell r="J1654">
            <v>0</v>
          </cell>
          <cell r="K1654" t="str">
            <v>pcs</v>
          </cell>
          <cell r="L1654" t="str">
            <v>0</v>
          </cell>
        </row>
        <row r="1655">
          <cell r="F1655" t="str">
            <v>OTH00045</v>
          </cell>
          <cell r="G1655" t="str">
            <v>ROLLER BLIND CHAIN XL</v>
          </cell>
          <cell r="H1655">
            <v>0</v>
          </cell>
          <cell r="I1655">
            <v>0</v>
          </cell>
          <cell r="J1655">
            <v>0</v>
          </cell>
          <cell r="K1655" t="str">
            <v>set</v>
          </cell>
          <cell r="L1655" t="str">
            <v>0</v>
          </cell>
        </row>
        <row r="1656">
          <cell r="F1656" t="str">
            <v>OTH00046</v>
          </cell>
          <cell r="G1656" t="str">
            <v>DESOUND SPECIAL BAG</v>
          </cell>
          <cell r="H1656">
            <v>0</v>
          </cell>
          <cell r="I1656">
            <v>0</v>
          </cell>
          <cell r="J1656">
            <v>0</v>
          </cell>
          <cell r="K1656" t="str">
            <v>pcs</v>
          </cell>
          <cell r="L1656" t="str">
            <v>0</v>
          </cell>
        </row>
        <row r="1657">
          <cell r="F1657" t="str">
            <v>OTH00047</v>
          </cell>
          <cell r="G1657" t="str">
            <v>DESOUND PAPER BAG</v>
          </cell>
          <cell r="H1657">
            <v>0</v>
          </cell>
          <cell r="I1657">
            <v>0</v>
          </cell>
          <cell r="J1657">
            <v>0</v>
          </cell>
          <cell r="K1657" t="str">
            <v>pcs</v>
          </cell>
          <cell r="L1657" t="str">
            <v>0</v>
          </cell>
        </row>
        <row r="1658">
          <cell r="F1658" t="str">
            <v>OTH00048</v>
          </cell>
          <cell r="G1658" t="str">
            <v>KAOS PENDEK VAMOTELLI</v>
          </cell>
          <cell r="H1658">
            <v>0</v>
          </cell>
          <cell r="I1658">
            <v>0</v>
          </cell>
          <cell r="J1658">
            <v>0</v>
          </cell>
          <cell r="K1658" t="str">
            <v>pcs</v>
          </cell>
          <cell r="L1658" t="str">
            <v>0</v>
          </cell>
        </row>
        <row r="1659">
          <cell r="F1659" t="str">
            <v>OTH00049</v>
          </cell>
          <cell r="G1659" t="str">
            <v>KAOS PENDEK TIENTO</v>
          </cell>
          <cell r="H1659">
            <v>0</v>
          </cell>
          <cell r="I1659">
            <v>0</v>
          </cell>
          <cell r="J1659">
            <v>0</v>
          </cell>
          <cell r="K1659" t="str">
            <v>pcs</v>
          </cell>
          <cell r="L1659" t="str">
            <v>0</v>
          </cell>
        </row>
        <row r="1660">
          <cell r="F1660" t="str">
            <v>OTH00050</v>
          </cell>
          <cell r="G1660" t="str">
            <v>KENMASTER TATAKAN GAS RODA TABUNG</v>
          </cell>
          <cell r="H1660">
            <v>0</v>
          </cell>
          <cell r="I1660">
            <v>0</v>
          </cell>
          <cell r="J1660">
            <v>0</v>
          </cell>
          <cell r="K1660" t="str">
            <v>pcs</v>
          </cell>
          <cell r="L1660" t="str">
            <v>0</v>
          </cell>
        </row>
        <row r="1661">
          <cell r="F1661" t="str">
            <v>OTH00051</v>
          </cell>
          <cell r="G1661" t="str">
            <v>KOP SURAT TARA</v>
          </cell>
          <cell r="H1661">
            <v>0</v>
          </cell>
          <cell r="I1661">
            <v>0</v>
          </cell>
          <cell r="J1661">
            <v>0</v>
          </cell>
          <cell r="K1661" t="str">
            <v>rim</v>
          </cell>
          <cell r="L1661" t="str">
            <v>0</v>
          </cell>
        </row>
        <row r="1662">
          <cell r="F1662" t="str">
            <v>OTH00052</v>
          </cell>
          <cell r="G1662" t="str">
            <v>RING SKIMMER 15 CM 9110</v>
          </cell>
          <cell r="H1662">
            <v>0</v>
          </cell>
          <cell r="I1662">
            <v>0</v>
          </cell>
          <cell r="J1662">
            <v>0</v>
          </cell>
          <cell r="K1662" t="str">
            <v>pcs</v>
          </cell>
          <cell r="L1662" t="str">
            <v>0</v>
          </cell>
        </row>
        <row r="1663">
          <cell r="F1663" t="str">
            <v>OTH00053</v>
          </cell>
          <cell r="G1663" t="str">
            <v>KABEL TIES 15 CM</v>
          </cell>
          <cell r="H1663">
            <v>0</v>
          </cell>
          <cell r="I1663">
            <v>0</v>
          </cell>
          <cell r="J1663">
            <v>0</v>
          </cell>
          <cell r="K1663" t="str">
            <v>pack</v>
          </cell>
          <cell r="L1663" t="str">
            <v>0</v>
          </cell>
        </row>
        <row r="1664">
          <cell r="F1664" t="str">
            <v>OTH00054</v>
          </cell>
          <cell r="G1664" t="str">
            <v>KABEL SAMBUNG 6 LUBANG</v>
          </cell>
          <cell r="H1664">
            <v>0</v>
          </cell>
          <cell r="I1664">
            <v>0</v>
          </cell>
          <cell r="J1664">
            <v>0</v>
          </cell>
          <cell r="K1664" t="str">
            <v>unit</v>
          </cell>
          <cell r="L1664" t="str">
            <v>0</v>
          </cell>
        </row>
        <row r="1665">
          <cell r="F1665" t="str">
            <v>OTH00055</v>
          </cell>
          <cell r="G1665" t="str">
            <v>SELANG GAS FLEXIBEL</v>
          </cell>
          <cell r="H1665">
            <v>0</v>
          </cell>
          <cell r="I1665">
            <v>0</v>
          </cell>
          <cell r="J1665">
            <v>0</v>
          </cell>
          <cell r="K1665" t="str">
            <v>unit</v>
          </cell>
          <cell r="L1665" t="str">
            <v>0</v>
          </cell>
        </row>
        <row r="1666">
          <cell r="F1666" t="str">
            <v>OTH00056</v>
          </cell>
          <cell r="G1666" t="str">
            <v>KOSANGAS REHULATOR</v>
          </cell>
          <cell r="H1666">
            <v>0</v>
          </cell>
          <cell r="I1666">
            <v>0</v>
          </cell>
          <cell r="J1666">
            <v>0</v>
          </cell>
          <cell r="K1666" t="str">
            <v>unit</v>
          </cell>
          <cell r="L1666" t="str">
            <v>0</v>
          </cell>
        </row>
        <row r="1667">
          <cell r="F1667" t="str">
            <v>OTH00057</v>
          </cell>
          <cell r="G1667" t="str">
            <v>UTP CAT 6 BELDEN</v>
          </cell>
          <cell r="H1667">
            <v>0</v>
          </cell>
          <cell r="I1667">
            <v>0</v>
          </cell>
          <cell r="J1667">
            <v>0</v>
          </cell>
          <cell r="K1667" t="str">
            <v>unit</v>
          </cell>
          <cell r="L1667" t="str">
            <v>0</v>
          </cell>
        </row>
        <row r="1668">
          <cell r="F1668" t="str">
            <v>OTH00058</v>
          </cell>
          <cell r="G1668" t="str">
            <v>LEMARI PENDEK 2 PINTU</v>
          </cell>
          <cell r="H1668">
            <v>0</v>
          </cell>
          <cell r="I1668">
            <v>0</v>
          </cell>
          <cell r="J1668">
            <v>0</v>
          </cell>
          <cell r="K1668" t="str">
            <v>unit</v>
          </cell>
          <cell r="L1668" t="str">
            <v>0</v>
          </cell>
        </row>
        <row r="1669">
          <cell r="F1669" t="str">
            <v>OTH00059</v>
          </cell>
          <cell r="G1669" t="str">
            <v>FLY CATCHER</v>
          </cell>
          <cell r="H1669">
            <v>1250000</v>
          </cell>
          <cell r="I1669">
            <v>0</v>
          </cell>
          <cell r="J1669">
            <v>0</v>
          </cell>
          <cell r="K1669" t="str">
            <v>unit</v>
          </cell>
          <cell r="L1669" t="str">
            <v>0</v>
          </cell>
        </row>
        <row r="1670">
          <cell r="F1670" t="str">
            <v>OTH00060</v>
          </cell>
          <cell r="G1670" t="str">
            <v>BODREX</v>
          </cell>
          <cell r="H1670">
            <v>0</v>
          </cell>
          <cell r="I1670">
            <v>0</v>
          </cell>
          <cell r="J1670">
            <v>0</v>
          </cell>
          <cell r="K1670" t="str">
            <v>str</v>
          </cell>
          <cell r="L1670" t="str">
            <v>0</v>
          </cell>
        </row>
        <row r="1671">
          <cell r="F1671" t="str">
            <v>OTH00061</v>
          </cell>
          <cell r="G1671" t="str">
            <v>OBENG BB USA</v>
          </cell>
          <cell r="H1671">
            <v>0</v>
          </cell>
          <cell r="I1671">
            <v>0</v>
          </cell>
          <cell r="J1671">
            <v>0</v>
          </cell>
          <cell r="K1671" t="str">
            <v>pcs</v>
          </cell>
          <cell r="L1671" t="str">
            <v>0</v>
          </cell>
        </row>
        <row r="1672">
          <cell r="F1672" t="str">
            <v>OTH00062</v>
          </cell>
          <cell r="G1672" t="str">
            <v>RAKET NYAMUK</v>
          </cell>
          <cell r="H1672">
            <v>0</v>
          </cell>
          <cell r="I1672">
            <v>0</v>
          </cell>
          <cell r="J1672">
            <v>0</v>
          </cell>
          <cell r="K1672" t="str">
            <v>pcs</v>
          </cell>
          <cell r="L1672" t="str">
            <v>0</v>
          </cell>
        </row>
        <row r="1673">
          <cell r="F1673" t="str">
            <v>OTH00063</v>
          </cell>
          <cell r="G1673" t="str">
            <v>TANG</v>
          </cell>
          <cell r="H1673">
            <v>0</v>
          </cell>
          <cell r="I1673">
            <v>0</v>
          </cell>
          <cell r="J1673">
            <v>0</v>
          </cell>
          <cell r="K1673" t="str">
            <v>pcs</v>
          </cell>
          <cell r="L1673" t="str">
            <v>0</v>
          </cell>
        </row>
        <row r="1674">
          <cell r="F1674" t="str">
            <v>OTH00065</v>
          </cell>
          <cell r="G1674" t="str">
            <v>METERAN</v>
          </cell>
          <cell r="H1674">
            <v>0</v>
          </cell>
          <cell r="I1674">
            <v>0</v>
          </cell>
          <cell r="J1674">
            <v>0</v>
          </cell>
          <cell r="K1674" t="str">
            <v>pcs</v>
          </cell>
          <cell r="L1674" t="str">
            <v>0</v>
          </cell>
        </row>
        <row r="1675">
          <cell r="F1675" t="str">
            <v>OTH00066</v>
          </cell>
          <cell r="G1675" t="str">
            <v>TALANG AC UK 65-105 CM</v>
          </cell>
          <cell r="H1675">
            <v>0</v>
          </cell>
          <cell r="I1675">
            <v>0</v>
          </cell>
          <cell r="J1675">
            <v>0</v>
          </cell>
          <cell r="K1675" t="str">
            <v>pcs</v>
          </cell>
          <cell r="L1675" t="str">
            <v>0</v>
          </cell>
        </row>
        <row r="1676">
          <cell r="F1676" t="str">
            <v>OTH00067</v>
          </cell>
          <cell r="G1676" t="str">
            <v>BOTOL JERIGEN 5 LTR</v>
          </cell>
          <cell r="H1676">
            <v>0</v>
          </cell>
          <cell r="I1676">
            <v>0</v>
          </cell>
          <cell r="J1676">
            <v>0</v>
          </cell>
          <cell r="K1676" t="str">
            <v>botol</v>
          </cell>
          <cell r="L1676" t="str">
            <v>0</v>
          </cell>
        </row>
        <row r="1677">
          <cell r="F1677" t="str">
            <v>OTH00068</v>
          </cell>
          <cell r="G1677" t="str">
            <v>POM POM PITA PERESMIAN</v>
          </cell>
          <cell r="H1677">
            <v>0</v>
          </cell>
          <cell r="I1677">
            <v>0</v>
          </cell>
          <cell r="J1677">
            <v>0</v>
          </cell>
          <cell r="K1677" t="str">
            <v>pcs</v>
          </cell>
          <cell r="L1677" t="str">
            <v>0</v>
          </cell>
        </row>
        <row r="1678">
          <cell r="F1678" t="str">
            <v>OTH00069</v>
          </cell>
          <cell r="G1678" t="str">
            <v>KABEL SAMBUNG 4 LUBANG</v>
          </cell>
          <cell r="H1678">
            <v>0</v>
          </cell>
          <cell r="I1678">
            <v>0</v>
          </cell>
          <cell r="J1678">
            <v>0</v>
          </cell>
          <cell r="K1678" t="str">
            <v>pcs</v>
          </cell>
          <cell r="L1678" t="str">
            <v>0</v>
          </cell>
        </row>
        <row r="1679">
          <cell r="F1679" t="str">
            <v>OTH00070</v>
          </cell>
          <cell r="G1679" t="str">
            <v>STICKER FREEZER</v>
          </cell>
          <cell r="H1679">
            <v>0</v>
          </cell>
          <cell r="I1679">
            <v>0</v>
          </cell>
          <cell r="J1679">
            <v>0</v>
          </cell>
          <cell r="K1679" t="str">
            <v>lembar</v>
          </cell>
          <cell r="L1679" t="str">
            <v>0</v>
          </cell>
        </row>
        <row r="1680">
          <cell r="F1680" t="str">
            <v>OTH00071</v>
          </cell>
          <cell r="G1680" t="str">
            <v>BOX STYROFOAM 75 X 42 X 33 CM</v>
          </cell>
          <cell r="H1680">
            <v>0</v>
          </cell>
          <cell r="I1680">
            <v>0</v>
          </cell>
          <cell r="J1680">
            <v>0</v>
          </cell>
          <cell r="K1680" t="str">
            <v>pcs</v>
          </cell>
          <cell r="L1680" t="str">
            <v>0</v>
          </cell>
        </row>
        <row r="1681">
          <cell r="F1681" t="str">
            <v>OTH00072</v>
          </cell>
          <cell r="G1681" t="str">
            <v>BABY CHAIR</v>
          </cell>
          <cell r="H1681">
            <v>1699000</v>
          </cell>
          <cell r="I1681">
            <v>0</v>
          </cell>
          <cell r="J1681">
            <v>0</v>
          </cell>
          <cell r="K1681" t="str">
            <v>unit</v>
          </cell>
          <cell r="L1681" t="str">
            <v>0</v>
          </cell>
        </row>
        <row r="1682">
          <cell r="F1682" t="str">
            <v>OTH00073</v>
          </cell>
          <cell r="G1682" t="str">
            <v>MASKER</v>
          </cell>
          <cell r="H1682">
            <v>0</v>
          </cell>
          <cell r="I1682">
            <v>0</v>
          </cell>
          <cell r="J1682">
            <v>0</v>
          </cell>
          <cell r="K1682" t="str">
            <v>pcs</v>
          </cell>
          <cell r="L1682" t="str">
            <v>0</v>
          </cell>
        </row>
        <row r="1683">
          <cell r="F1683" t="str">
            <v>OTH00074</v>
          </cell>
          <cell r="G1683" t="str">
            <v>SERAGAM KITCHEN HIJAU TUA SIZE L</v>
          </cell>
          <cell r="H1683">
            <v>0</v>
          </cell>
          <cell r="I1683">
            <v>0</v>
          </cell>
          <cell r="J1683">
            <v>0</v>
          </cell>
          <cell r="K1683" t="str">
            <v>pcs</v>
          </cell>
          <cell r="L1683" t="str">
            <v>0</v>
          </cell>
        </row>
        <row r="1684">
          <cell r="F1684" t="str">
            <v>OTH00075</v>
          </cell>
          <cell r="G1684" t="str">
            <v>SERAGAM KITCHEN HIJAU TUA SIZE M</v>
          </cell>
          <cell r="H1684">
            <v>0</v>
          </cell>
          <cell r="I1684">
            <v>0</v>
          </cell>
          <cell r="J1684">
            <v>0</v>
          </cell>
          <cell r="K1684" t="str">
            <v>pcs</v>
          </cell>
          <cell r="L1684" t="str">
            <v>0</v>
          </cell>
        </row>
        <row r="1685">
          <cell r="F1685" t="str">
            <v>OTH00076</v>
          </cell>
          <cell r="G1685" t="str">
            <v>SERAGAM SERVICE HITAM SIZE XL</v>
          </cell>
          <cell r="H1685">
            <v>0</v>
          </cell>
          <cell r="I1685">
            <v>0</v>
          </cell>
          <cell r="J1685">
            <v>0</v>
          </cell>
          <cell r="K1685" t="str">
            <v>pcs</v>
          </cell>
          <cell r="L1685" t="str">
            <v>0</v>
          </cell>
        </row>
        <row r="1686">
          <cell r="F1686" t="str">
            <v>OTH00077</v>
          </cell>
          <cell r="G1686" t="str">
            <v>SERAGAM SERVICE HITAM SIZE L</v>
          </cell>
          <cell r="H1686">
            <v>0</v>
          </cell>
          <cell r="I1686">
            <v>0</v>
          </cell>
          <cell r="J1686">
            <v>0</v>
          </cell>
          <cell r="K1686" t="str">
            <v>pcs</v>
          </cell>
          <cell r="L1686" t="str">
            <v>0</v>
          </cell>
        </row>
        <row r="1687">
          <cell r="F1687" t="str">
            <v>OTH00078</v>
          </cell>
          <cell r="G1687" t="str">
            <v>SERAGAM SERVICE HITAM SIZE M</v>
          </cell>
          <cell r="H1687">
            <v>0</v>
          </cell>
          <cell r="I1687">
            <v>0</v>
          </cell>
          <cell r="J1687">
            <v>0</v>
          </cell>
          <cell r="K1687" t="str">
            <v>pcs</v>
          </cell>
          <cell r="L1687" t="str">
            <v>0</v>
          </cell>
        </row>
        <row r="1688">
          <cell r="F1688" t="str">
            <v>OTH00079</v>
          </cell>
          <cell r="G1688" t="str">
            <v>SERAGAM KITCHEN HITAM SIZE L</v>
          </cell>
          <cell r="H1688">
            <v>0</v>
          </cell>
          <cell r="I1688">
            <v>0</v>
          </cell>
          <cell r="J1688">
            <v>0</v>
          </cell>
          <cell r="K1688" t="str">
            <v>pcs</v>
          </cell>
          <cell r="L1688" t="str">
            <v>0</v>
          </cell>
        </row>
        <row r="1689">
          <cell r="F1689" t="str">
            <v>OTH00080</v>
          </cell>
          <cell r="G1689" t="str">
            <v>SERAGAM KITHCEN HITAM SIZE M</v>
          </cell>
          <cell r="H1689">
            <v>0</v>
          </cell>
          <cell r="I1689">
            <v>0</v>
          </cell>
          <cell r="J1689">
            <v>0</v>
          </cell>
          <cell r="K1689" t="str">
            <v>pcs</v>
          </cell>
          <cell r="L1689" t="str">
            <v>0</v>
          </cell>
        </row>
        <row r="1690">
          <cell r="F1690" t="str">
            <v>OTH00081</v>
          </cell>
          <cell r="G1690" t="str">
            <v>BANNER OUTDOOR</v>
          </cell>
          <cell r="H1690">
            <v>0</v>
          </cell>
          <cell r="I1690">
            <v>0</v>
          </cell>
          <cell r="J1690">
            <v>0</v>
          </cell>
          <cell r="K1690" t="str">
            <v>pcs</v>
          </cell>
          <cell r="L1690" t="str">
            <v>0</v>
          </cell>
        </row>
        <row r="1691">
          <cell r="F1691" t="str">
            <v>OTH00082</v>
          </cell>
          <cell r="G1691" t="str">
            <v>KARTU SIM</v>
          </cell>
          <cell r="H1691">
            <v>0</v>
          </cell>
          <cell r="I1691">
            <v>0</v>
          </cell>
          <cell r="J1691">
            <v>0</v>
          </cell>
          <cell r="K1691" t="str">
            <v>pcs</v>
          </cell>
          <cell r="L1691" t="str">
            <v>0</v>
          </cell>
        </row>
        <row r="1692">
          <cell r="F1692" t="str">
            <v>OTH00083</v>
          </cell>
          <cell r="G1692" t="str">
            <v>SEPATU BOOT TINGGI</v>
          </cell>
          <cell r="H1692">
            <v>119400</v>
          </cell>
          <cell r="I1692">
            <v>0</v>
          </cell>
          <cell r="J1692">
            <v>0</v>
          </cell>
          <cell r="K1692" t="str">
            <v>pcs</v>
          </cell>
          <cell r="L1692" t="str">
            <v>0</v>
          </cell>
        </row>
        <row r="1693">
          <cell r="F1693" t="str">
            <v>OTH00084</v>
          </cell>
          <cell r="G1693" t="str">
            <v>SPANDUK</v>
          </cell>
          <cell r="H1693">
            <v>0</v>
          </cell>
          <cell r="I1693">
            <v>0</v>
          </cell>
          <cell r="J1693">
            <v>0</v>
          </cell>
          <cell r="K1693" t="str">
            <v>pcs</v>
          </cell>
          <cell r="L1693" t="str">
            <v>0</v>
          </cell>
        </row>
        <row r="1694">
          <cell r="F1694" t="str">
            <v>OTH00085</v>
          </cell>
          <cell r="G1694" t="str">
            <v>TROLLEY PRESTA 300KG NF301</v>
          </cell>
          <cell r="H1694">
            <v>0</v>
          </cell>
          <cell r="I1694">
            <v>0</v>
          </cell>
          <cell r="J1694">
            <v>0</v>
          </cell>
          <cell r="K1694" t="str">
            <v>unit</v>
          </cell>
          <cell r="L1694" t="str">
            <v>0</v>
          </cell>
        </row>
        <row r="1695">
          <cell r="F1695" t="str">
            <v>OTH00086</v>
          </cell>
          <cell r="G1695" t="str">
            <v>SERAGAM SERVICE PUTIH SIZE XL</v>
          </cell>
          <cell r="H1695">
            <v>0</v>
          </cell>
          <cell r="I1695">
            <v>0</v>
          </cell>
          <cell r="J1695">
            <v>0</v>
          </cell>
          <cell r="K1695" t="str">
            <v>pcs</v>
          </cell>
          <cell r="L1695" t="str">
            <v>0</v>
          </cell>
        </row>
        <row r="1696">
          <cell r="F1696" t="str">
            <v>OTH00087</v>
          </cell>
          <cell r="G1696" t="str">
            <v>SERAGAM SERVICE PUTIH SIZE L</v>
          </cell>
          <cell r="H1696">
            <v>0</v>
          </cell>
          <cell r="I1696">
            <v>0</v>
          </cell>
          <cell r="J1696">
            <v>0</v>
          </cell>
          <cell r="K1696" t="str">
            <v>pcs</v>
          </cell>
          <cell r="L1696" t="str">
            <v>0</v>
          </cell>
        </row>
        <row r="1697">
          <cell r="F1697" t="str">
            <v>OTH00088</v>
          </cell>
          <cell r="G1697" t="str">
            <v>SERAGAM SERVICE PUTIH SIZE M</v>
          </cell>
          <cell r="H1697">
            <v>0</v>
          </cell>
          <cell r="I1697">
            <v>0</v>
          </cell>
          <cell r="J1697">
            <v>0</v>
          </cell>
          <cell r="K1697" t="str">
            <v>pcs</v>
          </cell>
          <cell r="L1697" t="str">
            <v>0</v>
          </cell>
        </row>
        <row r="1698">
          <cell r="F1698" t="str">
            <v>OTH00089</v>
          </cell>
          <cell r="G1698" t="str">
            <v>KACA FILM SOLARSCREEN</v>
          </cell>
          <cell r="H1698">
            <v>0</v>
          </cell>
          <cell r="I1698">
            <v>0</v>
          </cell>
          <cell r="J1698">
            <v>0</v>
          </cell>
          <cell r="K1698" t="str">
            <v>pcs</v>
          </cell>
          <cell r="L1698" t="str">
            <v>0</v>
          </cell>
        </row>
        <row r="1699">
          <cell r="F1699" t="str">
            <v>OTH00090</v>
          </cell>
          <cell r="G1699" t="str">
            <v>TROLLEY PRESTA 150 KG NB101</v>
          </cell>
          <cell r="H1699">
            <v>0</v>
          </cell>
          <cell r="I1699">
            <v>0</v>
          </cell>
          <cell r="J1699">
            <v>0</v>
          </cell>
          <cell r="K1699" t="str">
            <v>unit</v>
          </cell>
          <cell r="L1699" t="str">
            <v>0</v>
          </cell>
        </row>
        <row r="1700">
          <cell r="F1700" t="str">
            <v>OTH00091</v>
          </cell>
          <cell r="G1700" t="str">
            <v>LE MINERALE GALON</v>
          </cell>
          <cell r="H1700">
            <v>0</v>
          </cell>
          <cell r="I1700">
            <v>0</v>
          </cell>
          <cell r="J1700">
            <v>0</v>
          </cell>
          <cell r="K1700" t="str">
            <v>liter</v>
          </cell>
          <cell r="L1700" t="str">
            <v>0</v>
          </cell>
        </row>
        <row r="1701">
          <cell r="F1701" t="str">
            <v>OTH00093</v>
          </cell>
          <cell r="G1701" t="str">
            <v>SERAGAM HT HITAM SIZE M</v>
          </cell>
          <cell r="H1701">
            <v>0</v>
          </cell>
          <cell r="I1701">
            <v>0</v>
          </cell>
          <cell r="J1701">
            <v>0</v>
          </cell>
          <cell r="K1701" t="str">
            <v>pcs</v>
          </cell>
          <cell r="L1701" t="str">
            <v>0</v>
          </cell>
        </row>
        <row r="1702">
          <cell r="F1702" t="str">
            <v>OTH00094</v>
          </cell>
          <cell r="G1702" t="str">
            <v>SERAGAM HT HITAM SIZE L</v>
          </cell>
          <cell r="H1702">
            <v>0</v>
          </cell>
          <cell r="I1702">
            <v>0</v>
          </cell>
          <cell r="J1702">
            <v>0</v>
          </cell>
          <cell r="K1702" t="str">
            <v>pcs</v>
          </cell>
          <cell r="L1702" t="str">
            <v>0</v>
          </cell>
        </row>
        <row r="1703">
          <cell r="F1703" t="str">
            <v>OTH00095</v>
          </cell>
          <cell r="G1703" t="str">
            <v>SERAGAM HT HITAM SIZE XL</v>
          </cell>
          <cell r="H1703">
            <v>0</v>
          </cell>
          <cell r="I1703">
            <v>0</v>
          </cell>
          <cell r="J1703">
            <v>0</v>
          </cell>
          <cell r="K1703" t="str">
            <v>pcs</v>
          </cell>
          <cell r="L1703" t="str">
            <v>0</v>
          </cell>
        </row>
        <row r="1704">
          <cell r="F1704" t="str">
            <v>OTH00096</v>
          </cell>
          <cell r="G1704" t="str">
            <v>APRON HT UNGU</v>
          </cell>
          <cell r="H1704">
            <v>0</v>
          </cell>
          <cell r="I1704">
            <v>0</v>
          </cell>
          <cell r="J1704">
            <v>0</v>
          </cell>
          <cell r="K1704" t="str">
            <v>pcs</v>
          </cell>
          <cell r="L1704" t="str">
            <v>0</v>
          </cell>
        </row>
        <row r="1705">
          <cell r="F1705" t="str">
            <v>OTH00097</v>
          </cell>
          <cell r="G1705" t="str">
            <v>TOPI PET HT UNGU LOGO HOTOK</v>
          </cell>
          <cell r="H1705">
            <v>0</v>
          </cell>
          <cell r="I1705">
            <v>0</v>
          </cell>
          <cell r="J1705">
            <v>0</v>
          </cell>
          <cell r="K1705" t="str">
            <v>pcs</v>
          </cell>
          <cell r="L1705" t="str">
            <v>0</v>
          </cell>
        </row>
        <row r="1706">
          <cell r="F1706" t="str">
            <v>OTH00098</v>
          </cell>
          <cell r="G1706" t="str">
            <v>TEMPAT LILIN KRISTAL BENING</v>
          </cell>
          <cell r="H1706">
            <v>0</v>
          </cell>
          <cell r="I1706">
            <v>0</v>
          </cell>
          <cell r="J1706">
            <v>0</v>
          </cell>
          <cell r="K1706" t="str">
            <v>pcs</v>
          </cell>
          <cell r="L1706" t="str">
            <v>0</v>
          </cell>
        </row>
        <row r="1707">
          <cell r="F1707" t="str">
            <v>OTH00099</v>
          </cell>
          <cell r="G1707" t="str">
            <v>GELAS KARYAWAN</v>
          </cell>
          <cell r="H1707">
            <v>0</v>
          </cell>
          <cell r="I1707">
            <v>0</v>
          </cell>
          <cell r="J1707">
            <v>0</v>
          </cell>
          <cell r="K1707" t="str">
            <v>pcs</v>
          </cell>
          <cell r="L1707" t="str">
            <v>0</v>
          </cell>
        </row>
        <row r="1708">
          <cell r="F1708" t="str">
            <v>OTH00100</v>
          </cell>
          <cell r="G1708" t="str">
            <v>NAME TAG OUTLET</v>
          </cell>
          <cell r="H1708">
            <v>0</v>
          </cell>
          <cell r="I1708">
            <v>0</v>
          </cell>
          <cell r="J1708">
            <v>0</v>
          </cell>
          <cell r="K1708" t="str">
            <v>pcs</v>
          </cell>
          <cell r="L1708" t="str">
            <v>0</v>
          </cell>
        </row>
        <row r="1709">
          <cell r="F1709" t="str">
            <v>OTH00101</v>
          </cell>
          <cell r="G1709" t="str">
            <v>TATAKAN INDUCTION/TATAKAN KUALI</v>
          </cell>
          <cell r="H1709">
            <v>0</v>
          </cell>
          <cell r="I1709">
            <v>0</v>
          </cell>
          <cell r="J1709">
            <v>0</v>
          </cell>
          <cell r="K1709" t="str">
            <v>pcs</v>
          </cell>
          <cell r="L1709" t="str">
            <v>0</v>
          </cell>
        </row>
        <row r="1710">
          <cell r="F1710" t="str">
            <v>OTH00102</v>
          </cell>
          <cell r="G1710" t="str">
            <v>TABLE NUMBER</v>
          </cell>
          <cell r="H1710">
            <v>0</v>
          </cell>
          <cell r="I1710">
            <v>0</v>
          </cell>
          <cell r="J1710">
            <v>0</v>
          </cell>
          <cell r="K1710" t="str">
            <v>pcs</v>
          </cell>
          <cell r="L1710" t="str">
            <v>0</v>
          </cell>
        </row>
        <row r="1711">
          <cell r="F1711" t="str">
            <v>OTH00104</v>
          </cell>
          <cell r="G1711" t="str">
            <v>KRISHOME TROLI RAK - PUTIH</v>
          </cell>
          <cell r="H1711">
            <v>0</v>
          </cell>
          <cell r="I1711">
            <v>0</v>
          </cell>
          <cell r="J1711">
            <v>0</v>
          </cell>
          <cell r="K1711" t="str">
            <v>unit</v>
          </cell>
          <cell r="L1711" t="str">
            <v>0</v>
          </cell>
        </row>
        <row r="1712">
          <cell r="F1712" t="str">
            <v>OTH00105</v>
          </cell>
          <cell r="G1712" t="str">
            <v>MASKER MEDIS</v>
          </cell>
          <cell r="H1712">
            <v>0</v>
          </cell>
          <cell r="I1712">
            <v>0</v>
          </cell>
          <cell r="J1712">
            <v>0</v>
          </cell>
          <cell r="K1712" t="str">
            <v>box</v>
          </cell>
          <cell r="L1712" t="str">
            <v>0</v>
          </cell>
        </row>
        <row r="1713">
          <cell r="F1713" t="str">
            <v>OTH00106</v>
          </cell>
          <cell r="G1713" t="str">
            <v>ACRYLIC TATAKAN K-DRINKS</v>
          </cell>
          <cell r="H1713">
            <v>0</v>
          </cell>
          <cell r="I1713">
            <v>0</v>
          </cell>
          <cell r="J1713">
            <v>0</v>
          </cell>
          <cell r="K1713" t="str">
            <v>pcs</v>
          </cell>
          <cell r="L1713" t="str">
            <v>0</v>
          </cell>
        </row>
        <row r="1714">
          <cell r="F1714" t="str">
            <v>OTH00107</v>
          </cell>
          <cell r="G1714" t="str">
            <v>PLASTIK BUBBLE 125 CMX 50 MTR</v>
          </cell>
          <cell r="H1714">
            <v>0</v>
          </cell>
          <cell r="I1714">
            <v>0</v>
          </cell>
          <cell r="J1714">
            <v>0</v>
          </cell>
          <cell r="K1714" t="str">
            <v>ROLL</v>
          </cell>
          <cell r="L1714" t="str">
            <v>0</v>
          </cell>
        </row>
        <row r="1715">
          <cell r="F1715" t="str">
            <v>OTH00108</v>
          </cell>
          <cell r="G1715" t="str">
            <v>PLASTIK HIJAU PACKING SERAGAM</v>
          </cell>
          <cell r="H1715">
            <v>0</v>
          </cell>
          <cell r="I1715">
            <v>0</v>
          </cell>
          <cell r="J1715">
            <v>0</v>
          </cell>
          <cell r="K1715" t="str">
            <v>pack</v>
          </cell>
          <cell r="L1715" t="str">
            <v>0</v>
          </cell>
        </row>
        <row r="1716">
          <cell r="F1716" t="str">
            <v>OTH00109</v>
          </cell>
          <cell r="G1716" t="str">
            <v>STICKER KACA KASIR</v>
          </cell>
          <cell r="H1716">
            <v>0</v>
          </cell>
          <cell r="I1716">
            <v>0</v>
          </cell>
          <cell r="J1716">
            <v>0</v>
          </cell>
          <cell r="K1716" t="str">
            <v>lembar</v>
          </cell>
          <cell r="L1716" t="str">
            <v>0</v>
          </cell>
        </row>
        <row r="1717">
          <cell r="F1717" t="str">
            <v>OTH00110</v>
          </cell>
          <cell r="G1717" t="str">
            <v>TIMBANGAN DIGITAL CAMRY 30 KG</v>
          </cell>
          <cell r="H1717">
            <v>0</v>
          </cell>
          <cell r="I1717">
            <v>0</v>
          </cell>
          <cell r="J1717">
            <v>0</v>
          </cell>
          <cell r="K1717" t="str">
            <v>unit</v>
          </cell>
          <cell r="L1717" t="str">
            <v>0</v>
          </cell>
        </row>
        <row r="1718">
          <cell r="F1718" t="str">
            <v>OTH00111</v>
          </cell>
          <cell r="G1718" t="str">
            <v>BUKU MENU</v>
          </cell>
          <cell r="H1718">
            <v>0</v>
          </cell>
          <cell r="I1718">
            <v>0</v>
          </cell>
          <cell r="J1718">
            <v>0</v>
          </cell>
          <cell r="K1718" t="str">
            <v>pcs</v>
          </cell>
          <cell r="L1718" t="str">
            <v>0</v>
          </cell>
        </row>
        <row r="1719">
          <cell r="F1719" t="str">
            <v>OTH00112</v>
          </cell>
          <cell r="G1719" t="str">
            <v>BOX STAYROFOAM</v>
          </cell>
          <cell r="H1719">
            <v>0</v>
          </cell>
          <cell r="I1719">
            <v>0</v>
          </cell>
          <cell r="J1719">
            <v>0</v>
          </cell>
          <cell r="K1719" t="str">
            <v>pcs</v>
          </cell>
          <cell r="L1719" t="str">
            <v>0</v>
          </cell>
        </row>
        <row r="1720">
          <cell r="F1720" t="str">
            <v>OTH00113</v>
          </cell>
          <cell r="G1720" t="str">
            <v xml:space="preserve"> DUDUKAN ADVANCE 40 x 40 x 15</v>
          </cell>
          <cell r="H1720">
            <v>0</v>
          </cell>
          <cell r="I1720">
            <v>0</v>
          </cell>
          <cell r="J1720">
            <v>0</v>
          </cell>
          <cell r="K1720" t="str">
            <v>unit</v>
          </cell>
          <cell r="L1720" t="str">
            <v>0</v>
          </cell>
        </row>
        <row r="1721">
          <cell r="F1721" t="str">
            <v>OTH00114</v>
          </cell>
          <cell r="G1721" t="str">
            <v>APAR 3 KG TONATA ECO LIQUID</v>
          </cell>
          <cell r="H1721">
            <v>0</v>
          </cell>
          <cell r="I1721">
            <v>0</v>
          </cell>
          <cell r="J1721">
            <v>0</v>
          </cell>
          <cell r="K1721" t="str">
            <v>pcs</v>
          </cell>
          <cell r="L1721" t="str">
            <v>0</v>
          </cell>
        </row>
        <row r="1722">
          <cell r="F1722" t="str">
            <v>OTH00115</v>
          </cell>
          <cell r="G1722" t="str">
            <v>BOTOL JERIGEN 10 L</v>
          </cell>
          <cell r="H1722">
            <v>0</v>
          </cell>
          <cell r="I1722">
            <v>0</v>
          </cell>
          <cell r="J1722">
            <v>0</v>
          </cell>
          <cell r="K1722" t="str">
            <v>botol</v>
          </cell>
          <cell r="L1722" t="str">
            <v>0</v>
          </cell>
        </row>
        <row r="1723">
          <cell r="F1723" t="str">
            <v>OTH00116</v>
          </cell>
          <cell r="G1723" t="str">
            <v>TISSUE PASEO TOW WH3</v>
          </cell>
          <cell r="H1723">
            <v>0</v>
          </cell>
          <cell r="I1723">
            <v>0</v>
          </cell>
          <cell r="J1723">
            <v>0</v>
          </cell>
          <cell r="K1723" t="str">
            <v>ROLL</v>
          </cell>
          <cell r="L1723" t="str">
            <v>0</v>
          </cell>
        </row>
        <row r="1724">
          <cell r="F1724" t="str">
            <v>OTH00117</v>
          </cell>
          <cell r="G1724" t="str">
            <v>DOMPET</v>
          </cell>
          <cell r="H1724">
            <v>0</v>
          </cell>
          <cell r="I1724">
            <v>0</v>
          </cell>
          <cell r="J1724">
            <v>0</v>
          </cell>
          <cell r="K1724" t="str">
            <v>pcs</v>
          </cell>
          <cell r="L1724" t="str">
            <v>0</v>
          </cell>
        </row>
        <row r="1725">
          <cell r="F1725" t="str">
            <v>OTH00118</v>
          </cell>
          <cell r="G1725" t="str">
            <v>PALLET PLASTIK NPK 1005 S</v>
          </cell>
          <cell r="H1725">
            <v>0</v>
          </cell>
          <cell r="I1725">
            <v>0</v>
          </cell>
          <cell r="J1725">
            <v>0</v>
          </cell>
          <cell r="K1725" t="str">
            <v>pcs</v>
          </cell>
          <cell r="L1725" t="str">
            <v>0</v>
          </cell>
        </row>
        <row r="1726">
          <cell r="F1726" t="str">
            <v>OTH00119</v>
          </cell>
          <cell r="G1726" t="str">
            <v>KURSI JONGKOK</v>
          </cell>
          <cell r="H1726">
            <v>0</v>
          </cell>
          <cell r="I1726">
            <v>0</v>
          </cell>
          <cell r="J1726">
            <v>0</v>
          </cell>
          <cell r="K1726" t="str">
            <v>pcs</v>
          </cell>
          <cell r="L1726" t="str">
            <v>0</v>
          </cell>
        </row>
        <row r="1727">
          <cell r="F1727" t="str">
            <v>OTH00120</v>
          </cell>
          <cell r="G1727" t="str">
            <v>ALUMUNIUM FOIL</v>
          </cell>
          <cell r="H1727">
            <v>0</v>
          </cell>
          <cell r="I1727">
            <v>0</v>
          </cell>
          <cell r="J1727">
            <v>0</v>
          </cell>
          <cell r="K1727" t="str">
            <v>pcs</v>
          </cell>
          <cell r="L1727" t="str">
            <v>0</v>
          </cell>
        </row>
        <row r="1728">
          <cell r="F1728" t="str">
            <v>OTH00121</v>
          </cell>
          <cell r="G1728" t="str">
            <v>KARDUS ROKOK</v>
          </cell>
          <cell r="H1728">
            <v>0</v>
          </cell>
          <cell r="I1728">
            <v>0</v>
          </cell>
          <cell r="J1728">
            <v>0</v>
          </cell>
          <cell r="K1728" t="str">
            <v>box</v>
          </cell>
          <cell r="L1728" t="str">
            <v>0</v>
          </cell>
        </row>
        <row r="1729">
          <cell r="F1729" t="str">
            <v>OTH00122</v>
          </cell>
          <cell r="G1729" t="str">
            <v>KURSI BASO</v>
          </cell>
          <cell r="H1729">
            <v>0</v>
          </cell>
          <cell r="I1729">
            <v>0</v>
          </cell>
          <cell r="J1729">
            <v>0</v>
          </cell>
          <cell r="K1729" t="str">
            <v>pcs</v>
          </cell>
          <cell r="L1729" t="str">
            <v>0</v>
          </cell>
        </row>
        <row r="1730">
          <cell r="F1730" t="str">
            <v>OTH00123</v>
          </cell>
          <cell r="G1730" t="str">
            <v>POMPA AIR MINUM MIYAKO</v>
          </cell>
          <cell r="H1730">
            <v>0</v>
          </cell>
          <cell r="I1730">
            <v>0</v>
          </cell>
          <cell r="J1730">
            <v>0</v>
          </cell>
          <cell r="K1730" t="str">
            <v>unit</v>
          </cell>
          <cell r="L1730" t="str">
            <v>0</v>
          </cell>
        </row>
        <row r="1731">
          <cell r="F1731" t="str">
            <v>OTH00124</v>
          </cell>
          <cell r="G1731" t="str">
            <v>SARUNG TANGAN KAIN</v>
          </cell>
          <cell r="H1731">
            <v>0</v>
          </cell>
          <cell r="I1731">
            <v>0</v>
          </cell>
          <cell r="J1731">
            <v>0</v>
          </cell>
          <cell r="K1731" t="str">
            <v>pcs</v>
          </cell>
          <cell r="L1731" t="str">
            <v>0</v>
          </cell>
        </row>
        <row r="1732">
          <cell r="F1732" t="str">
            <v>OTH00125</v>
          </cell>
          <cell r="G1732" t="str">
            <v>TEMPAT SABUN CUCI PIRING</v>
          </cell>
          <cell r="H1732">
            <v>0</v>
          </cell>
          <cell r="I1732">
            <v>0</v>
          </cell>
          <cell r="J1732">
            <v>0</v>
          </cell>
          <cell r="K1732" t="str">
            <v>pcs</v>
          </cell>
          <cell r="L1732" t="str">
            <v>0</v>
          </cell>
        </row>
        <row r="1733">
          <cell r="F1733" t="str">
            <v>OTH00126</v>
          </cell>
          <cell r="G1733" t="str">
            <v>SERAGAM CDP HG ABU-ABU LIST HITAM SIZE L</v>
          </cell>
          <cell r="H1733">
            <v>0</v>
          </cell>
          <cell r="I1733">
            <v>0</v>
          </cell>
          <cell r="J1733">
            <v>0</v>
          </cell>
          <cell r="K1733" t="str">
            <v>pcs</v>
          </cell>
          <cell r="L1733" t="str">
            <v>0</v>
          </cell>
        </row>
        <row r="1734">
          <cell r="F1734" t="str">
            <v>OTH00127</v>
          </cell>
          <cell r="G1734" t="str">
            <v>SERAGAM KITCHEN HG ABU-ABU SIZE XL</v>
          </cell>
          <cell r="H1734">
            <v>0</v>
          </cell>
          <cell r="I1734">
            <v>0</v>
          </cell>
          <cell r="J1734">
            <v>0</v>
          </cell>
          <cell r="K1734" t="str">
            <v>pcs</v>
          </cell>
          <cell r="L1734" t="str">
            <v>0</v>
          </cell>
        </row>
        <row r="1735">
          <cell r="F1735" t="str">
            <v>OTH00128</v>
          </cell>
          <cell r="G1735" t="str">
            <v>SERAGAM KITCHEN HG ABU-ABU SIZE L</v>
          </cell>
          <cell r="H1735">
            <v>0</v>
          </cell>
          <cell r="I1735">
            <v>0</v>
          </cell>
          <cell r="J1735">
            <v>0</v>
          </cell>
          <cell r="K1735" t="str">
            <v>pcs</v>
          </cell>
          <cell r="L1735" t="str">
            <v>0</v>
          </cell>
        </row>
        <row r="1736">
          <cell r="F1736" t="str">
            <v>OTH00129</v>
          </cell>
          <cell r="G1736" t="str">
            <v>SERAGAM KITCHEN HG ABU-ABU SIZE M</v>
          </cell>
          <cell r="H1736">
            <v>0</v>
          </cell>
          <cell r="I1736">
            <v>0</v>
          </cell>
          <cell r="J1736">
            <v>0</v>
          </cell>
          <cell r="K1736" t="str">
            <v>pcs</v>
          </cell>
          <cell r="L1736" t="str">
            <v>0</v>
          </cell>
        </row>
        <row r="1737">
          <cell r="F1737" t="str">
            <v>OTH00130</v>
          </cell>
          <cell r="G1737" t="str">
            <v>SERAGAM HG HITAM LOGO HANGUKSU SIZE XL</v>
          </cell>
          <cell r="H1737">
            <v>0</v>
          </cell>
          <cell r="I1737">
            <v>0</v>
          </cell>
          <cell r="J1737">
            <v>0</v>
          </cell>
          <cell r="K1737" t="str">
            <v>pcs</v>
          </cell>
          <cell r="L1737" t="str">
            <v>0</v>
          </cell>
        </row>
        <row r="1738">
          <cell r="F1738" t="str">
            <v>OTH00131</v>
          </cell>
          <cell r="G1738" t="str">
            <v>SERAGAM HG HITAM LOGO HANGUKSU SIZE L</v>
          </cell>
          <cell r="H1738">
            <v>0</v>
          </cell>
          <cell r="I1738">
            <v>0</v>
          </cell>
          <cell r="J1738">
            <v>0</v>
          </cell>
          <cell r="K1738" t="str">
            <v>pcs</v>
          </cell>
          <cell r="L1738" t="str">
            <v>0</v>
          </cell>
        </row>
        <row r="1739">
          <cell r="F1739" t="str">
            <v>OTH00132</v>
          </cell>
          <cell r="G1739" t="str">
            <v>APRON KITCHEN HG HITAM</v>
          </cell>
          <cell r="H1739">
            <v>0</v>
          </cell>
          <cell r="I1739">
            <v>0</v>
          </cell>
          <cell r="J1739">
            <v>0</v>
          </cell>
          <cell r="K1739" t="str">
            <v>pcs</v>
          </cell>
          <cell r="L1739" t="str">
            <v>0</v>
          </cell>
        </row>
        <row r="1740">
          <cell r="F1740" t="str">
            <v>OTH00133</v>
          </cell>
          <cell r="G1740" t="str">
            <v>APRON SERVICE HG UNGU</v>
          </cell>
          <cell r="H1740">
            <v>0</v>
          </cell>
          <cell r="I1740">
            <v>0</v>
          </cell>
          <cell r="J1740">
            <v>0</v>
          </cell>
          <cell r="K1740" t="str">
            <v>pcs</v>
          </cell>
          <cell r="L1740" t="str">
            <v>0</v>
          </cell>
        </row>
        <row r="1741">
          <cell r="F1741" t="str">
            <v>OTH00134</v>
          </cell>
          <cell r="G1741" t="str">
            <v>TOPI PET KITCHEN HG ABU-ABU LOGO HANGUKSU</v>
          </cell>
          <cell r="H1741">
            <v>0</v>
          </cell>
          <cell r="I1741">
            <v>0</v>
          </cell>
          <cell r="J1741">
            <v>0</v>
          </cell>
          <cell r="K1741" t="str">
            <v>pcs</v>
          </cell>
          <cell r="L1741" t="str">
            <v>0</v>
          </cell>
        </row>
        <row r="1742">
          <cell r="F1742" t="str">
            <v>OTH00135</v>
          </cell>
          <cell r="G1742" t="str">
            <v>SERAGAM SERVICE HITAM SIZE XXL</v>
          </cell>
          <cell r="H1742">
            <v>0</v>
          </cell>
          <cell r="I1742">
            <v>0</v>
          </cell>
          <cell r="J1742">
            <v>0</v>
          </cell>
          <cell r="K1742" t="str">
            <v>pcs</v>
          </cell>
          <cell r="L1742" t="str">
            <v>0</v>
          </cell>
        </row>
        <row r="1743">
          <cell r="F1743" t="str">
            <v>OTH00136</v>
          </cell>
          <cell r="G1743" t="str">
            <v>SERAGAM KITCHEN HIJAU TUA SIZE XXXXL</v>
          </cell>
          <cell r="H1743">
            <v>0</v>
          </cell>
          <cell r="I1743">
            <v>0</v>
          </cell>
          <cell r="J1743">
            <v>0</v>
          </cell>
          <cell r="K1743" t="str">
            <v>pcs</v>
          </cell>
          <cell r="L1743" t="str">
            <v>0</v>
          </cell>
        </row>
        <row r="1744">
          <cell r="F1744" t="str">
            <v>OTH00137</v>
          </cell>
          <cell r="G1744" t="str">
            <v>SERAGAM KITCHEN HIJAU TUA SIZE XXL</v>
          </cell>
          <cell r="H1744">
            <v>0</v>
          </cell>
          <cell r="I1744">
            <v>0</v>
          </cell>
          <cell r="J1744">
            <v>0</v>
          </cell>
          <cell r="K1744" t="str">
            <v>pcs</v>
          </cell>
          <cell r="L1744" t="str">
            <v>0</v>
          </cell>
        </row>
        <row r="1745">
          <cell r="F1745" t="str">
            <v>OTH00138</v>
          </cell>
          <cell r="G1745" t="str">
            <v>TISSUE LIVI ROLL HO @ 100ROLL</v>
          </cell>
          <cell r="H1745">
            <v>0</v>
          </cell>
          <cell r="I1745">
            <v>0</v>
          </cell>
          <cell r="J1745">
            <v>0</v>
          </cell>
          <cell r="K1745" t="str">
            <v>ROLL</v>
          </cell>
          <cell r="L1745" t="str">
            <v>0</v>
          </cell>
        </row>
        <row r="1746">
          <cell r="F1746" t="str">
            <v>OTH00139</v>
          </cell>
          <cell r="G1746" t="str">
            <v>TISSUE MULTIFOLD @24 PACK</v>
          </cell>
          <cell r="H1746">
            <v>0</v>
          </cell>
          <cell r="I1746">
            <v>0</v>
          </cell>
          <cell r="J1746">
            <v>0</v>
          </cell>
          <cell r="K1746" t="str">
            <v>pack</v>
          </cell>
          <cell r="L1746" t="str">
            <v>0</v>
          </cell>
        </row>
        <row r="1747">
          <cell r="F1747" t="str">
            <v>OTH00140</v>
          </cell>
          <cell r="G1747" t="str">
            <v>DRIVER SET 31 S</v>
          </cell>
          <cell r="H1747">
            <v>0</v>
          </cell>
          <cell r="I1747">
            <v>0</v>
          </cell>
          <cell r="J1747">
            <v>0</v>
          </cell>
          <cell r="K1747" t="str">
            <v>pack</v>
          </cell>
          <cell r="L1747" t="str">
            <v>0</v>
          </cell>
        </row>
        <row r="1748">
          <cell r="F1748" t="str">
            <v>OTH00141</v>
          </cell>
          <cell r="G1748" t="str">
            <v>KOTAK BRANGKAS 36 KUNCI</v>
          </cell>
          <cell r="H1748">
            <v>0</v>
          </cell>
          <cell r="I1748">
            <v>0</v>
          </cell>
          <cell r="J1748">
            <v>0</v>
          </cell>
          <cell r="K1748" t="str">
            <v>box</v>
          </cell>
          <cell r="L1748" t="str">
            <v>0</v>
          </cell>
        </row>
        <row r="1749">
          <cell r="F1749" t="str">
            <v>OTH00142</v>
          </cell>
          <cell r="G1749" t="str">
            <v>STANDING FLY CATHER</v>
          </cell>
          <cell r="H1749">
            <v>0</v>
          </cell>
          <cell r="I1749">
            <v>0</v>
          </cell>
          <cell r="J1749">
            <v>0</v>
          </cell>
          <cell r="K1749" t="str">
            <v>unit</v>
          </cell>
          <cell r="L1749" t="str">
            <v>0</v>
          </cell>
        </row>
        <row r="1750">
          <cell r="F1750" t="str">
            <v>OTH00143</v>
          </cell>
          <cell r="G1750" t="str">
            <v>ACRYLIC STANDING A5</v>
          </cell>
          <cell r="H1750">
            <v>0</v>
          </cell>
          <cell r="I1750">
            <v>0</v>
          </cell>
          <cell r="J1750">
            <v>0</v>
          </cell>
          <cell r="K1750" t="str">
            <v>pcs</v>
          </cell>
          <cell r="L1750" t="str">
            <v>0</v>
          </cell>
        </row>
        <row r="1751">
          <cell r="F1751" t="str">
            <v>OTH00144</v>
          </cell>
          <cell r="G1751" t="str">
            <v>SERAGAM CDP KERAH HIJAU MUDA - XL</v>
          </cell>
          <cell r="H1751">
            <v>0</v>
          </cell>
          <cell r="I1751">
            <v>0</v>
          </cell>
          <cell r="J1751">
            <v>0</v>
          </cell>
          <cell r="K1751" t="str">
            <v>pcs</v>
          </cell>
          <cell r="L1751" t="str">
            <v>0</v>
          </cell>
        </row>
        <row r="1752">
          <cell r="F1752" t="str">
            <v>OTH00145</v>
          </cell>
          <cell r="G1752" t="str">
            <v>SERAGAM KITCHEN HITAM - XL</v>
          </cell>
          <cell r="H1752">
            <v>0</v>
          </cell>
          <cell r="I1752">
            <v>0</v>
          </cell>
          <cell r="J1752">
            <v>0</v>
          </cell>
          <cell r="K1752" t="str">
            <v>pcs</v>
          </cell>
          <cell r="L1752" t="str">
            <v>0</v>
          </cell>
        </row>
        <row r="1753">
          <cell r="F1753" t="str">
            <v>OTH00146</v>
          </cell>
          <cell r="G1753" t="str">
            <v>SERAGAM KITCHEN HITAM - XXL</v>
          </cell>
          <cell r="H1753">
            <v>0</v>
          </cell>
          <cell r="I1753">
            <v>0</v>
          </cell>
          <cell r="J1753">
            <v>0</v>
          </cell>
          <cell r="K1753" t="str">
            <v>pcs</v>
          </cell>
          <cell r="L1753" t="str">
            <v>0</v>
          </cell>
        </row>
        <row r="1754">
          <cell r="F1754" t="str">
            <v>OTH00147</v>
          </cell>
          <cell r="G1754" t="str">
            <v>SERAGAM KITCHEN HITAM - XXXL</v>
          </cell>
          <cell r="H1754">
            <v>0</v>
          </cell>
          <cell r="I1754">
            <v>0</v>
          </cell>
          <cell r="J1754">
            <v>0</v>
          </cell>
          <cell r="K1754" t="str">
            <v>pcs</v>
          </cell>
          <cell r="L1754" t="str">
            <v>0</v>
          </cell>
        </row>
        <row r="1755">
          <cell r="F1755" t="str">
            <v>OTH00148</v>
          </cell>
          <cell r="G1755" t="str">
            <v>SERAGAM SERVICE HG PINK - XL</v>
          </cell>
          <cell r="H1755">
            <v>0</v>
          </cell>
          <cell r="I1755">
            <v>0</v>
          </cell>
          <cell r="J1755">
            <v>0</v>
          </cell>
          <cell r="K1755" t="str">
            <v>pcs</v>
          </cell>
          <cell r="L1755" t="str">
            <v>0</v>
          </cell>
        </row>
        <row r="1756">
          <cell r="F1756" t="str">
            <v>OTH00149</v>
          </cell>
          <cell r="G1756" t="str">
            <v>SERAGAM SERVICE HG PINK - L</v>
          </cell>
          <cell r="H1756">
            <v>0</v>
          </cell>
          <cell r="I1756">
            <v>0</v>
          </cell>
          <cell r="J1756">
            <v>0</v>
          </cell>
          <cell r="K1756" t="str">
            <v>pcs</v>
          </cell>
          <cell r="L1756" t="str">
            <v>0</v>
          </cell>
        </row>
        <row r="1757">
          <cell r="F1757" t="str">
            <v>OTH00150</v>
          </cell>
          <cell r="G1757" t="str">
            <v>SERAGAM SERVICE HG PINK - M</v>
          </cell>
          <cell r="H1757">
            <v>0</v>
          </cell>
          <cell r="I1757">
            <v>0</v>
          </cell>
          <cell r="J1757">
            <v>0</v>
          </cell>
          <cell r="K1757" t="str">
            <v>pcs</v>
          </cell>
          <cell r="L1757" t="str">
            <v>0</v>
          </cell>
        </row>
        <row r="1758">
          <cell r="F1758" t="str">
            <v>OTH00151</v>
          </cell>
          <cell r="G1758" t="str">
            <v>LILIN ULANG TAHUN</v>
          </cell>
          <cell r="H1758">
            <v>0</v>
          </cell>
          <cell r="I1758">
            <v>0</v>
          </cell>
          <cell r="J1758">
            <v>0</v>
          </cell>
          <cell r="K1758" t="str">
            <v>pack</v>
          </cell>
          <cell r="L1758" t="str">
            <v>0</v>
          </cell>
        </row>
        <row r="1759">
          <cell r="F1759" t="str">
            <v>OTH00152</v>
          </cell>
          <cell r="G1759" t="str">
            <v>TALANG AIR MOBIL</v>
          </cell>
          <cell r="H1759">
            <v>0</v>
          </cell>
          <cell r="I1759">
            <v>0</v>
          </cell>
          <cell r="J1759">
            <v>0</v>
          </cell>
          <cell r="K1759" t="str">
            <v>pcs</v>
          </cell>
          <cell r="L1759" t="str">
            <v>0</v>
          </cell>
        </row>
        <row r="1760">
          <cell r="F1760" t="str">
            <v>OTH00153</v>
          </cell>
          <cell r="G1760" t="str">
            <v>ANGPAO</v>
          </cell>
          <cell r="H1760">
            <v>0</v>
          </cell>
          <cell r="I1760">
            <v>0</v>
          </cell>
          <cell r="J1760">
            <v>0</v>
          </cell>
          <cell r="K1760" t="str">
            <v>pcs</v>
          </cell>
          <cell r="L1760" t="str">
            <v>0</v>
          </cell>
        </row>
        <row r="1761">
          <cell r="F1761" t="str">
            <v>OTH00154</v>
          </cell>
          <cell r="G1761" t="str">
            <v>APRON ABU CK TARA GROUP</v>
          </cell>
          <cell r="H1761">
            <v>0</v>
          </cell>
          <cell r="I1761">
            <v>0</v>
          </cell>
          <cell r="J1761">
            <v>0</v>
          </cell>
          <cell r="K1761" t="str">
            <v>pcs</v>
          </cell>
          <cell r="L1761" t="str">
            <v>0</v>
          </cell>
        </row>
        <row r="1762">
          <cell r="F1762" t="str">
            <v>OTH00155</v>
          </cell>
          <cell r="G1762" t="str">
            <v>LE MINERALE  330 ML</v>
          </cell>
          <cell r="H1762">
            <v>0</v>
          </cell>
          <cell r="I1762">
            <v>0</v>
          </cell>
          <cell r="J1762">
            <v>0</v>
          </cell>
          <cell r="K1762" t="str">
            <v>bottle</v>
          </cell>
          <cell r="L1762" t="str">
            <v>0</v>
          </cell>
        </row>
        <row r="1763">
          <cell r="F1763" t="str">
            <v>OTH00156</v>
          </cell>
          <cell r="G1763" t="str">
            <v>KAIN SAEKDONG HANGUKSU 14m X 1,4cm</v>
          </cell>
          <cell r="H1763">
            <v>0</v>
          </cell>
          <cell r="I1763">
            <v>0</v>
          </cell>
          <cell r="J1763">
            <v>0</v>
          </cell>
          <cell r="K1763" t="str">
            <v>pcs</v>
          </cell>
          <cell r="L1763" t="str">
            <v>0</v>
          </cell>
        </row>
        <row r="1764">
          <cell r="F1764" t="str">
            <v>OTH00157</v>
          </cell>
          <cell r="G1764" t="str">
            <v>HORDENG JENDELA ABU</v>
          </cell>
          <cell r="H1764">
            <v>0</v>
          </cell>
          <cell r="I1764">
            <v>0</v>
          </cell>
          <cell r="J1764">
            <v>0</v>
          </cell>
          <cell r="K1764" t="str">
            <v>pcs</v>
          </cell>
          <cell r="L1764" t="str">
            <v>0</v>
          </cell>
        </row>
        <row r="1765">
          <cell r="F1765" t="str">
            <v>OTH00158</v>
          </cell>
          <cell r="G1765" t="str">
            <v>TEMPAT TISU HOLDER</v>
          </cell>
          <cell r="H1765">
            <v>0</v>
          </cell>
          <cell r="I1765">
            <v>0</v>
          </cell>
          <cell r="J1765">
            <v>0</v>
          </cell>
          <cell r="K1765" t="str">
            <v>pcs</v>
          </cell>
          <cell r="L1765" t="str">
            <v>0</v>
          </cell>
        </row>
        <row r="1766">
          <cell r="F1766" t="str">
            <v>OTH00159</v>
          </cell>
          <cell r="G1766" t="str">
            <v>PLASTIK PE HD 28</v>
          </cell>
          <cell r="H1766">
            <v>0</v>
          </cell>
          <cell r="I1766">
            <v>0</v>
          </cell>
          <cell r="J1766">
            <v>0</v>
          </cell>
          <cell r="K1766" t="str">
            <v>kg</v>
          </cell>
          <cell r="L1766" t="str">
            <v>0</v>
          </cell>
        </row>
        <row r="1767">
          <cell r="F1767" t="str">
            <v>OTH00160</v>
          </cell>
          <cell r="G1767" t="str">
            <v>TALI TAB (TALI UNTUK TAB)</v>
          </cell>
          <cell r="H1767">
            <v>0</v>
          </cell>
          <cell r="I1767">
            <v>0</v>
          </cell>
          <cell r="J1767">
            <v>0</v>
          </cell>
          <cell r="K1767" t="str">
            <v>pcs</v>
          </cell>
          <cell r="L1767" t="str">
            <v>0</v>
          </cell>
        </row>
        <row r="1768">
          <cell r="F1768" t="str">
            <v>OTH00161</v>
          </cell>
          <cell r="G1768" t="str">
            <v>KOP/PENGAIT KACA</v>
          </cell>
          <cell r="H1768">
            <v>0</v>
          </cell>
          <cell r="I1768">
            <v>0</v>
          </cell>
          <cell r="J1768">
            <v>0</v>
          </cell>
          <cell r="K1768" t="str">
            <v>pcs</v>
          </cell>
          <cell r="L1768" t="str">
            <v>0</v>
          </cell>
        </row>
        <row r="1769">
          <cell r="F1769" t="str">
            <v>OTH00162</v>
          </cell>
          <cell r="G1769" t="str">
            <v>CASE TAB XIAOMI</v>
          </cell>
          <cell r="H1769">
            <v>0</v>
          </cell>
          <cell r="I1769">
            <v>0</v>
          </cell>
          <cell r="J1769">
            <v>0</v>
          </cell>
          <cell r="K1769" t="str">
            <v>pcs</v>
          </cell>
          <cell r="L1769" t="str">
            <v>0</v>
          </cell>
        </row>
        <row r="1770">
          <cell r="F1770" t="str">
            <v>OTH00163</v>
          </cell>
          <cell r="G1770" t="str">
            <v>STERNO</v>
          </cell>
          <cell r="H1770">
            <v>0</v>
          </cell>
          <cell r="I1770">
            <v>0</v>
          </cell>
          <cell r="J1770">
            <v>0</v>
          </cell>
          <cell r="K1770" t="str">
            <v>pcs</v>
          </cell>
          <cell r="L1770" t="str">
            <v>0</v>
          </cell>
        </row>
        <row r="1771">
          <cell r="F1771" t="str">
            <v>OTH00164</v>
          </cell>
          <cell r="G1771" t="str">
            <v>STICKER CHILLER</v>
          </cell>
          <cell r="H1771">
            <v>0</v>
          </cell>
          <cell r="I1771">
            <v>0</v>
          </cell>
          <cell r="J1771">
            <v>0</v>
          </cell>
          <cell r="K1771" t="str">
            <v>pcs</v>
          </cell>
          <cell r="L1771" t="str">
            <v>0</v>
          </cell>
        </row>
        <row r="1772">
          <cell r="F1772" t="str">
            <v>OTH00165</v>
          </cell>
          <cell r="G1772" t="str">
            <v>TROLI RAK STAINLESS</v>
          </cell>
          <cell r="H1772">
            <v>0</v>
          </cell>
          <cell r="I1772">
            <v>0</v>
          </cell>
          <cell r="J1772">
            <v>0</v>
          </cell>
          <cell r="K1772" t="str">
            <v>unit</v>
          </cell>
          <cell r="L1772" t="str">
            <v>0</v>
          </cell>
        </row>
        <row r="1773">
          <cell r="F1773" t="str">
            <v>OTH00166</v>
          </cell>
          <cell r="G1773" t="str">
            <v>SERAGAM CDP HG_ABU-ABU LIST HITAM - M</v>
          </cell>
          <cell r="H1773">
            <v>0</v>
          </cell>
          <cell r="I1773">
            <v>0</v>
          </cell>
          <cell r="J1773">
            <v>0</v>
          </cell>
          <cell r="K1773" t="str">
            <v>pcs</v>
          </cell>
          <cell r="L1773" t="str">
            <v>0</v>
          </cell>
        </row>
        <row r="1774">
          <cell r="F1774" t="str">
            <v>OTH00167</v>
          </cell>
          <cell r="G1774" t="str">
            <v>SERAGAM KITCHEN HG ABU-ABU - S</v>
          </cell>
          <cell r="H1774">
            <v>0</v>
          </cell>
          <cell r="I1774">
            <v>0</v>
          </cell>
          <cell r="J1774">
            <v>0</v>
          </cell>
          <cell r="K1774" t="str">
            <v>pcs</v>
          </cell>
          <cell r="L1774" t="str">
            <v>0</v>
          </cell>
        </row>
        <row r="1775">
          <cell r="F1775" t="str">
            <v>OTH00168</v>
          </cell>
          <cell r="G1775" t="str">
            <v>SERAGAM SERVICE HG PINK - S</v>
          </cell>
          <cell r="H1775">
            <v>0</v>
          </cell>
          <cell r="I1775">
            <v>0</v>
          </cell>
          <cell r="J1775">
            <v>0</v>
          </cell>
          <cell r="K1775" t="str">
            <v>pcs</v>
          </cell>
          <cell r="L1775" t="str">
            <v>0</v>
          </cell>
        </row>
        <row r="1776">
          <cell r="F1776" t="str">
            <v>OTH00169</v>
          </cell>
          <cell r="G1776" t="str">
            <v>SERAGAM HG HITAM LOGO HANGUKSU SIZE  M</v>
          </cell>
          <cell r="H1776">
            <v>0</v>
          </cell>
          <cell r="I1776">
            <v>0</v>
          </cell>
          <cell r="J1776">
            <v>0</v>
          </cell>
          <cell r="K1776" t="str">
            <v>pcs</v>
          </cell>
          <cell r="L1776" t="str">
            <v>0</v>
          </cell>
        </row>
        <row r="1777">
          <cell r="F1777" t="str">
            <v>OTH00170</v>
          </cell>
          <cell r="G1777" t="str">
            <v>TANAMAN PALSU</v>
          </cell>
          <cell r="H1777">
            <v>0</v>
          </cell>
          <cell r="I1777">
            <v>0</v>
          </cell>
          <cell r="J1777">
            <v>0</v>
          </cell>
          <cell r="K1777" t="str">
            <v>pcs</v>
          </cell>
          <cell r="L1777" t="str">
            <v>0</v>
          </cell>
        </row>
        <row r="1778">
          <cell r="F1778" t="str">
            <v>OTH00171</v>
          </cell>
          <cell r="G1778" t="str">
            <v>KAIN KOTAK-KOTAK PLAFON HANGUKSU</v>
          </cell>
          <cell r="H1778">
            <v>0</v>
          </cell>
          <cell r="I1778">
            <v>0</v>
          </cell>
          <cell r="J1778">
            <v>0</v>
          </cell>
          <cell r="K1778" t="str">
            <v>pcs</v>
          </cell>
          <cell r="L1778" t="str">
            <v>0</v>
          </cell>
        </row>
        <row r="1779">
          <cell r="F1779" t="str">
            <v>OTH00172</v>
          </cell>
          <cell r="G1779" t="str">
            <v>KAWAT PRES PLASTIK IMPULSE</v>
          </cell>
          <cell r="H1779">
            <v>0</v>
          </cell>
          <cell r="I1779">
            <v>0</v>
          </cell>
          <cell r="J1779">
            <v>0</v>
          </cell>
          <cell r="K1779" t="str">
            <v>pcs</v>
          </cell>
          <cell r="L1779" t="str">
            <v>0</v>
          </cell>
        </row>
        <row r="1780">
          <cell r="F1780" t="str">
            <v>OTH00173</v>
          </cell>
          <cell r="G1780" t="str">
            <v>KIPAS ANGIN 2 KEPALA USB</v>
          </cell>
          <cell r="H1780">
            <v>0</v>
          </cell>
          <cell r="I1780">
            <v>0</v>
          </cell>
          <cell r="J1780">
            <v>0</v>
          </cell>
          <cell r="K1780" t="str">
            <v>pcs</v>
          </cell>
          <cell r="L1780" t="str">
            <v>0</v>
          </cell>
        </row>
        <row r="1781">
          <cell r="F1781" t="str">
            <v>OTH00174</v>
          </cell>
          <cell r="G1781" t="str">
            <v>CERMIN WASTAFER</v>
          </cell>
          <cell r="H1781">
            <v>0</v>
          </cell>
          <cell r="I1781">
            <v>0</v>
          </cell>
          <cell r="J1781">
            <v>0</v>
          </cell>
          <cell r="K1781" t="str">
            <v>pcs</v>
          </cell>
          <cell r="L1781" t="str">
            <v>0</v>
          </cell>
        </row>
        <row r="1782">
          <cell r="F1782" t="str">
            <v>OTH00175</v>
          </cell>
          <cell r="G1782" t="str">
            <v>ACRYLIC NO PORK NO LARD 60 X 10 CM</v>
          </cell>
          <cell r="H1782">
            <v>0</v>
          </cell>
          <cell r="I1782">
            <v>0</v>
          </cell>
          <cell r="J1782">
            <v>0</v>
          </cell>
          <cell r="K1782" t="str">
            <v>pcs</v>
          </cell>
          <cell r="L1782" t="str">
            <v>0</v>
          </cell>
        </row>
        <row r="1783">
          <cell r="F1783" t="str">
            <v>OTH00176</v>
          </cell>
          <cell r="G1783" t="str">
            <v>SERAGAM CDP HG_ABU-ABU LIST HITAM - XXL</v>
          </cell>
          <cell r="H1783">
            <v>0</v>
          </cell>
          <cell r="I1783">
            <v>0</v>
          </cell>
          <cell r="J1783">
            <v>0</v>
          </cell>
          <cell r="K1783" t="str">
            <v>pcs</v>
          </cell>
          <cell r="L1783" t="str">
            <v>0</v>
          </cell>
        </row>
        <row r="1784">
          <cell r="F1784" t="str">
            <v>OTH00177</v>
          </cell>
          <cell r="G1784" t="str">
            <v>SERAGAM HG HITAM LOGO HANGUKSU SIZE XXL</v>
          </cell>
          <cell r="H1784">
            <v>0</v>
          </cell>
          <cell r="I1784">
            <v>0</v>
          </cell>
          <cell r="J1784">
            <v>0</v>
          </cell>
          <cell r="K1784" t="str">
            <v>pcs</v>
          </cell>
          <cell r="L1784" t="str">
            <v>0</v>
          </cell>
        </row>
        <row r="1785">
          <cell r="F1785" t="str">
            <v>OTH00178</v>
          </cell>
          <cell r="G1785" t="str">
            <v>TEMPAT PAYUNG</v>
          </cell>
          <cell r="H1785">
            <v>0</v>
          </cell>
          <cell r="I1785">
            <v>0</v>
          </cell>
          <cell r="J1785">
            <v>0</v>
          </cell>
          <cell r="K1785" t="str">
            <v>pcs</v>
          </cell>
          <cell r="L1785" t="str">
            <v>0</v>
          </cell>
        </row>
        <row r="1786">
          <cell r="F1786" t="str">
            <v>OTH00179</v>
          </cell>
          <cell r="G1786" t="str">
            <v>PAYUNG ANTI UV</v>
          </cell>
          <cell r="H1786">
            <v>0</v>
          </cell>
          <cell r="I1786">
            <v>0</v>
          </cell>
          <cell r="J1786">
            <v>0</v>
          </cell>
          <cell r="K1786" t="str">
            <v>pcs</v>
          </cell>
          <cell r="L1786" t="str">
            <v>0</v>
          </cell>
        </row>
        <row r="1787">
          <cell r="F1787" t="str">
            <v>OTH00180</v>
          </cell>
          <cell r="G1787" t="str">
            <v>PLASTIK PE KLIP GAGANG 25 X 35</v>
          </cell>
          <cell r="H1787">
            <v>0</v>
          </cell>
          <cell r="I1787">
            <v>0</v>
          </cell>
          <cell r="J1787">
            <v>0</v>
          </cell>
          <cell r="K1787" t="str">
            <v>pcs</v>
          </cell>
          <cell r="L1787" t="str">
            <v>0</v>
          </cell>
        </row>
        <row r="1788">
          <cell r="F1788" t="str">
            <v>OTH00181</v>
          </cell>
          <cell r="G1788" t="str">
            <v>PLASTIK PE KLIP GAGANG 30X38</v>
          </cell>
          <cell r="H1788">
            <v>0</v>
          </cell>
          <cell r="I1788">
            <v>0</v>
          </cell>
          <cell r="J1788">
            <v>0</v>
          </cell>
          <cell r="K1788" t="str">
            <v>pcs</v>
          </cell>
          <cell r="L1788" t="str">
            <v>0</v>
          </cell>
        </row>
        <row r="1789">
          <cell r="F1789" t="str">
            <v>OTH00182</v>
          </cell>
          <cell r="G1789" t="str">
            <v>WARNING SIGN ACRYLIC</v>
          </cell>
          <cell r="H1789">
            <v>0</v>
          </cell>
          <cell r="I1789">
            <v>0</v>
          </cell>
          <cell r="J1789">
            <v>0</v>
          </cell>
          <cell r="K1789" t="str">
            <v>pcs</v>
          </cell>
          <cell r="L1789" t="str">
            <v>0</v>
          </cell>
        </row>
        <row r="1790">
          <cell r="F1790" t="str">
            <v>OTH00183</v>
          </cell>
          <cell r="G1790" t="str">
            <v>GANTUNGAN APAR</v>
          </cell>
          <cell r="H1790">
            <v>0</v>
          </cell>
          <cell r="I1790">
            <v>0</v>
          </cell>
          <cell r="J1790">
            <v>0</v>
          </cell>
          <cell r="K1790" t="str">
            <v>pcs</v>
          </cell>
          <cell r="L1790" t="str">
            <v>0</v>
          </cell>
        </row>
        <row r="1791">
          <cell r="F1791" t="str">
            <v>OTH00184</v>
          </cell>
          <cell r="G1791" t="str">
            <v>ACRYLIC LIGHTBOX</v>
          </cell>
          <cell r="H1791">
            <v>0</v>
          </cell>
          <cell r="I1791">
            <v>0</v>
          </cell>
          <cell r="J1791">
            <v>0</v>
          </cell>
          <cell r="K1791" t="str">
            <v>pcs</v>
          </cell>
          <cell r="L1791" t="str">
            <v>0</v>
          </cell>
        </row>
        <row r="1792">
          <cell r="F1792" t="str">
            <v>OTH00185</v>
          </cell>
          <cell r="G1792" t="str">
            <v>BOTOL SPRAY 400 ML</v>
          </cell>
          <cell r="H1792">
            <v>0</v>
          </cell>
          <cell r="I1792">
            <v>0</v>
          </cell>
          <cell r="J1792">
            <v>0</v>
          </cell>
          <cell r="K1792" t="str">
            <v>pcs</v>
          </cell>
          <cell r="L1792" t="str">
            <v>0</v>
          </cell>
        </row>
        <row r="1793">
          <cell r="F1793" t="str">
            <v>OTH00186</v>
          </cell>
          <cell r="G1793" t="str">
            <v>STIKCER CHILER HARGA K-DRINK</v>
          </cell>
          <cell r="H1793">
            <v>0</v>
          </cell>
          <cell r="I1793">
            <v>0</v>
          </cell>
          <cell r="J1793">
            <v>0</v>
          </cell>
          <cell r="K1793" t="str">
            <v>pcs</v>
          </cell>
          <cell r="L1793" t="str">
            <v>0</v>
          </cell>
        </row>
        <row r="1794">
          <cell r="F1794" t="str">
            <v>OTH00187</v>
          </cell>
          <cell r="G1794" t="str">
            <v>STICKER BUNGA HANGUKSU + CERMIN</v>
          </cell>
          <cell r="H1794">
            <v>0</v>
          </cell>
          <cell r="I1794">
            <v>0</v>
          </cell>
          <cell r="J1794">
            <v>0</v>
          </cell>
          <cell r="K1794" t="str">
            <v>pcs</v>
          </cell>
          <cell r="L1794" t="str">
            <v>0</v>
          </cell>
        </row>
        <row r="1795">
          <cell r="F1795" t="str">
            <v>OTH00188</v>
          </cell>
          <cell r="G1795" t="str">
            <v>CASING ID CARD</v>
          </cell>
          <cell r="H1795">
            <v>0</v>
          </cell>
          <cell r="I1795">
            <v>0</v>
          </cell>
          <cell r="J1795">
            <v>0</v>
          </cell>
          <cell r="K1795" t="str">
            <v>pcs</v>
          </cell>
          <cell r="L1795" t="str">
            <v>0</v>
          </cell>
        </row>
        <row r="1796">
          <cell r="F1796" t="str">
            <v>OTH00189</v>
          </cell>
          <cell r="G1796" t="str">
            <v>TALI HANDPHONE</v>
          </cell>
          <cell r="H1796">
            <v>0</v>
          </cell>
          <cell r="I1796">
            <v>0</v>
          </cell>
          <cell r="J1796">
            <v>0</v>
          </cell>
          <cell r="K1796" t="str">
            <v>pcs</v>
          </cell>
          <cell r="L1796" t="str">
            <v>0</v>
          </cell>
        </row>
        <row r="1797">
          <cell r="F1797" t="str">
            <v>OTH00190</v>
          </cell>
          <cell r="G1797" t="str">
            <v>SUMBU LILIN PELAMPUNG SERAT KAYU</v>
          </cell>
          <cell r="H1797">
            <v>0</v>
          </cell>
          <cell r="I1797">
            <v>0</v>
          </cell>
          <cell r="J1797">
            <v>0</v>
          </cell>
          <cell r="K1797" t="str">
            <v>pcs</v>
          </cell>
          <cell r="L1797" t="str">
            <v>0</v>
          </cell>
        </row>
        <row r="1798">
          <cell r="F1798" t="str">
            <v>OTH00191</v>
          </cell>
          <cell r="G1798" t="str">
            <v>GELAS LILIN 3 OZ</v>
          </cell>
          <cell r="H1798">
            <v>0</v>
          </cell>
          <cell r="I1798">
            <v>0</v>
          </cell>
          <cell r="J1798">
            <v>0</v>
          </cell>
          <cell r="K1798" t="str">
            <v>pcs</v>
          </cell>
          <cell r="L1798" t="str">
            <v>0</v>
          </cell>
        </row>
        <row r="1799">
          <cell r="F1799" t="str">
            <v>OTH00192</v>
          </cell>
          <cell r="G1799" t="str">
            <v>ACRYLIC FREEZER</v>
          </cell>
          <cell r="H1799">
            <v>0</v>
          </cell>
          <cell r="I1799">
            <v>0</v>
          </cell>
          <cell r="J1799">
            <v>0</v>
          </cell>
          <cell r="K1799" t="str">
            <v>pcs</v>
          </cell>
          <cell r="L1799" t="str">
            <v>0</v>
          </cell>
        </row>
        <row r="1800">
          <cell r="F1800" t="str">
            <v>OTH00193</v>
          </cell>
          <cell r="G1800" t="str">
            <v>ANTI GORES/SCREEN PROTECTOR</v>
          </cell>
          <cell r="H1800">
            <v>0</v>
          </cell>
          <cell r="I1800">
            <v>0</v>
          </cell>
          <cell r="J1800">
            <v>0</v>
          </cell>
          <cell r="K1800" t="str">
            <v>pcs</v>
          </cell>
          <cell r="L1800" t="str">
            <v>0</v>
          </cell>
        </row>
        <row r="1801">
          <cell r="F1801" t="str">
            <v>OTH00194</v>
          </cell>
          <cell r="G1801" t="str">
            <v>CASE IPHONE 13</v>
          </cell>
          <cell r="H1801">
            <v>0</v>
          </cell>
          <cell r="I1801">
            <v>0</v>
          </cell>
          <cell r="J1801">
            <v>0</v>
          </cell>
          <cell r="K1801" t="str">
            <v>pcs</v>
          </cell>
          <cell r="L1801" t="str">
            <v>0</v>
          </cell>
        </row>
        <row r="1802">
          <cell r="F1802" t="str">
            <v>OTH00198</v>
          </cell>
          <cell r="G1802" t="str">
            <v>SODA API</v>
          </cell>
          <cell r="H1802">
            <v>0</v>
          </cell>
          <cell r="I1802">
            <v>0</v>
          </cell>
          <cell r="J1802">
            <v>0</v>
          </cell>
          <cell r="K1802" t="str">
            <v>pcs</v>
          </cell>
          <cell r="L1802" t="str">
            <v>0</v>
          </cell>
        </row>
        <row r="1803">
          <cell r="F1803" t="str">
            <v>OTH00199</v>
          </cell>
          <cell r="G1803" t="str">
            <v>BALLAST LAMPU</v>
          </cell>
          <cell r="H1803">
            <v>0</v>
          </cell>
          <cell r="I1803">
            <v>0</v>
          </cell>
          <cell r="J1803">
            <v>0</v>
          </cell>
          <cell r="K1803" t="str">
            <v>pcs</v>
          </cell>
          <cell r="L1803" t="str">
            <v>0</v>
          </cell>
        </row>
        <row r="1804">
          <cell r="F1804" t="str">
            <v>OTH00200</v>
          </cell>
          <cell r="G1804" t="str">
            <v>IRON MAN</v>
          </cell>
          <cell r="H1804">
            <v>0</v>
          </cell>
          <cell r="I1804">
            <v>0</v>
          </cell>
          <cell r="J1804">
            <v>0</v>
          </cell>
          <cell r="K1804" t="str">
            <v>pcs</v>
          </cell>
          <cell r="L1804" t="str">
            <v>0</v>
          </cell>
        </row>
        <row r="1805">
          <cell r="F1805" t="str">
            <v>PKG00001</v>
          </cell>
          <cell r="G1805" t="str">
            <v>PLASTIK VAKUM 20x30</v>
          </cell>
          <cell r="H1805">
            <v>585</v>
          </cell>
          <cell r="I1805">
            <v>0</v>
          </cell>
          <cell r="J1805">
            <v>0</v>
          </cell>
          <cell r="K1805" t="str">
            <v>pack</v>
          </cell>
          <cell r="L1805" t="str">
            <v>0</v>
          </cell>
        </row>
        <row r="1806">
          <cell r="F1806" t="str">
            <v>PKG00002</v>
          </cell>
          <cell r="G1806" t="str">
            <v>PLASTIK VAKUM 17x25</v>
          </cell>
          <cell r="H1806">
            <v>450</v>
          </cell>
          <cell r="I1806">
            <v>0</v>
          </cell>
          <cell r="J1806">
            <v>0</v>
          </cell>
          <cell r="K1806" t="str">
            <v>pack</v>
          </cell>
          <cell r="L1806" t="str">
            <v>0</v>
          </cell>
        </row>
        <row r="1807">
          <cell r="F1807" t="str">
            <v>PKG00004</v>
          </cell>
          <cell r="G1807" t="str">
            <v>LUNCH BOX PAPER KRAFT L MERAH/HIJAU (INACTIVE OCT 2023)</v>
          </cell>
          <cell r="H1807">
            <v>899</v>
          </cell>
          <cell r="I1807">
            <v>0</v>
          </cell>
          <cell r="J1807">
            <v>0</v>
          </cell>
          <cell r="K1807" t="str">
            <v>pcs</v>
          </cell>
          <cell r="L1807" t="str">
            <v>0</v>
          </cell>
        </row>
        <row r="1808">
          <cell r="F1808" t="str">
            <v>PKG00005</v>
          </cell>
          <cell r="G1808" t="str">
            <v>BOWL PAPER KRAFT 650 ML (22OZ)</v>
          </cell>
          <cell r="H1808">
            <v>860</v>
          </cell>
          <cell r="I1808">
            <v>0</v>
          </cell>
          <cell r="J1808">
            <v>0</v>
          </cell>
          <cell r="K1808" t="str">
            <v>pcs</v>
          </cell>
          <cell r="L1808" t="str">
            <v>0</v>
          </cell>
        </row>
        <row r="1809">
          <cell r="F1809" t="str">
            <v>PKG00006</v>
          </cell>
          <cell r="G1809" t="str">
            <v>LID PAPER BOWL 650 ML</v>
          </cell>
          <cell r="H1809">
            <v>475</v>
          </cell>
          <cell r="I1809">
            <v>0</v>
          </cell>
          <cell r="J1809">
            <v>0</v>
          </cell>
          <cell r="K1809" t="str">
            <v>pcs</v>
          </cell>
          <cell r="L1809" t="str">
            <v>0</v>
          </cell>
        </row>
        <row r="1810">
          <cell r="F1810" t="str">
            <v>PKG00007</v>
          </cell>
          <cell r="G1810" t="str">
            <v>BENTO BOX PROPACK BB-50A (264x213x30) 200 PCS</v>
          </cell>
          <cell r="H1810">
            <v>2515</v>
          </cell>
          <cell r="I1810">
            <v>0</v>
          </cell>
          <cell r="J1810">
            <v>0</v>
          </cell>
          <cell r="K1810" t="str">
            <v>pcs</v>
          </cell>
          <cell r="L1810" t="str">
            <v>0</v>
          </cell>
        </row>
        <row r="1811">
          <cell r="F1811" t="str">
            <v>PKG00011</v>
          </cell>
          <cell r="G1811" t="str">
            <v>GARPU TAKE AWAY</v>
          </cell>
          <cell r="H1811">
            <v>0</v>
          </cell>
          <cell r="I1811">
            <v>0</v>
          </cell>
          <cell r="J1811">
            <v>0</v>
          </cell>
          <cell r="K1811" t="str">
            <v>pcs</v>
          </cell>
          <cell r="L1811" t="str">
            <v>0</v>
          </cell>
        </row>
        <row r="1812">
          <cell r="F1812" t="str">
            <v>PKG00015</v>
          </cell>
          <cell r="G1812" t="str">
            <v>SLEEVE BOX TAKE AWAY</v>
          </cell>
          <cell r="H1812">
            <v>469</v>
          </cell>
          <cell r="I1812">
            <v>0</v>
          </cell>
          <cell r="J1812">
            <v>0</v>
          </cell>
          <cell r="K1812" t="str">
            <v>pcs</v>
          </cell>
          <cell r="L1812" t="str">
            <v>0</v>
          </cell>
        </row>
        <row r="1813">
          <cell r="F1813" t="str">
            <v>PKG00016</v>
          </cell>
          <cell r="G1813" t="str">
            <v>CUP PLASTIK 18 OZ (K-DRINK) 1000 PCS</v>
          </cell>
          <cell r="H1813">
            <v>370</v>
          </cell>
          <cell r="I1813">
            <v>0</v>
          </cell>
          <cell r="J1813">
            <v>0</v>
          </cell>
          <cell r="K1813" t="str">
            <v>pcs</v>
          </cell>
          <cell r="L1813" t="str">
            <v>0</v>
          </cell>
        </row>
        <row r="1814">
          <cell r="F1814" t="str">
            <v>PKG00017</v>
          </cell>
          <cell r="G1814" t="str">
            <v>LID FLAT CUP 18 OZ 1000 PCS</v>
          </cell>
          <cell r="H1814">
            <v>230</v>
          </cell>
          <cell r="I1814">
            <v>0</v>
          </cell>
          <cell r="J1814">
            <v>0</v>
          </cell>
          <cell r="K1814" t="str">
            <v>pcs</v>
          </cell>
          <cell r="L1814" t="str">
            <v>0</v>
          </cell>
        </row>
        <row r="1815">
          <cell r="F1815" t="str">
            <v>PKG00018</v>
          </cell>
          <cell r="G1815" t="str">
            <v>POUCH K-DRINK PEAR</v>
          </cell>
          <cell r="H1815">
            <v>2664</v>
          </cell>
          <cell r="I1815">
            <v>0</v>
          </cell>
          <cell r="J1815">
            <v>0</v>
          </cell>
          <cell r="K1815" t="str">
            <v>pcs</v>
          </cell>
          <cell r="L1815" t="str">
            <v>0</v>
          </cell>
        </row>
        <row r="1816">
          <cell r="F1816" t="str">
            <v>PKG00019</v>
          </cell>
          <cell r="G1816" t="str">
            <v>POUCH K-DRINK KIWI</v>
          </cell>
          <cell r="H1816">
            <v>2664</v>
          </cell>
          <cell r="I1816">
            <v>0</v>
          </cell>
          <cell r="J1816">
            <v>0</v>
          </cell>
          <cell r="K1816" t="str">
            <v>pcs</v>
          </cell>
          <cell r="L1816" t="str">
            <v>0</v>
          </cell>
        </row>
        <row r="1817">
          <cell r="F1817" t="str">
            <v>PKG00020</v>
          </cell>
          <cell r="G1817" t="str">
            <v>POUCH K-DRINK PEACH</v>
          </cell>
          <cell r="H1817">
            <v>2664</v>
          </cell>
          <cell r="I1817">
            <v>0</v>
          </cell>
          <cell r="J1817">
            <v>0</v>
          </cell>
          <cell r="K1817" t="str">
            <v>pcs</v>
          </cell>
          <cell r="L1817" t="str">
            <v>0</v>
          </cell>
        </row>
        <row r="1818">
          <cell r="F1818" t="str">
            <v>PKG00021</v>
          </cell>
          <cell r="G1818" t="str">
            <v>POUCH K-DRINK GRAPE</v>
          </cell>
          <cell r="H1818">
            <v>2664</v>
          </cell>
          <cell r="I1818">
            <v>0</v>
          </cell>
          <cell r="J1818">
            <v>0</v>
          </cell>
          <cell r="K1818" t="str">
            <v>pcs</v>
          </cell>
          <cell r="L1818" t="str">
            <v>0</v>
          </cell>
        </row>
        <row r="1819">
          <cell r="F1819" t="str">
            <v>PKG00022</v>
          </cell>
          <cell r="G1819" t="str">
            <v>POUCH K-DRINK MUSCAT</v>
          </cell>
          <cell r="H1819">
            <v>2664</v>
          </cell>
          <cell r="I1819">
            <v>0</v>
          </cell>
          <cell r="J1819">
            <v>0</v>
          </cell>
          <cell r="K1819" t="str">
            <v>pcs</v>
          </cell>
          <cell r="L1819" t="str">
            <v>0</v>
          </cell>
        </row>
        <row r="1820">
          <cell r="F1820" t="str">
            <v>PKG00023</v>
          </cell>
          <cell r="G1820" t="str">
            <v>POUCH K-DRINK MANGO</v>
          </cell>
          <cell r="H1820">
            <v>2664</v>
          </cell>
          <cell r="I1820">
            <v>0</v>
          </cell>
          <cell r="J1820">
            <v>0</v>
          </cell>
          <cell r="K1820" t="str">
            <v>pcs</v>
          </cell>
          <cell r="L1820" t="str">
            <v>0</v>
          </cell>
        </row>
        <row r="1821">
          <cell r="F1821" t="str">
            <v>PKG00024</v>
          </cell>
          <cell r="G1821" t="str">
            <v>POUCH K-DRINK JEJU ORANGE</v>
          </cell>
          <cell r="H1821">
            <v>2664</v>
          </cell>
          <cell r="I1821">
            <v>0</v>
          </cell>
          <cell r="J1821">
            <v>0</v>
          </cell>
          <cell r="K1821" t="str">
            <v>pcs</v>
          </cell>
          <cell r="L1821" t="str">
            <v>0</v>
          </cell>
        </row>
        <row r="1822">
          <cell r="F1822" t="str">
            <v>PKG00025</v>
          </cell>
          <cell r="G1822" t="str">
            <v>POUCH K-DRINK HONEY YUZA</v>
          </cell>
          <cell r="H1822">
            <v>2664</v>
          </cell>
          <cell r="I1822">
            <v>0</v>
          </cell>
          <cell r="J1822">
            <v>0</v>
          </cell>
          <cell r="K1822" t="str">
            <v>pcs</v>
          </cell>
          <cell r="L1822" t="str">
            <v>0</v>
          </cell>
        </row>
        <row r="1823">
          <cell r="F1823" t="str">
            <v>PKG00026</v>
          </cell>
          <cell r="G1823" t="str">
            <v>POUCH K-DRINK STRAWBERRY</v>
          </cell>
          <cell r="H1823">
            <v>2664</v>
          </cell>
          <cell r="I1823">
            <v>0</v>
          </cell>
          <cell r="J1823">
            <v>0</v>
          </cell>
          <cell r="K1823" t="str">
            <v>pcs</v>
          </cell>
          <cell r="L1823" t="str">
            <v>0</v>
          </cell>
        </row>
        <row r="1824">
          <cell r="F1824" t="str">
            <v>PKG00027</v>
          </cell>
          <cell r="G1824" t="str">
            <v>POUCH K-DRINK WATERMELON</v>
          </cell>
          <cell r="H1824">
            <v>2664</v>
          </cell>
          <cell r="I1824">
            <v>0</v>
          </cell>
          <cell r="J1824">
            <v>0</v>
          </cell>
          <cell r="K1824" t="str">
            <v>pcs</v>
          </cell>
          <cell r="L1824" t="str">
            <v>0</v>
          </cell>
        </row>
        <row r="1825">
          <cell r="F1825" t="str">
            <v>PKG00028</v>
          </cell>
          <cell r="G1825" t="str">
            <v>POUCH K-DRINK ICE AMERICANO</v>
          </cell>
          <cell r="H1825">
            <v>2664</v>
          </cell>
          <cell r="I1825">
            <v>0</v>
          </cell>
          <cell r="J1825">
            <v>0</v>
          </cell>
          <cell r="K1825" t="str">
            <v>pcs</v>
          </cell>
          <cell r="L1825" t="str">
            <v>0</v>
          </cell>
        </row>
        <row r="1826">
          <cell r="F1826" t="str">
            <v>PKG00029</v>
          </cell>
          <cell r="G1826" t="str">
            <v>POUCH K-DRINK CARAMEL POPCORN</v>
          </cell>
          <cell r="H1826">
            <v>2664</v>
          </cell>
          <cell r="I1826">
            <v>0</v>
          </cell>
          <cell r="J1826">
            <v>0</v>
          </cell>
          <cell r="K1826" t="str">
            <v>pcs</v>
          </cell>
          <cell r="L1826" t="str">
            <v>0</v>
          </cell>
        </row>
        <row r="1827">
          <cell r="F1827" t="str">
            <v>PKG00030</v>
          </cell>
          <cell r="G1827" t="str">
            <v>POUCH K-DRINK SALTED CARAMEL COFFEE</v>
          </cell>
          <cell r="H1827">
            <v>2664</v>
          </cell>
          <cell r="I1827">
            <v>0</v>
          </cell>
          <cell r="J1827">
            <v>0</v>
          </cell>
          <cell r="K1827" t="str">
            <v>pcs</v>
          </cell>
          <cell r="L1827" t="str">
            <v>0</v>
          </cell>
        </row>
        <row r="1828">
          <cell r="F1828" t="str">
            <v>PKG00031</v>
          </cell>
          <cell r="G1828" t="str">
            <v>PLASTIK VAKUM 11 x 16</v>
          </cell>
          <cell r="H1828">
            <v>170</v>
          </cell>
          <cell r="I1828">
            <v>0</v>
          </cell>
          <cell r="J1828">
            <v>0</v>
          </cell>
          <cell r="K1828" t="str">
            <v>pack</v>
          </cell>
          <cell r="L1828" t="str">
            <v>0</v>
          </cell>
        </row>
        <row r="1829">
          <cell r="F1829" t="str">
            <v>PKG00033</v>
          </cell>
          <cell r="G1829" t="str">
            <v>PLASTIK VAKUM 23x34</v>
          </cell>
          <cell r="H1829">
            <v>850</v>
          </cell>
          <cell r="I1829">
            <v>0</v>
          </cell>
          <cell r="J1829">
            <v>0</v>
          </cell>
          <cell r="K1829" t="str">
            <v>pack</v>
          </cell>
          <cell r="L1829" t="str">
            <v>0</v>
          </cell>
        </row>
        <row r="1830">
          <cell r="F1830" t="str">
            <v>PKG00034</v>
          </cell>
          <cell r="G1830" t="str">
            <v>PLASTIK VAKUM 30x40</v>
          </cell>
          <cell r="H1830">
            <v>1190</v>
          </cell>
          <cell r="I1830">
            <v>0</v>
          </cell>
          <cell r="J1830">
            <v>0</v>
          </cell>
          <cell r="K1830" t="str">
            <v>pack</v>
          </cell>
          <cell r="L1830" t="str">
            <v>0</v>
          </cell>
        </row>
        <row r="1831">
          <cell r="F1831" t="str">
            <v>PKG00035</v>
          </cell>
          <cell r="G1831" t="str">
            <v>BOX TAKE AWAY POLOS M @ 600 PCS</v>
          </cell>
          <cell r="H1831">
            <v>0</v>
          </cell>
          <cell r="I1831">
            <v>0</v>
          </cell>
          <cell r="J1831">
            <v>0</v>
          </cell>
          <cell r="K1831" t="str">
            <v>pcs</v>
          </cell>
          <cell r="L1831" t="str">
            <v>0</v>
          </cell>
        </row>
        <row r="1832">
          <cell r="F1832" t="str">
            <v>PKG00040</v>
          </cell>
          <cell r="G1832" t="str">
            <v>SEDOTAN HITAM D66MM P20CM</v>
          </cell>
          <cell r="H1832">
            <v>0</v>
          </cell>
          <cell r="I1832">
            <v>0</v>
          </cell>
          <cell r="J1832">
            <v>0</v>
          </cell>
          <cell r="K1832" t="str">
            <v>pcs</v>
          </cell>
          <cell r="L1832" t="str">
            <v>0</v>
          </cell>
        </row>
        <row r="1833">
          <cell r="F1833" t="str">
            <v>PKG00041</v>
          </cell>
          <cell r="G1833" t="str">
            <v>PAPER WRAP HOTOK</v>
          </cell>
          <cell r="H1833">
            <v>0</v>
          </cell>
          <cell r="I1833">
            <v>0</v>
          </cell>
          <cell r="J1833">
            <v>0</v>
          </cell>
          <cell r="K1833" t="str">
            <v>pcs</v>
          </cell>
          <cell r="L1833" t="str">
            <v>0</v>
          </cell>
        </row>
        <row r="1834">
          <cell r="F1834" t="str">
            <v>PKG00042</v>
          </cell>
          <cell r="G1834" t="str">
            <v>STICKER EXPIRY DATE K-DRINK</v>
          </cell>
          <cell r="H1834">
            <v>0</v>
          </cell>
          <cell r="I1834">
            <v>0</v>
          </cell>
          <cell r="J1834">
            <v>0</v>
          </cell>
          <cell r="K1834" t="str">
            <v>pcs</v>
          </cell>
          <cell r="L1834" t="str">
            <v>0</v>
          </cell>
        </row>
        <row r="1835">
          <cell r="F1835" t="str">
            <v>PKG00043</v>
          </cell>
          <cell r="G1835" t="str">
            <v>STICKER GELAS EVENT</v>
          </cell>
          <cell r="H1835">
            <v>0</v>
          </cell>
          <cell r="I1835">
            <v>0</v>
          </cell>
          <cell r="J1835">
            <v>0</v>
          </cell>
          <cell r="K1835" t="str">
            <v>lembar</v>
          </cell>
          <cell r="L1835" t="str">
            <v>0</v>
          </cell>
        </row>
        <row r="1836">
          <cell r="F1836" t="str">
            <v>PKG00044</v>
          </cell>
          <cell r="G1836" t="str">
            <v>PAPER TRAY - S (UNTUK EVENT)</v>
          </cell>
          <cell r="H1836">
            <v>0</v>
          </cell>
          <cell r="I1836">
            <v>0</v>
          </cell>
          <cell r="J1836">
            <v>0</v>
          </cell>
          <cell r="K1836" t="str">
            <v>pcs</v>
          </cell>
          <cell r="L1836" t="str">
            <v>0</v>
          </cell>
        </row>
        <row r="1837">
          <cell r="F1837" t="str">
            <v>PKG00045</v>
          </cell>
          <cell r="G1837" t="str">
            <v>PAPER BAG HOTOK 200X110X220</v>
          </cell>
          <cell r="H1837">
            <v>0</v>
          </cell>
          <cell r="I1837">
            <v>0</v>
          </cell>
          <cell r="J1837">
            <v>0</v>
          </cell>
          <cell r="K1837" t="str">
            <v>pcs</v>
          </cell>
          <cell r="L1837" t="str">
            <v>0</v>
          </cell>
        </row>
        <row r="1838">
          <cell r="F1838" t="str">
            <v>PKG00048</v>
          </cell>
          <cell r="G1838" t="str">
            <v>PAPER LUNCH BOX POLOS SEKAT 4</v>
          </cell>
          <cell r="H1838">
            <v>0</v>
          </cell>
          <cell r="I1838">
            <v>0</v>
          </cell>
          <cell r="J1838">
            <v>0</v>
          </cell>
          <cell r="K1838" t="str">
            <v>ctn</v>
          </cell>
          <cell r="L1838" t="str">
            <v>0</v>
          </cell>
        </row>
        <row r="1839">
          <cell r="F1839" t="str">
            <v>PKG00049</v>
          </cell>
          <cell r="G1839" t="str">
            <v>SUMPIT KAYU BUNGKUS KERTAS</v>
          </cell>
          <cell r="H1839">
            <v>0</v>
          </cell>
          <cell r="I1839">
            <v>0</v>
          </cell>
          <cell r="J1839">
            <v>0</v>
          </cell>
          <cell r="K1839" t="str">
            <v>pack</v>
          </cell>
          <cell r="L1839" t="str">
            <v>0</v>
          </cell>
        </row>
        <row r="1840">
          <cell r="F1840" t="str">
            <v>PKG00053</v>
          </cell>
          <cell r="G1840" t="str">
            <v>PAPER CUP 16oz</v>
          </cell>
          <cell r="H1840">
            <v>0</v>
          </cell>
          <cell r="I1840">
            <v>0</v>
          </cell>
          <cell r="J1840">
            <v>0</v>
          </cell>
          <cell r="K1840" t="str">
            <v>ctn</v>
          </cell>
          <cell r="L1840" t="str">
            <v>0</v>
          </cell>
        </row>
        <row r="1841">
          <cell r="F1841" t="str">
            <v>PKG00055</v>
          </cell>
          <cell r="G1841" t="str">
            <v>CUP 22 Oz</v>
          </cell>
          <cell r="H1841">
            <v>0</v>
          </cell>
          <cell r="I1841">
            <v>0</v>
          </cell>
          <cell r="J1841">
            <v>0</v>
          </cell>
          <cell r="K1841" t="str">
            <v>pcs</v>
          </cell>
          <cell r="L1841" t="str">
            <v>0</v>
          </cell>
        </row>
        <row r="1842">
          <cell r="F1842" t="str">
            <v>PKG00056</v>
          </cell>
          <cell r="G1842" t="str">
            <v>STICKER RASA HOTOK - ORIGINAL</v>
          </cell>
          <cell r="H1842">
            <v>0</v>
          </cell>
          <cell r="I1842">
            <v>0</v>
          </cell>
          <cell r="J1842">
            <v>0</v>
          </cell>
          <cell r="K1842" t="str">
            <v>lembar</v>
          </cell>
          <cell r="L1842" t="str">
            <v>0</v>
          </cell>
        </row>
        <row r="1843">
          <cell r="F1843" t="str">
            <v>PKG00057</v>
          </cell>
          <cell r="G1843" t="str">
            <v>STICKER RASA HOTOK - MOZZARELLA</v>
          </cell>
          <cell r="H1843">
            <v>0</v>
          </cell>
          <cell r="I1843">
            <v>0</v>
          </cell>
          <cell r="J1843">
            <v>0</v>
          </cell>
          <cell r="K1843" t="str">
            <v>lembar</v>
          </cell>
          <cell r="L1843" t="str">
            <v>0</v>
          </cell>
        </row>
        <row r="1844">
          <cell r="F1844" t="str">
            <v>PKG00058</v>
          </cell>
          <cell r="G1844" t="str">
            <v>STICKER RASA HOTOK - CHOCOLATE</v>
          </cell>
          <cell r="H1844">
            <v>0</v>
          </cell>
          <cell r="I1844">
            <v>0</v>
          </cell>
          <cell r="J1844">
            <v>0</v>
          </cell>
          <cell r="K1844" t="str">
            <v>lembar</v>
          </cell>
          <cell r="L1844" t="str">
            <v>0</v>
          </cell>
        </row>
        <row r="1845">
          <cell r="F1845" t="str">
            <v>PKG00059</v>
          </cell>
          <cell r="G1845" t="str">
            <v>STICKER RASA HOTOK - JAPCHAE</v>
          </cell>
          <cell r="H1845">
            <v>0</v>
          </cell>
          <cell r="I1845">
            <v>0</v>
          </cell>
          <cell r="J1845">
            <v>0</v>
          </cell>
          <cell r="K1845" t="str">
            <v>lembar</v>
          </cell>
          <cell r="L1845" t="str">
            <v>0</v>
          </cell>
        </row>
        <row r="1846">
          <cell r="F1846" t="str">
            <v>PKG00060</v>
          </cell>
          <cell r="G1846" t="str">
            <v>STICKER RASA HOTOK - BULGOGI</v>
          </cell>
          <cell r="H1846">
            <v>0</v>
          </cell>
          <cell r="I1846">
            <v>0</v>
          </cell>
          <cell r="J1846">
            <v>0</v>
          </cell>
          <cell r="K1846" t="str">
            <v>lembar</v>
          </cell>
          <cell r="L1846" t="str">
            <v>0</v>
          </cell>
        </row>
        <row r="1847">
          <cell r="F1847" t="str">
            <v>PKG00061</v>
          </cell>
          <cell r="G1847" t="str">
            <v>PAPER CUP POLOS 6.5 OZ (HOTOK)</v>
          </cell>
          <cell r="H1847">
            <v>0</v>
          </cell>
          <cell r="I1847">
            <v>0</v>
          </cell>
          <cell r="J1847">
            <v>0</v>
          </cell>
          <cell r="K1847" t="str">
            <v>pcs</v>
          </cell>
          <cell r="L1847" t="str">
            <v>0</v>
          </cell>
        </row>
        <row r="1848">
          <cell r="F1848" t="str">
            <v>PKG00062</v>
          </cell>
          <cell r="G1848" t="str">
            <v>POUCH K-DRINK LYCHEE</v>
          </cell>
          <cell r="H1848">
            <v>0</v>
          </cell>
          <cell r="I1848">
            <v>0</v>
          </cell>
          <cell r="J1848">
            <v>0</v>
          </cell>
          <cell r="K1848" t="str">
            <v>pcs</v>
          </cell>
          <cell r="L1848" t="str">
            <v>0</v>
          </cell>
        </row>
        <row r="1849">
          <cell r="F1849" t="str">
            <v>PKG00063</v>
          </cell>
          <cell r="G1849" t="str">
            <v>POUCH K-DRINK APPLE</v>
          </cell>
          <cell r="H1849">
            <v>0</v>
          </cell>
          <cell r="I1849">
            <v>0</v>
          </cell>
          <cell r="J1849">
            <v>0</v>
          </cell>
          <cell r="K1849" t="str">
            <v>pcs</v>
          </cell>
          <cell r="L1849" t="str">
            <v>0</v>
          </cell>
        </row>
        <row r="1850">
          <cell r="F1850" t="str">
            <v>PKG00064</v>
          </cell>
          <cell r="G1850" t="str">
            <v>PAPER BOWL 800 ML LOGO HANGUKSU + LID</v>
          </cell>
          <cell r="H1850">
            <v>0</v>
          </cell>
          <cell r="I1850">
            <v>0</v>
          </cell>
          <cell r="J1850">
            <v>0</v>
          </cell>
          <cell r="K1850" t="str">
            <v>pcs</v>
          </cell>
          <cell r="L1850" t="str">
            <v>0</v>
          </cell>
        </row>
        <row r="1851">
          <cell r="F1851" t="str">
            <v>PKG00065</v>
          </cell>
          <cell r="G1851" t="str">
            <v>KERTAS DONAT @ 100 PCS</v>
          </cell>
          <cell r="H1851">
            <v>0</v>
          </cell>
          <cell r="I1851">
            <v>0</v>
          </cell>
          <cell r="J1851">
            <v>0</v>
          </cell>
          <cell r="K1851" t="str">
            <v>pcs</v>
          </cell>
          <cell r="L1851" t="str">
            <v>0</v>
          </cell>
        </row>
        <row r="1852">
          <cell r="F1852" t="str">
            <v>PKG00066</v>
          </cell>
          <cell r="G1852" t="str">
            <v>CUP 160 ML PACK@50PCS</v>
          </cell>
          <cell r="H1852">
            <v>0</v>
          </cell>
          <cell r="I1852">
            <v>0</v>
          </cell>
          <cell r="J1852">
            <v>0</v>
          </cell>
          <cell r="K1852" t="str">
            <v>pcs</v>
          </cell>
          <cell r="L1852" t="str">
            <v>0</v>
          </cell>
        </row>
        <row r="1853">
          <cell r="F1853" t="str">
            <v>PKG00067</v>
          </cell>
          <cell r="G1853" t="str">
            <v>CUP ICE CREAM HOTOK</v>
          </cell>
          <cell r="H1853">
            <v>0</v>
          </cell>
          <cell r="I1853">
            <v>0</v>
          </cell>
          <cell r="J1853">
            <v>0</v>
          </cell>
          <cell r="K1853" t="str">
            <v>pcs</v>
          </cell>
          <cell r="L1853" t="str">
            <v>0</v>
          </cell>
        </row>
        <row r="1854">
          <cell r="F1854" t="str">
            <v>PKG00068</v>
          </cell>
          <cell r="G1854" t="str">
            <v>TEA SPOON PLASTIK @100PCS - UNGU</v>
          </cell>
          <cell r="H1854">
            <v>0</v>
          </cell>
          <cell r="I1854">
            <v>0</v>
          </cell>
          <cell r="J1854">
            <v>0</v>
          </cell>
          <cell r="K1854" t="str">
            <v>pcs</v>
          </cell>
          <cell r="L1854" t="str">
            <v>0</v>
          </cell>
        </row>
        <row r="1855">
          <cell r="F1855" t="str">
            <v>PKG00069</v>
          </cell>
          <cell r="G1855" t="str">
            <v>PLASTIK TAKE AWAY MERAH UK 40</v>
          </cell>
          <cell r="H1855">
            <v>0</v>
          </cell>
          <cell r="I1855">
            <v>0</v>
          </cell>
          <cell r="J1855">
            <v>0</v>
          </cell>
          <cell r="K1855" t="str">
            <v>pack</v>
          </cell>
          <cell r="L1855" t="str">
            <v>0</v>
          </cell>
        </row>
        <row r="1856">
          <cell r="F1856" t="str">
            <v>STA00001</v>
          </cell>
          <cell r="G1856" t="str">
            <v>STAMPEL BULAT 45MM</v>
          </cell>
          <cell r="H1856">
            <v>0</v>
          </cell>
          <cell r="I1856">
            <v>0</v>
          </cell>
          <cell r="J1856">
            <v>0</v>
          </cell>
          <cell r="K1856" t="str">
            <v>pcs</v>
          </cell>
          <cell r="L1856" t="str">
            <v>0</v>
          </cell>
        </row>
        <row r="1857">
          <cell r="F1857" t="str">
            <v>STA00002</v>
          </cell>
          <cell r="G1857" t="str">
            <v>TUSUKAN KERTAS JOYKO PS-1</v>
          </cell>
          <cell r="H1857">
            <v>13649</v>
          </cell>
          <cell r="I1857">
            <v>0</v>
          </cell>
          <cell r="J1857">
            <v>0</v>
          </cell>
          <cell r="K1857" t="str">
            <v>pcs</v>
          </cell>
          <cell r="L1857" t="str">
            <v>0</v>
          </cell>
        </row>
        <row r="1858">
          <cell r="F1858" t="str">
            <v>STA00003</v>
          </cell>
          <cell r="G1858" t="str">
            <v>AMPLOP COKLAT</v>
          </cell>
          <cell r="H1858">
            <v>31500</v>
          </cell>
          <cell r="I1858">
            <v>0</v>
          </cell>
          <cell r="J1858">
            <v>0</v>
          </cell>
          <cell r="K1858" t="str">
            <v>pcs</v>
          </cell>
          <cell r="L1858" t="str">
            <v>0</v>
          </cell>
        </row>
        <row r="1859">
          <cell r="F1859" t="str">
            <v>STA00004</v>
          </cell>
          <cell r="G1859" t="str">
            <v>KERTAS F4</v>
          </cell>
          <cell r="H1859">
            <v>0</v>
          </cell>
          <cell r="I1859">
            <v>0</v>
          </cell>
          <cell r="J1859">
            <v>0</v>
          </cell>
          <cell r="K1859" t="str">
            <v>rim</v>
          </cell>
          <cell r="L1859" t="str">
            <v>0</v>
          </cell>
        </row>
        <row r="1860">
          <cell r="F1860" t="str">
            <v>STA00005</v>
          </cell>
          <cell r="G1860" t="str">
            <v>GUNTING KANTOR</v>
          </cell>
          <cell r="H1860">
            <v>7000</v>
          </cell>
          <cell r="I1860">
            <v>0</v>
          </cell>
          <cell r="J1860">
            <v>0</v>
          </cell>
          <cell r="K1860" t="str">
            <v>pcs</v>
          </cell>
          <cell r="L1860" t="str">
            <v>0</v>
          </cell>
        </row>
        <row r="1861">
          <cell r="F1861" t="str">
            <v>STA00006</v>
          </cell>
          <cell r="G1861" t="str">
            <v>PISAU CUTTER</v>
          </cell>
          <cell r="H1861">
            <v>0</v>
          </cell>
          <cell r="I1861">
            <v>0</v>
          </cell>
          <cell r="J1861">
            <v>0</v>
          </cell>
          <cell r="K1861" t="str">
            <v>pcs</v>
          </cell>
          <cell r="L1861" t="str">
            <v>0</v>
          </cell>
        </row>
        <row r="1862">
          <cell r="F1862" t="str">
            <v>STA00007</v>
          </cell>
          <cell r="G1862" t="str">
            <v>ISI CUTTER</v>
          </cell>
          <cell r="H1862">
            <v>4500</v>
          </cell>
          <cell r="I1862">
            <v>0</v>
          </cell>
          <cell r="J1862">
            <v>0</v>
          </cell>
          <cell r="K1862" t="str">
            <v>pack</v>
          </cell>
          <cell r="L1862" t="str">
            <v>0</v>
          </cell>
        </row>
        <row r="1863">
          <cell r="F1863" t="str">
            <v>STA00008</v>
          </cell>
          <cell r="G1863" t="str">
            <v>MAP CLEAR HOLDER 40</v>
          </cell>
          <cell r="H1863">
            <v>0</v>
          </cell>
          <cell r="I1863">
            <v>0</v>
          </cell>
          <cell r="J1863">
            <v>0</v>
          </cell>
          <cell r="K1863" t="str">
            <v>pack</v>
          </cell>
          <cell r="L1863" t="str">
            <v>0</v>
          </cell>
        </row>
        <row r="1864">
          <cell r="F1864" t="str">
            <v>STA00009</v>
          </cell>
          <cell r="G1864" t="str">
            <v>AMPLOP PUTIH 104</v>
          </cell>
          <cell r="H1864">
            <v>18750</v>
          </cell>
          <cell r="I1864">
            <v>0</v>
          </cell>
          <cell r="J1864">
            <v>0</v>
          </cell>
          <cell r="K1864" t="str">
            <v>pack</v>
          </cell>
          <cell r="L1864" t="str">
            <v>0</v>
          </cell>
        </row>
        <row r="1865">
          <cell r="F1865" t="str">
            <v>STA00010</v>
          </cell>
          <cell r="G1865" t="str">
            <v>BINDER CLIP 260</v>
          </cell>
          <cell r="H1865">
            <v>15500</v>
          </cell>
          <cell r="I1865">
            <v>0</v>
          </cell>
          <cell r="J1865">
            <v>0</v>
          </cell>
          <cell r="K1865" t="str">
            <v>box</v>
          </cell>
          <cell r="L1865" t="str">
            <v>0</v>
          </cell>
        </row>
        <row r="1866">
          <cell r="F1866" t="str">
            <v>STA00011</v>
          </cell>
          <cell r="G1866" t="str">
            <v>BINDER CLIP 111</v>
          </cell>
          <cell r="H1866">
            <v>0</v>
          </cell>
          <cell r="I1866">
            <v>0</v>
          </cell>
          <cell r="J1866">
            <v>0</v>
          </cell>
          <cell r="K1866" t="str">
            <v>box</v>
          </cell>
          <cell r="L1866" t="str">
            <v>0</v>
          </cell>
        </row>
        <row r="1867">
          <cell r="F1867" t="str">
            <v>STA00012</v>
          </cell>
          <cell r="G1867" t="str">
            <v>PAPER DIP</v>
          </cell>
          <cell r="H1867">
            <v>0</v>
          </cell>
          <cell r="I1867">
            <v>0</v>
          </cell>
          <cell r="J1867">
            <v>0</v>
          </cell>
          <cell r="K1867" t="str">
            <v>box</v>
          </cell>
          <cell r="L1867" t="str">
            <v>0</v>
          </cell>
        </row>
        <row r="1868">
          <cell r="F1868" t="str">
            <v>STA00013</v>
          </cell>
          <cell r="G1868" t="str">
            <v>TINTA STAMPEL OTOMATIS BLACK - HITAM</v>
          </cell>
          <cell r="H1868">
            <v>0</v>
          </cell>
          <cell r="I1868">
            <v>0</v>
          </cell>
          <cell r="J1868">
            <v>0</v>
          </cell>
          <cell r="K1868" t="str">
            <v>pcs</v>
          </cell>
          <cell r="L1868" t="str">
            <v>0</v>
          </cell>
        </row>
        <row r="1869">
          <cell r="F1869" t="str">
            <v>STA00014</v>
          </cell>
          <cell r="G1869" t="str">
            <v>TINTA STAMPEL BLUE - BIRU</v>
          </cell>
          <cell r="H1869">
            <v>8500</v>
          </cell>
          <cell r="I1869">
            <v>0</v>
          </cell>
          <cell r="J1869">
            <v>0</v>
          </cell>
          <cell r="K1869" t="str">
            <v>pcs</v>
          </cell>
          <cell r="L1869" t="str">
            <v>0</v>
          </cell>
        </row>
        <row r="1870">
          <cell r="F1870" t="str">
            <v>STA00015</v>
          </cell>
          <cell r="G1870" t="str">
            <v>POST IT 654</v>
          </cell>
          <cell r="H1870">
            <v>0</v>
          </cell>
          <cell r="I1870">
            <v>0</v>
          </cell>
          <cell r="J1870">
            <v>0</v>
          </cell>
          <cell r="K1870" t="str">
            <v>pack</v>
          </cell>
          <cell r="L1870" t="str">
            <v>0</v>
          </cell>
        </row>
        <row r="1871">
          <cell r="F1871" t="str">
            <v>STA00016</v>
          </cell>
          <cell r="G1871" t="str">
            <v>BOX FILE/BINDEX</v>
          </cell>
          <cell r="H1871">
            <v>18500</v>
          </cell>
          <cell r="I1871">
            <v>0</v>
          </cell>
          <cell r="J1871">
            <v>0</v>
          </cell>
          <cell r="K1871" t="str">
            <v>pcs</v>
          </cell>
          <cell r="L1871" t="str">
            <v>0</v>
          </cell>
        </row>
        <row r="1872">
          <cell r="F1872" t="str">
            <v>STA00017</v>
          </cell>
          <cell r="G1872" t="str">
            <v>ODNER FOLIO</v>
          </cell>
          <cell r="H1872">
            <v>0</v>
          </cell>
          <cell r="I1872">
            <v>0</v>
          </cell>
          <cell r="J1872">
            <v>0</v>
          </cell>
          <cell r="K1872" t="str">
            <v>pack</v>
          </cell>
          <cell r="L1872" t="str">
            <v>0</v>
          </cell>
        </row>
        <row r="1873">
          <cell r="F1873" t="str">
            <v>STA00018</v>
          </cell>
          <cell r="G1873" t="str">
            <v>PLASTIK PP POCKET F4</v>
          </cell>
          <cell r="H1873">
            <v>0</v>
          </cell>
          <cell r="I1873">
            <v>0</v>
          </cell>
          <cell r="J1873">
            <v>0</v>
          </cell>
          <cell r="K1873" t="str">
            <v>pack</v>
          </cell>
          <cell r="L1873" t="str">
            <v>0</v>
          </cell>
        </row>
        <row r="1874">
          <cell r="F1874" t="str">
            <v>STA00019</v>
          </cell>
          <cell r="G1874" t="str">
            <v>BATERAI AAA</v>
          </cell>
          <cell r="H1874">
            <v>0</v>
          </cell>
          <cell r="I1874">
            <v>0</v>
          </cell>
          <cell r="J1874">
            <v>0</v>
          </cell>
          <cell r="K1874" t="str">
            <v>pack</v>
          </cell>
          <cell r="L1874" t="str">
            <v>0</v>
          </cell>
        </row>
        <row r="1875">
          <cell r="F1875" t="str">
            <v>STA00020</v>
          </cell>
          <cell r="G1875" t="str">
            <v>BATERAI AA</v>
          </cell>
          <cell r="H1875">
            <v>0</v>
          </cell>
          <cell r="I1875">
            <v>0</v>
          </cell>
          <cell r="J1875">
            <v>0</v>
          </cell>
          <cell r="K1875" t="str">
            <v>pack</v>
          </cell>
          <cell r="L1875" t="str">
            <v>0</v>
          </cell>
        </row>
        <row r="1876">
          <cell r="F1876" t="str">
            <v>STA00021</v>
          </cell>
          <cell r="G1876" t="str">
            <v>PERFORATOR BESAR (PEMBOLONG KERTAS)</v>
          </cell>
          <cell r="H1876">
            <v>12500</v>
          </cell>
          <cell r="I1876">
            <v>0</v>
          </cell>
          <cell r="J1876">
            <v>0</v>
          </cell>
          <cell r="K1876" t="str">
            <v>pcs</v>
          </cell>
          <cell r="L1876" t="str">
            <v>0</v>
          </cell>
        </row>
        <row r="1877">
          <cell r="F1877" t="str">
            <v>STA00022</v>
          </cell>
          <cell r="G1877" t="str">
            <v>PERFORATOR KECIL (PEMBOLONG KERTAS)</v>
          </cell>
          <cell r="H1877">
            <v>0</v>
          </cell>
          <cell r="I1877">
            <v>0</v>
          </cell>
          <cell r="J1877">
            <v>0</v>
          </cell>
          <cell r="K1877" t="str">
            <v>pcs</v>
          </cell>
          <cell r="L1877" t="str">
            <v>0</v>
          </cell>
        </row>
        <row r="1878">
          <cell r="F1878" t="str">
            <v>STA00023</v>
          </cell>
          <cell r="G1878" t="str">
            <v>TOM&amp;JERRY 100</v>
          </cell>
          <cell r="H1878">
            <v>0</v>
          </cell>
          <cell r="I1878">
            <v>0</v>
          </cell>
          <cell r="J1878">
            <v>0</v>
          </cell>
          <cell r="K1878" t="str">
            <v>pack</v>
          </cell>
          <cell r="L1878" t="str">
            <v>0</v>
          </cell>
        </row>
        <row r="1879">
          <cell r="F1879" t="str">
            <v>STA00024</v>
          </cell>
          <cell r="G1879" t="str">
            <v>TOM&amp;JERRY 112</v>
          </cell>
          <cell r="H1879">
            <v>0</v>
          </cell>
          <cell r="I1879">
            <v>0</v>
          </cell>
          <cell r="J1879">
            <v>0</v>
          </cell>
          <cell r="K1879" t="str">
            <v>pack</v>
          </cell>
          <cell r="L1879" t="str">
            <v>0</v>
          </cell>
        </row>
        <row r="1880">
          <cell r="F1880" t="str">
            <v>STA00025</v>
          </cell>
          <cell r="G1880" t="str">
            <v>DOUBLE TAPE</v>
          </cell>
          <cell r="H1880">
            <v>0</v>
          </cell>
          <cell r="I1880">
            <v>0</v>
          </cell>
          <cell r="J1880">
            <v>0</v>
          </cell>
          <cell r="K1880" t="str">
            <v>pcs</v>
          </cell>
          <cell r="L1880" t="str">
            <v>0</v>
          </cell>
        </row>
        <row r="1881">
          <cell r="F1881" t="str">
            <v>STA00026</v>
          </cell>
          <cell r="G1881" t="str">
            <v>KALKULATOR</v>
          </cell>
          <cell r="H1881">
            <v>54000</v>
          </cell>
          <cell r="I1881">
            <v>0</v>
          </cell>
          <cell r="J1881">
            <v>0</v>
          </cell>
          <cell r="K1881" t="str">
            <v>pcs</v>
          </cell>
          <cell r="L1881" t="str">
            <v>0</v>
          </cell>
        </row>
        <row r="1882">
          <cell r="F1882" t="str">
            <v>STA00027</v>
          </cell>
          <cell r="G1882" t="str">
            <v>BALLPOINT</v>
          </cell>
          <cell r="H1882">
            <v>0</v>
          </cell>
          <cell r="I1882">
            <v>0</v>
          </cell>
          <cell r="J1882">
            <v>0</v>
          </cell>
          <cell r="K1882" t="str">
            <v>pcs</v>
          </cell>
          <cell r="L1882" t="str">
            <v>0</v>
          </cell>
        </row>
        <row r="1883">
          <cell r="F1883" t="str">
            <v>STA00028</v>
          </cell>
          <cell r="G1883" t="str">
            <v>SOLATIP KECIL 12 MM</v>
          </cell>
          <cell r="H1883">
            <v>0</v>
          </cell>
          <cell r="I1883">
            <v>0</v>
          </cell>
          <cell r="J1883">
            <v>0</v>
          </cell>
          <cell r="K1883" t="str">
            <v>roll</v>
          </cell>
          <cell r="L1883" t="str">
            <v>0</v>
          </cell>
        </row>
        <row r="1884">
          <cell r="F1884" t="str">
            <v>STA00029</v>
          </cell>
          <cell r="G1884" t="str">
            <v>SOLATIP SEDANG</v>
          </cell>
          <cell r="H1884">
            <v>0</v>
          </cell>
          <cell r="I1884">
            <v>0</v>
          </cell>
          <cell r="J1884">
            <v>0</v>
          </cell>
          <cell r="K1884" t="str">
            <v>roll</v>
          </cell>
          <cell r="L1884" t="str">
            <v>0</v>
          </cell>
        </row>
        <row r="1885">
          <cell r="F1885" t="str">
            <v>STA00030</v>
          </cell>
          <cell r="G1885" t="str">
            <v>PENGGARIS</v>
          </cell>
          <cell r="H1885">
            <v>6500</v>
          </cell>
          <cell r="I1885">
            <v>0</v>
          </cell>
          <cell r="J1885">
            <v>0</v>
          </cell>
          <cell r="K1885" t="str">
            <v>pcs</v>
          </cell>
          <cell r="L1885" t="str">
            <v>0</v>
          </cell>
        </row>
        <row r="1886">
          <cell r="F1886" t="str">
            <v>STA00031</v>
          </cell>
          <cell r="G1886" t="str">
            <v>TIPEX</v>
          </cell>
          <cell r="H1886">
            <v>4500</v>
          </cell>
          <cell r="I1886">
            <v>0</v>
          </cell>
          <cell r="J1886">
            <v>0</v>
          </cell>
          <cell r="K1886" t="str">
            <v>pcs</v>
          </cell>
          <cell r="L1886" t="str">
            <v>0</v>
          </cell>
        </row>
        <row r="1887">
          <cell r="F1887" t="str">
            <v>STA00032</v>
          </cell>
          <cell r="G1887" t="str">
            <v>SPIDOL SNOWMAN (NON PERMANENT)</v>
          </cell>
          <cell r="H1887">
            <v>0</v>
          </cell>
          <cell r="I1887">
            <v>0</v>
          </cell>
          <cell r="J1887">
            <v>0</v>
          </cell>
          <cell r="K1887" t="str">
            <v>pcs</v>
          </cell>
          <cell r="L1887" t="str">
            <v>0</v>
          </cell>
        </row>
        <row r="1888">
          <cell r="F1888" t="str">
            <v>STA00033</v>
          </cell>
          <cell r="G1888" t="str">
            <v>SPIDOL HACCP</v>
          </cell>
          <cell r="H1888">
            <v>0</v>
          </cell>
          <cell r="I1888">
            <v>0</v>
          </cell>
          <cell r="J1888">
            <v>0</v>
          </cell>
          <cell r="K1888" t="str">
            <v>pcs</v>
          </cell>
          <cell r="L1888" t="str">
            <v>0</v>
          </cell>
        </row>
        <row r="1889">
          <cell r="F1889" t="str">
            <v>STA00034</v>
          </cell>
          <cell r="G1889" t="str">
            <v>LAKBAN HITAM</v>
          </cell>
          <cell r="H1889">
            <v>12500</v>
          </cell>
          <cell r="I1889">
            <v>0</v>
          </cell>
          <cell r="J1889">
            <v>0</v>
          </cell>
          <cell r="K1889" t="str">
            <v>pcs</v>
          </cell>
          <cell r="L1889" t="str">
            <v>0</v>
          </cell>
        </row>
        <row r="1890">
          <cell r="F1890" t="str">
            <v>STA00035</v>
          </cell>
          <cell r="G1890" t="str">
            <v>LAKBAN BENING</v>
          </cell>
          <cell r="H1890">
            <v>0</v>
          </cell>
          <cell r="I1890">
            <v>0</v>
          </cell>
          <cell r="J1890">
            <v>0</v>
          </cell>
          <cell r="K1890" t="str">
            <v>pcs</v>
          </cell>
          <cell r="L1890" t="str">
            <v>0</v>
          </cell>
        </row>
        <row r="1891">
          <cell r="F1891" t="str">
            <v>STA00036</v>
          </cell>
          <cell r="G1891" t="str">
            <v>PAPAN JALAN</v>
          </cell>
          <cell r="H1891">
            <v>15500</v>
          </cell>
          <cell r="I1891">
            <v>0</v>
          </cell>
          <cell r="J1891">
            <v>0</v>
          </cell>
          <cell r="K1891" t="str">
            <v>pcs</v>
          </cell>
          <cell r="L1891" t="str">
            <v>0</v>
          </cell>
        </row>
        <row r="1892">
          <cell r="F1892" t="str">
            <v>STA00037</v>
          </cell>
          <cell r="G1892" t="str">
            <v>KERTAS HVS A4</v>
          </cell>
          <cell r="H1892">
            <v>0</v>
          </cell>
          <cell r="I1892">
            <v>0</v>
          </cell>
          <cell r="J1892">
            <v>0</v>
          </cell>
          <cell r="K1892" t="str">
            <v>pack</v>
          </cell>
          <cell r="L1892" t="str">
            <v>0</v>
          </cell>
        </row>
        <row r="1893">
          <cell r="F1893" t="str">
            <v>STA00038</v>
          </cell>
          <cell r="G1893" t="str">
            <v>BATERAI BULAT CR3032</v>
          </cell>
          <cell r="H1893">
            <v>15500</v>
          </cell>
          <cell r="I1893">
            <v>0</v>
          </cell>
          <cell r="J1893">
            <v>0</v>
          </cell>
          <cell r="K1893" t="str">
            <v>pcs</v>
          </cell>
          <cell r="L1893" t="str">
            <v>0</v>
          </cell>
        </row>
        <row r="1894">
          <cell r="F1894" t="str">
            <v>STA00039</v>
          </cell>
          <cell r="G1894" t="str">
            <v>BUKU FOLIO 200 LBR</v>
          </cell>
          <cell r="H1894">
            <v>0</v>
          </cell>
          <cell r="I1894">
            <v>0</v>
          </cell>
          <cell r="J1894">
            <v>0</v>
          </cell>
          <cell r="K1894" t="str">
            <v>bk</v>
          </cell>
          <cell r="L1894" t="str">
            <v>0</v>
          </cell>
        </row>
        <row r="1895">
          <cell r="F1895" t="str">
            <v>STA00040</v>
          </cell>
          <cell r="G1895" t="str">
            <v>BUKU TULIS HARDCOVER</v>
          </cell>
          <cell r="H1895">
            <v>0</v>
          </cell>
          <cell r="I1895">
            <v>0</v>
          </cell>
          <cell r="J1895">
            <v>0</v>
          </cell>
          <cell r="K1895" t="str">
            <v>bk</v>
          </cell>
          <cell r="L1895" t="str">
            <v>0</v>
          </cell>
        </row>
        <row r="1896">
          <cell r="F1896" t="str">
            <v>STA00041</v>
          </cell>
          <cell r="G1896" t="str">
            <v>STAPLER</v>
          </cell>
          <cell r="H1896">
            <v>7848.5</v>
          </cell>
          <cell r="I1896">
            <v>0</v>
          </cell>
          <cell r="J1896">
            <v>0</v>
          </cell>
          <cell r="K1896" t="str">
            <v>pcs</v>
          </cell>
          <cell r="L1896" t="str">
            <v>0</v>
          </cell>
        </row>
        <row r="1897">
          <cell r="F1897" t="str">
            <v>STA00042</v>
          </cell>
          <cell r="G1897" t="str">
            <v>KARET GELANG</v>
          </cell>
          <cell r="H1897">
            <v>0</v>
          </cell>
          <cell r="I1897">
            <v>0</v>
          </cell>
          <cell r="J1897">
            <v>0</v>
          </cell>
          <cell r="K1897" t="str">
            <v>pack</v>
          </cell>
          <cell r="L1897" t="str">
            <v>0</v>
          </cell>
        </row>
        <row r="1898">
          <cell r="F1898" t="str">
            <v>STA00043</v>
          </cell>
          <cell r="G1898" t="str">
            <v>STAMPEL DATE</v>
          </cell>
          <cell r="H1898">
            <v>0</v>
          </cell>
          <cell r="I1898">
            <v>0</v>
          </cell>
          <cell r="J1898">
            <v>0</v>
          </cell>
          <cell r="K1898" t="str">
            <v>pcs</v>
          </cell>
          <cell r="L1898" t="str">
            <v>0</v>
          </cell>
        </row>
        <row r="1899">
          <cell r="F1899" t="str">
            <v>STA00044</v>
          </cell>
          <cell r="G1899" t="str">
            <v>TINTA STAMPEL</v>
          </cell>
          <cell r="H1899">
            <v>0</v>
          </cell>
          <cell r="I1899">
            <v>0</v>
          </cell>
          <cell r="J1899">
            <v>0</v>
          </cell>
          <cell r="K1899" t="str">
            <v>btl</v>
          </cell>
          <cell r="L1899" t="str">
            <v>0</v>
          </cell>
        </row>
        <row r="1900">
          <cell r="F1900" t="str">
            <v>STA00045</v>
          </cell>
          <cell r="G1900" t="str">
            <v>KAIN KASA</v>
          </cell>
          <cell r="H1900">
            <v>0</v>
          </cell>
          <cell r="I1900">
            <v>0</v>
          </cell>
          <cell r="J1900">
            <v>0</v>
          </cell>
          <cell r="K1900" t="str">
            <v>pack</v>
          </cell>
          <cell r="L1900" t="str">
            <v>0</v>
          </cell>
        </row>
        <row r="1901">
          <cell r="F1901" t="str">
            <v>STA00046</v>
          </cell>
          <cell r="G1901" t="str">
            <v>ALKOHOL</v>
          </cell>
          <cell r="H1901">
            <v>0</v>
          </cell>
          <cell r="I1901">
            <v>0</v>
          </cell>
          <cell r="J1901">
            <v>0</v>
          </cell>
          <cell r="K1901" t="str">
            <v>btl</v>
          </cell>
          <cell r="L1901" t="str">
            <v>0</v>
          </cell>
        </row>
        <row r="1902">
          <cell r="F1902" t="str">
            <v>STA00047</v>
          </cell>
          <cell r="G1902" t="str">
            <v>BETADINE</v>
          </cell>
          <cell r="H1902">
            <v>0</v>
          </cell>
          <cell r="I1902">
            <v>0</v>
          </cell>
          <cell r="J1902">
            <v>0</v>
          </cell>
          <cell r="K1902" t="str">
            <v>btl</v>
          </cell>
          <cell r="L1902" t="str">
            <v>0</v>
          </cell>
        </row>
        <row r="1903">
          <cell r="F1903" t="str">
            <v>STA00048</v>
          </cell>
          <cell r="G1903" t="str">
            <v>HANSAPLAST ROLL</v>
          </cell>
          <cell r="H1903">
            <v>0</v>
          </cell>
          <cell r="I1903">
            <v>0</v>
          </cell>
          <cell r="J1903">
            <v>0</v>
          </cell>
          <cell r="K1903" t="str">
            <v>roll</v>
          </cell>
          <cell r="L1903" t="str">
            <v>0</v>
          </cell>
        </row>
        <row r="1904">
          <cell r="F1904" t="str">
            <v>STA00049</v>
          </cell>
          <cell r="G1904" t="str">
            <v>TAPE DISPENSER</v>
          </cell>
          <cell r="H1904">
            <v>22500</v>
          </cell>
          <cell r="I1904">
            <v>0</v>
          </cell>
          <cell r="J1904">
            <v>0</v>
          </cell>
          <cell r="K1904" t="str">
            <v>pcs</v>
          </cell>
          <cell r="L1904" t="str">
            <v>0</v>
          </cell>
        </row>
        <row r="1905">
          <cell r="F1905" t="str">
            <v>STA00050</v>
          </cell>
          <cell r="G1905" t="str">
            <v>MINYAK KAYU PUTIH</v>
          </cell>
          <cell r="H1905">
            <v>0</v>
          </cell>
          <cell r="I1905">
            <v>0</v>
          </cell>
          <cell r="J1905">
            <v>0</v>
          </cell>
          <cell r="K1905" t="str">
            <v>pcs</v>
          </cell>
          <cell r="L1905" t="str">
            <v>0</v>
          </cell>
        </row>
        <row r="1906">
          <cell r="F1906" t="str">
            <v>STA00051</v>
          </cell>
          <cell r="G1906" t="str">
            <v>PANADOL HIJAU</v>
          </cell>
          <cell r="H1906">
            <v>0</v>
          </cell>
          <cell r="I1906">
            <v>0</v>
          </cell>
          <cell r="J1906">
            <v>0</v>
          </cell>
          <cell r="K1906" t="str">
            <v>str</v>
          </cell>
          <cell r="L1906" t="str">
            <v>0</v>
          </cell>
        </row>
        <row r="1907">
          <cell r="F1907" t="str">
            <v>STA00052</v>
          </cell>
          <cell r="G1907" t="str">
            <v>PANADOL MERAH</v>
          </cell>
          <cell r="H1907">
            <v>0</v>
          </cell>
          <cell r="I1907">
            <v>0</v>
          </cell>
          <cell r="J1907">
            <v>0</v>
          </cell>
          <cell r="K1907" t="str">
            <v>str</v>
          </cell>
          <cell r="L1907" t="str">
            <v>0</v>
          </cell>
        </row>
        <row r="1908">
          <cell r="F1908" t="str">
            <v>STA00053</v>
          </cell>
          <cell r="G1908" t="str">
            <v>DIAPET</v>
          </cell>
          <cell r="H1908">
            <v>0</v>
          </cell>
          <cell r="I1908">
            <v>0</v>
          </cell>
          <cell r="J1908">
            <v>0</v>
          </cell>
          <cell r="K1908" t="str">
            <v>str</v>
          </cell>
          <cell r="L1908" t="str">
            <v>0</v>
          </cell>
        </row>
        <row r="1909">
          <cell r="F1909" t="str">
            <v>STA00054</v>
          </cell>
          <cell r="G1909" t="str">
            <v>BILL MANUAL CHADOL</v>
          </cell>
          <cell r="H1909">
            <v>0</v>
          </cell>
          <cell r="I1909">
            <v>0</v>
          </cell>
          <cell r="J1909">
            <v>0</v>
          </cell>
          <cell r="K1909" t="str">
            <v>buku</v>
          </cell>
          <cell r="L1909" t="str">
            <v>0</v>
          </cell>
        </row>
        <row r="1910">
          <cell r="F1910" t="str">
            <v>STA00055</v>
          </cell>
          <cell r="G1910" t="str">
            <v>SPIDOL SNOWMAN - HITAM</v>
          </cell>
          <cell r="H1910">
            <v>6000</v>
          </cell>
          <cell r="I1910">
            <v>0</v>
          </cell>
          <cell r="J1910">
            <v>0</v>
          </cell>
          <cell r="K1910" t="str">
            <v>pcs</v>
          </cell>
          <cell r="L1910" t="str">
            <v>0</v>
          </cell>
        </row>
        <row r="1911">
          <cell r="F1911" t="str">
            <v>STA00056</v>
          </cell>
          <cell r="G1911" t="str">
            <v>STAPLER BESAR</v>
          </cell>
          <cell r="H1911">
            <v>0</v>
          </cell>
          <cell r="I1911">
            <v>0</v>
          </cell>
          <cell r="J1911">
            <v>0</v>
          </cell>
          <cell r="K1911" t="str">
            <v>pcs</v>
          </cell>
          <cell r="L1911" t="str">
            <v>0</v>
          </cell>
        </row>
        <row r="1912">
          <cell r="F1912" t="str">
            <v>STA00057</v>
          </cell>
          <cell r="G1912" t="str">
            <v>ISI STAPLER</v>
          </cell>
          <cell r="H1912">
            <v>0</v>
          </cell>
          <cell r="I1912">
            <v>0</v>
          </cell>
          <cell r="J1912">
            <v>0</v>
          </cell>
          <cell r="K1912" t="str">
            <v>pack</v>
          </cell>
          <cell r="L1912" t="str">
            <v>0</v>
          </cell>
        </row>
        <row r="1913">
          <cell r="F1913" t="str">
            <v>STA00058</v>
          </cell>
          <cell r="G1913" t="str">
            <v>PENSIL</v>
          </cell>
          <cell r="H1913">
            <v>0</v>
          </cell>
          <cell r="I1913">
            <v>0</v>
          </cell>
          <cell r="J1913">
            <v>0</v>
          </cell>
          <cell r="K1913" t="str">
            <v>pcs</v>
          </cell>
          <cell r="L1913" t="str">
            <v>0</v>
          </cell>
        </row>
        <row r="1914">
          <cell r="F1914" t="str">
            <v>STA00059</v>
          </cell>
          <cell r="G1914" t="str">
            <v>KWITANSI</v>
          </cell>
          <cell r="H1914">
            <v>0</v>
          </cell>
          <cell r="I1914">
            <v>0</v>
          </cell>
          <cell r="J1914">
            <v>0</v>
          </cell>
          <cell r="K1914" t="str">
            <v>buku</v>
          </cell>
          <cell r="L1914" t="str">
            <v>0</v>
          </cell>
        </row>
        <row r="1915">
          <cell r="F1915" t="str">
            <v>STA00060</v>
          </cell>
          <cell r="G1915" t="str">
            <v>STABILO</v>
          </cell>
          <cell r="H1915">
            <v>5500</v>
          </cell>
          <cell r="I1915">
            <v>0</v>
          </cell>
          <cell r="J1915">
            <v>0</v>
          </cell>
          <cell r="K1915" t="str">
            <v>pcs</v>
          </cell>
          <cell r="L1915" t="str">
            <v>0</v>
          </cell>
        </row>
        <row r="1916">
          <cell r="F1916" t="str">
            <v>STA00061</v>
          </cell>
          <cell r="G1916" t="str">
            <v>NOTA 2 PLY</v>
          </cell>
          <cell r="H1916">
            <v>0</v>
          </cell>
          <cell r="I1916">
            <v>0</v>
          </cell>
          <cell r="J1916">
            <v>0</v>
          </cell>
          <cell r="K1916" t="str">
            <v>buku</v>
          </cell>
          <cell r="L1916" t="str">
            <v>0</v>
          </cell>
        </row>
        <row r="1917">
          <cell r="F1917" t="str">
            <v>STA00062</v>
          </cell>
          <cell r="G1917" t="str">
            <v>PENGHAPUS</v>
          </cell>
          <cell r="H1917">
            <v>0</v>
          </cell>
          <cell r="I1917">
            <v>0</v>
          </cell>
          <cell r="J1917">
            <v>0</v>
          </cell>
          <cell r="K1917" t="str">
            <v>pcs</v>
          </cell>
          <cell r="L1917" t="str">
            <v>0</v>
          </cell>
        </row>
        <row r="1918">
          <cell r="F1918" t="str">
            <v>STA00063</v>
          </cell>
          <cell r="G1918" t="str">
            <v>CAPTAIN ORDER CHADOL</v>
          </cell>
          <cell r="H1918">
            <v>0</v>
          </cell>
          <cell r="I1918">
            <v>0</v>
          </cell>
          <cell r="J1918">
            <v>0</v>
          </cell>
          <cell r="K1918" t="str">
            <v>buku</v>
          </cell>
          <cell r="L1918" t="str">
            <v>0</v>
          </cell>
        </row>
        <row r="1919">
          <cell r="F1919" t="str">
            <v>STA00064</v>
          </cell>
          <cell r="G1919" t="str">
            <v>TANDA TERIMA TARA</v>
          </cell>
          <cell r="H1919">
            <v>0</v>
          </cell>
          <cell r="I1919">
            <v>0</v>
          </cell>
          <cell r="J1919">
            <v>0</v>
          </cell>
          <cell r="K1919" t="str">
            <v>buku</v>
          </cell>
          <cell r="L1919" t="str">
            <v>0</v>
          </cell>
        </row>
        <row r="1920">
          <cell r="F1920" t="str">
            <v>STA00065</v>
          </cell>
          <cell r="G1920" t="str">
            <v>KOTAK P3K</v>
          </cell>
          <cell r="H1920">
            <v>0</v>
          </cell>
          <cell r="I1920">
            <v>0</v>
          </cell>
          <cell r="J1920">
            <v>0</v>
          </cell>
          <cell r="K1920" t="str">
            <v>pcs</v>
          </cell>
          <cell r="L1920" t="str">
            <v>0</v>
          </cell>
        </row>
        <row r="1921">
          <cell r="F1921" t="str">
            <v>STA00066</v>
          </cell>
          <cell r="G1921" t="str">
            <v>DRAWER ORGANIZER 18</v>
          </cell>
          <cell r="H1921">
            <v>0</v>
          </cell>
          <cell r="I1921">
            <v>0</v>
          </cell>
          <cell r="J1921">
            <v>0</v>
          </cell>
          <cell r="K1921" t="str">
            <v>pcs</v>
          </cell>
          <cell r="L1921" t="str">
            <v>0</v>
          </cell>
        </row>
        <row r="1922">
          <cell r="F1922" t="str">
            <v>STA00067</v>
          </cell>
          <cell r="G1922" t="str">
            <v>WHITEBOARD + KAKI RODA 120 X 180</v>
          </cell>
          <cell r="H1922">
            <v>0</v>
          </cell>
          <cell r="I1922">
            <v>0</v>
          </cell>
          <cell r="J1922">
            <v>0</v>
          </cell>
          <cell r="K1922" t="str">
            <v>pcs</v>
          </cell>
          <cell r="L1922" t="str">
            <v>0</v>
          </cell>
        </row>
        <row r="1923">
          <cell r="F1923" t="str">
            <v>STA00068</v>
          </cell>
          <cell r="G1923" t="str">
            <v>IDM CUTTER PUTAR</v>
          </cell>
          <cell r="H1923">
            <v>0</v>
          </cell>
          <cell r="I1923">
            <v>0</v>
          </cell>
          <cell r="J1923">
            <v>0</v>
          </cell>
          <cell r="K1923" t="str">
            <v>pcs</v>
          </cell>
          <cell r="L1923" t="str">
            <v>0</v>
          </cell>
        </row>
        <row r="1924">
          <cell r="F1924" t="str">
            <v>STA00069</v>
          </cell>
          <cell r="G1924" t="str">
            <v>PRINTER KASIR USB + BLUETOOTH</v>
          </cell>
          <cell r="H1924">
            <v>0</v>
          </cell>
          <cell r="I1924">
            <v>0</v>
          </cell>
          <cell r="J1924">
            <v>0</v>
          </cell>
          <cell r="K1924" t="str">
            <v>unit</v>
          </cell>
          <cell r="L1924" t="str">
            <v>0</v>
          </cell>
        </row>
        <row r="1925">
          <cell r="F1925" t="str">
            <v>STA00070</v>
          </cell>
          <cell r="G1925" t="str">
            <v>STEMPEL TANGGAL TRODAT 4810</v>
          </cell>
          <cell r="H1925">
            <v>0</v>
          </cell>
          <cell r="I1925">
            <v>0</v>
          </cell>
          <cell r="J1925">
            <v>0</v>
          </cell>
          <cell r="K1925" t="str">
            <v>pcs</v>
          </cell>
          <cell r="L1925" t="str">
            <v>0</v>
          </cell>
        </row>
        <row r="1926">
          <cell r="F1926" t="str">
            <v>STA00071</v>
          </cell>
          <cell r="G1926" t="str">
            <v>BANTALAN STAMP EHJ-3</v>
          </cell>
          <cell r="H1926">
            <v>0</v>
          </cell>
          <cell r="I1926">
            <v>0</v>
          </cell>
          <cell r="J1926">
            <v>0</v>
          </cell>
          <cell r="K1926" t="str">
            <v>pcs</v>
          </cell>
          <cell r="L1926" t="str">
            <v>0</v>
          </cell>
        </row>
        <row r="1927">
          <cell r="F1927" t="str">
            <v>STA00072</v>
          </cell>
          <cell r="G1927" t="str">
            <v>TINTA TRODAT INK 25 ML 7011</v>
          </cell>
          <cell r="H1927">
            <v>0</v>
          </cell>
          <cell r="I1927">
            <v>0</v>
          </cell>
          <cell r="J1927">
            <v>0</v>
          </cell>
          <cell r="K1927" t="str">
            <v>pcs</v>
          </cell>
          <cell r="L1927" t="str">
            <v>0</v>
          </cell>
        </row>
        <row r="1928">
          <cell r="F1928" t="str">
            <v>STA00073</v>
          </cell>
          <cell r="G1928" t="str">
            <v>PAPER CLIP NO.3</v>
          </cell>
          <cell r="H1928">
            <v>0</v>
          </cell>
          <cell r="I1928">
            <v>0</v>
          </cell>
          <cell r="J1928">
            <v>0</v>
          </cell>
          <cell r="K1928" t="str">
            <v>pack</v>
          </cell>
          <cell r="L1928" t="str">
            <v>0</v>
          </cell>
        </row>
        <row r="1929">
          <cell r="F1929" t="str">
            <v>STA00074</v>
          </cell>
          <cell r="G1929" t="str">
            <v>LABEL/STICKER TOM &amp; JERRY 103</v>
          </cell>
          <cell r="H1929">
            <v>0</v>
          </cell>
          <cell r="I1929">
            <v>0</v>
          </cell>
          <cell r="J1929">
            <v>0</v>
          </cell>
          <cell r="K1929" t="str">
            <v>pack</v>
          </cell>
          <cell r="L1929" t="str">
            <v>0</v>
          </cell>
        </row>
        <row r="1930">
          <cell r="F1930" t="str">
            <v>STA00075</v>
          </cell>
          <cell r="G1930" t="str">
            <v>LABEL/STICKER TOM &amp; JERRY 109</v>
          </cell>
          <cell r="H1930">
            <v>0</v>
          </cell>
          <cell r="I1930">
            <v>0</v>
          </cell>
          <cell r="J1930">
            <v>0</v>
          </cell>
          <cell r="K1930" t="str">
            <v>pack</v>
          </cell>
          <cell r="L1930" t="str">
            <v>0</v>
          </cell>
        </row>
        <row r="1931">
          <cell r="F1931" t="str">
            <v>STA00076</v>
          </cell>
          <cell r="G1931" t="str">
            <v>STICKER TOM &amp; JERRY BULAT - HIJAU</v>
          </cell>
          <cell r="H1931">
            <v>0</v>
          </cell>
          <cell r="I1931">
            <v>0</v>
          </cell>
          <cell r="J1931">
            <v>0</v>
          </cell>
          <cell r="K1931" t="str">
            <v>pack</v>
          </cell>
          <cell r="L1931" t="str">
            <v>0</v>
          </cell>
        </row>
        <row r="1932">
          <cell r="F1932" t="str">
            <v>STA00077</v>
          </cell>
          <cell r="G1932" t="str">
            <v>STICKER/LABEL TOM&amp;JERRY BULAT - MERAH</v>
          </cell>
          <cell r="H1932">
            <v>0</v>
          </cell>
          <cell r="I1932">
            <v>0</v>
          </cell>
          <cell r="J1932">
            <v>0</v>
          </cell>
          <cell r="K1932" t="str">
            <v>pack</v>
          </cell>
          <cell r="L1932" t="str">
            <v>0</v>
          </cell>
        </row>
        <row r="1933">
          <cell r="F1933" t="str">
            <v>STA00078</v>
          </cell>
          <cell r="G1933" t="str">
            <v>TINTA STAMPEL - MERAH</v>
          </cell>
          <cell r="H1933">
            <v>0</v>
          </cell>
          <cell r="I1933">
            <v>0</v>
          </cell>
          <cell r="J1933">
            <v>0</v>
          </cell>
          <cell r="K1933" t="str">
            <v>botol</v>
          </cell>
          <cell r="L1933" t="str">
            <v>0</v>
          </cell>
        </row>
        <row r="1934">
          <cell r="F1934" t="str">
            <v>STA00079</v>
          </cell>
          <cell r="G1934" t="str">
            <v>BATERAI LR44 (1 PACK 5 PCS)</v>
          </cell>
          <cell r="H1934">
            <v>0</v>
          </cell>
          <cell r="I1934">
            <v>0</v>
          </cell>
          <cell r="J1934">
            <v>0</v>
          </cell>
          <cell r="K1934" t="str">
            <v>pack</v>
          </cell>
          <cell r="L1934" t="str">
            <v>0</v>
          </cell>
        </row>
        <row r="1935">
          <cell r="F1935" t="str">
            <v>STA00080</v>
          </cell>
          <cell r="G1935" t="str">
            <v>KERTAS THERMAL 80 X 80</v>
          </cell>
          <cell r="H1935">
            <v>0</v>
          </cell>
          <cell r="I1935">
            <v>0</v>
          </cell>
          <cell r="J1935">
            <v>0</v>
          </cell>
          <cell r="K1935" t="str">
            <v>ROLL</v>
          </cell>
          <cell r="L1935" t="str">
            <v>0</v>
          </cell>
        </row>
        <row r="1936">
          <cell r="F1936" t="str">
            <v>STA00081</v>
          </cell>
          <cell r="G1936" t="str">
            <v>TINTA STAMPEL - HIJAU</v>
          </cell>
          <cell r="H1936">
            <v>0</v>
          </cell>
          <cell r="I1936">
            <v>0</v>
          </cell>
          <cell r="J1936">
            <v>0</v>
          </cell>
          <cell r="K1936" t="str">
            <v>botol</v>
          </cell>
          <cell r="L1936" t="str">
            <v>0</v>
          </cell>
        </row>
        <row r="1937">
          <cell r="F1937" t="str">
            <v>STA00082</v>
          </cell>
          <cell r="G1937" t="str">
            <v>FORM TUKAR FAKTUR 3 PLY</v>
          </cell>
          <cell r="H1937">
            <v>0</v>
          </cell>
          <cell r="I1937">
            <v>0</v>
          </cell>
          <cell r="J1937">
            <v>0</v>
          </cell>
          <cell r="K1937" t="str">
            <v>buku</v>
          </cell>
          <cell r="L1937" t="str">
            <v>0</v>
          </cell>
        </row>
        <row r="1938">
          <cell r="F1938" t="str">
            <v>STA00083</v>
          </cell>
          <cell r="G1938" t="str">
            <v>LEM DEXTONE</v>
          </cell>
          <cell r="H1938">
            <v>0</v>
          </cell>
          <cell r="I1938">
            <v>0</v>
          </cell>
          <cell r="J1938">
            <v>0</v>
          </cell>
          <cell r="K1938" t="str">
            <v>pcs</v>
          </cell>
          <cell r="L1938" t="str">
            <v>0</v>
          </cell>
        </row>
        <row r="1939">
          <cell r="F1939" t="str">
            <v>STA00084</v>
          </cell>
          <cell r="G1939" t="str">
            <v>RAK DOKUMEN 3 TINGKAT</v>
          </cell>
          <cell r="H1939">
            <v>0</v>
          </cell>
          <cell r="I1939">
            <v>0</v>
          </cell>
          <cell r="J1939">
            <v>0</v>
          </cell>
          <cell r="K1939" t="str">
            <v>unit</v>
          </cell>
          <cell r="L1939" t="str">
            <v>0</v>
          </cell>
        </row>
        <row r="1940">
          <cell r="F1940" t="str">
            <v>STA00085</v>
          </cell>
          <cell r="G1940" t="str">
            <v>STAMPEL WARNA</v>
          </cell>
          <cell r="H1940">
            <v>0</v>
          </cell>
          <cell r="I1940">
            <v>0</v>
          </cell>
          <cell r="J1940">
            <v>0</v>
          </cell>
          <cell r="K1940" t="str">
            <v>pcs</v>
          </cell>
          <cell r="L1940" t="str">
            <v>0</v>
          </cell>
        </row>
        <row r="1941">
          <cell r="F1941" t="str">
            <v>STA00086</v>
          </cell>
          <cell r="G1941" t="str">
            <v>STEMPEL WARNA</v>
          </cell>
          <cell r="H1941">
            <v>0</v>
          </cell>
          <cell r="I1941">
            <v>0</v>
          </cell>
          <cell r="J1941">
            <v>0</v>
          </cell>
          <cell r="K1941" t="str">
            <v>pcs</v>
          </cell>
          <cell r="L1941" t="str">
            <v>0</v>
          </cell>
        </row>
        <row r="1942">
          <cell r="F1942" t="str">
            <v>STA00087</v>
          </cell>
          <cell r="G1942" t="str">
            <v>KERTAS AC  260GR A3</v>
          </cell>
          <cell r="H1942">
            <v>0</v>
          </cell>
          <cell r="I1942">
            <v>0</v>
          </cell>
          <cell r="J1942">
            <v>0</v>
          </cell>
          <cell r="K1942" t="str">
            <v>lembar</v>
          </cell>
          <cell r="L1942" t="str">
            <v>0</v>
          </cell>
        </row>
        <row r="1943">
          <cell r="F1943" t="str">
            <v>STA00088</v>
          </cell>
          <cell r="G1943" t="str">
            <v>PENSIL WARNA</v>
          </cell>
          <cell r="H1943">
            <v>0</v>
          </cell>
          <cell r="I1943">
            <v>0</v>
          </cell>
          <cell r="J1943">
            <v>0</v>
          </cell>
          <cell r="K1943" t="str">
            <v>pack</v>
          </cell>
          <cell r="L1943" t="str">
            <v>0</v>
          </cell>
        </row>
        <row r="1944">
          <cell r="F1944" t="str">
            <v>STA00089</v>
          </cell>
          <cell r="G1944" t="str">
            <v>PENDETEKSI UANG PALSU MD-100</v>
          </cell>
          <cell r="H1944">
            <v>126402</v>
          </cell>
          <cell r="I1944">
            <v>0</v>
          </cell>
          <cell r="J1944">
            <v>0</v>
          </cell>
          <cell r="K1944" t="str">
            <v>unit</v>
          </cell>
          <cell r="L1944" t="str">
            <v>0</v>
          </cell>
        </row>
        <row r="1945">
          <cell r="F1945" t="str">
            <v>STA00090</v>
          </cell>
          <cell r="G1945" t="str">
            <v>LABELER/LABEL HARGA JOYKO MX-5500</v>
          </cell>
          <cell r="H1945">
            <v>38400</v>
          </cell>
          <cell r="I1945">
            <v>0</v>
          </cell>
          <cell r="J1945">
            <v>0</v>
          </cell>
          <cell r="K1945" t="str">
            <v>unit</v>
          </cell>
          <cell r="L1945" t="str">
            <v>0</v>
          </cell>
        </row>
        <row r="1946">
          <cell r="F1946" t="str">
            <v>STA00091</v>
          </cell>
          <cell r="G1946" t="str">
            <v>BUKU LOG FOLIO BERGARIS</v>
          </cell>
          <cell r="H1946">
            <v>18000</v>
          </cell>
          <cell r="I1946">
            <v>0</v>
          </cell>
          <cell r="J1946">
            <v>0</v>
          </cell>
          <cell r="K1946" t="str">
            <v>buku</v>
          </cell>
          <cell r="L1946" t="str">
            <v>0</v>
          </cell>
        </row>
        <row r="1947">
          <cell r="F1947" t="str">
            <v>STA00092</v>
          </cell>
          <cell r="G1947" t="str">
            <v>BUKU KAS (EKSPEDISI)</v>
          </cell>
          <cell r="H1947">
            <v>8500</v>
          </cell>
          <cell r="I1947">
            <v>0</v>
          </cell>
          <cell r="J1947">
            <v>0</v>
          </cell>
          <cell r="K1947" t="str">
            <v>buku</v>
          </cell>
          <cell r="L1947" t="str">
            <v>0</v>
          </cell>
        </row>
        <row r="1948">
          <cell r="F1948" t="str">
            <v>STA00093</v>
          </cell>
          <cell r="G1948" t="str">
            <v>STICKER/LABEL TOM&amp;JERRY BULAT - ORANGE</v>
          </cell>
          <cell r="H1948">
            <v>0</v>
          </cell>
          <cell r="I1948">
            <v>0</v>
          </cell>
          <cell r="J1948">
            <v>0</v>
          </cell>
          <cell r="K1948" t="str">
            <v>pack</v>
          </cell>
          <cell r="L1948" t="str">
            <v>0</v>
          </cell>
        </row>
        <row r="1949">
          <cell r="F1949" t="str">
            <v>STA00094</v>
          </cell>
          <cell r="G1949" t="str">
            <v>OBAT PROMAG</v>
          </cell>
          <cell r="H1949">
            <v>0</v>
          </cell>
          <cell r="I1949">
            <v>0</v>
          </cell>
          <cell r="J1949">
            <v>0</v>
          </cell>
          <cell r="K1949" t="str">
            <v>str</v>
          </cell>
          <cell r="L1949" t="str">
            <v>0</v>
          </cell>
        </row>
        <row r="1950">
          <cell r="F1950" t="str">
            <v>STA00095</v>
          </cell>
          <cell r="G1950" t="str">
            <v>OBAT ENTROSTOP</v>
          </cell>
          <cell r="H1950">
            <v>0</v>
          </cell>
          <cell r="I1950">
            <v>0</v>
          </cell>
          <cell r="J1950">
            <v>0</v>
          </cell>
          <cell r="K1950" t="str">
            <v>str</v>
          </cell>
          <cell r="L1950" t="str">
            <v>0</v>
          </cell>
        </row>
        <row r="1951">
          <cell r="F1951" t="str">
            <v>STA00096</v>
          </cell>
          <cell r="G1951" t="str">
            <v>HANSAPLAS</v>
          </cell>
          <cell r="H1951">
            <v>0</v>
          </cell>
          <cell r="I1951">
            <v>0</v>
          </cell>
          <cell r="J1951">
            <v>0</v>
          </cell>
          <cell r="K1951" t="str">
            <v>pack</v>
          </cell>
          <cell r="L1951" t="str">
            <v>0</v>
          </cell>
        </row>
        <row r="1952">
          <cell r="F1952" t="str">
            <v>STA00097</v>
          </cell>
          <cell r="G1952" t="str">
            <v>BIOPLACENTON</v>
          </cell>
          <cell r="H1952">
            <v>0</v>
          </cell>
          <cell r="I1952">
            <v>0</v>
          </cell>
          <cell r="J1952">
            <v>0</v>
          </cell>
          <cell r="K1952" t="str">
            <v>pcs</v>
          </cell>
          <cell r="L1952" t="str">
            <v>0</v>
          </cell>
        </row>
        <row r="1953">
          <cell r="F1953" t="str">
            <v>STA00098</v>
          </cell>
          <cell r="G1953" t="str">
            <v>KAPAS</v>
          </cell>
          <cell r="H1953">
            <v>0</v>
          </cell>
          <cell r="I1953">
            <v>0</v>
          </cell>
          <cell r="J1953">
            <v>0</v>
          </cell>
          <cell r="K1953" t="str">
            <v>gr</v>
          </cell>
          <cell r="L1953" t="str">
            <v>0</v>
          </cell>
        </row>
        <row r="1954">
          <cell r="F1954" t="str">
            <v>STA00099</v>
          </cell>
          <cell r="G1954" t="str">
            <v>BUSINESS FILE</v>
          </cell>
          <cell r="H1954">
            <v>0</v>
          </cell>
          <cell r="I1954">
            <v>0</v>
          </cell>
          <cell r="J1954">
            <v>0</v>
          </cell>
          <cell r="K1954" t="str">
            <v>pcs</v>
          </cell>
          <cell r="L1954" t="str">
            <v>0</v>
          </cell>
        </row>
        <row r="1955">
          <cell r="F1955" t="str">
            <v>STA00100</v>
          </cell>
          <cell r="G1955" t="str">
            <v>LAKBAN GREEN</v>
          </cell>
          <cell r="H1955">
            <v>0</v>
          </cell>
          <cell r="I1955">
            <v>0</v>
          </cell>
          <cell r="J1955">
            <v>0</v>
          </cell>
          <cell r="K1955" t="str">
            <v>ROLL</v>
          </cell>
          <cell r="L1955" t="str">
            <v>0</v>
          </cell>
        </row>
        <row r="1956">
          <cell r="F1956" t="str">
            <v>STA00101</v>
          </cell>
          <cell r="G1956" t="str">
            <v>BINDER CLIP NO.280</v>
          </cell>
          <cell r="H1956">
            <v>0</v>
          </cell>
          <cell r="I1956">
            <v>0</v>
          </cell>
          <cell r="J1956">
            <v>0</v>
          </cell>
          <cell r="K1956" t="str">
            <v>box</v>
          </cell>
          <cell r="L1956" t="str">
            <v>0</v>
          </cell>
        </row>
        <row r="1957">
          <cell r="F1957" t="str">
            <v>STA00102</v>
          </cell>
          <cell r="G1957" t="str">
            <v>TONER CATRIDGE PRINTER BROTHER</v>
          </cell>
          <cell r="H1957">
            <v>0</v>
          </cell>
          <cell r="I1957">
            <v>0</v>
          </cell>
          <cell r="J1957">
            <v>0</v>
          </cell>
          <cell r="K1957" t="str">
            <v>pcs</v>
          </cell>
          <cell r="L1957" t="str">
            <v>0</v>
          </cell>
        </row>
        <row r="1958">
          <cell r="F1958" t="str">
            <v>STA00103</v>
          </cell>
          <cell r="G1958" t="str">
            <v>ALAT PENCABUT STAPLER</v>
          </cell>
          <cell r="H1958">
            <v>0</v>
          </cell>
          <cell r="I1958">
            <v>0</v>
          </cell>
          <cell r="J1958">
            <v>0</v>
          </cell>
          <cell r="K1958" t="str">
            <v>pcs</v>
          </cell>
          <cell r="L1958" t="str">
            <v>0</v>
          </cell>
        </row>
        <row r="1959">
          <cell r="F1959" t="str">
            <v>STA00104</v>
          </cell>
          <cell r="G1959" t="str">
            <v>LAKBAN COKELAT</v>
          </cell>
          <cell r="H1959">
            <v>0</v>
          </cell>
          <cell r="I1959">
            <v>0</v>
          </cell>
          <cell r="J1959">
            <v>0</v>
          </cell>
          <cell r="K1959" t="str">
            <v>ROLL</v>
          </cell>
          <cell r="L1959" t="str">
            <v>0</v>
          </cell>
        </row>
        <row r="1960">
          <cell r="F1960" t="str">
            <v>STA00105</v>
          </cell>
          <cell r="G1960" t="str">
            <v>BINDER CLIP NO.200</v>
          </cell>
          <cell r="H1960">
            <v>0</v>
          </cell>
          <cell r="I1960">
            <v>0</v>
          </cell>
          <cell r="J1960">
            <v>0</v>
          </cell>
          <cell r="K1960" t="str">
            <v>box</v>
          </cell>
          <cell r="L1960" t="str">
            <v>0</v>
          </cell>
        </row>
        <row r="1961">
          <cell r="F1961" t="str">
            <v>STA00106</v>
          </cell>
          <cell r="G1961" t="str">
            <v>ALAT PEMOTONG LAKBAN</v>
          </cell>
          <cell r="H1961">
            <v>0</v>
          </cell>
          <cell r="I1961">
            <v>0</v>
          </cell>
          <cell r="J1961">
            <v>0</v>
          </cell>
          <cell r="K1961" t="str">
            <v>unit</v>
          </cell>
          <cell r="L1961" t="str">
            <v>0</v>
          </cell>
        </row>
        <row r="1962">
          <cell r="F1962" t="str">
            <v>STA00107</v>
          </cell>
          <cell r="G1962" t="str">
            <v>LABEL/STICKER TOM &amp; JERRY 105</v>
          </cell>
          <cell r="H1962">
            <v>0</v>
          </cell>
          <cell r="I1962">
            <v>0</v>
          </cell>
          <cell r="J1962">
            <v>0</v>
          </cell>
          <cell r="K1962" t="str">
            <v>pack</v>
          </cell>
          <cell r="L1962" t="str">
            <v>0</v>
          </cell>
        </row>
        <row r="1963">
          <cell r="F1963" t="str">
            <v>STA00108</v>
          </cell>
          <cell r="G1963" t="str">
            <v>SERUTAN</v>
          </cell>
          <cell r="H1963">
            <v>0</v>
          </cell>
          <cell r="I1963">
            <v>0</v>
          </cell>
          <cell r="J1963">
            <v>0</v>
          </cell>
          <cell r="K1963" t="str">
            <v>pcs</v>
          </cell>
          <cell r="L1963" t="str">
            <v>0</v>
          </cell>
        </row>
        <row r="1964">
          <cell r="F1964" t="str">
            <v>STA00109</v>
          </cell>
          <cell r="G1964" t="str">
            <v>STOCK CARD</v>
          </cell>
          <cell r="H1964">
            <v>0</v>
          </cell>
          <cell r="I1964">
            <v>0</v>
          </cell>
          <cell r="J1964">
            <v>0</v>
          </cell>
          <cell r="K1964" t="str">
            <v>pack</v>
          </cell>
          <cell r="L1964" t="str">
            <v>0</v>
          </cell>
        </row>
        <row r="1965">
          <cell r="F1965" t="str">
            <v>STA00110</v>
          </cell>
          <cell r="G1965" t="str">
            <v>KARTU NAMA</v>
          </cell>
          <cell r="H1965">
            <v>0</v>
          </cell>
          <cell r="I1965">
            <v>0</v>
          </cell>
          <cell r="J1965">
            <v>0</v>
          </cell>
          <cell r="K1965" t="str">
            <v>pack</v>
          </cell>
          <cell r="L1965" t="str">
            <v>0</v>
          </cell>
        </row>
        <row r="1966">
          <cell r="F1966" t="str">
            <v>STA00111</v>
          </cell>
          <cell r="G1966" t="str">
            <v>DOUBLE TAPE FOAM HITAM</v>
          </cell>
          <cell r="H1966">
            <v>0</v>
          </cell>
          <cell r="I1966">
            <v>0</v>
          </cell>
          <cell r="J1966">
            <v>0</v>
          </cell>
          <cell r="K1966" t="str">
            <v>ROLL</v>
          </cell>
          <cell r="L1966" t="str">
            <v>0</v>
          </cell>
        </row>
        <row r="1967">
          <cell r="F1967" t="str">
            <v>STA00112</v>
          </cell>
          <cell r="G1967" t="str">
            <v>NOMOR ANTRIAN PROMO WAGYU TOKUSEN</v>
          </cell>
          <cell r="H1967">
            <v>0</v>
          </cell>
          <cell r="I1967">
            <v>0</v>
          </cell>
          <cell r="J1967">
            <v>0</v>
          </cell>
          <cell r="K1967" t="str">
            <v>pcs</v>
          </cell>
          <cell r="L1967" t="str">
            <v>0</v>
          </cell>
        </row>
        <row r="1968">
          <cell r="F1968" t="str">
            <v>STA00113</v>
          </cell>
          <cell r="G1968" t="str">
            <v>LAKBAN FRAGILE 48MM - PUTIH</v>
          </cell>
          <cell r="H1968">
            <v>0</v>
          </cell>
          <cell r="I1968">
            <v>0</v>
          </cell>
          <cell r="J1968">
            <v>0</v>
          </cell>
          <cell r="K1968" t="str">
            <v>ROLL</v>
          </cell>
          <cell r="L1968" t="str">
            <v>0</v>
          </cell>
        </row>
        <row r="1969">
          <cell r="F1969" t="str">
            <v>STA00114</v>
          </cell>
          <cell r="G1969" t="str">
            <v>LABEL HARGA</v>
          </cell>
          <cell r="H1969">
            <v>0</v>
          </cell>
          <cell r="I1969">
            <v>0</v>
          </cell>
          <cell r="J1969">
            <v>0</v>
          </cell>
          <cell r="K1969" t="str">
            <v>pcs</v>
          </cell>
          <cell r="L1969" t="str">
            <v>0</v>
          </cell>
        </row>
        <row r="1970">
          <cell r="F1970" t="str">
            <v>STA00116</v>
          </cell>
          <cell r="G1970" t="str">
            <v>KERTAS STICKER LABEL HARGA</v>
          </cell>
          <cell r="H1970">
            <v>0</v>
          </cell>
          <cell r="I1970">
            <v>0</v>
          </cell>
          <cell r="J1970">
            <v>0</v>
          </cell>
          <cell r="K1970" t="str">
            <v>ROLL</v>
          </cell>
          <cell r="L1970" t="str">
            <v>0</v>
          </cell>
        </row>
        <row r="1971">
          <cell r="F1971" t="str">
            <v>STA00117</v>
          </cell>
          <cell r="G1971" t="str">
            <v>CONTAINER TEMPAT DOKUMEN</v>
          </cell>
          <cell r="H1971">
            <v>0</v>
          </cell>
          <cell r="I1971">
            <v>0</v>
          </cell>
          <cell r="J1971">
            <v>0</v>
          </cell>
          <cell r="K1971" t="str">
            <v>pcs</v>
          </cell>
          <cell r="L1971" t="str">
            <v>0</v>
          </cell>
        </row>
        <row r="1972">
          <cell r="F1972" t="str">
            <v>STA00118</v>
          </cell>
          <cell r="G1972" t="str">
            <v>LEM KERTAS JOYKO</v>
          </cell>
          <cell r="H1972">
            <v>0</v>
          </cell>
          <cell r="I1972">
            <v>0</v>
          </cell>
          <cell r="J1972">
            <v>0</v>
          </cell>
          <cell r="K1972" t="str">
            <v>pcs</v>
          </cell>
          <cell r="L1972" t="str">
            <v>0</v>
          </cell>
        </row>
        <row r="1973">
          <cell r="F1973" t="str">
            <v>STA00119</v>
          </cell>
          <cell r="G1973" t="str">
            <v>SPIDOL PERMANENT JUMBO - HITAM</v>
          </cell>
          <cell r="H1973">
            <v>0</v>
          </cell>
          <cell r="I1973">
            <v>0</v>
          </cell>
          <cell r="J1973">
            <v>0</v>
          </cell>
          <cell r="K1973" t="str">
            <v>pcs</v>
          </cell>
          <cell r="L1973" t="str">
            <v>0</v>
          </cell>
        </row>
        <row r="1974">
          <cell r="F1974" t="str">
            <v>STA00120</v>
          </cell>
          <cell r="G1974" t="str">
            <v>SPIDOL PERMANENT JUMBO - BIRU</v>
          </cell>
          <cell r="H1974">
            <v>0</v>
          </cell>
          <cell r="I1974">
            <v>0</v>
          </cell>
          <cell r="J1974">
            <v>0</v>
          </cell>
          <cell r="K1974" t="str">
            <v>pcs</v>
          </cell>
          <cell r="L1974" t="str">
            <v>0</v>
          </cell>
        </row>
        <row r="1975">
          <cell r="F1975" t="str">
            <v>STA00121</v>
          </cell>
          <cell r="G1975" t="str">
            <v>KERTAS BURAM A4</v>
          </cell>
          <cell r="H1975">
            <v>0</v>
          </cell>
          <cell r="I1975">
            <v>0</v>
          </cell>
          <cell r="J1975">
            <v>0</v>
          </cell>
          <cell r="K1975" t="str">
            <v>pack</v>
          </cell>
          <cell r="L1975" t="str">
            <v>0</v>
          </cell>
        </row>
        <row r="1976">
          <cell r="F1976" t="str">
            <v>STA00122</v>
          </cell>
          <cell r="G1976" t="str">
            <v>BINDEX ORDNER</v>
          </cell>
          <cell r="H1976">
            <v>0</v>
          </cell>
          <cell r="I1976">
            <v>0</v>
          </cell>
          <cell r="J1976">
            <v>0</v>
          </cell>
          <cell r="K1976" t="str">
            <v>pcs</v>
          </cell>
          <cell r="L1976" t="str">
            <v>0</v>
          </cell>
        </row>
        <row r="1977">
          <cell r="F1977" t="str">
            <v>STA00123</v>
          </cell>
          <cell r="G1977" t="str">
            <v>MAP PLASTIK KANCING</v>
          </cell>
          <cell r="H1977">
            <v>0</v>
          </cell>
          <cell r="I1977">
            <v>0</v>
          </cell>
          <cell r="J1977">
            <v>0</v>
          </cell>
          <cell r="K1977" t="str">
            <v>pcs</v>
          </cell>
          <cell r="L1977" t="str">
            <v>0</v>
          </cell>
        </row>
        <row r="1978">
          <cell r="F1978" t="str">
            <v>STA00124</v>
          </cell>
          <cell r="G1978" t="str">
            <v>MAP L A4</v>
          </cell>
          <cell r="H1978">
            <v>0</v>
          </cell>
          <cell r="I1978">
            <v>0</v>
          </cell>
          <cell r="J1978">
            <v>0</v>
          </cell>
          <cell r="K1978" t="str">
            <v>pack</v>
          </cell>
          <cell r="L1978" t="str">
            <v>0</v>
          </cell>
        </row>
        <row r="1979">
          <cell r="F1979" t="str">
            <v>STA00125</v>
          </cell>
          <cell r="G1979" t="str">
            <v>PAPER CLIP NO. 1</v>
          </cell>
          <cell r="H1979">
            <v>0</v>
          </cell>
          <cell r="I1979">
            <v>0</v>
          </cell>
          <cell r="J1979">
            <v>0</v>
          </cell>
          <cell r="K1979" t="str">
            <v>pack</v>
          </cell>
          <cell r="L1979" t="str">
            <v>0</v>
          </cell>
        </row>
        <row r="1980">
          <cell r="F1980" t="str">
            <v>STA00126</v>
          </cell>
          <cell r="G1980" t="str">
            <v>STAMPEL CHADOL GUJEOLPAN</v>
          </cell>
          <cell r="H1980">
            <v>0</v>
          </cell>
          <cell r="I1980">
            <v>0</v>
          </cell>
          <cell r="J1980">
            <v>0</v>
          </cell>
          <cell r="K1980" t="str">
            <v>pcs</v>
          </cell>
          <cell r="L1980" t="str">
            <v>0</v>
          </cell>
        </row>
        <row r="1981">
          <cell r="F1981" t="str">
            <v>STA00127</v>
          </cell>
          <cell r="G1981" t="str">
            <v>LEM KAYU FOX</v>
          </cell>
          <cell r="H1981">
            <v>0</v>
          </cell>
          <cell r="I1981">
            <v>0</v>
          </cell>
          <cell r="J1981">
            <v>0</v>
          </cell>
          <cell r="K1981" t="str">
            <v>pcs</v>
          </cell>
          <cell r="L1981" t="str">
            <v>0</v>
          </cell>
        </row>
        <row r="1982">
          <cell r="F1982" t="str">
            <v>STA00128</v>
          </cell>
          <cell r="G1982" t="str">
            <v>BASKOM STAINLESS 26 CM (NON ACTIVE)</v>
          </cell>
          <cell r="H1982">
            <v>0</v>
          </cell>
          <cell r="I1982">
            <v>0</v>
          </cell>
          <cell r="J1982">
            <v>0</v>
          </cell>
          <cell r="K1982" t="str">
            <v>pcs</v>
          </cell>
          <cell r="L1982" t="str">
            <v>0</v>
          </cell>
        </row>
        <row r="1983">
          <cell r="F1983" t="str">
            <v>STA00129</v>
          </cell>
          <cell r="G1983" t="str">
            <v>KERTAS WARNING SIGN</v>
          </cell>
          <cell r="H1983">
            <v>0</v>
          </cell>
          <cell r="I1983">
            <v>0</v>
          </cell>
          <cell r="J1983">
            <v>0</v>
          </cell>
          <cell r="K1983" t="str">
            <v>lembar</v>
          </cell>
          <cell r="L1983" t="str">
            <v>0</v>
          </cell>
        </row>
        <row r="1984">
          <cell r="F1984" t="str">
            <v>STA00130</v>
          </cell>
          <cell r="G1984" t="str">
            <v>STABILO - HIJAU</v>
          </cell>
          <cell r="H1984">
            <v>0</v>
          </cell>
          <cell r="I1984">
            <v>0</v>
          </cell>
          <cell r="J1984">
            <v>0</v>
          </cell>
          <cell r="K1984" t="str">
            <v>pcs</v>
          </cell>
          <cell r="L1984" t="str">
            <v>0</v>
          </cell>
        </row>
        <row r="1985">
          <cell r="F1985" t="str">
            <v>STA00131</v>
          </cell>
          <cell r="G1985" t="str">
            <v>LABEL HARGA K DRINK</v>
          </cell>
          <cell r="H1985">
            <v>0</v>
          </cell>
          <cell r="I1985">
            <v>0</v>
          </cell>
          <cell r="J1985">
            <v>0</v>
          </cell>
          <cell r="K1985" t="str">
            <v>lembar</v>
          </cell>
          <cell r="L1985" t="str">
            <v>0</v>
          </cell>
        </row>
        <row r="1986">
          <cell r="F1986" t="str">
            <v>STA00132</v>
          </cell>
          <cell r="G1986" t="str">
            <v>TINTA STAMPEL - UNGU</v>
          </cell>
          <cell r="H1986">
            <v>0</v>
          </cell>
          <cell r="I1986">
            <v>0</v>
          </cell>
          <cell r="J1986">
            <v>0</v>
          </cell>
          <cell r="K1986" t="str">
            <v>botol</v>
          </cell>
          <cell r="L1986" t="str">
            <v>0</v>
          </cell>
        </row>
        <row r="1987">
          <cell r="F1987" t="str">
            <v>STA00133</v>
          </cell>
          <cell r="G1987" t="str">
            <v>TINTA STAMPEL - ORANGE</v>
          </cell>
          <cell r="H1987">
            <v>0</v>
          </cell>
          <cell r="I1987">
            <v>0</v>
          </cell>
          <cell r="J1987">
            <v>0</v>
          </cell>
          <cell r="K1987" t="str">
            <v>botol</v>
          </cell>
          <cell r="L1987" t="str">
            <v>0</v>
          </cell>
        </row>
        <row r="1988">
          <cell r="F1988" t="str">
            <v>STA00134</v>
          </cell>
          <cell r="G1988" t="str">
            <v>STAMPEL HOTOK</v>
          </cell>
          <cell r="H1988">
            <v>0</v>
          </cell>
          <cell r="I1988">
            <v>0</v>
          </cell>
          <cell r="J1988">
            <v>0</v>
          </cell>
          <cell r="K1988" t="str">
            <v>pcs</v>
          </cell>
          <cell r="L1988" t="str">
            <v>0</v>
          </cell>
        </row>
        <row r="1989">
          <cell r="F1989" t="str">
            <v>STA00135</v>
          </cell>
          <cell r="G1989" t="str">
            <v>STAMPEL WAREHOUSE</v>
          </cell>
          <cell r="H1989">
            <v>0</v>
          </cell>
          <cell r="I1989">
            <v>0</v>
          </cell>
          <cell r="J1989">
            <v>0</v>
          </cell>
          <cell r="K1989" t="str">
            <v>pcs</v>
          </cell>
          <cell r="L1989" t="str">
            <v>0</v>
          </cell>
        </row>
        <row r="1990">
          <cell r="F1990" t="str">
            <v>STA00136</v>
          </cell>
          <cell r="G1990" t="str">
            <v>KOTAK CASHIER</v>
          </cell>
          <cell r="H1990">
            <v>0</v>
          </cell>
          <cell r="I1990">
            <v>0</v>
          </cell>
          <cell r="J1990">
            <v>0</v>
          </cell>
          <cell r="K1990" t="str">
            <v>pcs</v>
          </cell>
          <cell r="L1990" t="str">
            <v>0</v>
          </cell>
        </row>
        <row r="1991">
          <cell r="F1991" t="str">
            <v>STA00137</v>
          </cell>
          <cell r="G1991" t="str">
            <v>KERTAS CTS FRM 3 PLY 9,5 X 11</v>
          </cell>
          <cell r="H1991">
            <v>0</v>
          </cell>
          <cell r="I1991">
            <v>0</v>
          </cell>
          <cell r="J1991">
            <v>0</v>
          </cell>
          <cell r="K1991" t="str">
            <v>ctn</v>
          </cell>
          <cell r="L1991" t="str">
            <v>0</v>
          </cell>
        </row>
        <row r="1992">
          <cell r="F1992" t="str">
            <v>STA00138</v>
          </cell>
          <cell r="G1992" t="str">
            <v>PITA TINTA PRINTER BARCODE RESSIN</v>
          </cell>
          <cell r="H1992">
            <v>0</v>
          </cell>
          <cell r="I1992">
            <v>0</v>
          </cell>
          <cell r="J1992">
            <v>0</v>
          </cell>
          <cell r="K1992" t="str">
            <v>ROLL</v>
          </cell>
          <cell r="L1992" t="str">
            <v>0</v>
          </cell>
        </row>
        <row r="1993">
          <cell r="F1993" t="str">
            <v>STA00139</v>
          </cell>
          <cell r="G1993" t="str">
            <v>LABEL BARCODE 33 X 15</v>
          </cell>
          <cell r="H1993">
            <v>0</v>
          </cell>
          <cell r="I1993">
            <v>0</v>
          </cell>
          <cell r="J1993">
            <v>0</v>
          </cell>
          <cell r="K1993" t="str">
            <v>ROLL</v>
          </cell>
          <cell r="L1993" t="str">
            <v>0</v>
          </cell>
        </row>
        <row r="1994">
          <cell r="F1994" t="str">
            <v>STA00140</v>
          </cell>
          <cell r="G1994" t="str">
            <v>LABEL/STICKER TOM &amp; JERRY 121</v>
          </cell>
          <cell r="H1994">
            <v>0</v>
          </cell>
          <cell r="I1994">
            <v>0</v>
          </cell>
          <cell r="J1994">
            <v>0</v>
          </cell>
          <cell r="K1994" t="str">
            <v>pack</v>
          </cell>
          <cell r="L1994" t="str">
            <v>0</v>
          </cell>
        </row>
        <row r="1995">
          <cell r="F1995" t="str">
            <v>STA00141</v>
          </cell>
          <cell r="G1995" t="str">
            <v>BODREX HIJAU</v>
          </cell>
          <cell r="H1995">
            <v>0</v>
          </cell>
          <cell r="I1995">
            <v>0</v>
          </cell>
          <cell r="J1995">
            <v>0</v>
          </cell>
          <cell r="K1995" t="str">
            <v>str</v>
          </cell>
          <cell r="L1995" t="str">
            <v>0</v>
          </cell>
        </row>
        <row r="1996">
          <cell r="F1996" t="str">
            <v>STA00142</v>
          </cell>
          <cell r="G1996" t="str">
            <v>OBAT SANGOBION</v>
          </cell>
          <cell r="H1996">
            <v>0</v>
          </cell>
          <cell r="I1996">
            <v>0</v>
          </cell>
          <cell r="J1996">
            <v>0</v>
          </cell>
          <cell r="K1996" t="str">
            <v>pcs</v>
          </cell>
          <cell r="L1996" t="str">
            <v>0</v>
          </cell>
        </row>
        <row r="1997">
          <cell r="F1997" t="str">
            <v>STA00145</v>
          </cell>
          <cell r="G1997" t="str">
            <v>FORM TRANSFER GOODS HOTOK</v>
          </cell>
          <cell r="H1997">
            <v>0</v>
          </cell>
          <cell r="I1997">
            <v>0</v>
          </cell>
          <cell r="J1997">
            <v>0</v>
          </cell>
          <cell r="K1997" t="str">
            <v>buku</v>
          </cell>
          <cell r="L1997" t="str">
            <v>0</v>
          </cell>
        </row>
        <row r="1998">
          <cell r="F1998" t="str">
            <v>STA00146</v>
          </cell>
          <cell r="G1998" t="str">
            <v>FORM CAPTAIN ORDER HOTOK</v>
          </cell>
          <cell r="H1998">
            <v>0</v>
          </cell>
          <cell r="I1998">
            <v>0</v>
          </cell>
          <cell r="J1998">
            <v>0</v>
          </cell>
          <cell r="K1998" t="str">
            <v>buku</v>
          </cell>
          <cell r="L1998" t="str">
            <v>0</v>
          </cell>
        </row>
        <row r="1999">
          <cell r="F1999" t="str">
            <v>STA00147</v>
          </cell>
          <cell r="G1999" t="str">
            <v>FORM BILL MANUAL HOTOK</v>
          </cell>
          <cell r="H1999">
            <v>0</v>
          </cell>
          <cell r="I1999">
            <v>0</v>
          </cell>
          <cell r="J1999">
            <v>0</v>
          </cell>
          <cell r="K1999" t="str">
            <v>buku</v>
          </cell>
          <cell r="L1999" t="str">
            <v>0</v>
          </cell>
        </row>
        <row r="2000">
          <cell r="F2000" t="str">
            <v>STA00148</v>
          </cell>
          <cell r="G2000" t="str">
            <v>FORM TRANSFER GOOD CHADOL</v>
          </cell>
          <cell r="H2000">
            <v>0</v>
          </cell>
          <cell r="I2000">
            <v>0</v>
          </cell>
          <cell r="J2000">
            <v>0</v>
          </cell>
          <cell r="K2000" t="str">
            <v>buku</v>
          </cell>
          <cell r="L2000" t="str">
            <v>0</v>
          </cell>
        </row>
        <row r="2001">
          <cell r="F2001" t="str">
            <v>STA00149</v>
          </cell>
          <cell r="G2001" t="str">
            <v>STICKER CUP HOTOK</v>
          </cell>
          <cell r="H2001">
            <v>0</v>
          </cell>
          <cell r="I2001">
            <v>0</v>
          </cell>
          <cell r="J2001">
            <v>0</v>
          </cell>
          <cell r="K2001" t="str">
            <v>lembar</v>
          </cell>
          <cell r="L2001" t="str">
            <v>0</v>
          </cell>
        </row>
        <row r="2002">
          <cell r="F2002" t="str">
            <v>STA00150</v>
          </cell>
          <cell r="G2002" t="str">
            <v>LABEL TARIK DORONG</v>
          </cell>
          <cell r="H2002">
            <v>0</v>
          </cell>
          <cell r="I2002">
            <v>0</v>
          </cell>
          <cell r="J2002">
            <v>0</v>
          </cell>
          <cell r="K2002" t="str">
            <v>pcs</v>
          </cell>
          <cell r="L2002" t="str">
            <v>0</v>
          </cell>
        </row>
        <row r="2003">
          <cell r="F2003" t="str">
            <v>STA00153</v>
          </cell>
          <cell r="G2003" t="str">
            <v>STICKEY NOTED</v>
          </cell>
          <cell r="H2003">
            <v>0</v>
          </cell>
          <cell r="I2003">
            <v>0</v>
          </cell>
          <cell r="J2003">
            <v>0</v>
          </cell>
          <cell r="K2003" t="str">
            <v>pack</v>
          </cell>
          <cell r="L2003" t="str">
            <v>0</v>
          </cell>
        </row>
        <row r="2004">
          <cell r="F2004" t="str">
            <v>STA00154</v>
          </cell>
          <cell r="G2004" t="str">
            <v>MAP ZIP</v>
          </cell>
          <cell r="H2004">
            <v>0</v>
          </cell>
          <cell r="I2004">
            <v>0</v>
          </cell>
          <cell r="J2004">
            <v>0</v>
          </cell>
          <cell r="K2004" t="str">
            <v>pcs</v>
          </cell>
          <cell r="L2004" t="str">
            <v>0</v>
          </cell>
        </row>
        <row r="2005">
          <cell r="F2005" t="str">
            <v>STA00155</v>
          </cell>
          <cell r="G2005" t="str">
            <v>BUKU NOTA</v>
          </cell>
          <cell r="H2005">
            <v>0</v>
          </cell>
          <cell r="I2005">
            <v>0</v>
          </cell>
          <cell r="J2005">
            <v>0</v>
          </cell>
          <cell r="K2005" t="str">
            <v>buku</v>
          </cell>
          <cell r="L2005" t="str">
            <v>0</v>
          </cell>
        </row>
        <row r="2006">
          <cell r="F2006" t="str">
            <v>STA00156</v>
          </cell>
          <cell r="G2006" t="str">
            <v>BATERAI LR-61</v>
          </cell>
          <cell r="H2006">
            <v>0</v>
          </cell>
          <cell r="I2006">
            <v>0</v>
          </cell>
          <cell r="J2006">
            <v>0</v>
          </cell>
          <cell r="K2006" t="str">
            <v>pcs</v>
          </cell>
          <cell r="L2006" t="str">
            <v>0</v>
          </cell>
        </row>
        <row r="2007">
          <cell r="F2007" t="str">
            <v>STA00157</v>
          </cell>
          <cell r="G2007" t="str">
            <v>TINTA HP GT 52</v>
          </cell>
          <cell r="H2007">
            <v>0</v>
          </cell>
          <cell r="I2007">
            <v>0</v>
          </cell>
          <cell r="J2007">
            <v>0</v>
          </cell>
          <cell r="K2007" t="str">
            <v>unit</v>
          </cell>
          <cell r="L2007" t="str">
            <v>0</v>
          </cell>
        </row>
        <row r="2008">
          <cell r="F2008" t="str">
            <v>STA00158</v>
          </cell>
          <cell r="G2008" t="str">
            <v>SPIDOL SNOWMAN - MERAH MUDA</v>
          </cell>
          <cell r="H2008">
            <v>0</v>
          </cell>
          <cell r="I2008">
            <v>0</v>
          </cell>
          <cell r="J2008">
            <v>0</v>
          </cell>
          <cell r="K2008" t="str">
            <v>pcs</v>
          </cell>
          <cell r="L2008" t="str">
            <v>0</v>
          </cell>
        </row>
        <row r="2009">
          <cell r="F2009" t="str">
            <v>STA00159</v>
          </cell>
          <cell r="G2009" t="str">
            <v>SPIDOL SNOWMAN - KUNING</v>
          </cell>
          <cell r="H2009">
            <v>0</v>
          </cell>
          <cell r="I2009">
            <v>0</v>
          </cell>
          <cell r="J2009">
            <v>0</v>
          </cell>
          <cell r="K2009" t="str">
            <v>pcs</v>
          </cell>
          <cell r="L2009" t="str">
            <v>0</v>
          </cell>
        </row>
        <row r="2010">
          <cell r="F2010" t="str">
            <v>STA00160</v>
          </cell>
          <cell r="G2010" t="str">
            <v>SPIDOL SNOWMAN - UNGU</v>
          </cell>
          <cell r="H2010">
            <v>0</v>
          </cell>
          <cell r="I2010">
            <v>0</v>
          </cell>
          <cell r="J2010">
            <v>0</v>
          </cell>
          <cell r="K2010" t="str">
            <v>pcs</v>
          </cell>
          <cell r="L2010" t="str">
            <v>0</v>
          </cell>
        </row>
        <row r="2011">
          <cell r="F2011" t="str">
            <v>STA00161</v>
          </cell>
          <cell r="G2011" t="str">
            <v>SPIDOL SNOWMAN - HIJAU</v>
          </cell>
          <cell r="H2011">
            <v>0</v>
          </cell>
          <cell r="I2011">
            <v>0</v>
          </cell>
          <cell r="J2011">
            <v>0</v>
          </cell>
          <cell r="K2011" t="str">
            <v>pcs</v>
          </cell>
          <cell r="L2011" t="str">
            <v>0</v>
          </cell>
        </row>
        <row r="2012">
          <cell r="F2012" t="str">
            <v>STA00162</v>
          </cell>
          <cell r="G2012" t="str">
            <v>SPIDOL SNOWMAN - COKLAT</v>
          </cell>
          <cell r="H2012">
            <v>0</v>
          </cell>
          <cell r="I2012">
            <v>0</v>
          </cell>
          <cell r="J2012">
            <v>0</v>
          </cell>
          <cell r="K2012" t="str">
            <v>pcs</v>
          </cell>
          <cell r="L2012" t="str">
            <v>0</v>
          </cell>
        </row>
        <row r="2013">
          <cell r="F2013" t="str">
            <v>STA00163</v>
          </cell>
          <cell r="G2013" t="str">
            <v>SPIDOL SNOWMAN - BIRU</v>
          </cell>
          <cell r="H2013">
            <v>0</v>
          </cell>
          <cell r="I2013">
            <v>0</v>
          </cell>
          <cell r="J2013">
            <v>0</v>
          </cell>
          <cell r="K2013" t="str">
            <v>pcs</v>
          </cell>
          <cell r="L2013" t="str">
            <v>0</v>
          </cell>
        </row>
        <row r="2014">
          <cell r="F2014" t="str">
            <v>STA00164</v>
          </cell>
          <cell r="G2014" t="str">
            <v>SPIDOL SNOWMAN - MERAH</v>
          </cell>
          <cell r="H2014">
            <v>0</v>
          </cell>
          <cell r="I2014">
            <v>0</v>
          </cell>
          <cell r="J2014">
            <v>0</v>
          </cell>
          <cell r="K2014" t="str">
            <v>pcs</v>
          </cell>
          <cell r="L2014" t="str">
            <v>0</v>
          </cell>
        </row>
        <row r="2015">
          <cell r="F2015" t="str">
            <v>STA00165</v>
          </cell>
          <cell r="G2015" t="str">
            <v>SPIDOL SNOWMAN - ORANGE</v>
          </cell>
          <cell r="H2015">
            <v>0</v>
          </cell>
          <cell r="I2015">
            <v>0</v>
          </cell>
          <cell r="J2015">
            <v>0</v>
          </cell>
          <cell r="K2015" t="str">
            <v>pcs</v>
          </cell>
          <cell r="L2015" t="str">
            <v>0</v>
          </cell>
        </row>
        <row r="2016">
          <cell r="F2016" t="str">
            <v>STA00166</v>
          </cell>
          <cell r="G2016" t="str">
            <v>OBAT DECOLGEN FX</v>
          </cell>
          <cell r="H2016">
            <v>0</v>
          </cell>
          <cell r="I2016">
            <v>0</v>
          </cell>
          <cell r="J2016">
            <v>0</v>
          </cell>
          <cell r="K2016" t="str">
            <v>str</v>
          </cell>
          <cell r="L2016" t="str">
            <v>0</v>
          </cell>
        </row>
        <row r="2017">
          <cell r="F2017" t="str">
            <v>STA00167</v>
          </cell>
          <cell r="G2017" t="str">
            <v>OBAT PARAMEX TABLET</v>
          </cell>
          <cell r="H2017">
            <v>0</v>
          </cell>
          <cell r="I2017">
            <v>0</v>
          </cell>
          <cell r="J2017">
            <v>0</v>
          </cell>
          <cell r="K2017" t="str">
            <v>str</v>
          </cell>
          <cell r="L2017" t="str">
            <v>0</v>
          </cell>
        </row>
        <row r="2018">
          <cell r="F2018" t="str">
            <v>STA00168</v>
          </cell>
          <cell r="G2018" t="str">
            <v>KARTU ABSEN DW</v>
          </cell>
          <cell r="H2018">
            <v>0</v>
          </cell>
          <cell r="I2018">
            <v>0</v>
          </cell>
          <cell r="J2018">
            <v>0</v>
          </cell>
          <cell r="K2018" t="str">
            <v>pack</v>
          </cell>
          <cell r="L2018" t="str">
            <v>0</v>
          </cell>
        </row>
        <row r="2019">
          <cell r="F2019" t="str">
            <v>STA00169</v>
          </cell>
          <cell r="G2019" t="str">
            <v>SIGN K-DRINK</v>
          </cell>
          <cell r="H2019">
            <v>0</v>
          </cell>
          <cell r="I2019">
            <v>0</v>
          </cell>
          <cell r="J2019">
            <v>0</v>
          </cell>
          <cell r="K2019" t="str">
            <v>pcs</v>
          </cell>
          <cell r="L2019" t="str">
            <v>0</v>
          </cell>
        </row>
        <row r="2020">
          <cell r="F2020" t="str">
            <v>STA00170</v>
          </cell>
          <cell r="G2020" t="str">
            <v>STICKER BUKU MENU</v>
          </cell>
          <cell r="H2020">
            <v>0</v>
          </cell>
          <cell r="I2020">
            <v>0</v>
          </cell>
          <cell r="J2020">
            <v>0</v>
          </cell>
          <cell r="K2020" t="str">
            <v>pcs</v>
          </cell>
          <cell r="L2020" t="str">
            <v>0</v>
          </cell>
        </row>
        <row r="2021">
          <cell r="F2021" t="str">
            <v>STA00171</v>
          </cell>
          <cell r="G2021" t="str">
            <v>TAPE KACA 3 M</v>
          </cell>
          <cell r="H2021">
            <v>0</v>
          </cell>
          <cell r="I2021">
            <v>0</v>
          </cell>
          <cell r="J2021">
            <v>0</v>
          </cell>
          <cell r="K2021" t="str">
            <v>pcs</v>
          </cell>
          <cell r="L2021" t="str">
            <v>0</v>
          </cell>
        </row>
        <row r="2022">
          <cell r="F2022" t="str">
            <v>STA00172</v>
          </cell>
          <cell r="G2022" t="str">
            <v>SALONPAS</v>
          </cell>
          <cell r="H2022">
            <v>0</v>
          </cell>
          <cell r="I2022">
            <v>0</v>
          </cell>
          <cell r="J2022">
            <v>0</v>
          </cell>
          <cell r="K2022" t="str">
            <v>pack</v>
          </cell>
          <cell r="L2022" t="str">
            <v>0</v>
          </cell>
        </row>
        <row r="2023">
          <cell r="F2023" t="str">
            <v>STA00173</v>
          </cell>
          <cell r="G2023" t="str">
            <v>STAMPEL TTD</v>
          </cell>
          <cell r="H2023">
            <v>0</v>
          </cell>
          <cell r="I2023">
            <v>0</v>
          </cell>
          <cell r="J2023">
            <v>0</v>
          </cell>
          <cell r="K2023" t="str">
            <v>pcs</v>
          </cell>
          <cell r="L2023" t="str">
            <v>0</v>
          </cell>
        </row>
        <row r="2024">
          <cell r="F2024" t="str">
            <v>STA00174</v>
          </cell>
          <cell r="G2024" t="str">
            <v>DOKUMEN BAG</v>
          </cell>
          <cell r="H2024">
            <v>0</v>
          </cell>
          <cell r="I2024">
            <v>0</v>
          </cell>
          <cell r="J2024">
            <v>0</v>
          </cell>
          <cell r="K2024" t="str">
            <v>pcs</v>
          </cell>
          <cell r="L2024" t="str">
            <v>0</v>
          </cell>
        </row>
        <row r="2025">
          <cell r="F2025" t="str">
            <v>STA00175</v>
          </cell>
          <cell r="G2025" t="str">
            <v>LEM POWER GLUE</v>
          </cell>
          <cell r="H2025">
            <v>0</v>
          </cell>
          <cell r="I2025">
            <v>0</v>
          </cell>
          <cell r="J2025">
            <v>0</v>
          </cell>
          <cell r="K2025" t="str">
            <v>pcs</v>
          </cell>
          <cell r="L2025" t="str">
            <v>0</v>
          </cell>
        </row>
        <row r="2026">
          <cell r="F2026" t="str">
            <v>STA00176</v>
          </cell>
          <cell r="G2026" t="str">
            <v>TINTA SPIDOL - HITAM</v>
          </cell>
          <cell r="H2026">
            <v>0</v>
          </cell>
          <cell r="I2026">
            <v>0</v>
          </cell>
          <cell r="J2026">
            <v>0</v>
          </cell>
          <cell r="K2026" t="str">
            <v>pcs</v>
          </cell>
          <cell r="L2026" t="str">
            <v>0</v>
          </cell>
        </row>
        <row r="2027">
          <cell r="F2027" t="str">
            <v>STA00177</v>
          </cell>
          <cell r="G2027" t="str">
            <v>STICKER TISSUE &amp; SOAP</v>
          </cell>
          <cell r="H2027">
            <v>0</v>
          </cell>
          <cell r="I2027">
            <v>0</v>
          </cell>
          <cell r="J2027">
            <v>0</v>
          </cell>
          <cell r="K2027" t="str">
            <v>lembar</v>
          </cell>
          <cell r="L2027" t="str">
            <v>0</v>
          </cell>
        </row>
        <row r="2028">
          <cell r="F2028" t="str">
            <v>STA00178</v>
          </cell>
          <cell r="G2028" t="str">
            <v>PAPAN PRESENTASI (WHITEBOARD)</v>
          </cell>
          <cell r="H2028">
            <v>0</v>
          </cell>
          <cell r="I2028">
            <v>0</v>
          </cell>
          <cell r="J2028">
            <v>0</v>
          </cell>
          <cell r="K2028" t="str">
            <v>unit</v>
          </cell>
          <cell r="L2028" t="str">
            <v>0</v>
          </cell>
        </row>
        <row r="2029">
          <cell r="F2029" t="str">
            <v>STA00179</v>
          </cell>
          <cell r="G2029" t="str">
            <v>PAKU PUSH PIN/JARUM GABUS STAYROFOAM</v>
          </cell>
          <cell r="H2029">
            <v>0</v>
          </cell>
          <cell r="I2029">
            <v>0</v>
          </cell>
          <cell r="J2029">
            <v>0</v>
          </cell>
          <cell r="K2029" t="str">
            <v>pack</v>
          </cell>
          <cell r="L2029" t="str">
            <v>0</v>
          </cell>
        </row>
        <row r="2030">
          <cell r="F2030" t="str">
            <v>STA00180</v>
          </cell>
          <cell r="G2030" t="str">
            <v>STAYROFOAM WARNA 40 X 60 CM (UNTUK MADING)</v>
          </cell>
          <cell r="H2030">
            <v>0</v>
          </cell>
          <cell r="I2030">
            <v>0</v>
          </cell>
          <cell r="J2030">
            <v>0</v>
          </cell>
          <cell r="K2030" t="str">
            <v>pcs</v>
          </cell>
          <cell r="L2030" t="str">
            <v>0</v>
          </cell>
        </row>
        <row r="2031">
          <cell r="F2031" t="str">
            <v>STA00181</v>
          </cell>
          <cell r="G2031" t="str">
            <v>KERTAS FLIPCHART 60X90CM</v>
          </cell>
          <cell r="H2031">
            <v>0</v>
          </cell>
          <cell r="I2031">
            <v>0</v>
          </cell>
          <cell r="J2031">
            <v>0</v>
          </cell>
          <cell r="K2031" t="str">
            <v>pack</v>
          </cell>
          <cell r="L2031" t="str">
            <v>0</v>
          </cell>
        </row>
        <row r="2032">
          <cell r="F2032" t="str">
            <v>STA00182</v>
          </cell>
          <cell r="G2032" t="str">
            <v>CONTAINER SHIMPO TEMPAT DOKUMEN 150 L</v>
          </cell>
          <cell r="H2032">
            <v>0</v>
          </cell>
          <cell r="I2032">
            <v>0</v>
          </cell>
          <cell r="J2032">
            <v>0</v>
          </cell>
          <cell r="K2032" t="str">
            <v>pcs</v>
          </cell>
          <cell r="L2032" t="str">
            <v>0</v>
          </cell>
        </row>
        <row r="2033">
          <cell r="F2033" t="str">
            <v>STA00183</v>
          </cell>
          <cell r="G2033" t="str">
            <v>STICKER TANGGAL EXP WATERPROOF@500PCS</v>
          </cell>
          <cell r="H2033">
            <v>0</v>
          </cell>
          <cell r="I2033">
            <v>0</v>
          </cell>
          <cell r="J2033">
            <v>0</v>
          </cell>
          <cell r="K2033" t="str">
            <v>pcs</v>
          </cell>
          <cell r="L2033" t="str">
            <v>0</v>
          </cell>
        </row>
        <row r="2034">
          <cell r="F2034" t="str">
            <v>STACK001</v>
          </cell>
          <cell r="G2034" t="str">
            <v>ALAT LABEL JOYKO MERAH</v>
          </cell>
          <cell r="H2034">
            <v>0</v>
          </cell>
          <cell r="I2034">
            <v>0</v>
          </cell>
          <cell r="J2034">
            <v>0</v>
          </cell>
          <cell r="K2034" t="str">
            <v>pcs</v>
          </cell>
          <cell r="L2034" t="str">
            <v>0</v>
          </cell>
        </row>
        <row r="2035">
          <cell r="F2035" t="str">
            <v>STACK002</v>
          </cell>
          <cell r="G2035" t="str">
            <v>DISPENSER / CUTTER LAKBAN JOYKO</v>
          </cell>
          <cell r="H2035">
            <v>0</v>
          </cell>
          <cell r="I2035">
            <v>0</v>
          </cell>
          <cell r="J2035">
            <v>0</v>
          </cell>
          <cell r="K2035" t="str">
            <v>pcs</v>
          </cell>
          <cell r="L2035" t="str">
            <v>0</v>
          </cell>
        </row>
        <row r="2036">
          <cell r="F2036" t="str">
            <v>STACK003</v>
          </cell>
          <cell r="G2036" t="str">
            <v>KALKULATOR CITIZEN SDC-868L</v>
          </cell>
          <cell r="H2036">
            <v>0</v>
          </cell>
          <cell r="I2036">
            <v>0</v>
          </cell>
          <cell r="J2036">
            <v>0</v>
          </cell>
          <cell r="K2036" t="str">
            <v>pcs</v>
          </cell>
          <cell r="L2036" t="str">
            <v>0</v>
          </cell>
        </row>
        <row r="2037">
          <cell r="F2037" t="str">
            <v>TCT00001</v>
          </cell>
          <cell r="G2037" t="str">
            <v>BOWL KOREA STAINLESS STEEL 18 CM</v>
          </cell>
          <cell r="H2037">
            <v>15550</v>
          </cell>
          <cell r="I2037">
            <v>0</v>
          </cell>
          <cell r="J2037">
            <v>0</v>
          </cell>
          <cell r="K2037" t="str">
            <v>pcs</v>
          </cell>
          <cell r="L2037" t="str">
            <v>0</v>
          </cell>
        </row>
        <row r="2038">
          <cell r="F2038" t="str">
            <v>TCT00002</v>
          </cell>
          <cell r="G2038" t="str">
            <v>KOREAN RICE BOWL STAINLESS BK-01</v>
          </cell>
          <cell r="H2038">
            <v>14397.8</v>
          </cell>
          <cell r="I2038">
            <v>0</v>
          </cell>
          <cell r="J2038">
            <v>0</v>
          </cell>
          <cell r="K2038" t="str">
            <v>pcs</v>
          </cell>
          <cell r="L2038" t="str">
            <v>0</v>
          </cell>
        </row>
        <row r="2039">
          <cell r="F2039" t="str">
            <v>TCT00003</v>
          </cell>
          <cell r="G2039" t="str">
            <v>KOREA CUP WINEGELAS STAINLESS STEEL SUS304 500ML</v>
          </cell>
          <cell r="H2039">
            <v>11541.67</v>
          </cell>
          <cell r="I2039">
            <v>0</v>
          </cell>
          <cell r="J2039">
            <v>0</v>
          </cell>
          <cell r="K2039" t="str">
            <v>pcs</v>
          </cell>
          <cell r="L2039" t="str">
            <v>0</v>
          </cell>
        </row>
        <row r="2040">
          <cell r="F2040" t="str">
            <v>TCT00004</v>
          </cell>
          <cell r="G2040" t="str">
            <v>MTE SUMPIT STAINLESS SUS304</v>
          </cell>
          <cell r="H2040">
            <v>1798.9</v>
          </cell>
          <cell r="I2040">
            <v>0</v>
          </cell>
          <cell r="J2040">
            <v>0</v>
          </cell>
          <cell r="K2040" t="str">
            <v>pcs</v>
          </cell>
          <cell r="L2040" t="str">
            <v>0</v>
          </cell>
        </row>
        <row r="2041">
          <cell r="F2041" t="str">
            <v>TCT00005</v>
          </cell>
          <cell r="G2041" t="str">
            <v>TUSUK GIGI ION KERTAS (NON ACTIVE)</v>
          </cell>
          <cell r="H2041">
            <v>0</v>
          </cell>
          <cell r="I2041">
            <v>0</v>
          </cell>
          <cell r="J2041">
            <v>0</v>
          </cell>
          <cell r="K2041" t="str">
            <v>pcs</v>
          </cell>
          <cell r="L2041" t="str">
            <v>0</v>
          </cell>
        </row>
        <row r="2042">
          <cell r="F2042" t="str">
            <v>TCT00006</v>
          </cell>
          <cell r="G2042" t="str">
            <v>FOOD TONG/CAPITAN DAGING STAINLESS</v>
          </cell>
          <cell r="H2042">
            <v>18320.599999999999</v>
          </cell>
          <cell r="I2042">
            <v>0</v>
          </cell>
          <cell r="J2042">
            <v>0</v>
          </cell>
          <cell r="K2042" t="str">
            <v>pcs</v>
          </cell>
          <cell r="L2042" t="str">
            <v>0</v>
          </cell>
        </row>
        <row r="2043">
          <cell r="F2043" t="str">
            <v>TCT00007</v>
          </cell>
          <cell r="G2043" t="str">
            <v>TEKO STAINLESS EMAS + FILTER TEH 1 L</v>
          </cell>
          <cell r="H2043">
            <v>35583.339999999997</v>
          </cell>
          <cell r="I2043">
            <v>0</v>
          </cell>
          <cell r="J2043">
            <v>0</v>
          </cell>
          <cell r="K2043" t="str">
            <v>pcs</v>
          </cell>
          <cell r="L2043" t="str">
            <v>0</v>
          </cell>
        </row>
        <row r="2044">
          <cell r="F2044" t="str">
            <v>TCT00008</v>
          </cell>
          <cell r="G2044" t="str">
            <v>SENDOK KOREA STAINLESS SUJEO SUS304</v>
          </cell>
          <cell r="H2044">
            <v>3380.29</v>
          </cell>
          <cell r="I2044">
            <v>0</v>
          </cell>
          <cell r="J2044">
            <v>0</v>
          </cell>
          <cell r="K2044" t="str">
            <v>pcs</v>
          </cell>
          <cell r="L2044" t="str">
            <v>0</v>
          </cell>
        </row>
        <row r="2045">
          <cell r="F2045" t="str">
            <v>TCT00009</v>
          </cell>
          <cell r="G2045" t="str">
            <v>GARPU KOREA STAINLES SUJEO SUS 304</v>
          </cell>
          <cell r="H2045">
            <v>14366.27</v>
          </cell>
          <cell r="I2045">
            <v>0</v>
          </cell>
          <cell r="J2045">
            <v>0</v>
          </cell>
          <cell r="K2045" t="str">
            <v>pcs</v>
          </cell>
          <cell r="L2045" t="str">
            <v>0</v>
          </cell>
        </row>
        <row r="2046">
          <cell r="F2046" t="str">
            <v>TCT00010</v>
          </cell>
          <cell r="G2046" t="str">
            <v>SHARING PLATE STAINLESS 14 CM</v>
          </cell>
          <cell r="H2046">
            <v>21781.25</v>
          </cell>
          <cell r="I2046">
            <v>0</v>
          </cell>
          <cell r="J2046">
            <v>0</v>
          </cell>
          <cell r="K2046" t="str">
            <v>pcs</v>
          </cell>
          <cell r="L2046" t="str">
            <v>0</v>
          </cell>
        </row>
        <row r="2047">
          <cell r="F2047" t="str">
            <v>TCT00011</v>
          </cell>
          <cell r="G2047" t="str">
            <v>KURSI LIPAT</v>
          </cell>
          <cell r="H2047">
            <v>0</v>
          </cell>
          <cell r="I2047">
            <v>0</v>
          </cell>
          <cell r="J2047">
            <v>0</v>
          </cell>
          <cell r="K2047" t="str">
            <v>pcs</v>
          </cell>
          <cell r="L2047" t="str">
            <v>0</v>
          </cell>
        </row>
        <row r="2048">
          <cell r="F2048" t="str">
            <v>TCT00013</v>
          </cell>
          <cell r="G2048" t="str">
            <v>KERANJANG SAJI OVAL</v>
          </cell>
          <cell r="H2048">
            <v>35800</v>
          </cell>
          <cell r="I2048">
            <v>0</v>
          </cell>
          <cell r="J2048">
            <v>0</v>
          </cell>
          <cell r="K2048" t="str">
            <v>pcs</v>
          </cell>
          <cell r="L2048" t="str">
            <v>0</v>
          </cell>
        </row>
        <row r="2049">
          <cell r="F2049" t="str">
            <v>TCT00014</v>
          </cell>
          <cell r="G2049" t="str">
            <v>KERANJANG SAJI BULAT</v>
          </cell>
          <cell r="H2049">
            <v>41866.67</v>
          </cell>
          <cell r="I2049">
            <v>0</v>
          </cell>
          <cell r="J2049">
            <v>0</v>
          </cell>
          <cell r="K2049" t="str">
            <v>pcs</v>
          </cell>
          <cell r="L2049" t="str">
            <v>0</v>
          </cell>
        </row>
        <row r="2050">
          <cell r="F2050" t="str">
            <v>TCT00015</v>
          </cell>
          <cell r="G2050" t="str">
            <v>PREMIUM STAINLESS  PIRING ANAK</v>
          </cell>
          <cell r="H2050">
            <v>0</v>
          </cell>
          <cell r="I2050">
            <v>0</v>
          </cell>
          <cell r="J2050">
            <v>0</v>
          </cell>
          <cell r="K2050" t="str">
            <v>pcs</v>
          </cell>
          <cell r="L2050" t="str">
            <v>0</v>
          </cell>
        </row>
        <row r="2051">
          <cell r="F2051" t="str">
            <v>TCT00016</v>
          </cell>
          <cell r="G2051" t="str">
            <v>LONG SPOON SUPER DOLL</v>
          </cell>
          <cell r="H2051">
            <v>40000</v>
          </cell>
          <cell r="I2051">
            <v>0</v>
          </cell>
          <cell r="J2051">
            <v>0</v>
          </cell>
          <cell r="K2051" t="str">
            <v>pcs</v>
          </cell>
          <cell r="L2051" t="str">
            <v>0</v>
          </cell>
        </row>
        <row r="2052">
          <cell r="F2052" t="str">
            <v>TCT00017</v>
          </cell>
          <cell r="G2052" t="str">
            <v>DESSERT / TEA SPOON DEAL</v>
          </cell>
          <cell r="H2052">
            <v>0</v>
          </cell>
          <cell r="I2052">
            <v>0</v>
          </cell>
          <cell r="J2052">
            <v>0</v>
          </cell>
          <cell r="K2052" t="str">
            <v>pcs</v>
          </cell>
          <cell r="L2052" t="str">
            <v>0</v>
          </cell>
        </row>
        <row r="2053">
          <cell r="F2053" t="str">
            <v>TCT00018</v>
          </cell>
          <cell r="G2053" t="str">
            <v>PIRING SILVER STAINLESS 23 CM</v>
          </cell>
          <cell r="H2053">
            <v>0</v>
          </cell>
          <cell r="I2053">
            <v>0</v>
          </cell>
          <cell r="J2053">
            <v>0</v>
          </cell>
          <cell r="K2053" t="str">
            <v>pcs</v>
          </cell>
          <cell r="L2053" t="str">
            <v>0</v>
          </cell>
        </row>
        <row r="2054">
          <cell r="F2054" t="str">
            <v>TCT00019</v>
          </cell>
          <cell r="G2054" t="str">
            <v>MANGKOK RAMEN PUTIH B119-7.5</v>
          </cell>
          <cell r="H2054">
            <v>0</v>
          </cell>
          <cell r="I2054">
            <v>0</v>
          </cell>
          <cell r="J2054">
            <v>0</v>
          </cell>
          <cell r="K2054" t="str">
            <v>pcs</v>
          </cell>
          <cell r="L2054" t="str">
            <v>0</v>
          </cell>
        </row>
        <row r="2055">
          <cell r="F2055" t="str">
            <v>TCT00020</v>
          </cell>
          <cell r="G2055" t="str">
            <v>TEKO SILVER STAINLESS 1.8 L</v>
          </cell>
          <cell r="H2055">
            <v>0</v>
          </cell>
          <cell r="I2055">
            <v>0</v>
          </cell>
          <cell r="J2055">
            <v>0</v>
          </cell>
          <cell r="K2055" t="str">
            <v>pcs</v>
          </cell>
          <cell r="L2055" t="str">
            <v>0</v>
          </cell>
        </row>
        <row r="2056">
          <cell r="F2056" t="str">
            <v>TCT00021</v>
          </cell>
          <cell r="G2056" t="str">
            <v>HANDLE KAYU MATERIAL</v>
          </cell>
          <cell r="H2056">
            <v>0</v>
          </cell>
          <cell r="I2056">
            <v>0</v>
          </cell>
          <cell r="J2056">
            <v>0</v>
          </cell>
          <cell r="K2056" t="str">
            <v>pcs</v>
          </cell>
          <cell r="L2056" t="str">
            <v>0</v>
          </cell>
        </row>
        <row r="2057">
          <cell r="F2057" t="str">
            <v>TCT00022</v>
          </cell>
          <cell r="G2057" t="str">
            <v>SHARING PLATE  STAINLESS 12 CM</v>
          </cell>
          <cell r="H2057">
            <v>0</v>
          </cell>
          <cell r="I2057">
            <v>0</v>
          </cell>
          <cell r="J2057">
            <v>0</v>
          </cell>
          <cell r="K2057" t="str">
            <v>pcs</v>
          </cell>
          <cell r="L2057" t="str">
            <v>0</v>
          </cell>
        </row>
        <row r="2058">
          <cell r="F2058" t="str">
            <v>TGW00001</v>
          </cell>
          <cell r="G2058" t="str">
            <v>SAUCER KIMCHI MANGKOK SAUS KECIL 9 CM SC1001</v>
          </cell>
          <cell r="H2058">
            <v>8750</v>
          </cell>
          <cell r="I2058">
            <v>0</v>
          </cell>
          <cell r="J2058">
            <v>0</v>
          </cell>
          <cell r="K2058" t="str">
            <v>pcs</v>
          </cell>
          <cell r="L2058" t="str">
            <v>0</v>
          </cell>
        </row>
        <row r="2059">
          <cell r="F2059" t="str">
            <v>TGW00002</v>
          </cell>
          <cell r="G2059" t="str">
            <v>GELAS ULIR 6003 HITAM</v>
          </cell>
          <cell r="H2059">
            <v>18480</v>
          </cell>
          <cell r="I2059">
            <v>0</v>
          </cell>
          <cell r="J2059">
            <v>0</v>
          </cell>
          <cell r="K2059" t="str">
            <v>pcs</v>
          </cell>
          <cell r="L2059" t="str">
            <v>0</v>
          </cell>
        </row>
        <row r="2060">
          <cell r="F2060" t="str">
            <v>TGW00003</v>
          </cell>
          <cell r="G2060" t="str">
            <v>MANGKOK KERAMIK/ KOREAN CERAMIK BOWL 14 CM</v>
          </cell>
          <cell r="H2060">
            <v>153100</v>
          </cell>
          <cell r="I2060">
            <v>0</v>
          </cell>
          <cell r="J2060">
            <v>0</v>
          </cell>
          <cell r="K2060" t="str">
            <v>pcs</v>
          </cell>
          <cell r="L2060" t="str">
            <v>0</v>
          </cell>
        </row>
        <row r="2061">
          <cell r="F2061" t="str">
            <v>TGW00004</v>
          </cell>
          <cell r="G2061" t="str">
            <v>PIRING PAJEOT BULAT GAGANG PANJANG  D 23CM</v>
          </cell>
          <cell r="H2061">
            <v>0</v>
          </cell>
          <cell r="I2061">
            <v>0</v>
          </cell>
          <cell r="J2061">
            <v>0</v>
          </cell>
          <cell r="K2061" t="str">
            <v>pcs</v>
          </cell>
          <cell r="L2061" t="str">
            <v>0</v>
          </cell>
        </row>
        <row r="2062">
          <cell r="F2062" t="str">
            <v>TGW00005</v>
          </cell>
          <cell r="G2062" t="str">
            <v>PIRING TEMBIKAR BULAT 9 "</v>
          </cell>
          <cell r="H2062">
            <v>0</v>
          </cell>
          <cell r="I2062">
            <v>0</v>
          </cell>
          <cell r="J2062">
            <v>0</v>
          </cell>
          <cell r="K2062" t="str">
            <v>pcs</v>
          </cell>
          <cell r="L2062" t="str">
            <v>0</v>
          </cell>
        </row>
        <row r="2063">
          <cell r="F2063" t="str">
            <v>TGW00006</v>
          </cell>
          <cell r="G2063" t="str">
            <v>MANGKOK SUP 4 " MELAMIN</v>
          </cell>
          <cell r="H2063">
            <v>0</v>
          </cell>
          <cell r="I2063">
            <v>0</v>
          </cell>
          <cell r="J2063">
            <v>0</v>
          </cell>
          <cell r="K2063" t="str">
            <v>pcs</v>
          </cell>
          <cell r="L2063" t="str">
            <v>0</v>
          </cell>
        </row>
        <row r="2064">
          <cell r="F2064" t="str">
            <v>TGW00007</v>
          </cell>
          <cell r="G2064" t="str">
            <v>MANGKOK HMP 206 PUTIH D 7CM T 2,8CM</v>
          </cell>
          <cell r="H2064">
            <v>0</v>
          </cell>
          <cell r="I2064">
            <v>0</v>
          </cell>
          <cell r="J2064">
            <v>0</v>
          </cell>
          <cell r="K2064" t="str">
            <v>pcs</v>
          </cell>
          <cell r="L2064" t="str">
            <v>0</v>
          </cell>
        </row>
        <row r="2065">
          <cell r="F2065" t="str">
            <v>TGW00008</v>
          </cell>
          <cell r="G2065" t="str">
            <v>IGIGLORI 2710 PIRING HITAM GIMBAP</v>
          </cell>
          <cell r="H2065">
            <v>0</v>
          </cell>
          <cell r="I2065">
            <v>0</v>
          </cell>
          <cell r="J2065">
            <v>0</v>
          </cell>
          <cell r="K2065" t="str">
            <v>pcs</v>
          </cell>
          <cell r="L2065" t="str">
            <v>0</v>
          </cell>
        </row>
        <row r="2066">
          <cell r="F2066" t="str">
            <v>TGW00009</v>
          </cell>
          <cell r="G2066" t="str">
            <v>IGIGLORI M6003 GELAS HITAM KOREA</v>
          </cell>
          <cell r="H2066">
            <v>0</v>
          </cell>
          <cell r="I2066">
            <v>0</v>
          </cell>
          <cell r="J2066">
            <v>0</v>
          </cell>
          <cell r="K2066" t="str">
            <v>pcs</v>
          </cell>
          <cell r="L2066" t="str">
            <v>0</v>
          </cell>
        </row>
        <row r="2067">
          <cell r="F2067" t="str">
            <v>TGW00010</v>
          </cell>
          <cell r="G2067" t="str">
            <v>TEMPAT SAMBAL ACRYLIC - BESAR</v>
          </cell>
          <cell r="H2067">
            <v>0</v>
          </cell>
          <cell r="I2067">
            <v>0</v>
          </cell>
          <cell r="J2067">
            <v>0</v>
          </cell>
          <cell r="K2067" t="str">
            <v>pcs</v>
          </cell>
          <cell r="L2067" t="str">
            <v>0</v>
          </cell>
        </row>
        <row r="2068">
          <cell r="F2068" t="str">
            <v>TGW00011</v>
          </cell>
          <cell r="G2068" t="str">
            <v>TEMPAT SAMBAL ACRYLIC - KECIL</v>
          </cell>
          <cell r="H2068">
            <v>0</v>
          </cell>
          <cell r="I2068">
            <v>0</v>
          </cell>
          <cell r="J2068">
            <v>0</v>
          </cell>
          <cell r="K2068" t="str">
            <v>pcs</v>
          </cell>
          <cell r="L2068" t="str">
            <v>0</v>
          </cell>
        </row>
        <row r="2069">
          <cell r="F2069" t="str">
            <v>TGW00012</v>
          </cell>
          <cell r="G2069" t="str">
            <v>SAUCER SAUCE MANGKUK SAUS P3</v>
          </cell>
          <cell r="H2069">
            <v>0</v>
          </cell>
          <cell r="I2069">
            <v>0</v>
          </cell>
          <cell r="J2069">
            <v>0</v>
          </cell>
          <cell r="K2069" t="str">
            <v>pcs</v>
          </cell>
          <cell r="L2069" t="str">
            <v>0</v>
          </cell>
        </row>
        <row r="2070">
          <cell r="F2070" t="str">
            <v>TGW00013</v>
          </cell>
          <cell r="G2070" t="str">
            <v>PIRING GYOZA IGI GLORI 2911</v>
          </cell>
          <cell r="H2070">
            <v>0</v>
          </cell>
          <cell r="I2070">
            <v>0</v>
          </cell>
          <cell r="J2070">
            <v>0</v>
          </cell>
          <cell r="K2070" t="str">
            <v>pcs</v>
          </cell>
          <cell r="L2070" t="str">
            <v>0</v>
          </cell>
        </row>
        <row r="2071">
          <cell r="F2071" t="str">
            <v>TGW00014</v>
          </cell>
          <cell r="G2071" t="str">
            <v>PIRING GOLD STAINLESS 26 CM</v>
          </cell>
          <cell r="H2071">
            <v>0</v>
          </cell>
          <cell r="I2071">
            <v>0</v>
          </cell>
          <cell r="J2071">
            <v>0</v>
          </cell>
          <cell r="K2071" t="str">
            <v>pcs</v>
          </cell>
          <cell r="L2071" t="str">
            <v>0</v>
          </cell>
        </row>
        <row r="2072">
          <cell r="F2072" t="str">
            <v>TGW00015</v>
          </cell>
          <cell r="G2072" t="str">
            <v>SILICON KOMPOR INDUKSI</v>
          </cell>
          <cell r="H2072">
            <v>0</v>
          </cell>
          <cell r="I2072">
            <v>0</v>
          </cell>
          <cell r="J2072">
            <v>0</v>
          </cell>
          <cell r="K2072" t="str">
            <v>pcs</v>
          </cell>
          <cell r="L2072" t="str">
            <v>0</v>
          </cell>
        </row>
        <row r="2073">
          <cell r="F2073" t="str">
            <v>TGW00016</v>
          </cell>
          <cell r="G2073" t="str">
            <v>KERANJANG SAJI STAINLESS - HITAM</v>
          </cell>
          <cell r="H2073">
            <v>0</v>
          </cell>
          <cell r="I2073">
            <v>0</v>
          </cell>
          <cell r="J2073">
            <v>0</v>
          </cell>
          <cell r="K2073" t="str">
            <v>pcs</v>
          </cell>
          <cell r="L2073" t="str">
            <v>0</v>
          </cell>
        </row>
        <row r="2074">
          <cell r="F2074" t="str">
            <v>TGW00017</v>
          </cell>
          <cell r="G2074" t="str">
            <v>KERANJANG SAJI STAINLESS - ROSE GOLD</v>
          </cell>
          <cell r="H2074">
            <v>0</v>
          </cell>
          <cell r="I2074">
            <v>0</v>
          </cell>
          <cell r="J2074">
            <v>0</v>
          </cell>
          <cell r="K2074" t="str">
            <v>pcs</v>
          </cell>
          <cell r="L2074" t="str">
            <v>0</v>
          </cell>
        </row>
        <row r="2075">
          <cell r="F2075" t="str">
            <v>TGW00074</v>
          </cell>
          <cell r="G2075" t="str">
            <v>PIRING HANGUKSU P9210</v>
          </cell>
          <cell r="H2075">
            <v>0</v>
          </cell>
          <cell r="I2075">
            <v>0</v>
          </cell>
          <cell r="J2075">
            <v>0</v>
          </cell>
          <cell r="K2075" t="str">
            <v>pcs</v>
          </cell>
          <cell r="L2075" t="str">
            <v>0</v>
          </cell>
        </row>
        <row r="2076">
          <cell r="F2076" t="str">
            <v>TGW00075</v>
          </cell>
          <cell r="G2076" t="str">
            <v>PIRING GOLD STAINLESS 17 CM</v>
          </cell>
          <cell r="H2076">
            <v>0</v>
          </cell>
          <cell r="I2076">
            <v>0</v>
          </cell>
          <cell r="J2076">
            <v>0</v>
          </cell>
          <cell r="K2076" t="str">
            <v>pcs</v>
          </cell>
          <cell r="L2076" t="str">
            <v>0</v>
          </cell>
        </row>
        <row r="2077">
          <cell r="F2077" t="str">
            <v>TGW00076</v>
          </cell>
          <cell r="G2077" t="str">
            <v>PIRING IGI GLORY YA04</v>
          </cell>
          <cell r="H2077">
            <v>0</v>
          </cell>
          <cell r="I2077">
            <v>0</v>
          </cell>
          <cell r="J2077">
            <v>0</v>
          </cell>
          <cell r="K2077" t="str">
            <v>pcs</v>
          </cell>
          <cell r="L2077" t="str">
            <v>0</v>
          </cell>
        </row>
        <row r="2078">
          <cell r="F2078" t="str">
            <v>TGW00077</v>
          </cell>
          <cell r="G2078" t="str">
            <v>DUCK SPOON HOOVER S005 HITAM</v>
          </cell>
          <cell r="H2078">
            <v>0</v>
          </cell>
          <cell r="I2078">
            <v>0</v>
          </cell>
          <cell r="J2078">
            <v>0</v>
          </cell>
          <cell r="K2078" t="str">
            <v>pcs</v>
          </cell>
          <cell r="L2078" t="str">
            <v>0</v>
          </cell>
        </row>
        <row r="2079">
          <cell r="F2079" t="str">
            <v>TGW00078</v>
          </cell>
          <cell r="G2079" t="str">
            <v>PIRING HOOVER P4002-6 HITAM DOFF</v>
          </cell>
          <cell r="H2079">
            <v>0</v>
          </cell>
          <cell r="I2079">
            <v>0</v>
          </cell>
          <cell r="J2079">
            <v>0</v>
          </cell>
          <cell r="K2079" t="str">
            <v>pcs</v>
          </cell>
          <cell r="L2079" t="str">
            <v>0</v>
          </cell>
        </row>
        <row r="2080">
          <cell r="F2080" t="str">
            <v>TGW00079</v>
          </cell>
          <cell r="G2080" t="str">
            <v>MANGKUKK SAUCE HANGUKSU PUTIH W5904</v>
          </cell>
          <cell r="H2080">
            <v>0</v>
          </cell>
          <cell r="I2080">
            <v>0</v>
          </cell>
          <cell r="J2080">
            <v>0</v>
          </cell>
          <cell r="K2080" t="str">
            <v>pcs</v>
          </cell>
          <cell r="L2080" t="str">
            <v>0</v>
          </cell>
        </row>
        <row r="2081">
          <cell r="F2081" t="str">
            <v>TGW00080</v>
          </cell>
          <cell r="G2081" t="str">
            <v>PIRING KKAMPUNGGI IGI GLORY Y4007</v>
          </cell>
          <cell r="H2081">
            <v>0</v>
          </cell>
          <cell r="I2081">
            <v>0</v>
          </cell>
          <cell r="J2081">
            <v>0</v>
          </cell>
          <cell r="K2081" t="str">
            <v>pcs</v>
          </cell>
          <cell r="L2081" t="str">
            <v>0</v>
          </cell>
        </row>
        <row r="2082">
          <cell r="F2082" t="str">
            <v>TGW00081</v>
          </cell>
          <cell r="G2082" t="str">
            <v>TATAKAN MANGKOK KERAMIK HITAM BAHAN KAYU</v>
          </cell>
          <cell r="H2082">
            <v>0</v>
          </cell>
          <cell r="I2082">
            <v>0</v>
          </cell>
          <cell r="J2082">
            <v>0</v>
          </cell>
          <cell r="K2082" t="str">
            <v>pcs</v>
          </cell>
          <cell r="L2082" t="str">
            <v>0</v>
          </cell>
        </row>
        <row r="2083">
          <cell r="F2083" t="str">
            <v>TGW00082</v>
          </cell>
          <cell r="G2083" t="str">
            <v>SHARING BOWL IGI GLORI Y245</v>
          </cell>
          <cell r="H2083">
            <v>0</v>
          </cell>
          <cell r="I2083">
            <v>0</v>
          </cell>
          <cell r="J2083">
            <v>0</v>
          </cell>
          <cell r="K2083" t="str">
            <v>pcs</v>
          </cell>
          <cell r="L2083" t="str">
            <v>0</v>
          </cell>
        </row>
        <row r="2084">
          <cell r="F2084" t="str">
            <v>TGW00083</v>
          </cell>
          <cell r="G2084" t="str">
            <v>PIRING JAPCHAE IGI GLORI Y485</v>
          </cell>
          <cell r="H2084">
            <v>0</v>
          </cell>
          <cell r="I2084">
            <v>0</v>
          </cell>
          <cell r="J2084">
            <v>0</v>
          </cell>
          <cell r="K2084" t="str">
            <v>pcs</v>
          </cell>
          <cell r="L2084" t="str">
            <v>0</v>
          </cell>
        </row>
        <row r="2085">
          <cell r="F2085" t="str">
            <v>TGW00084</v>
          </cell>
          <cell r="G2085" t="str">
            <v>PIRING KIMCHI KALGUKSU ONYX 3,6"</v>
          </cell>
          <cell r="H2085">
            <v>0</v>
          </cell>
          <cell r="I2085">
            <v>0</v>
          </cell>
          <cell r="J2085">
            <v>0</v>
          </cell>
          <cell r="K2085" t="str">
            <v>pcs</v>
          </cell>
          <cell r="L2085" t="str">
            <v>0</v>
          </cell>
        </row>
        <row r="2086">
          <cell r="F2086" t="str">
            <v>TGW00085</v>
          </cell>
          <cell r="G2086" t="str">
            <v>KOTAK SHAKE - SHAKE DOSIRAK STAINLESS SUS 304</v>
          </cell>
          <cell r="H2086">
            <v>0</v>
          </cell>
          <cell r="I2086">
            <v>0</v>
          </cell>
          <cell r="J2086">
            <v>0</v>
          </cell>
          <cell r="K2086" t="str">
            <v>pcs</v>
          </cell>
          <cell r="L2086" t="str">
            <v>0</v>
          </cell>
        </row>
        <row r="2087">
          <cell r="F2087" t="str">
            <v>TGW00086</v>
          </cell>
          <cell r="G2087" t="str">
            <v>TEMPAT SENDOK HANGUKSU</v>
          </cell>
          <cell r="H2087">
            <v>0</v>
          </cell>
          <cell r="I2087">
            <v>0</v>
          </cell>
          <cell r="J2087">
            <v>0</v>
          </cell>
          <cell r="K2087" t="str">
            <v>pcs</v>
          </cell>
          <cell r="L2087" t="str">
            <v>0</v>
          </cell>
        </row>
        <row r="2088">
          <cell r="F2088" t="str">
            <v>TGW00087</v>
          </cell>
          <cell r="G2088" t="str">
            <v>GELAS CORN TEA ONYX 380 ML</v>
          </cell>
          <cell r="H2088">
            <v>0</v>
          </cell>
          <cell r="I2088">
            <v>0</v>
          </cell>
          <cell r="J2088">
            <v>0</v>
          </cell>
          <cell r="K2088" t="str">
            <v>pcs</v>
          </cell>
          <cell r="L2088" t="str">
            <v>0</v>
          </cell>
        </row>
        <row r="2089">
          <cell r="F2089" t="str">
            <v>TGW00088</v>
          </cell>
          <cell r="G2089" t="str">
            <v>PIRING STAINLESS DOSIRA SUS304</v>
          </cell>
          <cell r="H2089">
            <v>0</v>
          </cell>
          <cell r="I2089">
            <v>0</v>
          </cell>
          <cell r="J2089">
            <v>0</v>
          </cell>
          <cell r="K2089" t="str">
            <v>pcs</v>
          </cell>
          <cell r="L2089" t="str">
            <v>0</v>
          </cell>
        </row>
        <row r="2090">
          <cell r="F2090" t="str">
            <v>TWCK0001</v>
          </cell>
          <cell r="G2090" t="str">
            <v>CAPITAN DAGING BBQ STAINLESS</v>
          </cell>
          <cell r="H2090">
            <v>0</v>
          </cell>
          <cell r="I2090">
            <v>0</v>
          </cell>
          <cell r="J2090">
            <v>0</v>
          </cell>
          <cell r="K2090" t="str">
            <v>pcs</v>
          </cell>
          <cell r="L2090" t="str">
            <v>0</v>
          </cell>
        </row>
        <row r="2091">
          <cell r="F2091" t="str">
            <v>TWCK0002</v>
          </cell>
          <cell r="G2091" t="str">
            <v>GARPU MAKAN STAINLESS KOREA</v>
          </cell>
          <cell r="H2091">
            <v>0</v>
          </cell>
          <cell r="I2091">
            <v>0</v>
          </cell>
          <cell r="J2091">
            <v>0</v>
          </cell>
          <cell r="K2091" t="str">
            <v>pcs</v>
          </cell>
          <cell r="L2091" t="str">
            <v>0</v>
          </cell>
        </row>
        <row r="2092">
          <cell r="F2092" t="str">
            <v>TWCK0003</v>
          </cell>
          <cell r="G2092" t="str">
            <v>GELAS KOREA GOLD DOUBLE WALL 300 ML</v>
          </cell>
          <cell r="H2092">
            <v>0</v>
          </cell>
          <cell r="I2092">
            <v>0</v>
          </cell>
          <cell r="J2092">
            <v>0</v>
          </cell>
          <cell r="K2092" t="str">
            <v>pcs</v>
          </cell>
          <cell r="L2092" t="str">
            <v>0</v>
          </cell>
        </row>
        <row r="2093">
          <cell r="F2093" t="str">
            <v>TWCK0004</v>
          </cell>
          <cell r="G2093" t="str">
            <v>GELAS STAINLESS JUMBO 8.5 X 5.5 X 14 (500 ML)</v>
          </cell>
          <cell r="H2093">
            <v>0</v>
          </cell>
          <cell r="I2093">
            <v>0</v>
          </cell>
          <cell r="J2093">
            <v>0</v>
          </cell>
          <cell r="K2093" t="str">
            <v>pcs</v>
          </cell>
          <cell r="L2093" t="str">
            <v>0</v>
          </cell>
        </row>
        <row r="2094">
          <cell r="F2094" t="str">
            <v>TWCK0005</v>
          </cell>
          <cell r="G2094" t="str">
            <v>GELAS STAINLESS KECIL 6.5 X 5.5 X 10 (240 ML)</v>
          </cell>
          <cell r="H2094">
            <v>0</v>
          </cell>
          <cell r="I2094">
            <v>0</v>
          </cell>
          <cell r="J2094">
            <v>0</v>
          </cell>
          <cell r="K2094" t="str">
            <v>pcs</v>
          </cell>
          <cell r="L2094" t="str">
            <v>0</v>
          </cell>
        </row>
        <row r="2095">
          <cell r="F2095" t="str">
            <v>TWCK0006</v>
          </cell>
          <cell r="G2095" t="str">
            <v>GELAS KOREA STAINLESS POLOS 300 ML</v>
          </cell>
          <cell r="H2095">
            <v>0</v>
          </cell>
          <cell r="I2095">
            <v>0</v>
          </cell>
          <cell r="J2095">
            <v>0</v>
          </cell>
          <cell r="K2095" t="str">
            <v>pcs</v>
          </cell>
          <cell r="L2095" t="str">
            <v>0</v>
          </cell>
        </row>
        <row r="2096">
          <cell r="F2096" t="str">
            <v>TWCK0007</v>
          </cell>
          <cell r="G2096" t="str">
            <v>GELAS KOREA STAINLESS POLOS 500 ML</v>
          </cell>
          <cell r="H2096">
            <v>0</v>
          </cell>
          <cell r="I2096">
            <v>0</v>
          </cell>
          <cell r="J2096">
            <v>0</v>
          </cell>
          <cell r="K2096" t="str">
            <v>pcs</v>
          </cell>
          <cell r="L2096" t="str">
            <v>0</v>
          </cell>
        </row>
        <row r="2097">
          <cell r="F2097" t="str">
            <v>TWCK0008</v>
          </cell>
          <cell r="G2097" t="str">
            <v>GELAS STAINLESS ROSH 7.5 X 10 CM (BERSALUR)</v>
          </cell>
          <cell r="H2097">
            <v>0</v>
          </cell>
          <cell r="I2097">
            <v>0</v>
          </cell>
          <cell r="J2097">
            <v>0</v>
          </cell>
          <cell r="K2097" t="str">
            <v>pcs</v>
          </cell>
          <cell r="L2097" t="str">
            <v>0</v>
          </cell>
        </row>
        <row r="2098">
          <cell r="F2098" t="str">
            <v>TWCK0009</v>
          </cell>
          <cell r="G2098" t="str">
            <v>HOT PLATE BULAT 12 CM + TATAKAN</v>
          </cell>
          <cell r="H2098">
            <v>0</v>
          </cell>
          <cell r="I2098">
            <v>0</v>
          </cell>
          <cell r="J2098">
            <v>0</v>
          </cell>
          <cell r="K2098" t="str">
            <v>pcs</v>
          </cell>
          <cell r="L2098" t="str">
            <v>0</v>
          </cell>
        </row>
        <row r="2099">
          <cell r="F2099" t="str">
            <v>TWCK0010</v>
          </cell>
          <cell r="G2099" t="str">
            <v>HOT PLATE OVAL KUPING 20 x 12 CM + TATAKAN KAYU</v>
          </cell>
          <cell r="H2099">
            <v>0</v>
          </cell>
          <cell r="I2099">
            <v>0</v>
          </cell>
          <cell r="J2099">
            <v>0</v>
          </cell>
          <cell r="K2099" t="str">
            <v>pcs</v>
          </cell>
          <cell r="L2099" t="str">
            <v>0</v>
          </cell>
        </row>
        <row r="2100">
          <cell r="F2100" t="str">
            <v>TWCK0011</v>
          </cell>
          <cell r="G2100" t="str">
            <v>HOT PLATE OVAL 22 x 13 CM + TATAKAN KAYU</v>
          </cell>
          <cell r="H2100">
            <v>0</v>
          </cell>
          <cell r="I2100">
            <v>0</v>
          </cell>
          <cell r="J2100">
            <v>0</v>
          </cell>
          <cell r="K2100" t="str">
            <v>pcs</v>
          </cell>
          <cell r="L2100" t="str">
            <v>0</v>
          </cell>
        </row>
        <row r="2101">
          <cell r="F2101" t="str">
            <v>TWCK0012</v>
          </cell>
          <cell r="G2101" t="str">
            <v>KERANJANG SAJI TWIGIM BULAT 19.5 CM</v>
          </cell>
          <cell r="H2101">
            <v>0</v>
          </cell>
          <cell r="I2101">
            <v>0</v>
          </cell>
          <cell r="J2101">
            <v>0</v>
          </cell>
          <cell r="K2101" t="str">
            <v>pcs</v>
          </cell>
          <cell r="L2101" t="str">
            <v>0</v>
          </cell>
        </row>
        <row r="2102">
          <cell r="F2102" t="str">
            <v>TWCK0013</v>
          </cell>
          <cell r="G2102" t="str">
            <v>KERANJANG SAJI TWIGIM ROSE GOLD (DENGAN HANDLE)</v>
          </cell>
          <cell r="H2102">
            <v>0</v>
          </cell>
          <cell r="I2102">
            <v>0</v>
          </cell>
          <cell r="J2102">
            <v>0</v>
          </cell>
          <cell r="K2102" t="str">
            <v>pcs</v>
          </cell>
          <cell r="L2102" t="str">
            <v>0</v>
          </cell>
        </row>
        <row r="2103">
          <cell r="F2103" t="str">
            <v>TWCK0014</v>
          </cell>
          <cell r="G2103" t="str">
            <v>KERANJANG SAJI TWIGIM HITAM (DENGAN HANDLE)</v>
          </cell>
          <cell r="H2103">
            <v>0</v>
          </cell>
          <cell r="I2103">
            <v>0</v>
          </cell>
          <cell r="J2103">
            <v>0</v>
          </cell>
          <cell r="K2103" t="str">
            <v>pcs</v>
          </cell>
          <cell r="L2103" t="str">
            <v>0</v>
          </cell>
        </row>
        <row r="2104">
          <cell r="F2104" t="str">
            <v>TWCK0015</v>
          </cell>
          <cell r="G2104" t="str">
            <v>KERANJANG SAJI TWIGIM OVAL</v>
          </cell>
          <cell r="H2104">
            <v>0</v>
          </cell>
          <cell r="I2104">
            <v>0</v>
          </cell>
          <cell r="J2104">
            <v>0</v>
          </cell>
          <cell r="K2104" t="str">
            <v>pcs</v>
          </cell>
          <cell r="L2104" t="str">
            <v>0</v>
          </cell>
        </row>
        <row r="2105">
          <cell r="F2105" t="str">
            <v>TWCK0016</v>
          </cell>
          <cell r="G2105" t="str">
            <v>KOTAK DOSIRAK STAINLESS SEKAT 5</v>
          </cell>
          <cell r="H2105">
            <v>0</v>
          </cell>
          <cell r="I2105">
            <v>0</v>
          </cell>
          <cell r="J2105">
            <v>0</v>
          </cell>
          <cell r="K2105" t="str">
            <v>pcs</v>
          </cell>
          <cell r="L2105" t="str">
            <v>0</v>
          </cell>
        </row>
        <row r="2106">
          <cell r="F2106" t="str">
            <v>TWCK0017</v>
          </cell>
          <cell r="G2106" t="str">
            <v>KOTAK KIDS MEAL BUS SEKAT 5</v>
          </cell>
          <cell r="H2106">
            <v>0</v>
          </cell>
          <cell r="I2106">
            <v>0</v>
          </cell>
          <cell r="J2106">
            <v>0</v>
          </cell>
          <cell r="K2106" t="str">
            <v>pcs</v>
          </cell>
          <cell r="L2106" t="str">
            <v>0</v>
          </cell>
        </row>
        <row r="2107">
          <cell r="F2107" t="str">
            <v>TWCK0018</v>
          </cell>
          <cell r="G2107" t="str">
            <v>MANGKOK KOREA GOLD 15CM</v>
          </cell>
          <cell r="H2107">
            <v>0</v>
          </cell>
          <cell r="I2107">
            <v>0</v>
          </cell>
          <cell r="J2107">
            <v>0</v>
          </cell>
          <cell r="K2107" t="str">
            <v>pcs</v>
          </cell>
          <cell r="L2107" t="str">
            <v>0</v>
          </cell>
        </row>
        <row r="2108">
          <cell r="F2108" t="str">
            <v>TWCK0019</v>
          </cell>
          <cell r="G2108" t="str">
            <v>MANGKOK KOREA STAINLESS DOUBLE WALL 11.5 CM</v>
          </cell>
          <cell r="H2108">
            <v>0</v>
          </cell>
          <cell r="I2108">
            <v>0</v>
          </cell>
          <cell r="J2108">
            <v>0</v>
          </cell>
          <cell r="K2108" t="str">
            <v>pcs</v>
          </cell>
          <cell r="L2108" t="str">
            <v>0</v>
          </cell>
        </row>
        <row r="2109">
          <cell r="F2109" t="str">
            <v>TWCK0020</v>
          </cell>
          <cell r="G2109" t="str">
            <v>MANGKOK KOREA STAINLESS DOUBLE WALL 14 CM</v>
          </cell>
          <cell r="H2109">
            <v>0</v>
          </cell>
          <cell r="I2109">
            <v>0</v>
          </cell>
          <cell r="J2109">
            <v>0</v>
          </cell>
          <cell r="K2109" t="str">
            <v>pcs</v>
          </cell>
          <cell r="L2109" t="str">
            <v>0</v>
          </cell>
        </row>
        <row r="2110">
          <cell r="F2110" t="str">
            <v>TWCK0021</v>
          </cell>
          <cell r="G2110" t="str">
            <v>MANGKOK KOREA STAINLESS DOUBLE WALL 16 CM</v>
          </cell>
          <cell r="H2110">
            <v>0</v>
          </cell>
          <cell r="I2110">
            <v>0</v>
          </cell>
          <cell r="J2110">
            <v>0</v>
          </cell>
          <cell r="K2110" t="str">
            <v>pcs</v>
          </cell>
          <cell r="L2110" t="str">
            <v>0</v>
          </cell>
        </row>
        <row r="2111">
          <cell r="F2111" t="str">
            <v>TWCK0022</v>
          </cell>
          <cell r="G2111" t="str">
            <v>MANGKOK KOREA STAINLESS DOUBLE WALL 18 CM</v>
          </cell>
          <cell r="H2111">
            <v>0</v>
          </cell>
          <cell r="I2111">
            <v>0</v>
          </cell>
          <cell r="J2111">
            <v>0</v>
          </cell>
          <cell r="K2111" t="str">
            <v>pcs</v>
          </cell>
          <cell r="L2111" t="str">
            <v>0</v>
          </cell>
        </row>
        <row r="2112">
          <cell r="F2112" t="str">
            <v>TWCK0023</v>
          </cell>
          <cell r="G2112" t="str">
            <v>MANGKOK KOREA STAINLESS GOLD 18 CM</v>
          </cell>
          <cell r="H2112">
            <v>0</v>
          </cell>
          <cell r="I2112">
            <v>0</v>
          </cell>
          <cell r="J2112">
            <v>0</v>
          </cell>
          <cell r="K2112" t="str">
            <v>pcs</v>
          </cell>
          <cell r="L2112" t="str">
            <v>0</v>
          </cell>
        </row>
        <row r="2113">
          <cell r="F2113" t="str">
            <v>TWCK0024</v>
          </cell>
          <cell r="G2113" t="str">
            <v>MANGKOK SAUS GREENLAND BULAT 3"</v>
          </cell>
          <cell r="H2113">
            <v>0</v>
          </cell>
          <cell r="I2113">
            <v>0</v>
          </cell>
          <cell r="J2113">
            <v>0</v>
          </cell>
          <cell r="K2113" t="str">
            <v>pcs</v>
          </cell>
          <cell r="L2113" t="str">
            <v>0</v>
          </cell>
        </row>
        <row r="2114">
          <cell r="F2114" t="str">
            <v>TWCK0025</v>
          </cell>
          <cell r="G2114" t="str">
            <v>MANGKOK SAUS GREENLAND PERSEGI 3"</v>
          </cell>
          <cell r="H2114">
            <v>0</v>
          </cell>
          <cell r="I2114">
            <v>0</v>
          </cell>
          <cell r="J2114">
            <v>0</v>
          </cell>
          <cell r="K2114" t="str">
            <v>pcs</v>
          </cell>
          <cell r="L2114" t="str">
            <v>0</v>
          </cell>
        </row>
        <row r="2115">
          <cell r="F2115" t="str">
            <v>TWCK0026</v>
          </cell>
          <cell r="G2115" t="str">
            <v>MANGKOK SAUS PUTIH GOLDEN DRAGON 6 CM</v>
          </cell>
          <cell r="H2115">
            <v>0</v>
          </cell>
          <cell r="I2115">
            <v>0</v>
          </cell>
          <cell r="J2115">
            <v>0</v>
          </cell>
          <cell r="K2115" t="str">
            <v>pcs</v>
          </cell>
          <cell r="L2115" t="str">
            <v>0</v>
          </cell>
        </row>
        <row r="2116">
          <cell r="F2116" t="str">
            <v>TWCK0027</v>
          </cell>
          <cell r="G2116" t="str">
            <v>MANGKOK SAUS PUTIH GOLDEN DRAGON 7 CM</v>
          </cell>
          <cell r="H2116">
            <v>0</v>
          </cell>
          <cell r="I2116">
            <v>0</v>
          </cell>
          <cell r="J2116">
            <v>0</v>
          </cell>
          <cell r="K2116" t="str">
            <v>pcs</v>
          </cell>
          <cell r="L2116" t="str">
            <v>0</v>
          </cell>
        </row>
        <row r="2117">
          <cell r="F2117" t="str">
            <v>TWCK0028</v>
          </cell>
          <cell r="G2117" t="str">
            <v>MANGKOK SAUS PUTIH GOLDEN DRAGON 9 CM</v>
          </cell>
          <cell r="H2117">
            <v>0</v>
          </cell>
          <cell r="I2117">
            <v>0</v>
          </cell>
          <cell r="J2117">
            <v>0</v>
          </cell>
          <cell r="K2117" t="str">
            <v>pcs</v>
          </cell>
          <cell r="L2117" t="str">
            <v>0</v>
          </cell>
        </row>
        <row r="2118">
          <cell r="F2118" t="str">
            <v>TWCK0029</v>
          </cell>
          <cell r="G2118" t="str">
            <v>MANGKOK SAUS RAMEKIN BIRU 8 CM</v>
          </cell>
          <cell r="H2118">
            <v>0</v>
          </cell>
          <cell r="I2118">
            <v>0</v>
          </cell>
          <cell r="J2118">
            <v>0</v>
          </cell>
          <cell r="K2118" t="str">
            <v>pcs</v>
          </cell>
          <cell r="L2118" t="str">
            <v>0</v>
          </cell>
        </row>
        <row r="2119">
          <cell r="F2119" t="str">
            <v>TWCK0030</v>
          </cell>
          <cell r="G2119" t="str">
            <v>MANGKOK SAUS RAMEKIN HIJAU 8 CM</v>
          </cell>
          <cell r="H2119">
            <v>0</v>
          </cell>
          <cell r="I2119">
            <v>0</v>
          </cell>
          <cell r="J2119">
            <v>0</v>
          </cell>
          <cell r="K2119" t="str">
            <v>pcs</v>
          </cell>
          <cell r="L2119" t="str">
            <v>0</v>
          </cell>
        </row>
        <row r="2120">
          <cell r="F2120" t="str">
            <v>TWCK0031</v>
          </cell>
          <cell r="G2120" t="str">
            <v>MANGKOK SAUS RAMEKIN PUTIH 9 CM</v>
          </cell>
          <cell r="H2120">
            <v>0</v>
          </cell>
          <cell r="I2120">
            <v>0</v>
          </cell>
          <cell r="J2120">
            <v>0</v>
          </cell>
          <cell r="K2120" t="str">
            <v>pcs</v>
          </cell>
          <cell r="L2120" t="str">
            <v>0</v>
          </cell>
        </row>
        <row r="2121">
          <cell r="F2121" t="str">
            <v>TWCK0032</v>
          </cell>
          <cell r="G2121" t="str">
            <v>MANGKOK SUP KOREA TUKPEGI 11 X 5.5 CM (300 ML)</v>
          </cell>
          <cell r="H2121">
            <v>0</v>
          </cell>
          <cell r="I2121">
            <v>0</v>
          </cell>
          <cell r="J2121">
            <v>0</v>
          </cell>
          <cell r="K2121" t="str">
            <v>pcs</v>
          </cell>
          <cell r="L2121" t="str">
            <v>0</v>
          </cell>
        </row>
        <row r="2122">
          <cell r="F2122" t="str">
            <v>TWCK0033</v>
          </cell>
          <cell r="G2122" t="str">
            <v>MANGKOK SUP KOREA TUKPEGI 11.5 X 7 CM (500 ML)</v>
          </cell>
          <cell r="H2122">
            <v>0</v>
          </cell>
          <cell r="I2122">
            <v>0</v>
          </cell>
          <cell r="J2122">
            <v>0</v>
          </cell>
          <cell r="K2122" t="str">
            <v>pcs</v>
          </cell>
          <cell r="L2122" t="str">
            <v>0</v>
          </cell>
        </row>
        <row r="2123">
          <cell r="F2123" t="str">
            <v>TWCK0034</v>
          </cell>
          <cell r="G2123" t="str">
            <v>MANGKOK SUP KOREA TUKPEGI 14 CM + TATAKAN</v>
          </cell>
          <cell r="H2123">
            <v>0</v>
          </cell>
          <cell r="I2123">
            <v>0</v>
          </cell>
          <cell r="J2123">
            <v>0</v>
          </cell>
          <cell r="K2123" t="str">
            <v>pcs</v>
          </cell>
          <cell r="L2123" t="str">
            <v>0</v>
          </cell>
        </row>
        <row r="2124">
          <cell r="F2124" t="str">
            <v>TWCK0035</v>
          </cell>
          <cell r="G2124" t="str">
            <v>MANGKOK SUP KOREA TUKPEGI 16CM + TATAKAN</v>
          </cell>
          <cell r="H2124">
            <v>0</v>
          </cell>
          <cell r="I2124">
            <v>0</v>
          </cell>
          <cell r="J2124">
            <v>0</v>
          </cell>
          <cell r="K2124" t="str">
            <v>pcs</v>
          </cell>
          <cell r="L2124" t="str">
            <v>0</v>
          </cell>
        </row>
        <row r="2125">
          <cell r="F2125" t="str">
            <v>TWCK0036</v>
          </cell>
          <cell r="G2125" t="str">
            <v>MANGKOK SAJI RAMYEON GOLD 20 CM (DENGAN KUPING)</v>
          </cell>
          <cell r="H2125">
            <v>0</v>
          </cell>
          <cell r="I2125">
            <v>0</v>
          </cell>
          <cell r="J2125">
            <v>0</v>
          </cell>
          <cell r="K2125" t="str">
            <v>pcs</v>
          </cell>
          <cell r="L2125" t="str">
            <v>0</v>
          </cell>
        </row>
        <row r="2126">
          <cell r="F2126" t="str">
            <v>TWCK0037</v>
          </cell>
          <cell r="G2126" t="str">
            <v>PIRING BANCHAN DOUBLE WALL 9 CM</v>
          </cell>
          <cell r="H2126">
            <v>0</v>
          </cell>
          <cell r="I2126">
            <v>0</v>
          </cell>
          <cell r="J2126">
            <v>0</v>
          </cell>
          <cell r="K2126" t="str">
            <v>pcs</v>
          </cell>
          <cell r="L2126" t="str">
            <v>0</v>
          </cell>
        </row>
        <row r="2127">
          <cell r="F2127" t="str">
            <v>TWCK0038</v>
          </cell>
          <cell r="G2127" t="str">
            <v>PIRING MELAMIN BUNGA 5 SEKAT</v>
          </cell>
          <cell r="H2127">
            <v>0</v>
          </cell>
          <cell r="I2127">
            <v>0</v>
          </cell>
          <cell r="J2127">
            <v>0</v>
          </cell>
          <cell r="K2127" t="str">
            <v>pcs</v>
          </cell>
          <cell r="L2127" t="str">
            <v>0</v>
          </cell>
        </row>
        <row r="2128">
          <cell r="F2128" t="str">
            <v>TWCK0039</v>
          </cell>
          <cell r="G2128" t="str">
            <v>PIRING CEPER KOREA GOLD 26 CM</v>
          </cell>
          <cell r="H2128">
            <v>0</v>
          </cell>
          <cell r="I2128">
            <v>0</v>
          </cell>
          <cell r="J2128">
            <v>0</v>
          </cell>
          <cell r="K2128" t="str">
            <v>pcs</v>
          </cell>
          <cell r="L2128" t="str">
            <v>0</v>
          </cell>
        </row>
        <row r="2129">
          <cell r="F2129" t="str">
            <v>TWCK0040</v>
          </cell>
          <cell r="G2129" t="str">
            <v>PIRING MELAMIN HIJAU HITAM GREENLAND</v>
          </cell>
          <cell r="H2129">
            <v>0</v>
          </cell>
          <cell r="I2129">
            <v>0</v>
          </cell>
          <cell r="J2129">
            <v>0</v>
          </cell>
          <cell r="K2129" t="str">
            <v>pcs</v>
          </cell>
          <cell r="L2129" t="str">
            <v>0</v>
          </cell>
        </row>
        <row r="2130">
          <cell r="F2130" t="str">
            <v>TWCK0041</v>
          </cell>
          <cell r="G2130" t="str">
            <v>PIRING OVAL GOLD 27.6 X 13.6 (DENGAN LUBANG SAUS)</v>
          </cell>
          <cell r="H2130">
            <v>0</v>
          </cell>
          <cell r="I2130">
            <v>0</v>
          </cell>
          <cell r="J2130">
            <v>0</v>
          </cell>
          <cell r="K2130" t="str">
            <v>pcs</v>
          </cell>
          <cell r="L2130" t="str">
            <v>0</v>
          </cell>
        </row>
        <row r="2131">
          <cell r="F2131" t="str">
            <v>TWCK0042</v>
          </cell>
          <cell r="G2131" t="str">
            <v>PIRING OVAL GOLD 31.8 X 13.6 (DENGAN LUBANG SAUS)</v>
          </cell>
          <cell r="H2131">
            <v>0</v>
          </cell>
          <cell r="I2131">
            <v>0</v>
          </cell>
          <cell r="J2131">
            <v>0</v>
          </cell>
          <cell r="K2131" t="str">
            <v>pcs</v>
          </cell>
          <cell r="L2131" t="str">
            <v>0</v>
          </cell>
        </row>
        <row r="2132">
          <cell r="F2132" t="str">
            <v>TWCK0043</v>
          </cell>
          <cell r="G2132" t="str">
            <v>PIRING SAJI TOKPOKKI GOLD 22 CM</v>
          </cell>
          <cell r="H2132">
            <v>0</v>
          </cell>
          <cell r="I2132">
            <v>0</v>
          </cell>
          <cell r="J2132">
            <v>0</v>
          </cell>
          <cell r="K2132" t="str">
            <v>pcs</v>
          </cell>
          <cell r="L2132" t="str">
            <v>0</v>
          </cell>
        </row>
        <row r="2133">
          <cell r="F2133" t="str">
            <v>TWCK0044</v>
          </cell>
          <cell r="G2133" t="str">
            <v>PIRING SAJI TOKPOKKI SILVER 20 CM</v>
          </cell>
          <cell r="H2133">
            <v>0</v>
          </cell>
          <cell r="I2133">
            <v>0</v>
          </cell>
          <cell r="J2133">
            <v>0</v>
          </cell>
          <cell r="K2133" t="str">
            <v>pcs</v>
          </cell>
          <cell r="L2133" t="str">
            <v>0</v>
          </cell>
        </row>
        <row r="2134">
          <cell r="F2134" t="str">
            <v>TWCK0045</v>
          </cell>
          <cell r="G2134" t="str">
            <v>PIRING SAUS KOREA SILVER SEKAT 2</v>
          </cell>
          <cell r="H2134">
            <v>0</v>
          </cell>
          <cell r="I2134">
            <v>0</v>
          </cell>
          <cell r="J2134">
            <v>0</v>
          </cell>
          <cell r="K2134" t="str">
            <v>pcs</v>
          </cell>
          <cell r="L2134" t="str">
            <v>0</v>
          </cell>
        </row>
        <row r="2135">
          <cell r="F2135" t="str">
            <v>TWCK0046</v>
          </cell>
          <cell r="G2135" t="str">
            <v>PIRING SAUS KOREA GOLD SEKAT 3</v>
          </cell>
          <cell r="H2135">
            <v>0</v>
          </cell>
          <cell r="I2135">
            <v>0</v>
          </cell>
          <cell r="J2135">
            <v>0</v>
          </cell>
          <cell r="K2135" t="str">
            <v>pcs</v>
          </cell>
          <cell r="L2135" t="str">
            <v>0</v>
          </cell>
        </row>
        <row r="2136">
          <cell r="F2136" t="str">
            <v>TWCK0047</v>
          </cell>
          <cell r="G2136" t="str">
            <v>PIRING SHUMA STAINLESS 12 CM</v>
          </cell>
          <cell r="H2136">
            <v>0</v>
          </cell>
          <cell r="I2136">
            <v>0</v>
          </cell>
          <cell r="J2136">
            <v>0</v>
          </cell>
          <cell r="K2136" t="str">
            <v>pcs</v>
          </cell>
          <cell r="L2136" t="str">
            <v>0</v>
          </cell>
        </row>
        <row r="2137">
          <cell r="F2137" t="str">
            <v>TWCK0048</v>
          </cell>
          <cell r="G2137" t="str">
            <v>PIRING STAINLESS ROSH 10 CM</v>
          </cell>
          <cell r="H2137">
            <v>0</v>
          </cell>
          <cell r="I2137">
            <v>0</v>
          </cell>
          <cell r="J2137">
            <v>0</v>
          </cell>
          <cell r="K2137" t="str">
            <v>pcs</v>
          </cell>
          <cell r="L2137" t="str">
            <v>0</v>
          </cell>
        </row>
        <row r="2138">
          <cell r="F2138" t="str">
            <v>TWCK0049</v>
          </cell>
          <cell r="G2138" t="str">
            <v>PIRING STAINLESS ROSH 12 CM</v>
          </cell>
          <cell r="H2138">
            <v>0</v>
          </cell>
          <cell r="I2138">
            <v>0</v>
          </cell>
          <cell r="J2138">
            <v>0</v>
          </cell>
          <cell r="K2138" t="str">
            <v>pcs</v>
          </cell>
          <cell r="L2138" t="str">
            <v>0</v>
          </cell>
        </row>
        <row r="2139">
          <cell r="F2139" t="str">
            <v>TWCK0050</v>
          </cell>
          <cell r="G2139" t="str">
            <v>PIRING STAINLESS ROSH 14 CM (SHARING PLATE CHADOL)</v>
          </cell>
          <cell r="H2139">
            <v>0</v>
          </cell>
          <cell r="I2139">
            <v>0</v>
          </cell>
          <cell r="J2139">
            <v>0</v>
          </cell>
          <cell r="K2139" t="str">
            <v>pcs</v>
          </cell>
          <cell r="L2139" t="str">
            <v>0</v>
          </cell>
        </row>
        <row r="2140">
          <cell r="F2140" t="str">
            <v>TWCK0051</v>
          </cell>
          <cell r="G2140" t="str">
            <v>RICE BOWL KOREA STAINLESS 10.5 CM (DENGAN TUTUP)</v>
          </cell>
          <cell r="H2140">
            <v>0</v>
          </cell>
          <cell r="I2140">
            <v>0</v>
          </cell>
          <cell r="J2140">
            <v>0</v>
          </cell>
          <cell r="K2140" t="str">
            <v>pcs</v>
          </cell>
          <cell r="L2140" t="str">
            <v>0</v>
          </cell>
        </row>
        <row r="2141">
          <cell r="F2141" t="str">
            <v>TWCK0052</v>
          </cell>
          <cell r="G2141" t="str">
            <v>SENDOK MAKAN STAINLESS KOREA</v>
          </cell>
          <cell r="H2141">
            <v>0</v>
          </cell>
          <cell r="I2141">
            <v>0</v>
          </cell>
          <cell r="J2141">
            <v>0</v>
          </cell>
          <cell r="K2141" t="str">
            <v>pcs</v>
          </cell>
          <cell r="L2141" t="str">
            <v>0</v>
          </cell>
        </row>
        <row r="2142">
          <cell r="F2142" t="str">
            <v>TWCK0053</v>
          </cell>
          <cell r="G2142" t="str">
            <v>SENDOK MAKAN KOREA GOLD</v>
          </cell>
          <cell r="H2142">
            <v>0</v>
          </cell>
          <cell r="I2142">
            <v>0</v>
          </cell>
          <cell r="J2142">
            <v>0</v>
          </cell>
          <cell r="K2142" t="str">
            <v>pcs</v>
          </cell>
          <cell r="L2142" t="str">
            <v>0</v>
          </cell>
        </row>
        <row r="2143">
          <cell r="F2143" t="str">
            <v>TWCK0054</v>
          </cell>
          <cell r="G2143" t="str">
            <v>SUMPIT STAINLESS KOREA</v>
          </cell>
          <cell r="H2143">
            <v>0</v>
          </cell>
          <cell r="I2143">
            <v>0</v>
          </cell>
          <cell r="J2143">
            <v>0</v>
          </cell>
          <cell r="K2143" t="str">
            <v>pcs</v>
          </cell>
          <cell r="L2143" t="str">
            <v>0</v>
          </cell>
        </row>
        <row r="2144">
          <cell r="F2144" t="str">
            <v>TWCK0055</v>
          </cell>
          <cell r="G2144" t="str">
            <v>TRAY PLASTIK MOTIF KAYU KREM 35 X 23 CM</v>
          </cell>
          <cell r="H2144">
            <v>0</v>
          </cell>
          <cell r="I2144">
            <v>0</v>
          </cell>
          <cell r="J2144">
            <v>0</v>
          </cell>
          <cell r="K2144" t="str">
            <v>pcs</v>
          </cell>
          <cell r="L2144" t="str">
            <v>0</v>
          </cell>
        </row>
        <row r="2145">
          <cell r="F2145" t="str">
            <v>TWCK0056</v>
          </cell>
          <cell r="G2145" t="str">
            <v>TEKO GOLD 15 X 17 X 12 (1 L)</v>
          </cell>
          <cell r="H2145">
            <v>0</v>
          </cell>
          <cell r="I2145">
            <v>0</v>
          </cell>
          <cell r="J2145">
            <v>0</v>
          </cell>
          <cell r="K2145" t="str">
            <v>pcs</v>
          </cell>
          <cell r="L2145" t="str">
            <v>0</v>
          </cell>
        </row>
        <row r="2146">
          <cell r="F2146" t="str">
            <v>TWCK0057</v>
          </cell>
          <cell r="G2146" t="str">
            <v>TRAY KAYU 37 X 27 X 2.5</v>
          </cell>
          <cell r="H2146">
            <v>0</v>
          </cell>
          <cell r="I2146">
            <v>0</v>
          </cell>
          <cell r="J2146">
            <v>0</v>
          </cell>
          <cell r="K2146" t="str">
            <v>pcs</v>
          </cell>
          <cell r="L2146" t="str">
            <v>0</v>
          </cell>
        </row>
        <row r="2147">
          <cell r="F2147" t="str">
            <v>TWCK0058</v>
          </cell>
          <cell r="G2147" t="str">
            <v>TUTUP KOTAK DOSIRAK STAINLESS</v>
          </cell>
          <cell r="H2147">
            <v>0</v>
          </cell>
          <cell r="I2147">
            <v>0</v>
          </cell>
          <cell r="J2147">
            <v>0</v>
          </cell>
          <cell r="K2147" t="str">
            <v>pcs</v>
          </cell>
          <cell r="L2147" t="str">
            <v>0</v>
          </cell>
        </row>
      </sheetData>
      <sheetData sheetId="4"/>
      <sheetData sheetId="5"/>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ode" xr10:uid="{648D6AFF-FF7C-435A-9FDE-223F11FB3759}" sourceName="Item Code">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Name" xr10:uid="{F9B9C3FA-7947-45DF-9C5C-80FEBAC6D658}" sourceName="Item Name">
  <extLst>
    <x:ext xmlns:x15="http://schemas.microsoft.com/office/spreadsheetml/2010/11/main" uri="{2F2917AC-EB37-4324-AD4E-5DD8C200BD13}">
      <x15:tableSlicerCache tableId="2"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tem Code" xr10:uid="{490AFB29-3CE4-4A7B-BDD3-7665690B5FA0}" cache="Slicer_Item_Code" caption="Item Code" startItem="28" rowHeight="241300"/>
  <slicer name="Item Name" xr10:uid="{BC3B4043-1FF6-4891-9E3E-2C0347D504D4}" cache="Slicer_Item_Name" caption="Item Nam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FF7252A-C1B9-42E6-A090-E17C1880B3F7}" name="Table5" displayName="Table5" ref="A16:K6308" totalsRowShown="0" headerRowDxfId="103" tableBorderDxfId="102" headerRowCellStyle="60% - Accent3">
  <autoFilter ref="A16:K6308" xr:uid="{9FF7252A-C1B9-42E6-A090-E17C1880B3F7}"/>
  <tableColumns count="11">
    <tableColumn id="1" xr3:uid="{0CCF49C7-DBB1-4751-987B-19D32A7D0AF4}" name="Jumlah produk terjual"/>
    <tableColumn id="2" xr3:uid="{4E8B8D8D-B862-4552-84F5-3CF589EC3CE9}" name="Menu_Code"/>
    <tableColumn id="3" xr3:uid="{0DFB0F3B-5D24-4B7A-B1C1-4573BA006102}" name="Menu_Name"/>
    <tableColumn id="4" xr3:uid="{5F16C693-10DB-46CC-90B0-A798928E1558}" name="Ingredients_code"/>
    <tableColumn id="5" xr3:uid="{806AB51B-0701-4C94-9A72-A767A7EFD431}" name="Ingredients"/>
    <tableColumn id="6" xr3:uid="{DB264349-45D7-4D73-91E6-FBF04E4EB9AD}" name="Main_Gramasi"/>
    <tableColumn id="7" xr3:uid="{4BE3A6BB-BB89-498E-B158-D6C6F1CDD1DB}" name="UOM_1"/>
    <tableColumn id="8" xr3:uid="{FD135A6C-E5D6-4754-AAAF-50CCA0C63A1A}" name="Breakdown_Gramasi"/>
    <tableColumn id="9" xr3:uid="{1BBD057B-F4E4-4E76-B40B-FE49355EA562}" name="UOM_2"/>
    <tableColumn id="10" xr3:uid="{57E73522-AFE5-4404-93BA-B197D056BDFA}" name="Yield_Items"/>
    <tableColumn id="11" xr3:uid="{2D8D63BF-06C3-4373-AC30-4FDD23C86DAE}" name="Total_Usage_Ingredients_Breakdow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A2523E8-AD95-489F-B60E-8B1713150785}" name="Table2" displayName="Table2" ref="A3:B339" totalsRowShown="0" headerRowDxfId="0">
  <autoFilter ref="A3:B339" xr:uid="{4A2523E8-AD95-489F-B60E-8B1713150785}"/>
  <tableColumns count="2">
    <tableColumn id="1" xr3:uid="{B6B9B361-52D3-43C9-BDD7-73E4D6A404AD}" name="Item Code"/>
    <tableColumn id="2" xr3:uid="{C7052F0B-0E7C-40E7-A3B0-61D52753467A}" name="Item 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vmlDrawing" Target="../drawings/vmlDrawing1.vml"/><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table" Target="../tables/table1.xml"/><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98D6A-E660-4A2C-96EF-3180AB1DAD41}">
  <sheetPr codeName="Sheet1">
    <tabColor rgb="FF00B050"/>
  </sheetPr>
  <dimension ref="A1:BA4664"/>
  <sheetViews>
    <sheetView showGridLines="0" topLeftCell="K28" zoomScale="60" zoomScaleNormal="60" workbookViewId="0">
      <selection activeCell="P13" sqref="P13"/>
    </sheetView>
  </sheetViews>
  <sheetFormatPr defaultRowHeight="14.5" x14ac:dyDescent="0.35"/>
  <cols>
    <col min="1" max="1" width="20.90625" customWidth="1"/>
    <col min="2" max="2" width="43.453125" customWidth="1"/>
    <col min="3" max="3" width="43.36328125" bestFit="1" customWidth="1"/>
    <col min="4" max="4" width="20.81640625" customWidth="1"/>
    <col min="5" max="5" width="51.26953125" customWidth="1"/>
    <col min="6" max="6" width="14.54296875" customWidth="1"/>
    <col min="7" max="7" width="13.08984375" bestFit="1" customWidth="1"/>
    <col min="8" max="8" width="35" customWidth="1"/>
    <col min="9" max="9" width="11.1796875" bestFit="1" customWidth="1"/>
    <col min="10" max="10" width="10.7265625" hidden="1" customWidth="1"/>
    <col min="11" max="11" width="33.36328125" customWidth="1"/>
    <col min="12" max="15" width="28" hidden="1" customWidth="1"/>
    <col min="16" max="16" width="28" customWidth="1"/>
    <col min="17" max="17" width="15.26953125" customWidth="1"/>
    <col min="18" max="18" width="10.54296875" customWidth="1"/>
    <col min="19" max="19" width="43.26953125" bestFit="1" customWidth="1"/>
    <col min="20" max="20" width="16.36328125" customWidth="1"/>
    <col min="21" max="21" width="43.54296875" bestFit="1" customWidth="1"/>
    <col min="22" max="22" width="12.1796875" customWidth="1"/>
    <col min="23" max="23" width="7.54296875" bestFit="1" customWidth="1"/>
    <col min="25" max="25" width="11.36328125" bestFit="1" customWidth="1"/>
    <col min="26" max="26" width="25.453125" customWidth="1"/>
    <col min="28" max="28" width="11.1796875" bestFit="1" customWidth="1"/>
    <col min="29" max="29" width="54" bestFit="1" customWidth="1"/>
    <col min="30" max="30" width="10.7265625" bestFit="1" customWidth="1"/>
    <col min="31" max="31" width="43.36328125" bestFit="1" customWidth="1"/>
    <col min="35" max="35" width="8.7265625" customWidth="1"/>
    <col min="36" max="36" width="14.453125" bestFit="1" customWidth="1"/>
    <col min="37" max="37" width="10.7265625" bestFit="1" customWidth="1"/>
    <col min="38" max="38" width="29.81640625" bestFit="1" customWidth="1"/>
    <col min="39" max="39" width="13.08984375" bestFit="1" customWidth="1"/>
    <col min="40" max="40" width="13.08984375" customWidth="1"/>
    <col min="41" max="41" width="15.81640625" bestFit="1" customWidth="1"/>
    <col min="42" max="44" width="0" hidden="1" customWidth="1"/>
    <col min="46" max="49" width="8.7265625" customWidth="1"/>
  </cols>
  <sheetData>
    <row r="1" spans="1:43" x14ac:dyDescent="0.35">
      <c r="A1" t="s">
        <v>745</v>
      </c>
    </row>
    <row r="2" spans="1:43" ht="15" thickBot="1" x14ac:dyDescent="0.4"/>
    <row r="3" spans="1:43" ht="15.5" thickTop="1" thickBot="1" x14ac:dyDescent="0.4">
      <c r="A3" s="79" t="s">
        <v>1062</v>
      </c>
      <c r="B3" s="80" t="s">
        <v>1058</v>
      </c>
      <c r="D3" s="74" t="s">
        <v>1057</v>
      </c>
      <c r="E3" s="75" t="s">
        <v>1060</v>
      </c>
      <c r="G3" s="87" t="s">
        <v>1057</v>
      </c>
      <c r="H3" s="75" t="s">
        <v>1063</v>
      </c>
    </row>
    <row r="4" spans="1:43" ht="15" thickTop="1" x14ac:dyDescent="0.35">
      <c r="A4" s="81">
        <f>LARGE(L17:L201, 1)</f>
        <v>305.00560000000002</v>
      </c>
      <c r="B4" s="78" t="str">
        <f>INDEX(S17:S201, MATCH(A4, L17:L201, 0))</f>
        <v>ADD RICE</v>
      </c>
      <c r="D4" s="82">
        <f>LARGE(N17:N201, 1)</f>
        <v>91822.105800000019</v>
      </c>
      <c r="E4" s="53" t="str">
        <f>INDEX(U17:U201, MATCH(D4, N17:N201, 0))</f>
        <v>Beras Japonica</v>
      </c>
      <c r="G4" s="86">
        <f>LARGE(AP17:AP38, 1)</f>
        <v>3.3999999999999998E-3</v>
      </c>
      <c r="H4" s="37" t="str">
        <f>INDEX(AL17:AL38, MATCH(G4, AP17:AP38, 0))</f>
        <v>JELLY B GREEN GRAPE</v>
      </c>
    </row>
    <row r="5" spans="1:43" x14ac:dyDescent="0.35">
      <c r="A5" s="81">
        <f>LARGE(L17:L201, 2)</f>
        <v>207.0017</v>
      </c>
      <c r="B5" s="78" t="str">
        <f>INDEX(S17:S201, MATCH(A5, L17:L201, 0))</f>
        <v>CHADOL SIGNATURE TASTY BEEF (REGULAR)</v>
      </c>
      <c r="D5" s="82">
        <f>LARGE(N17:N201, 2)</f>
        <v>91777.997699999993</v>
      </c>
      <c r="E5" s="53" t="str">
        <f>INDEX(U17:U201, MATCH(D5, N17:N201, 0))</f>
        <v xml:space="preserve">Beef Brisket / Short Plate                </v>
      </c>
      <c r="G5" s="86">
        <f>LARGE(AP17:AP38, 2)</f>
        <v>3.3E-3</v>
      </c>
      <c r="H5" s="37" t="str">
        <f>INDEX(AL17:AL38, MATCH(G5, AP17:AP38, 0))</f>
        <v>JELLY B WATERMELON</v>
      </c>
    </row>
    <row r="6" spans="1:43" x14ac:dyDescent="0.35">
      <c r="A6" s="81">
        <f>LARGE(L17:L201, 3)</f>
        <v>153.00299999999999</v>
      </c>
      <c r="B6" s="78" t="str">
        <f>INDEX(S17:S201, MATCH(A6, L17:L201, 0))</f>
        <v>Bulgogi Gimbap</v>
      </c>
      <c r="D6" s="82">
        <f>LARGE(N17:N201, 3)</f>
        <v>87320.004799999995</v>
      </c>
      <c r="E6" s="53" t="str">
        <f>INDEX(U17:U201, MATCH(D6, N17:N201, 0))</f>
        <v xml:space="preserve">Teok </v>
      </c>
      <c r="G6" s="86">
        <f>LARGE(AP17:AP38, 3)</f>
        <v>3.2000000000000002E-3</v>
      </c>
      <c r="H6" s="37" t="str">
        <f>INDEX(AL17:AL38, MATCH(G6, AP17:AP38, 0))</f>
        <v>JELLY B MANGO</v>
      </c>
    </row>
    <row r="7" spans="1:43" x14ac:dyDescent="0.35">
      <c r="A7" s="81">
        <f>LARGE(L17:L201, 4)</f>
        <v>137.00360000000001</v>
      </c>
      <c r="B7" s="78" t="str">
        <f>INDEX(S17:S201, MATCH(A7, L17:L201, 0))</f>
        <v>Tokpokki Original</v>
      </c>
      <c r="D7" s="82">
        <f>LARGE(N17:N201, 4)</f>
        <v>66605.005099999995</v>
      </c>
      <c r="E7" s="53" t="str">
        <f>INDEX(U17:U201, MATCH(D7, N17:N201, 0))</f>
        <v>KAARAGE GARLIC MINI</v>
      </c>
      <c r="G7" s="86">
        <f>LARGE(AP17:AP38, 4)</f>
        <v>3.0999999999999999E-3</v>
      </c>
      <c r="H7" s="37" t="str">
        <f>INDEX(AL17:AL38, MATCH(G7, AP17:AP38, 0))</f>
        <v>JELLY B MANDARIN</v>
      </c>
    </row>
    <row r="8" spans="1:43" ht="15" thickBot="1" x14ac:dyDescent="0.4">
      <c r="A8" s="81">
        <f>LARGE(L17:L201, 5)</f>
        <v>127.00369999999999</v>
      </c>
      <c r="B8" s="78" t="str">
        <f>INDEX(S17:S201, MATCH(A8, L17:L201, 0))</f>
        <v>Rappokki</v>
      </c>
      <c r="D8" s="82">
        <f>LARGE(N17:N201, 5)</f>
        <v>57186.006499999996</v>
      </c>
      <c r="E8" s="53" t="str">
        <f>INDEX(U17:U201, MATCH(D8, N17:N201, 0))</f>
        <v>Telur Utuh</v>
      </c>
      <c r="G8" s="86">
        <f>LARGE(AP17:AP38, 5)</f>
        <v>3.0000000000000001E-3</v>
      </c>
      <c r="H8" s="37" t="str">
        <f>INDEX(AL17:AL38, MATCH(G8, AP17:AP38, 0))</f>
        <v>LYCHEE K-DRINK</v>
      </c>
    </row>
    <row r="9" spans="1:43" ht="15.5" thickTop="1" thickBot="1" x14ac:dyDescent="0.4">
      <c r="A9" s="74" t="s">
        <v>1062</v>
      </c>
      <c r="B9" s="75" t="s">
        <v>1059</v>
      </c>
      <c r="D9" s="74" t="s">
        <v>1057</v>
      </c>
      <c r="E9" s="75" t="s">
        <v>1061</v>
      </c>
      <c r="G9" s="74" t="s">
        <v>1064</v>
      </c>
      <c r="H9" s="75" t="s">
        <v>1065</v>
      </c>
    </row>
    <row r="10" spans="1:43" ht="15" thickTop="1" x14ac:dyDescent="0.35">
      <c r="A10" s="82">
        <f>SMALL(L17:L200, 1)</f>
        <v>5.4999999999999997E-3</v>
      </c>
      <c r="B10" s="53" t="str">
        <f>INDEX(S17:S201, MATCH(A10, L17:L201, 0))</f>
        <v>ADD MAYONAISE</v>
      </c>
      <c r="D10" s="82">
        <f>SMALL(N17:N200, 1)</f>
        <v>9.7999999999999997E-3</v>
      </c>
      <c r="E10" s="53" t="str">
        <f>INDEX(U17:U201, MATCH(D10, N17:N201, 0))</f>
        <v>MANDU 24 PCS/PACK</v>
      </c>
      <c r="G10" s="86">
        <f>SMALL(AP17:AP38, 1)</f>
        <v>1.6999999999999999E-3</v>
      </c>
      <c r="H10" s="37" t="str">
        <f>INDEX(AL17:AL38, MATCH(G10, AP17:AP38, 0))</f>
        <v>MINERAL WATER</v>
      </c>
    </row>
    <row r="11" spans="1:43" x14ac:dyDescent="0.35">
      <c r="A11" s="82">
        <f>SMALL(L17:L200, 2)</f>
        <v>6.1000000000000004E-3</v>
      </c>
      <c r="B11" s="53" t="str">
        <f>INDEX(S17:S201, MATCH(A11, L17:L201, 0))</f>
        <v>Add Daun Bawang 50 g</v>
      </c>
      <c r="D11" s="82">
        <f>SMALL(N17:N200, 2)</f>
        <v>9.9000000000000008E-3</v>
      </c>
      <c r="E11" s="53" t="str">
        <f>INDEX(U17:U201, MATCH(D11, N17:N201, 0))</f>
        <v xml:space="preserve">	WIP Daun Bawang Cung</v>
      </c>
      <c r="G11" s="86">
        <f>SMALL(AP17:AP38, 2)</f>
        <v>1.8E-3</v>
      </c>
      <c r="H11" s="37" t="str">
        <f>INDEX(AL17:AL38, MATCH(G11, AP17:AP38, 0))</f>
        <v>WATERMELON K-DRINK</v>
      </c>
    </row>
    <row r="12" spans="1:43" x14ac:dyDescent="0.35">
      <c r="A12" s="82">
        <f>SMALL(L17:L200, 3)</f>
        <v>6.1999999999999998E-3</v>
      </c>
      <c r="B12" s="53" t="str">
        <f>INDEX(S17:S201, MATCH(A12, L17:L201, 0))</f>
        <v>Add Tauge Namul Gujeolpan 50 g</v>
      </c>
      <c r="D12" s="82">
        <f>SMALL(N17:N200, 3)</f>
        <v>0.01</v>
      </c>
      <c r="E12" s="53" t="str">
        <f>INDEX(U17:U201, MATCH(D12, N17:N201, 0))</f>
        <v>Beras Hitam (Mlatiharjo)</v>
      </c>
      <c r="G12" s="86">
        <f>SMALL(AP17:AP38, 3)</f>
        <v>1.9E-3</v>
      </c>
      <c r="H12" s="37" t="str">
        <f>INDEX(AL17:AL38, MATCH(G12, AP17:AP38, 0))</f>
        <v>KIWI K-DRINK</v>
      </c>
      <c r="L12" s="19"/>
      <c r="M12" s="19"/>
      <c r="N12" s="19"/>
      <c r="O12" s="19"/>
      <c r="P12" s="19"/>
    </row>
    <row r="13" spans="1:43" x14ac:dyDescent="0.35">
      <c r="A13" s="82">
        <f>SMALL(L17:L200, 4)</f>
        <v>6.3E-3</v>
      </c>
      <c r="B13" s="53" t="str">
        <f>INDEX(S17:S201, MATCH(A13, L17:L201, 0))</f>
        <v xml:space="preserve">	Add Shiitake Marinated 30 g</v>
      </c>
      <c r="D13" s="82">
        <f>SMALL(N17:N200, 4)</f>
        <v>1.01E-2</v>
      </c>
      <c r="E13" s="53" t="str">
        <f>INDEX(U17:U201, MATCH(D13, N17:N201, 0))</f>
        <v>Seaweed (DRY)</v>
      </c>
      <c r="G13" s="86">
        <f>SMALL(AP17:AP38, 4)</f>
        <v>2E-3</v>
      </c>
      <c r="H13" s="37" t="str">
        <f>INDEX(AL17:AL38, MATCH(G13, AP17:AP38, 0))</f>
        <v>PEACH K-DRINK</v>
      </c>
      <c r="L13" s="19"/>
      <c r="M13" s="19"/>
      <c r="N13" s="19"/>
      <c r="O13" s="19"/>
      <c r="P13" s="19"/>
    </row>
    <row r="14" spans="1:43" ht="15" thickBot="1" x14ac:dyDescent="0.4">
      <c r="A14" s="83">
        <f>SMALL(L17:L200, 5)</f>
        <v>7.1000000000000004E-3</v>
      </c>
      <c r="B14" s="54" t="str">
        <f>INDEX(S17:S201, MATCH(A14, L17:L201, 0))</f>
        <v>ADD EOMUK BOKKEUM 30GR</v>
      </c>
      <c r="D14" s="83">
        <f>SMALL(N17:N200, 5)</f>
        <v>1.04E-2</v>
      </c>
      <c r="E14" s="54" t="str">
        <f>INDEX(U17:U201, MATCH(D14, N17:N201, 0))</f>
        <v>MACARONI</v>
      </c>
      <c r="G14" s="88">
        <f>SMALL(AP17:AP38, 5)</f>
        <v>2.0999999999999999E-3</v>
      </c>
      <c r="H14" s="38" t="str">
        <f>INDEX(AL17:AL38, MATCH(G14, AP17:AP38, 0))</f>
        <v>MUSCAT (GREEN GRAPE) K-DRINK</v>
      </c>
      <c r="L14" s="19"/>
      <c r="M14" s="19"/>
      <c r="N14" s="19"/>
      <c r="O14" s="19"/>
      <c r="P14" s="19"/>
    </row>
    <row r="15" spans="1:43" ht="29.5" customHeight="1" thickTop="1" thickBot="1" x14ac:dyDescent="0.4">
      <c r="L15" s="19"/>
      <c r="M15" s="19"/>
      <c r="N15" s="19"/>
      <c r="O15" s="19"/>
      <c r="P15" s="21"/>
      <c r="V15" s="2"/>
      <c r="W15" s="2"/>
      <c r="Z15" s="2"/>
    </row>
    <row r="16" spans="1:43" ht="42" customHeight="1" thickTop="1" thickBot="1" x14ac:dyDescent="0.4">
      <c r="A16" s="668" t="s">
        <v>62</v>
      </c>
      <c r="B16" s="669" t="s">
        <v>3</v>
      </c>
      <c r="C16" s="669" t="s">
        <v>2</v>
      </c>
      <c r="D16" s="669" t="s">
        <v>38</v>
      </c>
      <c r="E16" s="669" t="s">
        <v>0</v>
      </c>
      <c r="F16" s="670" t="s">
        <v>68</v>
      </c>
      <c r="G16" s="669" t="s">
        <v>71</v>
      </c>
      <c r="H16" s="670" t="s">
        <v>69</v>
      </c>
      <c r="I16" s="669" t="s">
        <v>72</v>
      </c>
      <c r="J16" s="669" t="s">
        <v>70</v>
      </c>
      <c r="K16" s="716" t="s">
        <v>741</v>
      </c>
      <c r="L16" s="527" t="s">
        <v>982</v>
      </c>
      <c r="M16" s="528" t="s">
        <v>1011</v>
      </c>
      <c r="N16" s="528" t="s">
        <v>1012</v>
      </c>
      <c r="O16" s="528" t="s">
        <v>1013</v>
      </c>
      <c r="P16" s="67"/>
      <c r="Q16" s="61" t="s">
        <v>902</v>
      </c>
      <c r="R16" s="50" t="s">
        <v>119</v>
      </c>
      <c r="S16" s="55" t="s">
        <v>120</v>
      </c>
      <c r="T16" s="50" t="s">
        <v>86</v>
      </c>
      <c r="U16" s="55" t="s">
        <v>87</v>
      </c>
      <c r="V16" s="57" t="s">
        <v>743</v>
      </c>
      <c r="W16" s="57" t="s">
        <v>901</v>
      </c>
      <c r="X16" s="51" t="s">
        <v>88</v>
      </c>
      <c r="Y16" s="68" t="s">
        <v>744</v>
      </c>
      <c r="Z16" s="69" t="s">
        <v>742</v>
      </c>
      <c r="AA16" s="60" t="s">
        <v>901</v>
      </c>
      <c r="AB16" s="202"/>
      <c r="AC16" s="202"/>
      <c r="AD16" s="202"/>
      <c r="AE16" s="202"/>
      <c r="AF16" s="202"/>
      <c r="AJ16" s="50" t="s">
        <v>902</v>
      </c>
      <c r="AK16" s="55" t="s">
        <v>1014</v>
      </c>
      <c r="AL16" s="55" t="s">
        <v>1015</v>
      </c>
      <c r="AM16" s="55" t="s">
        <v>1016</v>
      </c>
      <c r="AN16" s="50" t="s">
        <v>1054</v>
      </c>
      <c r="AO16" s="51" t="s">
        <v>1017</v>
      </c>
      <c r="AP16" s="2" t="s">
        <v>1117</v>
      </c>
      <c r="AQ16" s="89" t="s">
        <v>1118</v>
      </c>
    </row>
    <row r="17" spans="1:53" ht="15" thickTop="1" x14ac:dyDescent="0.35">
      <c r="A17" s="76">
        <f>IFERROR(INDEX($Q$17:$Q$150,MATCH(B17,$R$17:$R$150, 0)), "")</f>
        <v>207</v>
      </c>
      <c r="B17" s="529" t="s">
        <v>4</v>
      </c>
      <c r="C17" s="530" t="s">
        <v>1</v>
      </c>
      <c r="D17" s="531" t="s">
        <v>63</v>
      </c>
      <c r="E17" s="532" t="s">
        <v>75</v>
      </c>
      <c r="F17" s="439">
        <v>150</v>
      </c>
      <c r="G17" s="438" t="s">
        <v>73</v>
      </c>
      <c r="H17" s="438">
        <v>150</v>
      </c>
      <c r="I17" s="438" t="s">
        <v>73</v>
      </c>
      <c r="J17" s="533"/>
      <c r="K17" s="671">
        <f>A17*H17</f>
        <v>31050</v>
      </c>
      <c r="L17" s="534">
        <f>Q17+ROW()/10000</f>
        <v>207.0017</v>
      </c>
      <c r="M17" s="458">
        <f>IF(Q17&gt;0, Q17, "")</f>
        <v>207</v>
      </c>
      <c r="N17" s="458">
        <f t="shared" ref="N17:N80" si="0">V17+ROW()/10000</f>
        <v>91777.997699999993</v>
      </c>
      <c r="O17" s="458">
        <f t="shared" ref="O17:O80" si="1">IF(V17&gt;0, V17, "")</f>
        <v>91777.995999999999</v>
      </c>
      <c r="P17" s="21"/>
      <c r="Q17" s="506">
        <v>207</v>
      </c>
      <c r="R17" s="52" t="str" cm="1">
        <f t="array" ref="R17:R139">_xlfn.UNIQUE(_xlfn._xlws.FILTER(B17:B53406,B17:B53406&lt;&gt;0))</f>
        <v xml:space="preserve">CGGP0001  </v>
      </c>
      <c r="S17" s="44" t="str">
        <f t="shared" ref="S17:S48" si="2">IFERROR(VLOOKUP(R17, $B$17:$C$3406, 2, FALSE), "Not Found")</f>
        <v>CHADOL SIGNATURE TASTY BEEF (REGULAR)</v>
      </c>
      <c r="T17" s="58" t="str" cm="1">
        <f t="array" ref="T17:T140">_xlfn.UNIQUE(_xlfn._xlws.FILTER(D17:D3406, D17:D3406&lt;&gt;0))</f>
        <v>FMP00004</v>
      </c>
      <c r="U17" s="44" t="str">
        <f t="shared" ref="U17:U80" si="3">IF(T17="","", IF(INDEX(E$17:E$3406, MATCH(T17, D$17:D$3406, 0))=0,"", INDEX(E$17:E$3406, MATCH(T17, D$17:D$3406, 0))))</f>
        <v xml:space="preserve">Beef Brisket / Short Plate                </v>
      </c>
      <c r="V17" s="45">
        <f t="shared" ref="V17:V80" si="4">IF(T17="","", SUMIFS(K$17:K$3406, D$17:D$3406, T17))</f>
        <v>91777.995999999999</v>
      </c>
      <c r="W17" s="45" t="s">
        <v>73</v>
      </c>
      <c r="X17" s="62">
        <v>0.97</v>
      </c>
      <c r="Y17" s="63">
        <v>0.1</v>
      </c>
      <c r="Z17" s="45">
        <f>IF(V17&gt;0,ROUND( ((V17/X17 * (1 + Y17))),2), 0)</f>
        <v>104078.14</v>
      </c>
      <c r="AA17" s="64" t="s">
        <v>73</v>
      </c>
      <c r="AB17" t="s">
        <v>1335</v>
      </c>
      <c r="AC17" t="s">
        <v>1443</v>
      </c>
      <c r="AD17" s="45" t="str" cm="1">
        <f t="array" ref="AD17:AD120">_xlfn._xlws.FILTER(AB17:AB300, ISNA(MATCH(AB17:AB300, R17:R300, 0)), "Tidak Ada Data")</f>
        <v xml:space="preserve">CGRD0001  </v>
      </c>
      <c r="AE17" s="45" t="str" cm="1">
        <f t="array" ref="AE17:AE300">IFERROR(_xlfn.XLOOKUP(AD17:AD300, AB17:AB300, AC17:AC300), "Tidak Ditemukan")</f>
        <v>COLD CORN TEA</v>
      </c>
      <c r="AF17" s="45"/>
      <c r="AJ17" s="70"/>
      <c r="AK17" s="44" t="s">
        <v>1018</v>
      </c>
      <c r="AL17" s="44" t="s">
        <v>1019</v>
      </c>
      <c r="AM17" s="71"/>
      <c r="AN17" s="70"/>
      <c r="AO17" s="65">
        <f>MAX((AN17-AM17)+AJ17,0)</f>
        <v>0</v>
      </c>
      <c r="AP17">
        <f>AJ17+ROW()/10000</f>
        <v>1.6999999999999999E-3</v>
      </c>
      <c r="AQ17" t="str">
        <f>IF(AJ17&gt;0,AJ17,"")</f>
        <v/>
      </c>
      <c r="AR17" cm="1">
        <f t="array" ref="AR17">_xlfn.UNIQUE(AJ17:AJ34)</f>
        <v>0</v>
      </c>
      <c r="AT17" s="90">
        <f>LARGE(N17:N201, 1)</f>
        <v>91822.105800000019</v>
      </c>
      <c r="AU17" s="91" t="str">
        <f>INDEX(U17:U201, MATCH(D4, N17:N201, 0))</f>
        <v>Beras Japonica</v>
      </c>
      <c r="AV17" s="90">
        <f>LARGE(L17:L201, 1)</f>
        <v>305.00560000000002</v>
      </c>
      <c r="AW17" s="91" t="str">
        <f>INDEX(S17:S201, MATCH(A4, L17:L201, 0))</f>
        <v>ADD RICE</v>
      </c>
      <c r="AX17" s="91"/>
      <c r="AY17" s="91"/>
      <c r="AZ17" s="91"/>
      <c r="BA17" s="91"/>
    </row>
    <row r="18" spans="1:53" x14ac:dyDescent="0.35">
      <c r="A18" s="535" t="str">
        <f t="shared" ref="A18:A48" si="5">IFERROR(INDEX($Q$17:$Q$41,MATCH(B18,$R$17:$R$41, 0)), "")</f>
        <v/>
      </c>
      <c r="B18" s="337"/>
      <c r="C18" s="337"/>
      <c r="D18" s="326" t="s">
        <v>53</v>
      </c>
      <c r="E18" s="536" t="s">
        <v>76</v>
      </c>
      <c r="F18" s="335">
        <v>40</v>
      </c>
      <c r="G18" s="18" t="s">
        <v>73</v>
      </c>
      <c r="H18" s="18">
        <v>40</v>
      </c>
      <c r="I18" s="18" t="s">
        <v>73</v>
      </c>
      <c r="J18" s="337"/>
      <c r="K18" s="672">
        <f>A17*H18</f>
        <v>8280</v>
      </c>
      <c r="L18" s="534">
        <f t="shared" ref="L18:L81" si="6">Q18+ROW()/10000</f>
        <v>83.001800000000003</v>
      </c>
      <c r="M18" s="458">
        <f t="shared" ref="M18:M81" si="7">IF(Q18&gt;0, Q18, "")</f>
        <v>83</v>
      </c>
      <c r="N18" s="458">
        <f t="shared" si="0"/>
        <v>17790.001799999998</v>
      </c>
      <c r="O18" s="458">
        <f t="shared" si="1"/>
        <v>17790</v>
      </c>
      <c r="P18" s="21"/>
      <c r="Q18" s="506">
        <v>83</v>
      </c>
      <c r="R18" s="52" t="str">
        <v xml:space="preserve">CGGP0002  </v>
      </c>
      <c r="S18" s="44" t="str">
        <f t="shared" si="2"/>
        <v>CHADOL SIGNATURE TASTY BEEF (LARGE)</v>
      </c>
      <c r="T18" s="58" t="str">
        <v>FVF00001</v>
      </c>
      <c r="U18" s="44" t="str">
        <f t="shared" si="3"/>
        <v xml:space="preserve">Minari                                                 </v>
      </c>
      <c r="V18" s="45">
        <f t="shared" si="4"/>
        <v>17790</v>
      </c>
      <c r="W18" s="45" t="s">
        <v>73</v>
      </c>
      <c r="X18" s="62">
        <v>0.84870000000000001</v>
      </c>
      <c r="Y18" s="63">
        <v>0.1</v>
      </c>
      <c r="Z18" s="45">
        <f t="shared" ref="Z18:Z81" si="8">IF(V18&gt;0,ROUND( ((V18/X18 * (1 + Y18))),2), 0)</f>
        <v>23057.62</v>
      </c>
      <c r="AA18" s="64" t="s">
        <v>73</v>
      </c>
      <c r="AB18" t="s">
        <v>1266</v>
      </c>
      <c r="AC18" t="s">
        <v>1379</v>
      </c>
      <c r="AD18" s="45" t="str">
        <v xml:space="preserve">CGPK0020  </v>
      </c>
      <c r="AE18" s="45" t="str">
        <v>PACKAGING FEE</v>
      </c>
      <c r="AF18" s="45"/>
      <c r="AJ18" s="70"/>
      <c r="AK18" s="44" t="s">
        <v>1020</v>
      </c>
      <c r="AL18" s="44" t="s">
        <v>1021</v>
      </c>
      <c r="AM18" s="71"/>
      <c r="AN18" s="70"/>
      <c r="AO18" s="65">
        <f t="shared" ref="AO18:AO34" si="9">MAX((AN18-AM18)+AJ18,0)</f>
        <v>0</v>
      </c>
      <c r="AP18">
        <f t="shared" ref="AP18:AP34" si="10">AJ18+ROW()/10000</f>
        <v>1.8E-3</v>
      </c>
      <c r="AQ18" t="str">
        <f t="shared" ref="AQ18:AQ34" si="11">IF(AJ18&gt;0,AJ18,"")</f>
        <v/>
      </c>
      <c r="AR18" s="77"/>
      <c r="AT18" s="90">
        <f>LARGE(N17:N201, 2)</f>
        <v>91777.997699999993</v>
      </c>
      <c r="AU18" s="91" t="str">
        <f>INDEX(U17:U201, MATCH(D5, N17:N201, 0))</f>
        <v xml:space="preserve">Beef Brisket / Short Plate                </v>
      </c>
      <c r="AV18" s="90">
        <f>LARGE(L17:L201, 2)</f>
        <v>207.0017</v>
      </c>
      <c r="AW18" s="91" t="str">
        <f>INDEX(S17:S201, MATCH(A5, L17:L201, 0))</f>
        <v>CHADOL SIGNATURE TASTY BEEF (REGULAR)</v>
      </c>
      <c r="AX18" s="91"/>
      <c r="AY18" s="91"/>
      <c r="AZ18" s="91"/>
      <c r="BA18" s="91"/>
    </row>
    <row r="19" spans="1:53" x14ac:dyDescent="0.35">
      <c r="A19" s="535" t="str">
        <f t="shared" si="5"/>
        <v/>
      </c>
      <c r="B19" s="330"/>
      <c r="C19" s="330"/>
      <c r="D19" s="326" t="s">
        <v>48</v>
      </c>
      <c r="E19" s="327" t="s">
        <v>109</v>
      </c>
      <c r="F19" s="328">
        <v>40</v>
      </c>
      <c r="G19" s="22" t="s">
        <v>73</v>
      </c>
      <c r="H19" s="22">
        <v>40</v>
      </c>
      <c r="I19" s="22" t="s">
        <v>73</v>
      </c>
      <c r="J19" s="330"/>
      <c r="K19" s="673">
        <f>A17*H19</f>
        <v>8280</v>
      </c>
      <c r="L19" s="534">
        <f t="shared" si="6"/>
        <v>69.001900000000006</v>
      </c>
      <c r="M19" s="458">
        <f t="shared" si="7"/>
        <v>69</v>
      </c>
      <c r="N19" s="458">
        <f t="shared" si="0"/>
        <v>34998.451899999978</v>
      </c>
      <c r="O19" s="458">
        <f t="shared" si="1"/>
        <v>34998.449999999975</v>
      </c>
      <c r="P19" s="21"/>
      <c r="Q19" s="506">
        <v>69</v>
      </c>
      <c r="R19" s="52" t="str">
        <v xml:space="preserve">CGGP0003  </v>
      </c>
      <c r="S19" s="44" t="str">
        <f t="shared" si="2"/>
        <v>CHADOL SIGNATURE TOKUSEN WAGYU (REGULAR)</v>
      </c>
      <c r="T19" s="58" t="str">
        <v>FVF00017</v>
      </c>
      <c r="U19" s="44" t="str">
        <f t="shared" si="3"/>
        <v xml:space="preserve">Daun bawang besar                         </v>
      </c>
      <c r="V19" s="45">
        <f t="shared" si="4"/>
        <v>34998.449999999975</v>
      </c>
      <c r="W19" s="45" t="s">
        <v>73</v>
      </c>
      <c r="X19" s="62">
        <v>0.7903</v>
      </c>
      <c r="Y19" s="63">
        <v>0.1</v>
      </c>
      <c r="Z19" s="45">
        <f t="shared" si="8"/>
        <v>48713.52</v>
      </c>
      <c r="AA19" s="64" t="s">
        <v>73</v>
      </c>
      <c r="AB19" t="s">
        <v>1018</v>
      </c>
      <c r="AC19" t="s">
        <v>1019</v>
      </c>
      <c r="AD19" s="45" t="str">
        <v xml:space="preserve">CGPK0004  </v>
      </c>
      <c r="AE19" s="45" t="str">
        <v>PLASTIK KECIL</v>
      </c>
      <c r="AF19" s="45"/>
      <c r="AJ19" s="70"/>
      <c r="AK19" s="44" t="s">
        <v>1022</v>
      </c>
      <c r="AL19" s="44" t="s">
        <v>1023</v>
      </c>
      <c r="AM19" s="71"/>
      <c r="AN19" s="70"/>
      <c r="AO19" s="65">
        <f t="shared" si="9"/>
        <v>0</v>
      </c>
      <c r="AP19">
        <f t="shared" si="10"/>
        <v>1.9E-3</v>
      </c>
      <c r="AQ19" t="str">
        <f t="shared" si="11"/>
        <v/>
      </c>
      <c r="AT19" s="90">
        <f>LARGE(N17:N201, 3)</f>
        <v>87320.004799999995</v>
      </c>
      <c r="AU19" s="91" t="str">
        <f>INDEX(U17:U201, MATCH(D6, N17:N201, 0))</f>
        <v xml:space="preserve">Teok </v>
      </c>
      <c r="AV19" s="90">
        <f>LARGE(L17:L201, 3)</f>
        <v>153.00299999999999</v>
      </c>
      <c r="AW19" s="91" t="str">
        <f>INDEX(S17:S201, MATCH(A6, L17:L201, 0))</f>
        <v>Bulgogi Gimbap</v>
      </c>
      <c r="AX19" s="91"/>
      <c r="AY19" s="91"/>
      <c r="AZ19" s="91"/>
      <c r="BA19" s="91"/>
    </row>
    <row r="20" spans="1:53" x14ac:dyDescent="0.35">
      <c r="A20" s="535" t="str">
        <f t="shared" si="5"/>
        <v/>
      </c>
      <c r="B20" s="337"/>
      <c r="C20" s="337"/>
      <c r="D20" s="326" t="s">
        <v>54</v>
      </c>
      <c r="E20" s="334" t="s">
        <v>77</v>
      </c>
      <c r="F20" s="335">
        <v>50</v>
      </c>
      <c r="G20" s="18" t="s">
        <v>73</v>
      </c>
      <c r="H20" s="18">
        <v>50</v>
      </c>
      <c r="I20" s="18" t="s">
        <v>73</v>
      </c>
      <c r="J20" s="337"/>
      <c r="K20" s="672">
        <f>A17*H20</f>
        <v>10350</v>
      </c>
      <c r="L20" s="534">
        <f t="shared" si="6"/>
        <v>49.002000000000002</v>
      </c>
      <c r="M20" s="458">
        <f t="shared" si="7"/>
        <v>49</v>
      </c>
      <c r="N20" s="458">
        <f t="shared" si="0"/>
        <v>27730.002</v>
      </c>
      <c r="O20" s="458">
        <f t="shared" si="1"/>
        <v>27730</v>
      </c>
      <c r="P20" s="21"/>
      <c r="Q20" s="506">
        <v>49</v>
      </c>
      <c r="R20" s="52" t="str">
        <v xml:space="preserve">CGGP0004  </v>
      </c>
      <c r="S20" s="44" t="str">
        <f t="shared" si="2"/>
        <v>CHADOL SIGNATURE TOKUSEN WAGYU (LARGE)</v>
      </c>
      <c r="T20" s="58" t="str">
        <v>FVF00003</v>
      </c>
      <c r="U20" s="44" t="str">
        <f t="shared" si="3"/>
        <v xml:space="preserve">Enoki                                                    </v>
      </c>
      <c r="V20" s="45">
        <f t="shared" si="4"/>
        <v>27730</v>
      </c>
      <c r="W20" s="45" t="s">
        <v>73</v>
      </c>
      <c r="X20" s="62">
        <v>0.87</v>
      </c>
      <c r="Y20" s="63">
        <v>0.1</v>
      </c>
      <c r="Z20" s="45">
        <f t="shared" si="8"/>
        <v>35060.92</v>
      </c>
      <c r="AA20" s="64" t="s">
        <v>73</v>
      </c>
      <c r="AB20" t="s">
        <v>1321</v>
      </c>
      <c r="AC20" t="s">
        <v>1429</v>
      </c>
      <c r="AD20" s="45" t="str">
        <v xml:space="preserve">CGRD0002  </v>
      </c>
      <c r="AE20" s="45" t="str">
        <v>HOT CORN TEA</v>
      </c>
      <c r="AF20" s="45"/>
      <c r="AJ20" s="70"/>
      <c r="AK20" s="44" t="s">
        <v>1024</v>
      </c>
      <c r="AL20" s="44" t="s">
        <v>1025</v>
      </c>
      <c r="AM20" s="71"/>
      <c r="AN20" s="70"/>
      <c r="AO20" s="65">
        <f t="shared" si="9"/>
        <v>0</v>
      </c>
      <c r="AP20">
        <f t="shared" si="10"/>
        <v>2E-3</v>
      </c>
      <c r="AQ20" t="str">
        <f t="shared" si="11"/>
        <v/>
      </c>
      <c r="AT20" s="90">
        <f>LARGE(N17:N201, 4)</f>
        <v>66605.005099999995</v>
      </c>
      <c r="AU20" s="91" t="str">
        <f>INDEX(U17:U201, MATCH(D7, N17:N201, 0))</f>
        <v>KAARAGE GARLIC MINI</v>
      </c>
      <c r="AV20" s="90">
        <f>LARGE(L17:L201, 4)</f>
        <v>137.00360000000001</v>
      </c>
      <c r="AW20" s="91" t="str">
        <f>INDEX(S17:S201, MATCH(A7, L17:L201, 0))</f>
        <v>Tokpokki Original</v>
      </c>
      <c r="AX20" s="91"/>
      <c r="AY20" s="91"/>
      <c r="AZ20" s="91"/>
      <c r="BA20" s="91"/>
    </row>
    <row r="21" spans="1:53" x14ac:dyDescent="0.35">
      <c r="A21" s="535" t="str">
        <f t="shared" si="5"/>
        <v/>
      </c>
      <c r="B21" s="330"/>
      <c r="C21" s="330"/>
      <c r="D21" s="326" t="s">
        <v>55</v>
      </c>
      <c r="E21" s="327" t="s">
        <v>110</v>
      </c>
      <c r="F21" s="328">
        <v>0.1</v>
      </c>
      <c r="G21" s="22" t="s">
        <v>73</v>
      </c>
      <c r="H21" s="22">
        <v>0.1</v>
      </c>
      <c r="I21" s="22" t="s">
        <v>73</v>
      </c>
      <c r="J21" s="330"/>
      <c r="K21" s="673">
        <f>A17*H21</f>
        <v>20.700000000000003</v>
      </c>
      <c r="L21" s="534">
        <f t="shared" si="6"/>
        <v>15.0021</v>
      </c>
      <c r="M21" s="458">
        <f t="shared" si="7"/>
        <v>15</v>
      </c>
      <c r="N21" s="458">
        <f t="shared" si="0"/>
        <v>81.942099999999982</v>
      </c>
      <c r="O21" s="458">
        <f t="shared" si="1"/>
        <v>81.939999999999984</v>
      </c>
      <c r="P21" s="21"/>
      <c r="Q21" s="506">
        <v>15</v>
      </c>
      <c r="R21" s="52" t="str">
        <v xml:space="preserve">CGGP0005  </v>
      </c>
      <c r="S21" s="44" t="str">
        <f t="shared" si="2"/>
        <v>CHADOL PRIME</v>
      </c>
      <c r="T21" s="58" t="str">
        <v>FSS00013</v>
      </c>
      <c r="U21" s="44" t="str">
        <f t="shared" si="3"/>
        <v>Lada hitam bubuk</v>
      </c>
      <c r="V21" s="45">
        <f t="shared" si="4"/>
        <v>81.939999999999984</v>
      </c>
      <c r="W21" s="45" t="s">
        <v>73</v>
      </c>
      <c r="X21" s="62">
        <v>1</v>
      </c>
      <c r="Y21" s="63">
        <v>0.1</v>
      </c>
      <c r="Z21" s="45">
        <f t="shared" si="8"/>
        <v>90.13</v>
      </c>
      <c r="AA21" s="64" t="s">
        <v>73</v>
      </c>
      <c r="AB21" t="s">
        <v>1026</v>
      </c>
      <c r="AC21" t="s">
        <v>1027</v>
      </c>
      <c r="AD21" s="45" t="str">
        <v xml:space="preserve">CGPK0012  </v>
      </c>
      <c r="AE21" s="45" t="str">
        <v>LUNCH BOX S</v>
      </c>
      <c r="AF21" s="45"/>
      <c r="AJ21" s="70"/>
      <c r="AK21" s="44" t="s">
        <v>1026</v>
      </c>
      <c r="AL21" s="44" t="s">
        <v>1027</v>
      </c>
      <c r="AM21" s="71"/>
      <c r="AN21" s="70"/>
      <c r="AO21" s="65">
        <f t="shared" si="9"/>
        <v>0</v>
      </c>
      <c r="AP21">
        <f t="shared" si="10"/>
        <v>2.0999999999999999E-3</v>
      </c>
      <c r="AQ21" t="str">
        <f t="shared" si="11"/>
        <v/>
      </c>
      <c r="AT21" s="90">
        <f>LARGE(N17:N201, 5)</f>
        <v>57186.006499999996</v>
      </c>
      <c r="AU21" s="91" t="str">
        <f>INDEX(U17:U201, MATCH(D8, N17:N201, 0))</f>
        <v>Telur Utuh</v>
      </c>
      <c r="AV21" s="90">
        <f>LARGE(L17:L201, 5)</f>
        <v>127.00369999999999</v>
      </c>
      <c r="AW21" s="91" t="str">
        <f>INDEX(S17:S201, MATCH(A8, L17:L201, 0))</f>
        <v>Rappokki</v>
      </c>
      <c r="AX21" s="91"/>
      <c r="AY21" s="91"/>
      <c r="AZ21" s="91"/>
      <c r="BA21" s="91"/>
    </row>
    <row r="22" spans="1:53" ht="12.5" customHeight="1" x14ac:dyDescent="0.35">
      <c r="A22" s="535" t="str">
        <f t="shared" si="5"/>
        <v/>
      </c>
      <c r="B22" s="337"/>
      <c r="C22" s="337"/>
      <c r="D22" s="326" t="s">
        <v>56</v>
      </c>
      <c r="E22" s="334" t="s">
        <v>111</v>
      </c>
      <c r="F22" s="335">
        <v>8</v>
      </c>
      <c r="G22" s="18" t="s">
        <v>74</v>
      </c>
      <c r="H22" s="18">
        <v>8</v>
      </c>
      <c r="I22" s="18" t="s">
        <v>74</v>
      </c>
      <c r="J22" s="337"/>
      <c r="K22" s="672">
        <f>A17*H22</f>
        <v>1656</v>
      </c>
      <c r="L22" s="534">
        <f t="shared" si="6"/>
        <v>15.0022</v>
      </c>
      <c r="M22" s="458">
        <f t="shared" si="7"/>
        <v>15</v>
      </c>
      <c r="N22" s="458">
        <f t="shared" si="0"/>
        <v>3796.0021999999999</v>
      </c>
      <c r="O22" s="458">
        <f t="shared" si="1"/>
        <v>3796</v>
      </c>
      <c r="Q22" s="506">
        <v>15</v>
      </c>
      <c r="R22" s="52" t="str">
        <v xml:space="preserve">CGDG0001  </v>
      </c>
      <c r="S22" s="44" t="str">
        <f t="shared" si="2"/>
        <v>CHICKEN DAKGALBI REGULER</v>
      </c>
      <c r="T22" s="58" t="str">
        <v>FFF00007</v>
      </c>
      <c r="U22" s="44" t="str">
        <f t="shared" si="3"/>
        <v>Gujeolpan wrap (Kulit Kebab/Tortilla)</v>
      </c>
      <c r="V22" s="45">
        <f t="shared" si="4"/>
        <v>3796</v>
      </c>
      <c r="W22" s="45" t="s">
        <v>74</v>
      </c>
      <c r="X22" s="62">
        <v>1</v>
      </c>
      <c r="Y22" s="63">
        <v>0.1</v>
      </c>
      <c r="Z22" s="45">
        <f t="shared" si="8"/>
        <v>4175.6000000000004</v>
      </c>
      <c r="AA22" s="65" t="s">
        <v>74</v>
      </c>
      <c r="AB22" t="s">
        <v>4</v>
      </c>
      <c r="AC22" t="s">
        <v>1</v>
      </c>
      <c r="AD22" s="203" t="str">
        <v xml:space="preserve">CGRD0003  </v>
      </c>
      <c r="AE22" s="45" t="str">
        <v>LEMON TEA</v>
      </c>
      <c r="AF22" s="71"/>
      <c r="AJ22" s="70"/>
      <c r="AK22" s="44" t="s">
        <v>1028</v>
      </c>
      <c r="AL22" s="44" t="s">
        <v>1029</v>
      </c>
      <c r="AM22" s="71"/>
      <c r="AN22" s="70"/>
      <c r="AO22" s="65">
        <f t="shared" si="9"/>
        <v>0</v>
      </c>
      <c r="AP22">
        <f t="shared" si="10"/>
        <v>2.2000000000000001E-3</v>
      </c>
      <c r="AQ22" t="str">
        <f t="shared" si="11"/>
        <v/>
      </c>
      <c r="AT22" s="90">
        <f>SMALL(N17:N200, 1)</f>
        <v>9.7999999999999997E-3</v>
      </c>
      <c r="AU22" s="91" t="str">
        <f>INDEX(U17:U201, MATCH(D10, N17:N201, 0))</f>
        <v>MANDU 24 PCS/PACK</v>
      </c>
      <c r="AV22" s="90">
        <f>SMALL(L17:L200, 1)</f>
        <v>5.4999999999999997E-3</v>
      </c>
      <c r="AW22" s="91" t="str">
        <f>INDEX(S17:S201, MATCH(A10, L17:L201, 0))</f>
        <v>ADD MAYONAISE</v>
      </c>
      <c r="AX22" s="91"/>
      <c r="AY22" s="91"/>
      <c r="AZ22" s="91"/>
      <c r="BA22" s="91"/>
    </row>
    <row r="23" spans="1:53" x14ac:dyDescent="0.35">
      <c r="A23" s="535" t="str">
        <f t="shared" si="5"/>
        <v/>
      </c>
      <c r="B23" s="537"/>
      <c r="C23" s="330"/>
      <c r="D23" s="355"/>
      <c r="E23" s="355" t="s">
        <v>78</v>
      </c>
      <c r="F23" s="356">
        <v>40</v>
      </c>
      <c r="G23" s="378" t="s">
        <v>73</v>
      </c>
      <c r="H23" s="378"/>
      <c r="I23" s="378"/>
      <c r="J23" s="515"/>
      <c r="K23" s="674"/>
      <c r="L23" s="534">
        <f t="shared" si="6"/>
        <v>8.0023</v>
      </c>
      <c r="M23" s="458">
        <f t="shared" si="7"/>
        <v>8</v>
      </c>
      <c r="N23" s="458">
        <f t="shared" si="0"/>
        <v>17621.192299999999</v>
      </c>
      <c r="O23" s="458">
        <f t="shared" si="1"/>
        <v>17621.189999999999</v>
      </c>
      <c r="P23" s="21"/>
      <c r="Q23" s="506">
        <v>8</v>
      </c>
      <c r="R23" s="52" t="str">
        <v xml:space="preserve">CGDG0002  </v>
      </c>
      <c r="S23" s="44" t="str">
        <f t="shared" si="2"/>
        <v>CHICKEN DAKGALBI LARGE</v>
      </c>
      <c r="T23" s="58" t="str">
        <v>FVF00002</v>
      </c>
      <c r="U23" s="44" t="str">
        <f t="shared" si="3"/>
        <v>Shitakee</v>
      </c>
      <c r="V23" s="45">
        <f t="shared" si="4"/>
        <v>17621.189999999999</v>
      </c>
      <c r="W23" s="45" t="s">
        <v>73</v>
      </c>
      <c r="X23" s="62">
        <v>0.83</v>
      </c>
      <c r="Y23" s="63">
        <v>0.1</v>
      </c>
      <c r="Z23" s="45">
        <f t="shared" si="8"/>
        <v>23353.38</v>
      </c>
      <c r="AA23" s="64" t="s">
        <v>73</v>
      </c>
      <c r="AB23" t="s">
        <v>1308</v>
      </c>
      <c r="AC23" t="s">
        <v>1417</v>
      </c>
      <c r="AD23" s="45" t="str">
        <v xml:space="preserve">CGPK0016  </v>
      </c>
      <c r="AE23" s="45" t="str">
        <v>PAPER BOWL CHADOL</v>
      </c>
      <c r="AF23" s="45"/>
      <c r="AJ23" s="70"/>
      <c r="AK23" s="44" t="s">
        <v>1030</v>
      </c>
      <c r="AL23" s="44" t="s">
        <v>1031</v>
      </c>
      <c r="AM23" s="71"/>
      <c r="AN23" s="70"/>
      <c r="AO23" s="65">
        <f t="shared" si="9"/>
        <v>0</v>
      </c>
      <c r="AP23">
        <f t="shared" si="10"/>
        <v>2.3E-3</v>
      </c>
      <c r="AQ23" t="str">
        <f t="shared" si="11"/>
        <v/>
      </c>
      <c r="AT23" s="90">
        <f>SMALL(N17:N200, 2)</f>
        <v>9.9000000000000008E-3</v>
      </c>
      <c r="AU23" s="91" t="str">
        <f>INDEX(U17:U201, MATCH(D11, N17:N201, 0))</f>
        <v xml:space="preserve">	WIP Daun Bawang Cung</v>
      </c>
      <c r="AV23" s="90">
        <f>SMALL(L17:L200, 2)</f>
        <v>6.1000000000000004E-3</v>
      </c>
      <c r="AW23" s="91" t="str">
        <f>INDEX(S17:S201, MATCH(A11, L17:L201, 0))</f>
        <v>Add Daun Bawang 50 g</v>
      </c>
      <c r="AX23" s="91"/>
      <c r="AY23" s="91"/>
      <c r="AZ23" s="91"/>
      <c r="BA23" s="91"/>
    </row>
    <row r="24" spans="1:53" x14ac:dyDescent="0.35">
      <c r="A24" s="535" t="str">
        <f t="shared" si="5"/>
        <v/>
      </c>
      <c r="B24" s="337"/>
      <c r="C24" s="337"/>
      <c r="D24" s="326" t="s">
        <v>57</v>
      </c>
      <c r="E24" s="379" t="s">
        <v>96</v>
      </c>
      <c r="F24" s="18">
        <v>100</v>
      </c>
      <c r="G24" s="458" t="s">
        <v>73</v>
      </c>
      <c r="H24" s="18">
        <f>ROUND(F23*(F24/(F24+F25+(F26*(F27/(F27+F28)))+(F26*(F28/(F27+F28))))),2)</f>
        <v>38.72</v>
      </c>
      <c r="I24" s="18" t="s">
        <v>73</v>
      </c>
      <c r="J24" s="337"/>
      <c r="K24" s="672">
        <f>A17*H24</f>
        <v>8015.04</v>
      </c>
      <c r="L24" s="534">
        <f t="shared" si="6"/>
        <v>68.002399999999994</v>
      </c>
      <c r="M24" s="458">
        <f t="shared" si="7"/>
        <v>68</v>
      </c>
      <c r="N24" s="458">
        <f t="shared" si="0"/>
        <v>5485.6624000000011</v>
      </c>
      <c r="O24" s="458">
        <f t="shared" si="1"/>
        <v>5485.6600000000008</v>
      </c>
      <c r="P24" s="21"/>
      <c r="Q24" s="506">
        <v>68</v>
      </c>
      <c r="R24" s="52" t="str">
        <v xml:space="preserve">CGSD0001  </v>
      </c>
      <c r="S24" s="44" t="str">
        <f t="shared" si="2"/>
        <v>ChaGu Spicy Chicken</v>
      </c>
      <c r="T24" s="58" t="str">
        <v>FSS00010</v>
      </c>
      <c r="U24" s="44" t="str">
        <f t="shared" si="3"/>
        <v>Black sesame oil</v>
      </c>
      <c r="V24" s="45">
        <f t="shared" si="4"/>
        <v>5485.6600000000008</v>
      </c>
      <c r="W24" s="45" t="s">
        <v>73</v>
      </c>
      <c r="X24" s="62">
        <v>0.97</v>
      </c>
      <c r="Y24" s="63">
        <v>0.1</v>
      </c>
      <c r="Z24" s="45">
        <f t="shared" si="8"/>
        <v>6220.85</v>
      </c>
      <c r="AA24" s="64" t="s">
        <v>73</v>
      </c>
      <c r="AB24" t="s">
        <v>1336</v>
      </c>
      <c r="AC24" t="s">
        <v>1444</v>
      </c>
      <c r="AD24" s="45" t="str">
        <v xml:space="preserve">CGPK0015  </v>
      </c>
      <c r="AE24" s="45" t="str">
        <v>GREASE PAPER</v>
      </c>
      <c r="AF24" s="45"/>
      <c r="AJ24" s="70"/>
      <c r="AK24" s="44" t="s">
        <v>1032</v>
      </c>
      <c r="AL24" s="44" t="s">
        <v>1033</v>
      </c>
      <c r="AM24" s="71"/>
      <c r="AN24" s="70"/>
      <c r="AO24" s="65">
        <f t="shared" si="9"/>
        <v>0</v>
      </c>
      <c r="AP24">
        <f t="shared" si="10"/>
        <v>2.3999999999999998E-3</v>
      </c>
      <c r="AQ24" t="str">
        <f t="shared" si="11"/>
        <v/>
      </c>
      <c r="AT24" s="90">
        <f>SMALL(N17:N200, 3)</f>
        <v>0.01</v>
      </c>
      <c r="AU24" s="91" t="str">
        <f>INDEX(U17:U201, MATCH(D12, N17:N201, 0))</f>
        <v>Beras Hitam (Mlatiharjo)</v>
      </c>
      <c r="AV24" s="90">
        <f>SMALL(L17:L200, 3)</f>
        <v>6.1999999999999998E-3</v>
      </c>
      <c r="AW24" s="91" t="str">
        <f>INDEX(S17:S201, MATCH(A12, L17:L201, 0))</f>
        <v>Add Tauge Namul Gujeolpan 50 g</v>
      </c>
      <c r="AX24" s="91"/>
      <c r="AY24" s="91"/>
      <c r="AZ24" s="91"/>
      <c r="BA24" s="91"/>
    </row>
    <row r="25" spans="1:53" x14ac:dyDescent="0.35">
      <c r="A25" s="535" t="str">
        <f t="shared" si="5"/>
        <v/>
      </c>
      <c r="B25" s="330"/>
      <c r="C25" s="330"/>
      <c r="D25" s="326" t="s">
        <v>41</v>
      </c>
      <c r="E25" s="380" t="s">
        <v>97</v>
      </c>
      <c r="F25" s="22">
        <v>3</v>
      </c>
      <c r="G25" s="538" t="s">
        <v>73</v>
      </c>
      <c r="H25" s="22">
        <f>ROUND(F23*(F25/(F24+F25+(F26*(F27/(F27+F28)))+(F26*(F28/(F27+F28))))),2)</f>
        <v>1.1599999999999999</v>
      </c>
      <c r="I25" s="22" t="s">
        <v>73</v>
      </c>
      <c r="J25" s="330"/>
      <c r="K25" s="673">
        <f>A17*H25</f>
        <v>240.11999999999998</v>
      </c>
      <c r="L25" s="534">
        <f t="shared" si="6"/>
        <v>113.0025</v>
      </c>
      <c r="M25" s="458">
        <f t="shared" si="7"/>
        <v>113</v>
      </c>
      <c r="N25" s="458">
        <f t="shared" si="0"/>
        <v>2961.2525000000005</v>
      </c>
      <c r="O25" s="458">
        <f t="shared" si="1"/>
        <v>2961.2500000000005</v>
      </c>
      <c r="P25" s="21"/>
      <c r="Q25" s="506">
        <v>113</v>
      </c>
      <c r="R25" s="52" t="str">
        <v xml:space="preserve">CGSD0002  </v>
      </c>
      <c r="S25" s="44" t="str">
        <f t="shared" si="2"/>
        <v>ChaGu Soy Garlic Chicken</v>
      </c>
      <c r="T25" s="58" t="str">
        <v>FSS00016</v>
      </c>
      <c r="U25" s="44" t="str">
        <f t="shared" si="3"/>
        <v>Garam halus</v>
      </c>
      <c r="V25" s="45">
        <f t="shared" si="4"/>
        <v>2961.2500000000005</v>
      </c>
      <c r="W25" s="45" t="s">
        <v>73</v>
      </c>
      <c r="X25" s="62">
        <v>1</v>
      </c>
      <c r="Y25" s="63">
        <v>0.1</v>
      </c>
      <c r="Z25" s="45">
        <f t="shared" si="8"/>
        <v>3257.38</v>
      </c>
      <c r="AA25" s="64" t="s">
        <v>73</v>
      </c>
      <c r="AB25" t="s">
        <v>1314</v>
      </c>
      <c r="AC25" t="s">
        <v>1423</v>
      </c>
      <c r="AD25" s="45" t="str">
        <v xml:space="preserve">CGPK0019  </v>
      </c>
      <c r="AE25" s="45" t="str">
        <v>STICKER GIMBAP</v>
      </c>
      <c r="AF25" s="45"/>
      <c r="AJ25" s="70"/>
      <c r="AK25" s="44" t="s">
        <v>1034</v>
      </c>
      <c r="AL25" s="44" t="s">
        <v>1035</v>
      </c>
      <c r="AM25" s="71"/>
      <c r="AN25" s="70"/>
      <c r="AO25" s="65">
        <f t="shared" si="9"/>
        <v>0</v>
      </c>
      <c r="AP25">
        <f t="shared" si="10"/>
        <v>2.5000000000000001E-3</v>
      </c>
      <c r="AQ25" t="str">
        <f t="shared" si="11"/>
        <v/>
      </c>
      <c r="AT25" s="90">
        <f>SMALL(N17:N200, 4)</f>
        <v>1.01E-2</v>
      </c>
      <c r="AU25" s="91" t="str">
        <f>INDEX(U17:U201, MATCH(D13, N17:N201, 0))</f>
        <v>Seaweed (DRY)</v>
      </c>
      <c r="AV25" s="90">
        <f>SMALL(L17:L200, 4)</f>
        <v>6.3E-3</v>
      </c>
      <c r="AW25" s="91" t="str">
        <f>INDEX(S17:S201, MATCH(A13, L17:L201, 0))</f>
        <v xml:space="preserve">	Add Shiitake Marinated 30 g</v>
      </c>
      <c r="AX25" s="91"/>
      <c r="AY25" s="91"/>
      <c r="AZ25" s="91"/>
      <c r="BA25" s="91"/>
    </row>
    <row r="26" spans="1:53" x14ac:dyDescent="0.35">
      <c r="A26" s="535" t="str">
        <f t="shared" si="5"/>
        <v/>
      </c>
      <c r="B26" s="337"/>
      <c r="C26" s="337"/>
      <c r="D26" s="539"/>
      <c r="E26" s="540" t="s">
        <v>23</v>
      </c>
      <c r="F26" s="378">
        <v>0.3</v>
      </c>
      <c r="G26" s="378" t="s">
        <v>73</v>
      </c>
      <c r="H26" s="378"/>
      <c r="I26" s="515"/>
      <c r="J26" s="515"/>
      <c r="K26" s="674"/>
      <c r="L26" s="534">
        <f t="shared" si="6"/>
        <v>24.002600000000001</v>
      </c>
      <c r="M26" s="458">
        <f t="shared" si="7"/>
        <v>24</v>
      </c>
      <c r="N26" s="458">
        <f t="shared" si="0"/>
        <v>700.19990000000018</v>
      </c>
      <c r="O26" s="458">
        <f t="shared" si="1"/>
        <v>700.19730000000015</v>
      </c>
      <c r="P26" s="21"/>
      <c r="Q26" s="506">
        <v>24</v>
      </c>
      <c r="R26" s="52" t="str">
        <v xml:space="preserve">CGSD0013  </v>
      </c>
      <c r="S26" s="44" t="str">
        <f t="shared" si="2"/>
        <v>Spicy BBQ Chicken</v>
      </c>
      <c r="T26" s="58" t="str">
        <v>FSS00017</v>
      </c>
      <c r="U26" s="44" t="str">
        <f t="shared" si="3"/>
        <v>Ajinomoto</v>
      </c>
      <c r="V26" s="45">
        <f t="shared" si="4"/>
        <v>700.19730000000015</v>
      </c>
      <c r="W26" s="45" t="s">
        <v>73</v>
      </c>
      <c r="X26" s="62">
        <v>1</v>
      </c>
      <c r="Y26" s="63">
        <v>0.1</v>
      </c>
      <c r="Z26" s="45">
        <f t="shared" si="8"/>
        <v>770.22</v>
      </c>
      <c r="AA26" s="64" t="s">
        <v>73</v>
      </c>
      <c r="AB26" t="s">
        <v>1337</v>
      </c>
      <c r="AC26" t="s">
        <v>1445</v>
      </c>
      <c r="AD26" s="45" t="str">
        <v xml:space="preserve">CGPR0074  </v>
      </c>
      <c r="AE26" s="45" t="str">
        <v>#FYP SUNDUBU JJIGAE (WITH RICE)</v>
      </c>
      <c r="AF26" s="45"/>
      <c r="AJ26" s="70"/>
      <c r="AK26" s="44" t="s">
        <v>1036</v>
      </c>
      <c r="AL26" s="44" t="s">
        <v>1037</v>
      </c>
      <c r="AM26" s="71"/>
      <c r="AN26" s="70"/>
      <c r="AO26" s="65">
        <f t="shared" si="9"/>
        <v>0</v>
      </c>
      <c r="AP26">
        <f t="shared" si="10"/>
        <v>2.5999999999999999E-3</v>
      </c>
      <c r="AQ26" t="str">
        <f t="shared" si="11"/>
        <v/>
      </c>
      <c r="AT26" s="90">
        <f>SMALL(N17:N200, 5)</f>
        <v>1.04E-2</v>
      </c>
      <c r="AU26" s="91" t="str">
        <f>INDEX(U17:U201, MATCH(D14, N17:N201, 0))</f>
        <v>MACARONI</v>
      </c>
      <c r="AV26" s="90">
        <f>SMALL(L17:L200, 5)</f>
        <v>7.1000000000000004E-3</v>
      </c>
      <c r="AW26" s="91" t="str">
        <f>INDEX(S17:S201, MATCH(A14, L17:L201, 0))</f>
        <v>ADD EOMUK BOKKEUM 30GR</v>
      </c>
      <c r="AX26" s="91"/>
      <c r="AY26" s="91"/>
      <c r="AZ26" s="91"/>
      <c r="BA26" s="91"/>
    </row>
    <row r="27" spans="1:53" x14ac:dyDescent="0.35">
      <c r="A27" s="535" t="str">
        <f t="shared" si="5"/>
        <v/>
      </c>
      <c r="B27" s="330"/>
      <c r="C27" s="330"/>
      <c r="D27" s="417" t="s">
        <v>43</v>
      </c>
      <c r="E27" s="475" t="s">
        <v>94</v>
      </c>
      <c r="F27" s="22">
        <v>85</v>
      </c>
      <c r="G27" s="457" t="s">
        <v>73</v>
      </c>
      <c r="H27" s="22">
        <f>ROUND(F23*((F26*(F27/(F27+F28)))/(F24+F25+(F26*(F27/(F27+F28)))+(F26*(F28/(F27+F28))))),2)</f>
        <v>0.1</v>
      </c>
      <c r="I27" s="22" t="s">
        <v>73</v>
      </c>
      <c r="J27" s="541">
        <f>F26*(F27/(F27+F28))</f>
        <v>0.255</v>
      </c>
      <c r="K27" s="673">
        <f>A17*H27</f>
        <v>20.700000000000003</v>
      </c>
      <c r="L27" s="534">
        <f t="shared" si="6"/>
        <v>122.0027</v>
      </c>
      <c r="M27" s="458">
        <f t="shared" si="7"/>
        <v>122</v>
      </c>
      <c r="N27" s="458">
        <f t="shared" si="0"/>
        <v>8914.7827000000016</v>
      </c>
      <c r="O27" s="458">
        <f t="shared" si="1"/>
        <v>8914.7800000000025</v>
      </c>
      <c r="P27" s="21"/>
      <c r="Q27" s="506">
        <v>122</v>
      </c>
      <c r="R27" s="52" t="str">
        <v xml:space="preserve">CGSD0012  </v>
      </c>
      <c r="S27" s="44" t="str">
        <f t="shared" si="2"/>
        <v>Bburinkle Cheese Chicke</v>
      </c>
      <c r="T27" s="58" t="str">
        <v>FGR00043</v>
      </c>
      <c r="U27" s="44" t="str">
        <f t="shared" si="3"/>
        <v>Minyak goreng</v>
      </c>
      <c r="V27" s="45">
        <f t="shared" si="4"/>
        <v>8914.7800000000025</v>
      </c>
      <c r="W27" s="45" t="s">
        <v>73</v>
      </c>
      <c r="X27" s="62">
        <v>0.92779999999999996</v>
      </c>
      <c r="Y27" s="63">
        <v>0.1</v>
      </c>
      <c r="Z27" s="45">
        <f t="shared" si="8"/>
        <v>10569.37</v>
      </c>
      <c r="AA27" s="64" t="s">
        <v>73</v>
      </c>
      <c r="AB27" t="s">
        <v>1288</v>
      </c>
      <c r="AC27" t="s">
        <v>1397</v>
      </c>
      <c r="AD27" s="45" t="str">
        <v xml:space="preserve">CGPR0045  </v>
      </c>
      <c r="AE27" s="45" t="str">
        <v>PROMO CHADOL SIG TASTY BEEF (REG) 99K</v>
      </c>
      <c r="AF27" s="45"/>
      <c r="AJ27" s="70"/>
      <c r="AK27" s="44" t="s">
        <v>1038</v>
      </c>
      <c r="AL27" s="44" t="s">
        <v>1039</v>
      </c>
      <c r="AM27" s="71"/>
      <c r="AN27" s="70"/>
      <c r="AO27" s="65">
        <f t="shared" si="9"/>
        <v>0</v>
      </c>
      <c r="AP27">
        <f t="shared" si="10"/>
        <v>2.7000000000000001E-3</v>
      </c>
      <c r="AQ27" t="str">
        <f t="shared" si="11"/>
        <v/>
      </c>
    </row>
    <row r="28" spans="1:53" x14ac:dyDescent="0.35">
      <c r="A28" s="535" t="str">
        <f t="shared" si="5"/>
        <v/>
      </c>
      <c r="B28" s="337"/>
      <c r="C28" s="337"/>
      <c r="D28" s="417" t="s">
        <v>42</v>
      </c>
      <c r="E28" s="419" t="s">
        <v>95</v>
      </c>
      <c r="F28" s="18">
        <v>15</v>
      </c>
      <c r="G28" s="458" t="s">
        <v>73</v>
      </c>
      <c r="H28" s="18">
        <f>ROUND(F23*((F26*(F28/(F27+F28)))/(F24+F25+(F26*(F27/(F27+F28)))+(F26*(F28/(F27+F28))))),2)</f>
        <v>0.02</v>
      </c>
      <c r="I28" s="18" t="s">
        <v>73</v>
      </c>
      <c r="J28" s="542">
        <f>F26*(F28/(F27+F28))</f>
        <v>4.4999999999999998E-2</v>
      </c>
      <c r="K28" s="672">
        <f>A17*H28</f>
        <v>4.1399999999999997</v>
      </c>
      <c r="L28" s="534">
        <f t="shared" si="6"/>
        <v>106.00279999999999</v>
      </c>
      <c r="M28" s="458">
        <f t="shared" si="7"/>
        <v>106</v>
      </c>
      <c r="N28" s="458">
        <f t="shared" si="0"/>
        <v>38855.682799999988</v>
      </c>
      <c r="O28" s="458">
        <f t="shared" si="1"/>
        <v>38855.679999999986</v>
      </c>
      <c r="P28" s="21"/>
      <c r="Q28" s="506">
        <v>106</v>
      </c>
      <c r="R28" s="52" t="str">
        <v xml:space="preserve">CGGB0001  </v>
      </c>
      <c r="S28" s="44" t="str">
        <f t="shared" si="2"/>
        <v>Original Gimbap</v>
      </c>
      <c r="T28" s="58" t="str">
        <v>FVF00019</v>
      </c>
      <c r="U28" s="44" t="str">
        <f t="shared" si="3"/>
        <v>Bawang bombay</v>
      </c>
      <c r="V28" s="45">
        <f t="shared" si="4"/>
        <v>38855.679999999986</v>
      </c>
      <c r="W28" s="45" t="s">
        <v>73</v>
      </c>
      <c r="X28" s="62">
        <v>0.84160000000000001</v>
      </c>
      <c r="Y28" s="63">
        <v>0.1</v>
      </c>
      <c r="Z28" s="45">
        <f t="shared" si="8"/>
        <v>50785.7</v>
      </c>
      <c r="AA28" s="64" t="s">
        <v>73</v>
      </c>
      <c r="AB28" t="s">
        <v>1024</v>
      </c>
      <c r="AC28" t="s">
        <v>1025</v>
      </c>
      <c r="AD28" s="45" t="str">
        <v xml:space="preserve">CGPK0001  </v>
      </c>
      <c r="AE28" s="45" t="str">
        <v>LUNCH BOX M</v>
      </c>
      <c r="AF28" s="45"/>
      <c r="AJ28" s="70"/>
      <c r="AK28" s="44" t="s">
        <v>1040</v>
      </c>
      <c r="AL28" s="44" t="s">
        <v>1041</v>
      </c>
      <c r="AM28" s="71"/>
      <c r="AN28" s="70"/>
      <c r="AO28" s="65">
        <f t="shared" si="9"/>
        <v>0</v>
      </c>
      <c r="AP28">
        <f t="shared" si="10"/>
        <v>2.8E-3</v>
      </c>
      <c r="AQ28" t="str">
        <f t="shared" si="11"/>
        <v/>
      </c>
    </row>
    <row r="29" spans="1:53" x14ac:dyDescent="0.35">
      <c r="A29" s="535" t="str">
        <f t="shared" si="5"/>
        <v/>
      </c>
      <c r="B29" s="330"/>
      <c r="C29" s="330"/>
      <c r="D29" s="355"/>
      <c r="E29" s="355" t="s">
        <v>80</v>
      </c>
      <c r="F29" s="378">
        <v>15</v>
      </c>
      <c r="G29" s="378" t="s">
        <v>73</v>
      </c>
      <c r="H29" s="515"/>
      <c r="I29" s="515"/>
      <c r="J29" s="515"/>
      <c r="K29" s="674"/>
      <c r="L29" s="534">
        <f t="shared" si="6"/>
        <v>33.002899999999997</v>
      </c>
      <c r="M29" s="458">
        <f t="shared" si="7"/>
        <v>33</v>
      </c>
      <c r="N29" s="458">
        <f t="shared" si="0"/>
        <v>3541.5529000000001</v>
      </c>
      <c r="O29" s="458">
        <f t="shared" si="1"/>
        <v>3541.55</v>
      </c>
      <c r="P29" s="21"/>
      <c r="Q29" s="506">
        <v>33</v>
      </c>
      <c r="R29" s="52" t="str">
        <v xml:space="preserve">CGGB0002  </v>
      </c>
      <c r="S29" s="44" t="str">
        <f t="shared" si="2"/>
        <v>Vegetable Gimbap</v>
      </c>
      <c r="T29" s="58" t="str">
        <v>FVF00020</v>
      </c>
      <c r="U29" s="44" t="str">
        <f t="shared" si="3"/>
        <v>Bawang putih</v>
      </c>
      <c r="V29" s="45">
        <f t="shared" si="4"/>
        <v>3541.55</v>
      </c>
      <c r="W29" s="45" t="s">
        <v>73</v>
      </c>
      <c r="X29" s="62">
        <v>0.93089999999999995</v>
      </c>
      <c r="Y29" s="63">
        <v>0.1</v>
      </c>
      <c r="Z29" s="45">
        <f t="shared" si="8"/>
        <v>4184.88</v>
      </c>
      <c r="AA29" s="64" t="s">
        <v>73</v>
      </c>
      <c r="AB29" t="s">
        <v>1344</v>
      </c>
      <c r="AC29" t="s">
        <v>1452</v>
      </c>
      <c r="AD29" s="45" t="str">
        <v xml:space="preserve">CGPR0081  </v>
      </c>
      <c r="AE29" s="45" t="str">
        <v>#FYP CHAPOKKI</v>
      </c>
      <c r="AF29" s="45"/>
      <c r="AJ29" s="70"/>
      <c r="AK29" s="44" t="s">
        <v>1042</v>
      </c>
      <c r="AL29" s="44" t="s">
        <v>1043</v>
      </c>
      <c r="AM29" s="71"/>
      <c r="AN29" s="70"/>
      <c r="AO29" s="65">
        <f t="shared" si="9"/>
        <v>0</v>
      </c>
      <c r="AP29">
        <f t="shared" si="10"/>
        <v>2.8999999999999998E-3</v>
      </c>
      <c r="AQ29" t="str">
        <f t="shared" si="11"/>
        <v/>
      </c>
    </row>
    <row r="30" spans="1:53" x14ac:dyDescent="0.35">
      <c r="A30" s="535" t="str">
        <f t="shared" si="5"/>
        <v/>
      </c>
      <c r="B30" s="337"/>
      <c r="C30" s="337"/>
      <c r="D30" s="326" t="s">
        <v>47</v>
      </c>
      <c r="E30" s="425" t="s">
        <v>93</v>
      </c>
      <c r="F30" s="18">
        <v>600</v>
      </c>
      <c r="G30" s="458" t="s">
        <v>73</v>
      </c>
      <c r="H30" s="18">
        <f>ROUND(F29*(F30/(F30+F31+F32+F33+F34)),2)</f>
        <v>10</v>
      </c>
      <c r="I30" s="18" t="s">
        <v>73</v>
      </c>
      <c r="J30" s="337"/>
      <c r="K30" s="672">
        <f>A17*H30</f>
        <v>2070</v>
      </c>
      <c r="L30" s="534">
        <f t="shared" si="6"/>
        <v>153.00299999999999</v>
      </c>
      <c r="M30" s="458">
        <f t="shared" si="7"/>
        <v>153</v>
      </c>
      <c r="N30" s="458">
        <f t="shared" si="0"/>
        <v>434.17299999999994</v>
      </c>
      <c r="O30" s="458">
        <f t="shared" si="1"/>
        <v>434.16999999999996</v>
      </c>
      <c r="P30" s="21"/>
      <c r="Q30" s="506">
        <v>153</v>
      </c>
      <c r="R30" s="52" t="str">
        <v xml:space="preserve">CGGB0003  </v>
      </c>
      <c r="S30" s="44" t="str">
        <f t="shared" si="2"/>
        <v>Bulgogi Gimbap</v>
      </c>
      <c r="T30" s="58" t="str">
        <v>FVF00025</v>
      </c>
      <c r="U30" s="44" t="str">
        <f t="shared" si="3"/>
        <v>Jahe</v>
      </c>
      <c r="V30" s="45">
        <f t="shared" si="4"/>
        <v>434.16999999999996</v>
      </c>
      <c r="W30" s="45" t="s">
        <v>73</v>
      </c>
      <c r="X30" s="62">
        <v>0.89</v>
      </c>
      <c r="Y30" s="63">
        <v>0.1</v>
      </c>
      <c r="Z30" s="45">
        <f t="shared" si="8"/>
        <v>536.61</v>
      </c>
      <c r="AA30" s="64" t="s">
        <v>73</v>
      </c>
      <c r="AB30" t="s">
        <v>1317</v>
      </c>
      <c r="AC30" t="s">
        <v>1426</v>
      </c>
      <c r="AD30" s="45" t="str">
        <v xml:space="preserve">CGPK0005  </v>
      </c>
      <c r="AE30" s="45" t="str">
        <v>PLASTIK BESAR</v>
      </c>
      <c r="AF30" s="45"/>
      <c r="AJ30" s="70"/>
      <c r="AK30" s="44" t="s">
        <v>1044</v>
      </c>
      <c r="AL30" s="44" t="s">
        <v>1045</v>
      </c>
      <c r="AM30" s="71"/>
      <c r="AN30" s="70"/>
      <c r="AO30" s="65">
        <f t="shared" si="9"/>
        <v>0</v>
      </c>
      <c r="AP30">
        <f t="shared" si="10"/>
        <v>3.0000000000000001E-3</v>
      </c>
      <c r="AQ30" t="str">
        <f t="shared" si="11"/>
        <v/>
      </c>
    </row>
    <row r="31" spans="1:53" x14ac:dyDescent="0.35">
      <c r="A31" s="535" t="str">
        <f t="shared" si="5"/>
        <v/>
      </c>
      <c r="B31" s="330"/>
      <c r="C31" s="330"/>
      <c r="D31" s="326" t="s">
        <v>48</v>
      </c>
      <c r="E31" s="426" t="s">
        <v>91</v>
      </c>
      <c r="F31" s="22">
        <v>100</v>
      </c>
      <c r="G31" s="457" t="s">
        <v>73</v>
      </c>
      <c r="H31" s="22">
        <f>ROUND(F29*(F31/(F30+F31+F32+F33+F34)),2)</f>
        <v>1.67</v>
      </c>
      <c r="I31" s="22" t="s">
        <v>73</v>
      </c>
      <c r="J31" s="330"/>
      <c r="K31" s="673">
        <f>A17*H31</f>
        <v>345.69</v>
      </c>
      <c r="L31" s="534">
        <f t="shared" si="6"/>
        <v>55.003100000000003</v>
      </c>
      <c r="M31" s="458">
        <f t="shared" si="7"/>
        <v>55</v>
      </c>
      <c r="N31" s="458">
        <f t="shared" si="0"/>
        <v>52425.623100000004</v>
      </c>
      <c r="O31" s="458">
        <f t="shared" si="1"/>
        <v>52425.62</v>
      </c>
      <c r="P31" s="21"/>
      <c r="Q31" s="506">
        <v>55</v>
      </c>
      <c r="R31" s="52" t="str">
        <v xml:space="preserve">CGGB0004  </v>
      </c>
      <c r="S31" s="44" t="str">
        <f t="shared" si="2"/>
        <v>Tuna Mayo Gimbap</v>
      </c>
      <c r="T31" s="58" t="str">
        <v>FFF00005</v>
      </c>
      <c r="U31" s="44" t="str">
        <f t="shared" si="3"/>
        <v>Frozen liquid whole egg</v>
      </c>
      <c r="V31" s="45">
        <f t="shared" si="4"/>
        <v>52425.62</v>
      </c>
      <c r="W31" s="45" t="s">
        <v>73</v>
      </c>
      <c r="X31" s="62">
        <v>0.99160000000000004</v>
      </c>
      <c r="Y31" s="63">
        <v>0.1</v>
      </c>
      <c r="Z31" s="45">
        <f t="shared" si="8"/>
        <v>58156.7</v>
      </c>
      <c r="AA31" s="64" t="s">
        <v>73</v>
      </c>
      <c r="AB31" t="s">
        <v>1297</v>
      </c>
      <c r="AC31" t="s">
        <v>1404</v>
      </c>
      <c r="AD31" s="45" t="str">
        <v xml:space="preserve">CGPR0080  </v>
      </c>
      <c r="AE31" s="45" t="str">
        <v>#FYP BEEF JAPCHAE</v>
      </c>
      <c r="AF31" s="45"/>
      <c r="AJ31" s="70"/>
      <c r="AK31" s="44" t="s">
        <v>1046</v>
      </c>
      <c r="AL31" s="44" t="s">
        <v>1047</v>
      </c>
      <c r="AM31" s="71"/>
      <c r="AN31" s="70"/>
      <c r="AO31" s="65">
        <f t="shared" si="9"/>
        <v>0</v>
      </c>
      <c r="AP31">
        <f t="shared" si="10"/>
        <v>3.0999999999999999E-3</v>
      </c>
      <c r="AQ31" t="str">
        <f t="shared" si="11"/>
        <v/>
      </c>
    </row>
    <row r="32" spans="1:53" x14ac:dyDescent="0.35">
      <c r="A32" s="535" t="str">
        <f t="shared" si="5"/>
        <v/>
      </c>
      <c r="B32" s="337"/>
      <c r="C32" s="337"/>
      <c r="D32" s="326" t="s">
        <v>50</v>
      </c>
      <c r="E32" s="425" t="s">
        <v>92</v>
      </c>
      <c r="F32" s="18">
        <v>100</v>
      </c>
      <c r="G32" s="458" t="s">
        <v>73</v>
      </c>
      <c r="H32" s="18">
        <f>ROUND(F29*(F32/(F30+F31+F32+F33+F34)),2)</f>
        <v>1.67</v>
      </c>
      <c r="I32" s="18" t="s">
        <v>73</v>
      </c>
      <c r="J32" s="337"/>
      <c r="K32" s="672">
        <f>A17*H32</f>
        <v>345.69</v>
      </c>
      <c r="L32" s="534">
        <f t="shared" si="6"/>
        <v>25.0032</v>
      </c>
      <c r="M32" s="458">
        <f t="shared" si="7"/>
        <v>25</v>
      </c>
      <c r="N32" s="458">
        <f t="shared" si="0"/>
        <v>2230.5832</v>
      </c>
      <c r="O32" s="458">
        <f t="shared" si="1"/>
        <v>2230.58</v>
      </c>
      <c r="P32" s="21"/>
      <c r="Q32" s="506">
        <v>25</v>
      </c>
      <c r="R32" s="52" t="str">
        <v xml:space="preserve">CGGB0005  </v>
      </c>
      <c r="S32" s="44" t="str">
        <f t="shared" si="2"/>
        <v>Spicy Tuna Mayo Gimbap</v>
      </c>
      <c r="T32" s="58" t="str">
        <v>FSS00011</v>
      </c>
      <c r="U32" s="44" t="str">
        <f t="shared" si="3"/>
        <v>Katsuodashi</v>
      </c>
      <c r="V32" s="45">
        <f t="shared" si="4"/>
        <v>2230.58</v>
      </c>
      <c r="W32" s="45" t="s">
        <v>73</v>
      </c>
      <c r="X32" s="62">
        <v>1</v>
      </c>
      <c r="Y32" s="63">
        <v>0.1</v>
      </c>
      <c r="Z32" s="45">
        <f t="shared" si="8"/>
        <v>2453.64</v>
      </c>
      <c r="AA32" s="64" t="s">
        <v>73</v>
      </c>
      <c r="AB32" t="s">
        <v>1357</v>
      </c>
      <c r="AC32" t="s">
        <v>1463</v>
      </c>
      <c r="AD32" s="45" t="str">
        <v xml:space="preserve">CGPR0082  </v>
      </c>
      <c r="AE32" s="45" t="str">
        <v>#FYP BULGOGI GIMBAP</v>
      </c>
      <c r="AF32" s="45"/>
      <c r="AJ32" s="70"/>
      <c r="AK32" s="44" t="s">
        <v>1048</v>
      </c>
      <c r="AL32" s="44" t="s">
        <v>1049</v>
      </c>
      <c r="AM32" s="71"/>
      <c r="AN32" s="70"/>
      <c r="AO32" s="65">
        <f t="shared" si="9"/>
        <v>0</v>
      </c>
      <c r="AP32">
        <f t="shared" si="10"/>
        <v>3.2000000000000002E-3</v>
      </c>
      <c r="AQ32" t="str">
        <f t="shared" si="11"/>
        <v/>
      </c>
    </row>
    <row r="33" spans="1:43" x14ac:dyDescent="0.35">
      <c r="A33" s="535" t="str">
        <f t="shared" si="5"/>
        <v/>
      </c>
      <c r="B33" s="330"/>
      <c r="C33" s="330"/>
      <c r="D33" s="326" t="s">
        <v>49</v>
      </c>
      <c r="E33" s="426" t="s">
        <v>99</v>
      </c>
      <c r="F33" s="22">
        <v>50</v>
      </c>
      <c r="G33" s="457" t="s">
        <v>73</v>
      </c>
      <c r="H33" s="22">
        <f>ROUND(F29*(F33/(F30+F31+F32+F33+F34)),2)</f>
        <v>0.83</v>
      </c>
      <c r="I33" s="22" t="s">
        <v>73</v>
      </c>
      <c r="J33" s="330"/>
      <c r="K33" s="673">
        <f>A17*H33</f>
        <v>171.81</v>
      </c>
      <c r="L33" s="534">
        <f t="shared" si="6"/>
        <v>33.003300000000003</v>
      </c>
      <c r="M33" s="458">
        <f t="shared" si="7"/>
        <v>33</v>
      </c>
      <c r="N33" s="458">
        <f t="shared" si="0"/>
        <v>1240.8633000000002</v>
      </c>
      <c r="O33" s="458">
        <f t="shared" si="1"/>
        <v>1240.8600000000001</v>
      </c>
      <c r="P33" s="21"/>
      <c r="Q33" s="506">
        <v>33</v>
      </c>
      <c r="R33" s="52" t="str">
        <v xml:space="preserve">CGGB0006  </v>
      </c>
      <c r="S33" s="44" t="str">
        <f t="shared" si="2"/>
        <v>Cheese Gimbap</v>
      </c>
      <c r="T33" s="58" t="str">
        <v>FSS00004</v>
      </c>
      <c r="U33" s="44" t="str">
        <f t="shared" si="3"/>
        <v>Jin ganjang (soy sauce)</v>
      </c>
      <c r="V33" s="45">
        <f t="shared" si="4"/>
        <v>1240.8600000000001</v>
      </c>
      <c r="W33" s="45" t="s">
        <v>73</v>
      </c>
      <c r="X33" s="62">
        <v>0.97</v>
      </c>
      <c r="Y33" s="63">
        <v>0.1</v>
      </c>
      <c r="Z33" s="45">
        <f t="shared" si="8"/>
        <v>1407.16</v>
      </c>
      <c r="AA33" s="64" t="s">
        <v>73</v>
      </c>
      <c r="AB33" t="s">
        <v>1316</v>
      </c>
      <c r="AC33" t="s">
        <v>1425</v>
      </c>
      <c r="AD33" s="45" t="str">
        <v xml:space="preserve">CGPK0006  </v>
      </c>
      <c r="AE33" s="45" t="str">
        <v>SUMPIT TAKE AWAY</v>
      </c>
      <c r="AF33" s="45"/>
      <c r="AJ33" s="70"/>
      <c r="AK33" s="44" t="s">
        <v>1050</v>
      </c>
      <c r="AL33" s="44" t="s">
        <v>1051</v>
      </c>
      <c r="AM33" s="71"/>
      <c r="AN33" s="70"/>
      <c r="AO33" s="65">
        <f t="shared" si="9"/>
        <v>0</v>
      </c>
      <c r="AP33">
        <f t="shared" si="10"/>
        <v>3.3E-3</v>
      </c>
      <c r="AQ33" t="str">
        <f t="shared" si="11"/>
        <v/>
      </c>
    </row>
    <row r="34" spans="1:43" ht="15" thickBot="1" x14ac:dyDescent="0.4">
      <c r="A34" s="535" t="str">
        <f t="shared" si="5"/>
        <v/>
      </c>
      <c r="B34" s="337"/>
      <c r="C34" s="337"/>
      <c r="D34" s="326" t="s">
        <v>51</v>
      </c>
      <c r="E34" s="425" t="s">
        <v>98</v>
      </c>
      <c r="F34" s="18">
        <v>50</v>
      </c>
      <c r="G34" s="458" t="s">
        <v>73</v>
      </c>
      <c r="H34" s="18">
        <f>ROUND(F29*(F34/(F30+F31+F32+F33+F34)),2)</f>
        <v>0.83</v>
      </c>
      <c r="I34" s="18" t="s">
        <v>73</v>
      </c>
      <c r="J34" s="337"/>
      <c r="K34" s="672">
        <f>A17*H34</f>
        <v>171.81</v>
      </c>
      <c r="L34" s="534">
        <f t="shared" si="6"/>
        <v>58.003399999999999</v>
      </c>
      <c r="M34" s="458">
        <f t="shared" si="7"/>
        <v>58</v>
      </c>
      <c r="N34" s="458">
        <f t="shared" si="0"/>
        <v>24961.113400000006</v>
      </c>
      <c r="O34" s="458">
        <f t="shared" si="1"/>
        <v>24961.110000000004</v>
      </c>
      <c r="P34" s="21"/>
      <c r="Q34" s="506">
        <v>58</v>
      </c>
      <c r="R34" s="52" t="str">
        <v xml:space="preserve">CGGB0008  </v>
      </c>
      <c r="S34" s="44" t="str">
        <f t="shared" si="2"/>
        <v>Beef Ham Cheese Gimbap</v>
      </c>
      <c r="T34" s="58" t="str">
        <v>FVF00004</v>
      </c>
      <c r="U34" s="44" t="str">
        <f t="shared" si="3"/>
        <v>Tauge</v>
      </c>
      <c r="V34" s="45">
        <f t="shared" si="4"/>
        <v>24961.110000000004</v>
      </c>
      <c r="W34" s="45" t="s">
        <v>73</v>
      </c>
      <c r="X34" s="62">
        <v>1</v>
      </c>
      <c r="Y34" s="63">
        <v>0.1</v>
      </c>
      <c r="Z34" s="45">
        <f t="shared" si="8"/>
        <v>27457.22</v>
      </c>
      <c r="AA34" s="64" t="s">
        <v>73</v>
      </c>
      <c r="AB34" t="s">
        <v>31</v>
      </c>
      <c r="AC34" t="s">
        <v>32</v>
      </c>
      <c r="AD34" s="45" t="str">
        <v xml:space="preserve">CGPR0085  </v>
      </c>
      <c r="AE34" s="45" t="str">
        <v>FREE BBURINKLE CHEESE CHICKEN SET</v>
      </c>
      <c r="AF34" s="45"/>
      <c r="AJ34" s="72"/>
      <c r="AK34" s="56" t="s">
        <v>1052</v>
      </c>
      <c r="AL34" s="56" t="s">
        <v>1053</v>
      </c>
      <c r="AM34" s="73"/>
      <c r="AN34" s="72"/>
      <c r="AO34" s="66">
        <f t="shared" si="9"/>
        <v>0</v>
      </c>
      <c r="AP34">
        <f t="shared" si="10"/>
        <v>3.3999999999999998E-3</v>
      </c>
      <c r="AQ34" t="str">
        <f t="shared" si="11"/>
        <v/>
      </c>
    </row>
    <row r="35" spans="1:43" ht="15" thickTop="1" x14ac:dyDescent="0.35">
      <c r="A35" s="535" t="str">
        <f t="shared" si="5"/>
        <v/>
      </c>
      <c r="B35" s="330"/>
      <c r="C35" s="330"/>
      <c r="D35" s="355"/>
      <c r="E35" s="355" t="s">
        <v>83</v>
      </c>
      <c r="F35" s="378">
        <v>150</v>
      </c>
      <c r="G35" s="378" t="s">
        <v>73</v>
      </c>
      <c r="H35" s="515"/>
      <c r="I35" s="515"/>
      <c r="J35" s="515"/>
      <c r="K35" s="674"/>
      <c r="L35" s="534">
        <f t="shared" si="6"/>
        <v>23.003499999999999</v>
      </c>
      <c r="M35" s="458">
        <f t="shared" si="7"/>
        <v>23</v>
      </c>
      <c r="N35" s="458">
        <f t="shared" si="0"/>
        <v>744.65350000000001</v>
      </c>
      <c r="O35" s="458">
        <f t="shared" si="1"/>
        <v>744.65</v>
      </c>
      <c r="P35" s="21"/>
      <c r="Q35" s="506">
        <v>23</v>
      </c>
      <c r="R35" s="52" t="str">
        <v xml:space="preserve">CGGB0007  </v>
      </c>
      <c r="S35" s="44" t="str">
        <f t="shared" si="2"/>
        <v>Beef Ham Gimbap</v>
      </c>
      <c r="T35" s="58" t="str">
        <v>FSS00001</v>
      </c>
      <c r="U35" s="44" t="str">
        <f t="shared" si="3"/>
        <v>Gochugaru</v>
      </c>
      <c r="V35" s="45">
        <f t="shared" si="4"/>
        <v>744.65</v>
      </c>
      <c r="W35" s="45" t="s">
        <v>73</v>
      </c>
      <c r="X35" s="62">
        <v>1</v>
      </c>
      <c r="Y35" s="63">
        <v>0.1</v>
      </c>
      <c r="Z35" s="45">
        <f t="shared" si="8"/>
        <v>819.12</v>
      </c>
      <c r="AA35" s="64" t="s">
        <v>73</v>
      </c>
      <c r="AB35" t="s">
        <v>1294</v>
      </c>
      <c r="AC35" t="s">
        <v>28</v>
      </c>
      <c r="AD35" s="45" t="str">
        <v xml:space="preserve">CGPK0011  </v>
      </c>
      <c r="AE35" s="45" t="str">
        <v>BENTO BOX 4S</v>
      </c>
      <c r="AF35" s="45"/>
    </row>
    <row r="36" spans="1:43" x14ac:dyDescent="0.35">
      <c r="A36" s="535" t="str">
        <f t="shared" si="5"/>
        <v/>
      </c>
      <c r="B36" s="337"/>
      <c r="C36" s="337"/>
      <c r="D36" s="326" t="s">
        <v>44</v>
      </c>
      <c r="E36" s="425" t="s">
        <v>100</v>
      </c>
      <c r="F36" s="18">
        <v>2000</v>
      </c>
      <c r="G36" s="18" t="s">
        <v>73</v>
      </c>
      <c r="H36" s="18">
        <f>ROUND(F35*(F36/(F36+F37+F38+F39)),2)</f>
        <v>97.59</v>
      </c>
      <c r="I36" s="18" t="s">
        <v>73</v>
      </c>
      <c r="J36" s="337"/>
      <c r="K36" s="672">
        <f>A17*H36</f>
        <v>20201.13</v>
      </c>
      <c r="L36" s="534">
        <f t="shared" si="6"/>
        <v>137.00360000000001</v>
      </c>
      <c r="M36" s="458">
        <f t="shared" si="7"/>
        <v>137</v>
      </c>
      <c r="N36" s="458">
        <f t="shared" si="0"/>
        <v>30431.0736</v>
      </c>
      <c r="O36" s="458">
        <f t="shared" si="1"/>
        <v>30431.07</v>
      </c>
      <c r="P36" s="21"/>
      <c r="Q36" s="506">
        <v>137</v>
      </c>
      <c r="R36" s="52" t="str">
        <v xml:space="preserve">CGTP0001  </v>
      </c>
      <c r="S36" s="44" t="str">
        <f t="shared" si="2"/>
        <v>Tokpokki Original</v>
      </c>
      <c r="T36" s="58" t="str">
        <v>FVF00005</v>
      </c>
      <c r="U36" s="44" t="str">
        <f t="shared" si="3"/>
        <v>Sawi putih</v>
      </c>
      <c r="V36" s="45">
        <f t="shared" si="4"/>
        <v>30431.07</v>
      </c>
      <c r="W36" s="45" t="s">
        <v>73</v>
      </c>
      <c r="X36" s="62">
        <v>0.89</v>
      </c>
      <c r="Y36" s="63">
        <v>0.1</v>
      </c>
      <c r="Z36" s="45">
        <f t="shared" si="8"/>
        <v>37611.43</v>
      </c>
      <c r="AA36" s="64" t="s">
        <v>73</v>
      </c>
      <c r="AB36" t="s">
        <v>1320</v>
      </c>
      <c r="AC36" t="s">
        <v>749</v>
      </c>
      <c r="AD36" s="45" t="str">
        <v xml:space="preserve">CGPR0079  </v>
      </c>
      <c r="AE36" s="45" t="str">
        <v>#FYP BULGOGI BIBIMBAP</v>
      </c>
      <c r="AF36" s="45"/>
    </row>
    <row r="37" spans="1:43" x14ac:dyDescent="0.35">
      <c r="A37" s="535" t="str">
        <f t="shared" si="5"/>
        <v/>
      </c>
      <c r="B37" s="330"/>
      <c r="C37" s="330"/>
      <c r="D37" s="342"/>
      <c r="E37" s="543" t="s">
        <v>81</v>
      </c>
      <c r="F37" s="404">
        <v>1000</v>
      </c>
      <c r="G37" s="404" t="s">
        <v>73</v>
      </c>
      <c r="H37" s="404"/>
      <c r="I37" s="404"/>
      <c r="J37" s="345"/>
      <c r="K37" s="675"/>
      <c r="L37" s="534">
        <f t="shared" si="6"/>
        <v>127.00369999999999</v>
      </c>
      <c r="M37" s="458">
        <f t="shared" si="7"/>
        <v>127</v>
      </c>
      <c r="N37" s="458">
        <f t="shared" si="0"/>
        <v>12405.163699999999</v>
      </c>
      <c r="O37" s="458">
        <f t="shared" si="1"/>
        <v>12405.16</v>
      </c>
      <c r="P37" s="21"/>
      <c r="Q37" s="506">
        <v>127</v>
      </c>
      <c r="R37" s="52" t="str">
        <v xml:space="preserve">CGTP0003  </v>
      </c>
      <c r="S37" s="44" t="str">
        <f t="shared" si="2"/>
        <v>Rappokki</v>
      </c>
      <c r="T37" s="58" t="str">
        <v>CKPF0001</v>
      </c>
      <c r="U37" s="44" t="str">
        <f t="shared" si="3"/>
        <v>CK kimchi base 1kg</v>
      </c>
      <c r="V37" s="45">
        <f t="shared" si="4"/>
        <v>12405.16</v>
      </c>
      <c r="W37" s="45" t="s">
        <v>73</v>
      </c>
      <c r="X37" s="62">
        <v>0.97</v>
      </c>
      <c r="Y37" s="63">
        <v>0.1</v>
      </c>
      <c r="Z37" s="45">
        <f t="shared" si="8"/>
        <v>14067.71</v>
      </c>
      <c r="AA37" s="64" t="s">
        <v>73</v>
      </c>
      <c r="AB37" t="s">
        <v>1519</v>
      </c>
      <c r="AC37" t="s">
        <v>1520</v>
      </c>
      <c r="AD37" s="45" t="str">
        <v xml:space="preserve">CGPR0086  </v>
      </c>
      <c r="AE37" s="45" t="str">
        <v>FREE SPICY MALA CHICKEN SET</v>
      </c>
      <c r="AF37" s="45"/>
      <c r="AJ37" t="s">
        <v>1067</v>
      </c>
    </row>
    <row r="38" spans="1:43" x14ac:dyDescent="0.35">
      <c r="A38" s="535" t="str">
        <f t="shared" si="5"/>
        <v/>
      </c>
      <c r="B38" s="337"/>
      <c r="C38" s="337"/>
      <c r="D38" s="326" t="s">
        <v>45</v>
      </c>
      <c r="E38" s="425" t="s">
        <v>101</v>
      </c>
      <c r="F38" s="18">
        <v>57</v>
      </c>
      <c r="G38" s="18" t="s">
        <v>73</v>
      </c>
      <c r="H38" s="18">
        <f>ROUND(F35*(F38/(F36+F37+F38+F39)),2)</f>
        <v>2.78</v>
      </c>
      <c r="I38" s="18" t="s">
        <v>73</v>
      </c>
      <c r="J38" s="337"/>
      <c r="K38" s="672">
        <f>A17*H38</f>
        <v>575.45999999999992</v>
      </c>
      <c r="L38" s="534">
        <f t="shared" si="6"/>
        <v>119.0038</v>
      </c>
      <c r="M38" s="458">
        <f t="shared" si="7"/>
        <v>119</v>
      </c>
      <c r="N38" s="458">
        <f t="shared" si="0"/>
        <v>45.613799999999991</v>
      </c>
      <c r="O38" s="458">
        <f t="shared" si="1"/>
        <v>45.609999999999992</v>
      </c>
      <c r="P38" s="21"/>
      <c r="Q38" s="506">
        <v>119</v>
      </c>
      <c r="R38" s="52" t="str">
        <v xml:space="preserve">CGTP0002  </v>
      </c>
      <c r="S38" s="44" t="str">
        <f t="shared" si="2"/>
        <v>Rose Tokpokki</v>
      </c>
      <c r="T38" s="58" t="str">
        <v>CKRD0006</v>
      </c>
      <c r="U38" s="44" t="str">
        <f t="shared" si="3"/>
        <v>Garlic powder</v>
      </c>
      <c r="V38" s="45">
        <f t="shared" si="4"/>
        <v>45.609999999999992</v>
      </c>
      <c r="W38" s="45" t="s">
        <v>73</v>
      </c>
      <c r="X38" s="62">
        <v>1</v>
      </c>
      <c r="Y38" s="63">
        <v>0.1</v>
      </c>
      <c r="Z38" s="45">
        <f t="shared" si="8"/>
        <v>50.17</v>
      </c>
      <c r="AA38" s="64" t="s">
        <v>73</v>
      </c>
      <c r="AB38" t="s">
        <v>1367</v>
      </c>
      <c r="AC38" t="s">
        <v>1472</v>
      </c>
      <c r="AD38" s="45" t="str">
        <v xml:space="preserve">CGPR0078  </v>
      </c>
      <c r="AE38" s="45" t="str">
        <v>#FYP SPICY BULDAK FRIED RICE</v>
      </c>
      <c r="AF38" s="45"/>
    </row>
    <row r="39" spans="1:43" x14ac:dyDescent="0.35">
      <c r="A39" s="535" t="str">
        <f t="shared" si="5"/>
        <v/>
      </c>
      <c r="B39" s="330"/>
      <c r="C39" s="330"/>
      <c r="D39" s="326" t="s">
        <v>46</v>
      </c>
      <c r="E39" s="426" t="s">
        <v>102</v>
      </c>
      <c r="F39" s="22">
        <v>17</v>
      </c>
      <c r="G39" s="22" t="s">
        <v>73</v>
      </c>
      <c r="H39" s="22">
        <f>ROUND(F35*(F39/(F36+F37+F38+F39)),2)</f>
        <v>0.83</v>
      </c>
      <c r="I39" s="22" t="s">
        <v>73</v>
      </c>
      <c r="J39" s="330"/>
      <c r="K39" s="673">
        <f>A17*H39</f>
        <v>171.81</v>
      </c>
      <c r="L39" s="534">
        <f t="shared" si="6"/>
        <v>70.003900000000002</v>
      </c>
      <c r="M39" s="458">
        <f t="shared" si="7"/>
        <v>70</v>
      </c>
      <c r="N39" s="458">
        <f t="shared" si="0"/>
        <v>17405.393899999999</v>
      </c>
      <c r="O39" s="458">
        <f t="shared" si="1"/>
        <v>17405.39</v>
      </c>
      <c r="P39" s="21"/>
      <c r="Q39" s="506">
        <v>70</v>
      </c>
      <c r="R39" s="52" t="str">
        <v xml:space="preserve">CGTP0004  </v>
      </c>
      <c r="S39" s="44" t="str">
        <f t="shared" si="2"/>
        <v>Chapokki</v>
      </c>
      <c r="T39" s="58" t="str">
        <v>CKPF0004</v>
      </c>
      <c r="U39" s="44" t="str">
        <f t="shared" si="3"/>
        <v>CK Bulgogi Sauce</v>
      </c>
      <c r="V39" s="45">
        <f t="shared" si="4"/>
        <v>17405.39</v>
      </c>
      <c r="W39" s="45" t="s">
        <v>73</v>
      </c>
      <c r="X39" s="62">
        <v>0.97</v>
      </c>
      <c r="Y39" s="63">
        <v>0.1</v>
      </c>
      <c r="Z39" s="45">
        <f t="shared" si="8"/>
        <v>19738.07</v>
      </c>
      <c r="AA39" s="64" t="s">
        <v>73</v>
      </c>
      <c r="AB39" t="s">
        <v>1368</v>
      </c>
      <c r="AC39" t="s">
        <v>1473</v>
      </c>
      <c r="AD39" s="45" t="str">
        <v xml:space="preserve">CGPK0007  </v>
      </c>
      <c r="AE39" s="45" t="str">
        <v>SENDOK TAKE AWAY</v>
      </c>
      <c r="AF39" s="45"/>
      <c r="AJ39" t="s">
        <v>1066</v>
      </c>
    </row>
    <row r="40" spans="1:43" x14ac:dyDescent="0.35">
      <c r="A40" s="535" t="str">
        <f t="shared" si="5"/>
        <v/>
      </c>
      <c r="B40" s="337"/>
      <c r="C40" s="337"/>
      <c r="D40" s="539"/>
      <c r="E40" s="355" t="s">
        <v>82</v>
      </c>
      <c r="F40" s="378">
        <v>50</v>
      </c>
      <c r="G40" s="378" t="s">
        <v>73</v>
      </c>
      <c r="H40" s="515"/>
      <c r="I40" s="515"/>
      <c r="J40" s="515"/>
      <c r="K40" s="674"/>
      <c r="L40" s="534">
        <f t="shared" si="6"/>
        <v>1.004</v>
      </c>
      <c r="M40" s="458">
        <f t="shared" si="7"/>
        <v>1</v>
      </c>
      <c r="N40" s="458">
        <f t="shared" si="0"/>
        <v>21925.004000000001</v>
      </c>
      <c r="O40" s="458">
        <f t="shared" si="1"/>
        <v>21925</v>
      </c>
      <c r="P40" s="21"/>
      <c r="Q40" s="506">
        <v>1</v>
      </c>
      <c r="R40" s="52" t="str">
        <v xml:space="preserve">CGTP0008  </v>
      </c>
      <c r="S40" s="44" t="str">
        <f t="shared" si="2"/>
        <v>Chijeu Chapokki</v>
      </c>
      <c r="T40" s="58" t="str">
        <v>FMP00009</v>
      </c>
      <c r="U40" s="44" t="str">
        <f t="shared" si="3"/>
        <v>TOKUSEN WAGYU BRISKET NE CUT 2</v>
      </c>
      <c r="V40" s="45">
        <f t="shared" si="4"/>
        <v>21925</v>
      </c>
      <c r="W40" s="45" t="s">
        <v>73</v>
      </c>
      <c r="X40" s="62">
        <v>0.9</v>
      </c>
      <c r="Y40" s="63">
        <v>0.1</v>
      </c>
      <c r="Z40" s="45">
        <f t="shared" si="8"/>
        <v>26797.22</v>
      </c>
      <c r="AA40" s="64" t="s">
        <v>73</v>
      </c>
      <c r="AB40" t="s">
        <v>1339</v>
      </c>
      <c r="AC40" t="s">
        <v>1447</v>
      </c>
      <c r="AD40" s="45" t="str">
        <v xml:space="preserve">CGPR0075  </v>
      </c>
      <c r="AE40" s="45" t="str">
        <v>#FYP BEEF DOENJANG JJIGAE (WITH RICE)</v>
      </c>
      <c r="AF40" s="45"/>
    </row>
    <row r="41" spans="1:43" x14ac:dyDescent="0.35">
      <c r="A41" s="535" t="str">
        <f t="shared" si="5"/>
        <v/>
      </c>
      <c r="B41" s="330"/>
      <c r="C41" s="330"/>
      <c r="D41" s="417" t="s">
        <v>39</v>
      </c>
      <c r="E41" s="426" t="s">
        <v>103</v>
      </c>
      <c r="F41" s="22">
        <v>1000</v>
      </c>
      <c r="G41" s="22" t="s">
        <v>73</v>
      </c>
      <c r="H41" s="22">
        <f>ROUND($F$40*(F41/($F$44*(F46/($F$45+$F$46))+$F$44*(F45/($F$45+$F$46))+$F$43+$F$42+$F$41)),2)</f>
        <v>46.95</v>
      </c>
      <c r="I41" s="22" t="s">
        <v>73</v>
      </c>
      <c r="J41" s="330"/>
      <c r="K41" s="673">
        <f>A17*H41</f>
        <v>9718.6500000000015</v>
      </c>
      <c r="L41" s="534">
        <f t="shared" si="6"/>
        <v>1.0041</v>
      </c>
      <c r="M41" s="458">
        <f t="shared" si="7"/>
        <v>1</v>
      </c>
      <c r="N41" s="458">
        <f t="shared" si="0"/>
        <v>15.544099999999998</v>
      </c>
      <c r="O41" s="458">
        <f t="shared" si="1"/>
        <v>15.54</v>
      </c>
      <c r="P41" s="21"/>
      <c r="Q41" s="506">
        <v>1</v>
      </c>
      <c r="R41" s="52" t="str">
        <v xml:space="preserve">CGTP0007  </v>
      </c>
      <c r="S41" s="44" t="str">
        <f t="shared" si="2"/>
        <v>Chijeu Rappokki</v>
      </c>
      <c r="T41" s="58" t="str">
        <v>FGR00021</v>
      </c>
      <c r="U41" s="44" t="str">
        <f t="shared" si="3"/>
        <v>Paya tenderizer</v>
      </c>
      <c r="V41" s="45">
        <f t="shared" si="4"/>
        <v>15.54</v>
      </c>
      <c r="W41" s="45" t="s">
        <v>73</v>
      </c>
      <c r="X41" s="62">
        <v>1</v>
      </c>
      <c r="Y41" s="63">
        <v>0.1</v>
      </c>
      <c r="Z41" s="45">
        <f t="shared" si="8"/>
        <v>17.09</v>
      </c>
      <c r="AA41" s="64" t="s">
        <v>73</v>
      </c>
      <c r="AB41" t="s">
        <v>1513</v>
      </c>
      <c r="AC41" t="s">
        <v>1514</v>
      </c>
      <c r="AD41" s="45" t="str">
        <v xml:space="preserve">CGPR0028  </v>
      </c>
      <c r="AE41" s="45" t="str">
        <v>BIRTHDAY KOREAN DRINK</v>
      </c>
      <c r="AF41" s="45"/>
      <c r="AJ41" t="s">
        <v>1056</v>
      </c>
    </row>
    <row r="42" spans="1:43" x14ac:dyDescent="0.35">
      <c r="A42" s="535" t="str">
        <f t="shared" si="5"/>
        <v/>
      </c>
      <c r="B42" s="337"/>
      <c r="C42" s="337"/>
      <c r="D42" s="417" t="s">
        <v>40</v>
      </c>
      <c r="E42" s="425" t="s">
        <v>104</v>
      </c>
      <c r="F42" s="18">
        <v>15</v>
      </c>
      <c r="G42" s="18" t="s">
        <v>73</v>
      </c>
      <c r="H42" s="335">
        <f>ROUND($F$40*(F42/($F$44*(F46/($F$45+$F$46))+$F$44*(F45/($F$45+$F$46))+$F$43+$F$42+$F$41)),2)</f>
        <v>0.7</v>
      </c>
      <c r="I42" s="18" t="s">
        <v>73</v>
      </c>
      <c r="J42" s="337"/>
      <c r="K42" s="672">
        <f>A17*H42</f>
        <v>144.89999999999998</v>
      </c>
      <c r="L42" s="534">
        <f t="shared" si="6"/>
        <v>8.0042000000000009</v>
      </c>
      <c r="M42" s="458">
        <f t="shared" si="7"/>
        <v>8</v>
      </c>
      <c r="N42" s="458">
        <f t="shared" si="0"/>
        <v>1101.2442000000001</v>
      </c>
      <c r="O42" s="458">
        <f t="shared" si="1"/>
        <v>1101.24</v>
      </c>
      <c r="P42" s="21"/>
      <c r="Q42" s="506">
        <v>8</v>
      </c>
      <c r="R42" s="52" t="str">
        <v xml:space="preserve">CGTP0006  </v>
      </c>
      <c r="S42" s="44" t="str">
        <f t="shared" si="2"/>
        <v xml:space="preserve">	Chijeu Rose Tokpokki</v>
      </c>
      <c r="T42" s="58" t="str">
        <v>FGR00011</v>
      </c>
      <c r="U42" s="44" t="str">
        <f t="shared" si="3"/>
        <v>Wijen Putih</v>
      </c>
      <c r="V42" s="45">
        <f t="shared" si="4"/>
        <v>1101.24</v>
      </c>
      <c r="W42" s="45" t="s">
        <v>73</v>
      </c>
      <c r="X42" s="62">
        <v>1</v>
      </c>
      <c r="Y42" s="63">
        <v>0.1</v>
      </c>
      <c r="Z42" s="45">
        <f t="shared" si="8"/>
        <v>1211.3599999999999</v>
      </c>
      <c r="AA42" s="64" t="s">
        <v>73</v>
      </c>
      <c r="AB42" t="s">
        <v>1511</v>
      </c>
      <c r="AC42" t="s">
        <v>1512</v>
      </c>
      <c r="AD42" s="45" t="str">
        <v xml:space="preserve">CGPR0076  </v>
      </c>
      <c r="AE42" s="45" t="str">
        <v>#FYP BEEF KIMCHI FRIED RICE</v>
      </c>
      <c r="AF42" s="45"/>
    </row>
    <row r="43" spans="1:43" x14ac:dyDescent="0.35">
      <c r="A43" s="535" t="str">
        <f t="shared" si="5"/>
        <v/>
      </c>
      <c r="B43" s="330"/>
      <c r="C43" s="330"/>
      <c r="D43" s="417" t="s">
        <v>41</v>
      </c>
      <c r="E43" s="426" t="s">
        <v>97</v>
      </c>
      <c r="F43" s="22">
        <v>30</v>
      </c>
      <c r="G43" s="22" t="s">
        <v>73</v>
      </c>
      <c r="H43" s="328">
        <f>ROUND($F$40*(F43/($F$44*(F46/($F$45+$F$46))+$F$44*(F45/($F$45+$F$46))+$F$43+$F$42+$F$41)),2)</f>
        <v>1.41</v>
      </c>
      <c r="I43" s="22" t="s">
        <v>73</v>
      </c>
      <c r="J43" s="330"/>
      <c r="K43" s="673">
        <f>A17*H43</f>
        <v>291.87</v>
      </c>
      <c r="L43" s="534">
        <f t="shared" si="6"/>
        <v>4.0042999999999997</v>
      </c>
      <c r="M43" s="458">
        <f t="shared" si="7"/>
        <v>4</v>
      </c>
      <c r="N43" s="458">
        <f t="shared" si="0"/>
        <v>6212.5042999999996</v>
      </c>
      <c r="O43" s="458">
        <f t="shared" si="1"/>
        <v>6212.5</v>
      </c>
      <c r="P43" s="21"/>
      <c r="Q43" s="506">
        <v>4</v>
      </c>
      <c r="R43" s="52" t="str">
        <v xml:space="preserve">CGTP0005  </v>
      </c>
      <c r="S43" s="44" t="str">
        <f t="shared" si="2"/>
        <v xml:space="preserve">ChijeuTokpokki </v>
      </c>
      <c r="T43" s="58" t="str">
        <v>FVF00022</v>
      </c>
      <c r="U43" s="44" t="str">
        <f t="shared" si="3"/>
        <v>Salada keriting</v>
      </c>
      <c r="V43" s="45">
        <f t="shared" si="4"/>
        <v>6212.5</v>
      </c>
      <c r="W43" s="45" t="s">
        <v>73</v>
      </c>
      <c r="X43" s="62">
        <v>0.89</v>
      </c>
      <c r="Y43" s="63">
        <v>0.1</v>
      </c>
      <c r="Z43" s="45">
        <f t="shared" si="8"/>
        <v>7678.37</v>
      </c>
      <c r="AA43" s="64" t="s">
        <v>73</v>
      </c>
      <c r="AB43" t="s">
        <v>1349</v>
      </c>
      <c r="AC43" t="s">
        <v>1456</v>
      </c>
      <c r="AD43" s="45" t="str">
        <v xml:space="preserve">CGPK0003  </v>
      </c>
      <c r="AE43" s="45" t="str">
        <v>BENTO BOX 5S</v>
      </c>
      <c r="AF43" s="45"/>
      <c r="AJ43" t="s">
        <v>1055</v>
      </c>
    </row>
    <row r="44" spans="1:43" x14ac:dyDescent="0.35">
      <c r="A44" s="535" t="str">
        <f t="shared" si="5"/>
        <v/>
      </c>
      <c r="B44" s="337"/>
      <c r="C44" s="337"/>
      <c r="D44" s="539"/>
      <c r="E44" s="416" t="s">
        <v>23</v>
      </c>
      <c r="F44" s="378">
        <v>20</v>
      </c>
      <c r="G44" s="378" t="s">
        <v>73</v>
      </c>
      <c r="H44" s="515"/>
      <c r="I44" s="515"/>
      <c r="J44" s="515"/>
      <c r="K44" s="674"/>
      <c r="L44" s="534">
        <f t="shared" si="6"/>
        <v>20.0044</v>
      </c>
      <c r="M44" s="458">
        <f t="shared" si="7"/>
        <v>20</v>
      </c>
      <c r="N44" s="458">
        <f t="shared" si="0"/>
        <v>12041.6844</v>
      </c>
      <c r="O44" s="458">
        <f t="shared" si="1"/>
        <v>12041.68</v>
      </c>
      <c r="P44" s="21"/>
      <c r="Q44" s="506">
        <v>20</v>
      </c>
      <c r="R44" s="52" t="str">
        <v xml:space="preserve">CGSD0015  </v>
      </c>
      <c r="S44" s="44" t="str">
        <f t="shared" si="2"/>
        <v>Original Chicken Katsu</v>
      </c>
      <c r="T44" s="58" t="str">
        <v>FMP00015</v>
      </c>
      <c r="U44" s="44" t="str">
        <f t="shared" si="3"/>
        <v>PAHA BONELESS SKINLESS FREE SIZE 2 KG</v>
      </c>
      <c r="V44" s="45">
        <f t="shared" si="4"/>
        <v>12041.68</v>
      </c>
      <c r="W44" s="45" t="s">
        <v>73</v>
      </c>
      <c r="X44" s="62">
        <v>0.95</v>
      </c>
      <c r="Y44" s="63">
        <v>0.1</v>
      </c>
      <c r="Z44" s="45">
        <f t="shared" si="8"/>
        <v>13943</v>
      </c>
      <c r="AA44" s="64" t="s">
        <v>73</v>
      </c>
      <c r="AB44" t="s">
        <v>1350</v>
      </c>
      <c r="AC44" t="s">
        <v>1457</v>
      </c>
      <c r="AD44" s="45" t="str">
        <v xml:space="preserve">CGPK0021  </v>
      </c>
      <c r="AE44" s="45" t="str">
        <v>TA CHARGE PROMO</v>
      </c>
      <c r="AF44" s="45"/>
      <c r="AJ44" t="s">
        <v>1055</v>
      </c>
    </row>
    <row r="45" spans="1:43" x14ac:dyDescent="0.35">
      <c r="A45" s="535" t="str">
        <f t="shared" si="5"/>
        <v/>
      </c>
      <c r="B45" s="330"/>
      <c r="C45" s="330"/>
      <c r="D45" s="417" t="s">
        <v>43</v>
      </c>
      <c r="E45" s="475" t="s">
        <v>105</v>
      </c>
      <c r="F45" s="22">
        <v>85</v>
      </c>
      <c r="G45" s="22" t="s">
        <v>73</v>
      </c>
      <c r="H45" s="22">
        <f>ROUND(($F$40*($F$44*(F45/($F$45+$F$46))/($F$44*(F46/($F$45+$F$46))+$F$44*(F45/($F$45+$F$46))+$F$43+$F$42+$F$41))),2)</f>
        <v>0.8</v>
      </c>
      <c r="I45" s="22" t="s">
        <v>73</v>
      </c>
      <c r="J45" s="330"/>
      <c r="K45" s="673">
        <f>A17*H45</f>
        <v>165.60000000000002</v>
      </c>
      <c r="L45" s="534">
        <f t="shared" si="6"/>
        <v>22.0045</v>
      </c>
      <c r="M45" s="458">
        <f t="shared" si="7"/>
        <v>22</v>
      </c>
      <c r="N45" s="458">
        <f t="shared" si="0"/>
        <v>12950.004499999999</v>
      </c>
      <c r="O45" s="458">
        <f t="shared" si="1"/>
        <v>12950</v>
      </c>
      <c r="P45" s="21"/>
      <c r="Q45" s="506">
        <v>22</v>
      </c>
      <c r="R45" s="52" t="str">
        <v xml:space="preserve">CGSD0016  </v>
      </c>
      <c r="S45" s="44" t="str">
        <f t="shared" si="2"/>
        <v>Bburinkle Cheese Chicken Katsu</v>
      </c>
      <c r="T45" s="58" t="str">
        <v>FVF00006</v>
      </c>
      <c r="U45" s="44" t="str">
        <f t="shared" si="3"/>
        <v>Kol Trim</v>
      </c>
      <c r="V45" s="45">
        <f t="shared" si="4"/>
        <v>12950</v>
      </c>
      <c r="W45" s="45" t="s">
        <v>73</v>
      </c>
      <c r="X45" s="62">
        <v>0.86</v>
      </c>
      <c r="Y45" s="63">
        <v>0.1</v>
      </c>
      <c r="Z45" s="45">
        <f t="shared" si="8"/>
        <v>16563.95</v>
      </c>
      <c r="AA45" s="64" t="s">
        <v>73</v>
      </c>
      <c r="AB45" t="s">
        <v>1326</v>
      </c>
      <c r="AC45" t="s">
        <v>1434</v>
      </c>
      <c r="AD45" s="45" t="str">
        <v xml:space="preserve">CGPK0009  </v>
      </c>
      <c r="AE45" s="45" t="str">
        <v>SAUCE CUP</v>
      </c>
      <c r="AF45" s="45"/>
    </row>
    <row r="46" spans="1:43" x14ac:dyDescent="0.35">
      <c r="A46" s="535" t="str">
        <f t="shared" si="5"/>
        <v/>
      </c>
      <c r="B46" s="337"/>
      <c r="C46" s="337"/>
      <c r="D46" s="417" t="s">
        <v>42</v>
      </c>
      <c r="E46" s="419" t="s">
        <v>95</v>
      </c>
      <c r="F46" s="18">
        <v>15</v>
      </c>
      <c r="G46" s="18" t="s">
        <v>73</v>
      </c>
      <c r="H46" s="18">
        <f>ROUND(($F$40*($F$44*(F46/($F$45+$F$46))/($F$44*(F46/($F$45+$F$46))+$F$44*(F45/($F$45+$F$46))+$F$43+$F$42+$F$41))),2)</f>
        <v>0.14000000000000001</v>
      </c>
      <c r="I46" s="18" t="s">
        <v>73</v>
      </c>
      <c r="J46" s="337"/>
      <c r="K46" s="672">
        <f>A17*H46</f>
        <v>28.980000000000004</v>
      </c>
      <c r="L46" s="534">
        <f t="shared" si="6"/>
        <v>12.0046</v>
      </c>
      <c r="M46" s="458">
        <f t="shared" si="7"/>
        <v>12</v>
      </c>
      <c r="N46" s="458">
        <f t="shared" si="0"/>
        <v>2220.0046000000002</v>
      </c>
      <c r="O46" s="458">
        <f t="shared" si="1"/>
        <v>2220</v>
      </c>
      <c r="P46" s="21"/>
      <c r="Q46" s="506">
        <v>12</v>
      </c>
      <c r="R46" s="52" t="str">
        <v xml:space="preserve">CGSD0017  </v>
      </c>
      <c r="S46" s="44" t="str">
        <f t="shared" si="2"/>
        <v>Spicy BBQ Chicken Katsu</v>
      </c>
      <c r="T46" s="58" t="str">
        <v>FVF00030</v>
      </c>
      <c r="U46" s="44" t="str">
        <f t="shared" si="3"/>
        <v>Kentang</v>
      </c>
      <c r="V46" s="45">
        <f t="shared" si="4"/>
        <v>2220</v>
      </c>
      <c r="W46" s="45" t="s">
        <v>73</v>
      </c>
      <c r="X46" s="62">
        <v>0.88</v>
      </c>
      <c r="Y46" s="63">
        <v>0.1</v>
      </c>
      <c r="Z46" s="45">
        <f t="shared" si="8"/>
        <v>2775</v>
      </c>
      <c r="AA46" s="64" t="s">
        <v>73</v>
      </c>
      <c r="AB46" t="s">
        <v>1345</v>
      </c>
      <c r="AC46" t="s">
        <v>1453</v>
      </c>
      <c r="AD46" s="45" t="str">
        <v xml:space="preserve">CGPK0018  </v>
      </c>
      <c r="AE46" s="45" t="str">
        <v>STICKER BENTO BOX</v>
      </c>
      <c r="AF46" s="45"/>
    </row>
    <row r="47" spans="1:43" x14ac:dyDescent="0.35">
      <c r="A47" s="535" t="str">
        <f t="shared" si="5"/>
        <v/>
      </c>
      <c r="B47" s="330"/>
      <c r="C47" s="330"/>
      <c r="D47" s="539"/>
      <c r="E47" s="355" t="s">
        <v>84</v>
      </c>
      <c r="F47" s="378">
        <v>80</v>
      </c>
      <c r="G47" s="378" t="s">
        <v>73</v>
      </c>
      <c r="H47" s="515"/>
      <c r="I47" s="515"/>
      <c r="J47" s="515"/>
      <c r="K47" s="674"/>
      <c r="L47" s="534">
        <f t="shared" si="6"/>
        <v>52.0047</v>
      </c>
      <c r="M47" s="458">
        <f t="shared" si="7"/>
        <v>52</v>
      </c>
      <c r="N47" s="458">
        <f t="shared" si="0"/>
        <v>10451.124699999998</v>
      </c>
      <c r="O47" s="458">
        <f t="shared" si="1"/>
        <v>10451.119999999999</v>
      </c>
      <c r="P47" s="21"/>
      <c r="Q47" s="506">
        <v>52</v>
      </c>
      <c r="R47" s="52" t="str">
        <v xml:space="preserve">CGSD0005  </v>
      </c>
      <c r="S47" s="44" t="str">
        <f t="shared" si="2"/>
        <v>Pajeon</v>
      </c>
      <c r="T47" s="58" t="str">
        <v>CKPF0027</v>
      </c>
      <c r="U47" s="44" t="str">
        <f t="shared" si="3"/>
        <v>CK Sauce dakgalbi</v>
      </c>
      <c r="V47" s="45">
        <f t="shared" si="4"/>
        <v>10451.119999999999</v>
      </c>
      <c r="W47" s="45" t="s">
        <v>73</v>
      </c>
      <c r="X47" s="62">
        <v>0.97</v>
      </c>
      <c r="Y47" s="63">
        <v>0.1</v>
      </c>
      <c r="Z47" s="45">
        <f t="shared" si="8"/>
        <v>11851.79</v>
      </c>
      <c r="AA47" s="64" t="s">
        <v>73</v>
      </c>
      <c r="AB47" t="s">
        <v>1366</v>
      </c>
      <c r="AC47" t="s">
        <v>1471</v>
      </c>
      <c r="AD47" s="45" t="str">
        <v xml:space="preserve">CGPK0002  </v>
      </c>
      <c r="AE47" s="45" t="str">
        <v>PAPER BOWL</v>
      </c>
      <c r="AF47" s="45"/>
    </row>
    <row r="48" spans="1:43" x14ac:dyDescent="0.35">
      <c r="A48" s="535" t="str">
        <f t="shared" si="5"/>
        <v/>
      </c>
      <c r="B48" s="337"/>
      <c r="C48" s="337"/>
      <c r="D48" s="539"/>
      <c r="E48" s="416" t="s">
        <v>26</v>
      </c>
      <c r="F48" s="378">
        <v>1000</v>
      </c>
      <c r="G48" s="378" t="s">
        <v>73</v>
      </c>
      <c r="H48" s="515"/>
      <c r="I48" s="515"/>
      <c r="J48" s="515"/>
      <c r="K48" s="674"/>
      <c r="L48" s="534">
        <f t="shared" si="6"/>
        <v>22.004799999999999</v>
      </c>
      <c r="M48" s="458">
        <f t="shared" si="7"/>
        <v>22</v>
      </c>
      <c r="N48" s="458">
        <f t="shared" si="0"/>
        <v>87320.004799999995</v>
      </c>
      <c r="O48" s="458">
        <f t="shared" si="1"/>
        <v>87320</v>
      </c>
      <c r="P48" s="21"/>
      <c r="Q48" s="506">
        <v>22</v>
      </c>
      <c r="R48" s="52" t="str">
        <v xml:space="preserve">CGSD0007  </v>
      </c>
      <c r="S48" s="44" t="str">
        <f t="shared" si="2"/>
        <v>Vegetable Twigim</v>
      </c>
      <c r="T48" s="58" t="str">
        <v>FGR00003</v>
      </c>
      <c r="U48" s="44" t="str">
        <f t="shared" si="3"/>
        <v xml:space="preserve">Teok </v>
      </c>
      <c r="V48" s="45">
        <f t="shared" si="4"/>
        <v>87320</v>
      </c>
      <c r="W48" s="45" t="s">
        <v>73</v>
      </c>
      <c r="X48" s="62">
        <v>1</v>
      </c>
      <c r="Y48" s="63">
        <v>0.1</v>
      </c>
      <c r="Z48" s="45">
        <f t="shared" si="8"/>
        <v>96052</v>
      </c>
      <c r="AA48" s="64" t="s">
        <v>73</v>
      </c>
      <c r="AB48" t="s">
        <v>1325</v>
      </c>
      <c r="AC48" t="s">
        <v>1433</v>
      </c>
      <c r="AD48" s="45" t="str">
        <v xml:space="preserve">CGPR0077  </v>
      </c>
      <c r="AE48" s="45" t="str">
        <v>#FYP CHICKEN KIMCHI FRIED RICE</v>
      </c>
      <c r="AF48" s="45"/>
    </row>
    <row r="49" spans="1:32" x14ac:dyDescent="0.35">
      <c r="A49" s="535" t="str">
        <f t="shared" ref="A49:A80" si="12">IFERROR(INDEX($Q$17:$Q$41,MATCH(B49,$R$17:$R$41, 0)), "")</f>
        <v/>
      </c>
      <c r="B49" s="330"/>
      <c r="C49" s="330"/>
      <c r="D49" s="417" t="s">
        <v>60</v>
      </c>
      <c r="E49" s="418" t="s">
        <v>121</v>
      </c>
      <c r="F49" s="22">
        <v>1000</v>
      </c>
      <c r="G49" s="22" t="s">
        <v>73</v>
      </c>
      <c r="H49" s="22">
        <f>ROUND(($F$47)*((($F$48)*(($F$49)/($F$49+$F$50+$F$51)))/((($F$48)*(($F$49)/($F$49+$F$50+$F$51)))+(($F$48)*(($F$50)/($F$49+$F$50+$F$51)))+(($F$48)*(($F$51)/($F$49+$F$50+$F$51)))+($F$52)+($F$53))),2)</f>
        <v>38.58</v>
      </c>
      <c r="I49" s="22" t="s">
        <v>73</v>
      </c>
      <c r="J49" s="330"/>
      <c r="K49" s="673">
        <f>A17*H49</f>
        <v>7986.0599999999995</v>
      </c>
      <c r="L49" s="534">
        <f t="shared" si="6"/>
        <v>25.004899999999999</v>
      </c>
      <c r="M49" s="458">
        <f t="shared" si="7"/>
        <v>25</v>
      </c>
      <c r="N49" s="458">
        <f t="shared" si="0"/>
        <v>5355.0048999999999</v>
      </c>
      <c r="O49" s="458">
        <f t="shared" si="1"/>
        <v>5355</v>
      </c>
      <c r="P49" s="21"/>
      <c r="Q49" s="506">
        <v>25</v>
      </c>
      <c r="R49" s="52" t="str">
        <v xml:space="preserve">CGSD0009  </v>
      </c>
      <c r="S49" s="44" t="str">
        <f t="shared" ref="S49:S80" si="13">IFERROR(VLOOKUP(R49, $B$17:$C$3406, 2, FALSE), "Not Found")</f>
        <v>ENOKI TWIGIM</v>
      </c>
      <c r="T49" s="58" t="str">
        <v>CKPF0009</v>
      </c>
      <c r="U49" s="44" t="str">
        <f t="shared" si="3"/>
        <v>CK SPICY CHICKEN SAUCE 1 K / CK Gangjeong Sauce</v>
      </c>
      <c r="V49" s="45">
        <f t="shared" si="4"/>
        <v>5355</v>
      </c>
      <c r="W49" s="45" t="s">
        <v>73</v>
      </c>
      <c r="X49" s="62">
        <v>0.97</v>
      </c>
      <c r="Y49" s="63">
        <v>0.1</v>
      </c>
      <c r="Z49" s="45">
        <f t="shared" si="8"/>
        <v>6072.68</v>
      </c>
      <c r="AA49" s="64" t="s">
        <v>73</v>
      </c>
      <c r="AB49" t="s">
        <v>1355</v>
      </c>
      <c r="AC49" t="s">
        <v>1461</v>
      </c>
      <c r="AD49" s="45" t="str">
        <v xml:space="preserve">CGPK0006  </v>
      </c>
      <c r="AE49" s="45" t="str">
        <v>SUMPIT TAKE AWAY</v>
      </c>
      <c r="AF49" s="45"/>
    </row>
    <row r="50" spans="1:32" x14ac:dyDescent="0.35">
      <c r="A50" s="535" t="str">
        <f t="shared" si="12"/>
        <v/>
      </c>
      <c r="B50" s="337"/>
      <c r="C50" s="337"/>
      <c r="D50" s="417" t="s">
        <v>43</v>
      </c>
      <c r="E50" s="419" t="s">
        <v>94</v>
      </c>
      <c r="F50" s="18">
        <v>30</v>
      </c>
      <c r="G50" s="18" t="s">
        <v>73</v>
      </c>
      <c r="H50" s="18">
        <f>ROUND(($F$47)*((($F$48)*(($F$50)/($F$49+$F$50+$F$51)))
/((($F$48)*(($F$49)/($F$49+$F$50+$F$51)))+(($F$48)*(($F$50)/($F$49+$F$50+$F$51)))+(($F$48)*(($F$51)/($F$49+$F$50+$F$51)))+($F$52)+($F$53))),2)</f>
        <v>1.1599999999999999</v>
      </c>
      <c r="I50" s="18" t="s">
        <v>73</v>
      </c>
      <c r="J50" s="337"/>
      <c r="K50" s="672">
        <f>A17*H50</f>
        <v>240.11999999999998</v>
      </c>
      <c r="L50" s="534">
        <f t="shared" si="6"/>
        <v>74.004999999999995</v>
      </c>
      <c r="M50" s="458">
        <f t="shared" si="7"/>
        <v>74</v>
      </c>
      <c r="N50" s="458">
        <f t="shared" si="0"/>
        <v>81.754999999999995</v>
      </c>
      <c r="O50" s="458">
        <f t="shared" si="1"/>
        <v>81.75</v>
      </c>
      <c r="P50" s="21"/>
      <c r="Q50" s="506">
        <v>74</v>
      </c>
      <c r="R50" s="52" t="str">
        <v xml:space="preserve">CGSD0010  </v>
      </c>
      <c r="S50" s="44" t="str">
        <f t="shared" si="13"/>
        <v>Mixed Twigim</v>
      </c>
      <c r="T50" s="58" t="str">
        <v>PKG00003</v>
      </c>
      <c r="U50" s="44" t="str">
        <f t="shared" si="3"/>
        <v>GREASE PAPER LAMINATED 33x33</v>
      </c>
      <c r="V50" s="45">
        <f t="shared" si="4"/>
        <v>81.75</v>
      </c>
      <c r="W50" s="45" t="s">
        <v>1072</v>
      </c>
      <c r="X50" s="62">
        <v>1</v>
      </c>
      <c r="Y50" s="63">
        <v>0.1</v>
      </c>
      <c r="Z50" s="45">
        <f t="shared" si="8"/>
        <v>89.93</v>
      </c>
      <c r="AA50" s="65" t="s">
        <v>1072</v>
      </c>
      <c r="AB50" t="s">
        <v>1305</v>
      </c>
      <c r="AC50" t="s">
        <v>1414</v>
      </c>
      <c r="AD50" s="45" t="str">
        <v xml:space="preserve">CGPR0030  </v>
      </c>
      <c r="AE50" s="71" t="str">
        <v>FREE MOZZARELLA</v>
      </c>
      <c r="AF50" s="71"/>
    </row>
    <row r="51" spans="1:32" x14ac:dyDescent="0.35">
      <c r="A51" s="535" t="str">
        <f t="shared" si="12"/>
        <v/>
      </c>
      <c r="B51" s="330"/>
      <c r="C51" s="330"/>
      <c r="D51" s="420"/>
      <c r="E51" s="421" t="s">
        <v>81</v>
      </c>
      <c r="F51" s="404">
        <v>400</v>
      </c>
      <c r="G51" s="404" t="s">
        <v>73</v>
      </c>
      <c r="H51" s="404">
        <f>ROUND(($F$47)*((($F$48)*(($F$51)/($F$49+$F$50+$F$51)))
/(((($F$48)*(($F$49)/($F$49+$F$50+$F$51)))+(($F$48)*(($F$50)/($F$49+$F$50+$F$51)))+(($F$48)*(($F$51)/($F$49+$F$50+$F$51)))+($F$52)+($F$53)))),2)</f>
        <v>15.43</v>
      </c>
      <c r="I51" s="404"/>
      <c r="J51" s="345"/>
      <c r="K51" s="675"/>
      <c r="L51" s="534">
        <f t="shared" si="6"/>
        <v>31.005099999999999</v>
      </c>
      <c r="M51" s="458">
        <f t="shared" si="7"/>
        <v>31</v>
      </c>
      <c r="N51" s="458">
        <f t="shared" si="0"/>
        <v>66605.005099999995</v>
      </c>
      <c r="O51" s="458">
        <f t="shared" si="1"/>
        <v>66605</v>
      </c>
      <c r="P51" s="21"/>
      <c r="Q51" s="506">
        <v>31</v>
      </c>
      <c r="R51" s="52" t="str">
        <v xml:space="preserve">CGSD0006  </v>
      </c>
      <c r="S51" s="44" t="str">
        <f t="shared" si="13"/>
        <v>Gimmari</v>
      </c>
      <c r="T51" s="58" t="str">
        <v>FFF00024</v>
      </c>
      <c r="U51" s="44" t="str">
        <f t="shared" si="3"/>
        <v>KAARAGE GARLIC MINI</v>
      </c>
      <c r="V51" s="45">
        <f t="shared" si="4"/>
        <v>66605</v>
      </c>
      <c r="W51" s="45" t="s">
        <v>73</v>
      </c>
      <c r="X51" s="62">
        <v>0.8</v>
      </c>
      <c r="Y51" s="63">
        <v>0.1</v>
      </c>
      <c r="Z51" s="45">
        <f t="shared" si="8"/>
        <v>91581.88</v>
      </c>
      <c r="AA51" s="64" t="s">
        <v>73</v>
      </c>
      <c r="AB51" t="s">
        <v>1365</v>
      </c>
      <c r="AC51" t="s">
        <v>1470</v>
      </c>
      <c r="AD51" s="45" t="str">
        <v xml:space="preserve">CGPK0008  </v>
      </c>
      <c r="AE51" s="45" t="str">
        <v>GARPU TAKE AWAY</v>
      </c>
      <c r="AF51" s="45"/>
    </row>
    <row r="52" spans="1:32" x14ac:dyDescent="0.35">
      <c r="A52" s="535" t="str">
        <f t="shared" si="12"/>
        <v/>
      </c>
      <c r="B52" s="337"/>
      <c r="C52" s="337"/>
      <c r="D52" s="417" t="s">
        <v>59</v>
      </c>
      <c r="E52" s="425" t="s">
        <v>1256</v>
      </c>
      <c r="F52" s="18">
        <v>350</v>
      </c>
      <c r="G52" s="18" t="s">
        <v>73</v>
      </c>
      <c r="H52" s="18">
        <f>ROUND(($F$47)*(($F$52)/(((($F$48)*(($F$49)/($F$49+$F$50+$F$51)))+(($F$48)*(($F$50)/($F$49+$F$50+$F$51)))+(($F$48)*(($F$51)/($F$49+$F$50+$F$51)))+($F$52)+($F$53)))),2)</f>
        <v>19.309999999999999</v>
      </c>
      <c r="I52" s="18" t="s">
        <v>73</v>
      </c>
      <c r="J52" s="337"/>
      <c r="K52" s="672">
        <f>A17*H52</f>
        <v>3997.1699999999996</v>
      </c>
      <c r="L52" s="534">
        <f t="shared" si="6"/>
        <v>26.005199999999999</v>
      </c>
      <c r="M52" s="458">
        <f t="shared" si="7"/>
        <v>26</v>
      </c>
      <c r="N52" s="458">
        <f t="shared" si="0"/>
        <v>11230.715199999999</v>
      </c>
      <c r="O52" s="458">
        <f t="shared" si="1"/>
        <v>11230.71</v>
      </c>
      <c r="P52" s="21"/>
      <c r="Q52" s="506">
        <v>26</v>
      </c>
      <c r="R52" s="52" t="str">
        <v xml:space="preserve">CGSD0018  </v>
      </c>
      <c r="S52" s="44" t="str">
        <f t="shared" si="13"/>
        <v>Nori Twigim</v>
      </c>
      <c r="T52" s="58" t="str">
        <v>CKPF0010</v>
      </c>
      <c r="U52" s="44" t="str">
        <f t="shared" si="3"/>
        <v>CK SOY GARLIC SAUCE 1 KG</v>
      </c>
      <c r="V52" s="45">
        <f t="shared" si="4"/>
        <v>11230.71</v>
      </c>
      <c r="W52" s="45" t="s">
        <v>73</v>
      </c>
      <c r="X52" s="62">
        <v>0.97</v>
      </c>
      <c r="Y52" s="63">
        <v>0.1</v>
      </c>
      <c r="Z52" s="45">
        <f t="shared" si="8"/>
        <v>12735.86</v>
      </c>
      <c r="AA52" s="64" t="s">
        <v>73</v>
      </c>
      <c r="AB52" t="s">
        <v>1508</v>
      </c>
      <c r="AC52" t="s">
        <v>1509</v>
      </c>
      <c r="AD52" s="45" t="str">
        <v xml:space="preserve">CGPK0013  </v>
      </c>
      <c r="AE52" s="45" t="str">
        <v>CUP PLASTIK K-DRINK</v>
      </c>
      <c r="AF52" s="45"/>
    </row>
    <row r="53" spans="1:32" x14ac:dyDescent="0.35">
      <c r="A53" s="535" t="str">
        <f t="shared" si="12"/>
        <v/>
      </c>
      <c r="B53" s="330"/>
      <c r="C53" s="330"/>
      <c r="D53" s="417" t="s">
        <v>48</v>
      </c>
      <c r="E53" s="426" t="s">
        <v>91</v>
      </c>
      <c r="F53" s="22">
        <v>100</v>
      </c>
      <c r="G53" s="22" t="s">
        <v>73</v>
      </c>
      <c r="H53" s="22">
        <f>ROUND(($F$47)*(($F$53)/(((($F$48)*(($F$49)/($F$49+$F$50+$F$51)))+(($F$48)*(($F$50)/($F$49+$F$50+$F$51)))+(($F$48)*(($F$51)/($F$49+$F$50+$F$51)))+($F$52)+($F$53)))),2)</f>
        <v>5.52</v>
      </c>
      <c r="I53" s="22" t="s">
        <v>73</v>
      </c>
      <c r="J53" s="330"/>
      <c r="K53" s="673">
        <f>A17*H53</f>
        <v>1142.6399999999999</v>
      </c>
      <c r="L53" s="534">
        <f t="shared" si="6"/>
        <v>16.005299999999998</v>
      </c>
      <c r="M53" s="458">
        <f t="shared" si="7"/>
        <v>16</v>
      </c>
      <c r="N53" s="458">
        <f t="shared" si="0"/>
        <v>396.00529999999998</v>
      </c>
      <c r="O53" s="458">
        <f t="shared" si="1"/>
        <v>396</v>
      </c>
      <c r="P53" s="21"/>
      <c r="Q53" s="506">
        <v>16</v>
      </c>
      <c r="R53" s="52" t="str">
        <v xml:space="preserve">CGSD0011  </v>
      </c>
      <c r="S53" s="44" t="str">
        <f t="shared" si="13"/>
        <v>Tofu Kimchi</v>
      </c>
      <c r="T53" s="58" t="str">
        <v>CKPD0047</v>
      </c>
      <c r="U53" s="44" t="str">
        <f t="shared" si="3"/>
        <v>CK Spicy BBQ Powder 500 g</v>
      </c>
      <c r="V53" s="45">
        <f t="shared" si="4"/>
        <v>396</v>
      </c>
      <c r="W53" s="45" t="s">
        <v>73</v>
      </c>
      <c r="X53" s="62">
        <v>1</v>
      </c>
      <c r="Y53" s="63">
        <v>0.1</v>
      </c>
      <c r="Z53" s="45">
        <f t="shared" si="8"/>
        <v>435.6</v>
      </c>
      <c r="AA53" s="64" t="s">
        <v>73</v>
      </c>
      <c r="AB53" t="s">
        <v>1044</v>
      </c>
      <c r="AC53" t="s">
        <v>1045</v>
      </c>
      <c r="AD53" s="45" t="str">
        <v xml:space="preserve">CGPK0007  </v>
      </c>
      <c r="AE53" s="45" t="str">
        <v>SENDOK TAKE AWAY</v>
      </c>
      <c r="AF53" s="45"/>
    </row>
    <row r="54" spans="1:32" x14ac:dyDescent="0.35">
      <c r="A54" s="535" t="str">
        <f t="shared" si="12"/>
        <v/>
      </c>
      <c r="B54" s="337"/>
      <c r="C54" s="337"/>
      <c r="D54" s="355"/>
      <c r="E54" s="355" t="s">
        <v>85</v>
      </c>
      <c r="F54" s="378">
        <v>0.3</v>
      </c>
      <c r="G54" s="378" t="s">
        <v>73</v>
      </c>
      <c r="H54" s="515"/>
      <c r="I54" s="515"/>
      <c r="J54" s="515"/>
      <c r="K54" s="674"/>
      <c r="L54" s="534">
        <f t="shared" si="6"/>
        <v>6.0053999999999998</v>
      </c>
      <c r="M54" s="458">
        <f t="shared" si="7"/>
        <v>6</v>
      </c>
      <c r="N54" s="458">
        <f t="shared" si="0"/>
        <v>1828.0054</v>
      </c>
      <c r="O54" s="458">
        <f t="shared" si="1"/>
        <v>1828</v>
      </c>
      <c r="P54" s="21"/>
      <c r="Q54" s="506">
        <v>6</v>
      </c>
      <c r="R54" s="52" t="str">
        <v xml:space="preserve">CGSD0020  </v>
      </c>
      <c r="S54" s="44" t="str">
        <f t="shared" si="13"/>
        <v>FRIED MANDU 6 PCS</v>
      </c>
      <c r="T54" s="58" t="str">
        <v>CKPD0044</v>
      </c>
      <c r="U54" s="44" t="str">
        <f t="shared" si="3"/>
        <v>CK BBURINKLE POWDER 500 G</v>
      </c>
      <c r="V54" s="45">
        <f t="shared" si="4"/>
        <v>1828</v>
      </c>
      <c r="W54" s="45" t="s">
        <v>73</v>
      </c>
      <c r="X54" s="62">
        <v>1</v>
      </c>
      <c r="Y54" s="63">
        <v>0.1</v>
      </c>
      <c r="Z54" s="45">
        <f t="shared" si="8"/>
        <v>2010.8</v>
      </c>
      <c r="AA54" s="64" t="s">
        <v>73</v>
      </c>
      <c r="AB54" t="s">
        <v>1304</v>
      </c>
      <c r="AC54" t="s">
        <v>1413</v>
      </c>
      <c r="AD54" s="45" t="str">
        <v xml:space="preserve">CGPK0020  </v>
      </c>
      <c r="AE54" s="45" t="str">
        <v>PACKAGING FEE</v>
      </c>
      <c r="AF54" s="45"/>
    </row>
    <row r="55" spans="1:32" x14ac:dyDescent="0.35">
      <c r="A55" s="535" t="str">
        <f t="shared" si="12"/>
        <v/>
      </c>
      <c r="B55" s="330"/>
      <c r="C55" s="330"/>
      <c r="D55" s="326" t="s">
        <v>52</v>
      </c>
      <c r="E55" s="426" t="s">
        <v>106</v>
      </c>
      <c r="F55" s="22">
        <v>5</v>
      </c>
      <c r="G55" s="22" t="s">
        <v>73</v>
      </c>
      <c r="H55" s="22">
        <f>ROUND($F$54*(F55/(($F$56*(F58/($F$58+$F$57)))+($F$56*(F57/($F$58+$F$57)))+$F$55)),2)</f>
        <v>0.06</v>
      </c>
      <c r="I55" s="22" t="s">
        <v>73</v>
      </c>
      <c r="J55" s="330"/>
      <c r="K55" s="673">
        <f>A17*H55</f>
        <v>12.42</v>
      </c>
      <c r="L55" s="534">
        <f t="shared" si="6"/>
        <v>5.4999999999999997E-3</v>
      </c>
      <c r="M55" s="458" t="str">
        <f t="shared" si="7"/>
        <v/>
      </c>
      <c r="N55" s="458">
        <f t="shared" si="0"/>
        <v>499.00549999999998</v>
      </c>
      <c r="O55" s="458">
        <f t="shared" si="1"/>
        <v>499</v>
      </c>
      <c r="P55" s="21"/>
      <c r="Q55" s="506">
        <v>0</v>
      </c>
      <c r="R55" s="52" t="str">
        <v xml:space="preserve">CGEX0030  </v>
      </c>
      <c r="S55" s="44" t="str">
        <f t="shared" si="13"/>
        <v>ADD MAYONAISE</v>
      </c>
      <c r="T55" s="58" t="str">
        <v>PKG00014</v>
      </c>
      <c r="U55" s="44" t="str">
        <f t="shared" si="3"/>
        <v>STICKER GIMBAP</v>
      </c>
      <c r="V55" s="45">
        <f t="shared" si="4"/>
        <v>499</v>
      </c>
      <c r="W55" s="45" t="s">
        <v>74</v>
      </c>
      <c r="X55" s="62">
        <v>1</v>
      </c>
      <c r="Y55" s="63">
        <v>0.1</v>
      </c>
      <c r="Z55" s="45">
        <f t="shared" si="8"/>
        <v>548.9</v>
      </c>
      <c r="AA55" s="65" t="s">
        <v>74</v>
      </c>
      <c r="AB55" t="s">
        <v>1036</v>
      </c>
      <c r="AC55" t="s">
        <v>1037</v>
      </c>
      <c r="AD55" s="45">
        <v>0</v>
      </c>
      <c r="AE55" s="71" t="str">
        <v>Tidak Ditemukan</v>
      </c>
      <c r="AF55" s="71"/>
    </row>
    <row r="56" spans="1:32" x14ac:dyDescent="0.35">
      <c r="A56" s="535" t="str">
        <f t="shared" si="12"/>
        <v/>
      </c>
      <c r="B56" s="337"/>
      <c r="C56" s="337"/>
      <c r="D56" s="355"/>
      <c r="E56" s="416" t="s">
        <v>23</v>
      </c>
      <c r="F56" s="378">
        <v>20</v>
      </c>
      <c r="G56" s="378" t="s">
        <v>73</v>
      </c>
      <c r="H56" s="515"/>
      <c r="I56" s="515"/>
      <c r="J56" s="515"/>
      <c r="K56" s="674"/>
      <c r="L56" s="534">
        <f t="shared" si="6"/>
        <v>305.00560000000002</v>
      </c>
      <c r="M56" s="458">
        <f t="shared" si="7"/>
        <v>305</v>
      </c>
      <c r="N56" s="458">
        <f t="shared" si="0"/>
        <v>8790.0056000000004</v>
      </c>
      <c r="O56" s="458">
        <f t="shared" si="1"/>
        <v>8790</v>
      </c>
      <c r="P56" s="21"/>
      <c r="Q56" s="506">
        <v>305</v>
      </c>
      <c r="R56" s="52" t="str">
        <v xml:space="preserve">CGEX0001  </v>
      </c>
      <c r="S56" s="44" t="str">
        <f t="shared" si="13"/>
        <v>ADD RICE</v>
      </c>
      <c r="T56" s="58" t="str">
        <v>FVF00008</v>
      </c>
      <c r="U56" s="44" t="str">
        <f t="shared" si="3"/>
        <v>Kyuri</v>
      </c>
      <c r="V56" s="45">
        <f t="shared" si="4"/>
        <v>8790</v>
      </c>
      <c r="W56" s="45" t="s">
        <v>73</v>
      </c>
      <c r="X56" s="62">
        <v>0.58409999999999995</v>
      </c>
      <c r="Y56" s="63">
        <v>0.1</v>
      </c>
      <c r="Z56" s="45">
        <f t="shared" si="8"/>
        <v>16553.669999999998</v>
      </c>
      <c r="AA56" s="64" t="s">
        <v>73</v>
      </c>
      <c r="AB56" t="s">
        <v>1333</v>
      </c>
      <c r="AC56" t="s">
        <v>1441</v>
      </c>
      <c r="AD56" s="45">
        <v>0</v>
      </c>
      <c r="AE56" s="45" t="str">
        <v>Tidak Ditemukan</v>
      </c>
      <c r="AF56" s="45"/>
    </row>
    <row r="57" spans="1:32" x14ac:dyDescent="0.35">
      <c r="A57" s="535" t="str">
        <f t="shared" si="12"/>
        <v/>
      </c>
      <c r="B57" s="330"/>
      <c r="C57" s="330"/>
      <c r="D57" s="326" t="s">
        <v>43</v>
      </c>
      <c r="E57" s="366" t="s">
        <v>94</v>
      </c>
      <c r="F57" s="22">
        <v>85</v>
      </c>
      <c r="G57" s="22" t="s">
        <v>73</v>
      </c>
      <c r="H57" s="22">
        <f>ROUND($F$54*(($F$56*(F57/($F$58+$F$57)))/(($F$56*(F58/($F$58+$F$57)))+($F$56*(F57/($F$58+$F$57)))+$F$55)),2)</f>
        <v>0.2</v>
      </c>
      <c r="I57" s="22" t="s">
        <v>73</v>
      </c>
      <c r="J57" s="330"/>
      <c r="K57" s="673">
        <f>A17*H57</f>
        <v>41.400000000000006</v>
      </c>
      <c r="L57" s="534">
        <f t="shared" si="6"/>
        <v>49.005699999999997</v>
      </c>
      <c r="M57" s="458">
        <f t="shared" si="7"/>
        <v>49</v>
      </c>
      <c r="N57" s="458">
        <f t="shared" si="0"/>
        <v>692.25570000000005</v>
      </c>
      <c r="O57" s="458">
        <f t="shared" si="1"/>
        <v>692.25</v>
      </c>
      <c r="P57" s="21"/>
      <c r="Q57" s="506">
        <v>49</v>
      </c>
      <c r="R57" s="52" t="str">
        <v xml:space="preserve">CGEX0002  </v>
      </c>
      <c r="S57" s="44" t="str">
        <f t="shared" si="13"/>
        <v>Add Kimchi 100 g</v>
      </c>
      <c r="T57" s="58" t="str">
        <v>FGR00004</v>
      </c>
      <c r="U57" s="44" t="str">
        <f t="shared" si="3"/>
        <v>YAKI NORI 280 G 100 LBR</v>
      </c>
      <c r="V57" s="45">
        <f t="shared" si="4"/>
        <v>692.25</v>
      </c>
      <c r="W57" s="45" t="s">
        <v>1072</v>
      </c>
      <c r="X57" s="62">
        <v>1</v>
      </c>
      <c r="Y57" s="63">
        <v>0.1</v>
      </c>
      <c r="Z57" s="45">
        <f t="shared" si="8"/>
        <v>761.48</v>
      </c>
      <c r="AA57" s="65" t="s">
        <v>1072</v>
      </c>
      <c r="AB57" t="s">
        <v>1309</v>
      </c>
      <c r="AC57" t="s">
        <v>1418</v>
      </c>
      <c r="AD57" s="45">
        <v>0</v>
      </c>
      <c r="AE57" s="71" t="str">
        <v>Tidak Ditemukan</v>
      </c>
      <c r="AF57" s="71"/>
    </row>
    <row r="58" spans="1:32" x14ac:dyDescent="0.35">
      <c r="A58" s="535" t="str">
        <f t="shared" si="12"/>
        <v/>
      </c>
      <c r="B58" s="337"/>
      <c r="C58" s="337"/>
      <c r="D58" s="417" t="s">
        <v>42</v>
      </c>
      <c r="E58" s="360" t="s">
        <v>95</v>
      </c>
      <c r="F58" s="18">
        <v>15</v>
      </c>
      <c r="G58" s="18" t="s">
        <v>73</v>
      </c>
      <c r="H58" s="18">
        <f>ROUND($F$54*(($F$56*(F58/($F$58+$F$57)))/(($F$56*(F58/($F$58+$F$57)))+($F$56*(F57/($F$58+$F$57)))+$F$55)),2)</f>
        <v>0.04</v>
      </c>
      <c r="I58" s="18" t="s">
        <v>73</v>
      </c>
      <c r="J58" s="337"/>
      <c r="K58" s="672">
        <f>A17*H58</f>
        <v>8.2799999999999994</v>
      </c>
      <c r="L58" s="534">
        <f t="shared" si="6"/>
        <v>8.0058000000000007</v>
      </c>
      <c r="M58" s="458">
        <f t="shared" si="7"/>
        <v>8</v>
      </c>
      <c r="N58" s="458">
        <f t="shared" si="0"/>
        <v>91822.105800000019</v>
      </c>
      <c r="O58" s="458">
        <f t="shared" si="1"/>
        <v>91822.10000000002</v>
      </c>
      <c r="P58" s="21"/>
      <c r="Q58" s="506">
        <v>8</v>
      </c>
      <c r="R58" s="52" t="str">
        <v xml:space="preserve">CGEX0003  </v>
      </c>
      <c r="S58" s="44" t="str">
        <f t="shared" si="13"/>
        <v>Add Egg (Finale Fried Rice)</v>
      </c>
      <c r="T58" s="58" t="str">
        <v>FGR00101</v>
      </c>
      <c r="U58" s="44" t="str">
        <f t="shared" si="3"/>
        <v>Beras Japonica</v>
      </c>
      <c r="V58" s="45">
        <f t="shared" si="4"/>
        <v>91822.10000000002</v>
      </c>
      <c r="W58" s="45" t="s">
        <v>73</v>
      </c>
      <c r="X58" s="62">
        <v>1</v>
      </c>
      <c r="Y58" s="63">
        <v>0.1</v>
      </c>
      <c r="Z58" s="45">
        <f t="shared" si="8"/>
        <v>101004.31</v>
      </c>
      <c r="AA58" s="64" t="s">
        <v>73</v>
      </c>
      <c r="AB58" t="s">
        <v>1517</v>
      </c>
      <c r="AC58" t="s">
        <v>1518</v>
      </c>
      <c r="AD58" s="45">
        <v>0</v>
      </c>
      <c r="AE58" s="45" t="str">
        <v>Tidak Ditemukan</v>
      </c>
      <c r="AF58" s="45"/>
    </row>
    <row r="59" spans="1:32" ht="15" thickBot="1" x14ac:dyDescent="0.4">
      <c r="A59" s="535" t="str">
        <f t="shared" si="12"/>
        <v/>
      </c>
      <c r="B59" s="330"/>
      <c r="C59" s="330"/>
      <c r="D59" s="326" t="s">
        <v>129</v>
      </c>
      <c r="E59" s="544" t="s">
        <v>713</v>
      </c>
      <c r="F59" s="22">
        <v>20</v>
      </c>
      <c r="G59" s="22" t="s">
        <v>73</v>
      </c>
      <c r="H59" s="22">
        <v>20</v>
      </c>
      <c r="I59" s="22" t="s">
        <v>73</v>
      </c>
      <c r="J59" s="330"/>
      <c r="K59" s="673">
        <f>A17*H59</f>
        <v>4140</v>
      </c>
      <c r="L59" s="534">
        <f t="shared" si="6"/>
        <v>3.0059</v>
      </c>
      <c r="M59" s="458">
        <f t="shared" si="7"/>
        <v>3</v>
      </c>
      <c r="N59" s="458">
        <f t="shared" si="0"/>
        <v>2996.7459000000003</v>
      </c>
      <c r="O59" s="458">
        <f t="shared" si="1"/>
        <v>2996.7400000000002</v>
      </c>
      <c r="P59" s="21"/>
      <c r="Q59" s="506">
        <v>3</v>
      </c>
      <c r="R59" s="52" t="str">
        <v xml:space="preserve">CGEX0004  </v>
      </c>
      <c r="S59" s="44" t="str">
        <f t="shared" si="13"/>
        <v>Add Minari 50 g</v>
      </c>
      <c r="T59" s="58" t="str">
        <v>FSS00019</v>
      </c>
      <c r="U59" s="44" t="str">
        <f t="shared" si="3"/>
        <v>Gula</v>
      </c>
      <c r="V59" s="45">
        <f t="shared" si="4"/>
        <v>2996.7400000000002</v>
      </c>
      <c r="W59" s="45" t="s">
        <v>73</v>
      </c>
      <c r="X59" s="62">
        <v>1</v>
      </c>
      <c r="Y59" s="63">
        <v>0.1</v>
      </c>
      <c r="Z59" s="45">
        <f t="shared" si="8"/>
        <v>3296.41</v>
      </c>
      <c r="AA59" s="64" t="s">
        <v>73</v>
      </c>
      <c r="AB59" t="s">
        <v>1280</v>
      </c>
      <c r="AC59" t="s">
        <v>1392</v>
      </c>
      <c r="AD59" s="45">
        <v>0</v>
      </c>
      <c r="AE59" s="45" t="str">
        <v>Tidak Ditemukan</v>
      </c>
      <c r="AF59" s="45"/>
    </row>
    <row r="60" spans="1:32" ht="15.5" thickTop="1" thickBot="1" x14ac:dyDescent="0.4">
      <c r="A60" s="545" t="str">
        <f t="shared" si="12"/>
        <v/>
      </c>
      <c r="B60" s="546"/>
      <c r="C60" s="546"/>
      <c r="D60" s="547"/>
      <c r="E60" s="548"/>
      <c r="F60" s="548"/>
      <c r="G60" s="548"/>
      <c r="H60" s="546"/>
      <c r="I60" s="546"/>
      <c r="J60" s="546"/>
      <c r="K60" s="676"/>
      <c r="L60" s="534">
        <f t="shared" si="6"/>
        <v>1.006</v>
      </c>
      <c r="M60" s="458">
        <f t="shared" si="7"/>
        <v>1</v>
      </c>
      <c r="N60" s="458">
        <f t="shared" si="0"/>
        <v>26218.935999999998</v>
      </c>
      <c r="O60" s="458">
        <f t="shared" si="1"/>
        <v>26218.929999999997</v>
      </c>
      <c r="P60" s="21"/>
      <c r="Q60" s="506">
        <v>1</v>
      </c>
      <c r="R60" s="52" t="str">
        <v xml:space="preserve">CGEX0005  </v>
      </c>
      <c r="S60" s="44" t="str">
        <f t="shared" si="13"/>
        <v xml:space="preserve">	Add Enoki 50 g</v>
      </c>
      <c r="T60" s="58" t="str">
        <v>FVF00007</v>
      </c>
      <c r="U60" s="44" t="str">
        <f t="shared" si="3"/>
        <v xml:space="preserve">wortel </v>
      </c>
      <c r="V60" s="45">
        <f t="shared" si="4"/>
        <v>26218.929999999997</v>
      </c>
      <c r="W60" s="45" t="s">
        <v>73</v>
      </c>
      <c r="X60" s="62">
        <v>1</v>
      </c>
      <c r="Y60" s="63">
        <v>0.1</v>
      </c>
      <c r="Z60" s="45">
        <f t="shared" si="8"/>
        <v>28840.82</v>
      </c>
      <c r="AA60" s="64" t="s">
        <v>73</v>
      </c>
      <c r="AB60" t="s">
        <v>1332</v>
      </c>
      <c r="AC60" t="s">
        <v>1440</v>
      </c>
      <c r="AD60" s="45">
        <v>0</v>
      </c>
      <c r="AE60" s="45" t="str">
        <v>Tidak Ditemukan</v>
      </c>
      <c r="AF60" s="45"/>
    </row>
    <row r="61" spans="1:32" ht="15" thickTop="1" x14ac:dyDescent="0.35">
      <c r="A61" s="76">
        <f>IFERROR(INDEX($Q$17:$Q$150,MATCH(B61,$R$17:$R$150, 0)), "")</f>
        <v>83</v>
      </c>
      <c r="B61" s="382" t="s">
        <v>1294</v>
      </c>
      <c r="C61" s="7" t="s">
        <v>28</v>
      </c>
      <c r="D61" s="347" t="s">
        <v>63</v>
      </c>
      <c r="E61" s="532" t="s">
        <v>107</v>
      </c>
      <c r="F61" s="438">
        <v>225</v>
      </c>
      <c r="G61" s="438" t="s">
        <v>73</v>
      </c>
      <c r="H61" s="438">
        <v>225</v>
      </c>
      <c r="I61" s="438" t="s">
        <v>73</v>
      </c>
      <c r="J61" s="533"/>
      <c r="K61" s="671">
        <f>A61*H61</f>
        <v>18675</v>
      </c>
      <c r="L61" s="534">
        <f t="shared" si="6"/>
        <v>6.1000000000000004E-3</v>
      </c>
      <c r="M61" s="458" t="str">
        <f t="shared" si="7"/>
        <v/>
      </c>
      <c r="N61" s="458">
        <f t="shared" si="0"/>
        <v>265.56610000000001</v>
      </c>
      <c r="O61" s="458">
        <f t="shared" si="1"/>
        <v>265.56</v>
      </c>
      <c r="P61" s="21"/>
      <c r="Q61" s="506">
        <v>0</v>
      </c>
      <c r="R61" s="52" t="str">
        <v xml:space="preserve">CGEX0006  </v>
      </c>
      <c r="S61" s="44" t="str">
        <f t="shared" si="13"/>
        <v>Add Daun Bawang 50 g</v>
      </c>
      <c r="T61" s="58" t="str">
        <v>FSS00023</v>
      </c>
      <c r="U61" s="44" t="str">
        <f t="shared" si="3"/>
        <v>Dashida Beef</v>
      </c>
      <c r="V61" s="45">
        <f t="shared" si="4"/>
        <v>265.56</v>
      </c>
      <c r="W61" s="45" t="s">
        <v>73</v>
      </c>
      <c r="X61" s="62">
        <v>0.85519999999999996</v>
      </c>
      <c r="Y61" s="63">
        <v>0.1</v>
      </c>
      <c r="Z61" s="45">
        <f t="shared" si="8"/>
        <v>341.58</v>
      </c>
      <c r="AA61" s="64" t="s">
        <v>73</v>
      </c>
      <c r="AB61" t="s">
        <v>1293</v>
      </c>
      <c r="AC61" t="s">
        <v>1402</v>
      </c>
      <c r="AD61" s="45">
        <v>0</v>
      </c>
      <c r="AE61" s="45" t="str">
        <v>Tidak Ditemukan</v>
      </c>
      <c r="AF61" s="45"/>
    </row>
    <row r="62" spans="1:32" x14ac:dyDescent="0.35">
      <c r="A62" s="535" t="str">
        <f t="shared" si="12"/>
        <v/>
      </c>
      <c r="B62" s="337"/>
      <c r="C62" s="337"/>
      <c r="D62" s="326" t="s">
        <v>53</v>
      </c>
      <c r="E62" s="334" t="s">
        <v>108</v>
      </c>
      <c r="F62" s="18">
        <v>50</v>
      </c>
      <c r="G62" s="18" t="s">
        <v>73</v>
      </c>
      <c r="H62" s="18">
        <v>50</v>
      </c>
      <c r="I62" s="18" t="s">
        <v>73</v>
      </c>
      <c r="J62" s="337"/>
      <c r="K62" s="672">
        <f>A61*H62</f>
        <v>4150</v>
      </c>
      <c r="L62" s="534">
        <f t="shared" si="6"/>
        <v>6.1999999999999998E-3</v>
      </c>
      <c r="M62" s="458" t="str">
        <f t="shared" si="7"/>
        <v/>
      </c>
      <c r="N62" s="458">
        <f t="shared" si="0"/>
        <v>349.46619999999996</v>
      </c>
      <c r="O62" s="458">
        <f t="shared" si="1"/>
        <v>349.46</v>
      </c>
      <c r="P62" s="21"/>
      <c r="Q62" s="506">
        <v>0</v>
      </c>
      <c r="R62" s="52" t="str">
        <v xml:space="preserve">CGEX0007  </v>
      </c>
      <c r="S62" s="44" t="str">
        <f t="shared" si="13"/>
        <v>Add Tauge Namul Gujeolpan 50 g</v>
      </c>
      <c r="T62" s="58" t="str">
        <v>FSS00014</v>
      </c>
      <c r="U62" s="44" t="str">
        <f t="shared" si="3"/>
        <v>Kecap Manis</v>
      </c>
      <c r="V62" s="45">
        <f t="shared" si="4"/>
        <v>349.46</v>
      </c>
      <c r="W62" s="45" t="s">
        <v>73</v>
      </c>
      <c r="X62" s="62">
        <v>1</v>
      </c>
      <c r="Y62" s="63">
        <v>0.1</v>
      </c>
      <c r="Z62" s="45">
        <f t="shared" si="8"/>
        <v>384.41</v>
      </c>
      <c r="AA62" s="64" t="s">
        <v>73</v>
      </c>
      <c r="AB62" t="s">
        <v>1295</v>
      </c>
      <c r="AC62" t="s">
        <v>34</v>
      </c>
      <c r="AD62" s="45">
        <v>0</v>
      </c>
      <c r="AE62" s="45" t="str">
        <v>Tidak Ditemukan</v>
      </c>
      <c r="AF62" s="45"/>
    </row>
    <row r="63" spans="1:32" x14ac:dyDescent="0.35">
      <c r="A63" s="535" t="str">
        <f t="shared" si="12"/>
        <v/>
      </c>
      <c r="B63" s="330"/>
      <c r="C63" s="330"/>
      <c r="D63" s="326" t="s">
        <v>48</v>
      </c>
      <c r="E63" s="327" t="s">
        <v>112</v>
      </c>
      <c r="F63" s="22">
        <v>55</v>
      </c>
      <c r="G63" s="22" t="s">
        <v>73</v>
      </c>
      <c r="H63" s="22">
        <v>55</v>
      </c>
      <c r="I63" s="22" t="s">
        <v>73</v>
      </c>
      <c r="J63" s="330"/>
      <c r="K63" s="673">
        <f>A61*H63</f>
        <v>4565</v>
      </c>
      <c r="L63" s="534">
        <f t="shared" si="6"/>
        <v>6.3E-3</v>
      </c>
      <c r="M63" s="458" t="str">
        <f t="shared" si="7"/>
        <v/>
      </c>
      <c r="N63" s="458">
        <f t="shared" si="0"/>
        <v>1391.7863</v>
      </c>
      <c r="O63" s="458">
        <f t="shared" si="1"/>
        <v>1391.78</v>
      </c>
      <c r="P63" s="21"/>
      <c r="Q63" s="506">
        <v>0</v>
      </c>
      <c r="R63" s="52" t="str">
        <v xml:space="preserve">CGEX0008  </v>
      </c>
      <c r="S63" s="44" t="str">
        <f t="shared" si="13"/>
        <v xml:space="preserve">	Add Shiitake Marinated 30 g</v>
      </c>
      <c r="T63" s="58" t="str">
        <v>FSS00003</v>
      </c>
      <c r="U63" s="44" t="str">
        <f t="shared" si="3"/>
        <v>Corn Syrup</v>
      </c>
      <c r="V63" s="45">
        <f t="shared" si="4"/>
        <v>1391.78</v>
      </c>
      <c r="W63" s="45" t="s">
        <v>73</v>
      </c>
      <c r="X63" s="62">
        <v>0.97</v>
      </c>
      <c r="Y63" s="63">
        <v>0.1</v>
      </c>
      <c r="Z63" s="45">
        <f t="shared" si="8"/>
        <v>1578.31</v>
      </c>
      <c r="AA63" s="64" t="s">
        <v>73</v>
      </c>
      <c r="AB63" t="s">
        <v>1286</v>
      </c>
      <c r="AC63" t="s">
        <v>1395</v>
      </c>
      <c r="AD63" s="45">
        <v>0</v>
      </c>
      <c r="AE63" s="45" t="str">
        <v>Tidak Ditemukan</v>
      </c>
      <c r="AF63" s="45"/>
    </row>
    <row r="64" spans="1:32" x14ac:dyDescent="0.35">
      <c r="A64" s="535" t="str">
        <f t="shared" si="12"/>
        <v/>
      </c>
      <c r="B64" s="337"/>
      <c r="C64" s="337"/>
      <c r="D64" s="326" t="s">
        <v>54</v>
      </c>
      <c r="E64" s="334" t="s">
        <v>113</v>
      </c>
      <c r="F64" s="18">
        <v>70</v>
      </c>
      <c r="G64" s="18" t="s">
        <v>73</v>
      </c>
      <c r="H64" s="18">
        <v>70</v>
      </c>
      <c r="I64" s="18" t="s">
        <v>73</v>
      </c>
      <c r="J64" s="337"/>
      <c r="K64" s="672">
        <f>A61*H64</f>
        <v>5810</v>
      </c>
      <c r="L64" s="534">
        <f t="shared" si="6"/>
        <v>17.006399999999999</v>
      </c>
      <c r="M64" s="458">
        <f t="shared" si="7"/>
        <v>17</v>
      </c>
      <c r="N64" s="458">
        <f t="shared" si="0"/>
        <v>3508.4464000000003</v>
      </c>
      <c r="O64" s="458">
        <f t="shared" si="1"/>
        <v>3508.44</v>
      </c>
      <c r="P64" s="21"/>
      <c r="Q64" s="506">
        <v>17</v>
      </c>
      <c r="R64" s="52" t="str">
        <v xml:space="preserve">CGEX0036  </v>
      </c>
      <c r="S64" s="44" t="str">
        <f t="shared" si="13"/>
        <v>PURPLE RICE</v>
      </c>
      <c r="T64" s="58" t="str">
        <v>FVF00012</v>
      </c>
      <c r="U64" s="44" t="str">
        <f t="shared" si="3"/>
        <v>Gobo Kupas</v>
      </c>
      <c r="V64" s="45">
        <f t="shared" si="4"/>
        <v>3508.44</v>
      </c>
      <c r="W64" s="45" t="s">
        <v>73</v>
      </c>
      <c r="X64" s="62">
        <v>0.97</v>
      </c>
      <c r="Y64" s="63">
        <v>0.1</v>
      </c>
      <c r="Z64" s="45">
        <f t="shared" si="8"/>
        <v>3978.64</v>
      </c>
      <c r="AA64" s="64" t="s">
        <v>73</v>
      </c>
      <c r="AB64" t="s">
        <v>1334</v>
      </c>
      <c r="AC64" t="s">
        <v>1442</v>
      </c>
      <c r="AD64" s="45">
        <v>0</v>
      </c>
      <c r="AE64" s="45" t="str">
        <v>Tidak Ditemukan</v>
      </c>
      <c r="AF64" s="45"/>
    </row>
    <row r="65" spans="1:32" x14ac:dyDescent="0.35">
      <c r="A65" s="535" t="str">
        <f t="shared" si="12"/>
        <v/>
      </c>
      <c r="B65" s="330"/>
      <c r="C65" s="330"/>
      <c r="D65" s="326" t="s">
        <v>55</v>
      </c>
      <c r="E65" s="327" t="s">
        <v>110</v>
      </c>
      <c r="F65" s="22">
        <v>0.2</v>
      </c>
      <c r="G65" s="22" t="s">
        <v>73</v>
      </c>
      <c r="H65" s="22">
        <v>0.2</v>
      </c>
      <c r="I65" s="22" t="s">
        <v>73</v>
      </c>
      <c r="J65" s="330"/>
      <c r="K65" s="673">
        <f>A61*H65</f>
        <v>16.600000000000001</v>
      </c>
      <c r="L65" s="534">
        <f t="shared" si="6"/>
        <v>14.006500000000001</v>
      </c>
      <c r="M65" s="458">
        <f t="shared" si="7"/>
        <v>14</v>
      </c>
      <c r="N65" s="458">
        <f t="shared" si="0"/>
        <v>57186.006499999996</v>
      </c>
      <c r="O65" s="458">
        <f t="shared" si="1"/>
        <v>57185.999999999993</v>
      </c>
      <c r="P65" s="21"/>
      <c r="Q65" s="506">
        <v>14</v>
      </c>
      <c r="R65" s="52" t="str">
        <v xml:space="preserve">CGEX0009  </v>
      </c>
      <c r="S65" s="44" t="str">
        <f t="shared" si="13"/>
        <v>Add Sunny Lettuce 60 g</v>
      </c>
      <c r="T65" s="58" t="str">
        <v>FGR00019</v>
      </c>
      <c r="U65" s="44" t="str">
        <f t="shared" si="3"/>
        <v>Telur Utuh</v>
      </c>
      <c r="V65" s="45">
        <f t="shared" si="4"/>
        <v>57185.999999999993</v>
      </c>
      <c r="W65" s="45" t="s">
        <v>73</v>
      </c>
      <c r="X65" s="62">
        <v>0.93559999999999999</v>
      </c>
      <c r="Y65" s="63">
        <v>0.1</v>
      </c>
      <c r="Z65" s="45">
        <f t="shared" si="8"/>
        <v>67234.5</v>
      </c>
      <c r="AA65" s="64" t="s">
        <v>73</v>
      </c>
      <c r="AB65" t="s">
        <v>1288</v>
      </c>
      <c r="AC65" t="s">
        <v>1397</v>
      </c>
      <c r="AD65" s="45">
        <v>0</v>
      </c>
      <c r="AE65" s="45" t="str">
        <v>Tidak Ditemukan</v>
      </c>
      <c r="AF65" s="45"/>
    </row>
    <row r="66" spans="1:32" x14ac:dyDescent="0.35">
      <c r="A66" s="535" t="str">
        <f t="shared" si="12"/>
        <v/>
      </c>
      <c r="B66" s="337"/>
      <c r="C66" s="337"/>
      <c r="D66" s="326" t="s">
        <v>56</v>
      </c>
      <c r="E66" s="334" t="s">
        <v>79</v>
      </c>
      <c r="F66" s="18">
        <v>12</v>
      </c>
      <c r="G66" s="18" t="s">
        <v>73</v>
      </c>
      <c r="H66" s="18">
        <v>12</v>
      </c>
      <c r="I66" s="18" t="s">
        <v>73</v>
      </c>
      <c r="J66" s="337"/>
      <c r="K66" s="672">
        <f>A61*H66</f>
        <v>996</v>
      </c>
      <c r="L66" s="534">
        <f t="shared" si="6"/>
        <v>25.006599999999999</v>
      </c>
      <c r="M66" s="458">
        <f t="shared" si="7"/>
        <v>25</v>
      </c>
      <c r="N66" s="458">
        <f t="shared" si="0"/>
        <v>32.266599999999997</v>
      </c>
      <c r="O66" s="458">
        <f t="shared" si="1"/>
        <v>32.26</v>
      </c>
      <c r="P66" s="21"/>
      <c r="Q66" s="506">
        <v>25</v>
      </c>
      <c r="R66" s="52" t="str">
        <v xml:space="preserve">CGEX0010  </v>
      </c>
      <c r="S66" s="44" t="str">
        <f t="shared" si="13"/>
        <v>Add Wrap 8 pcs</v>
      </c>
      <c r="T66" s="58" t="str">
        <v>FGR00027</v>
      </c>
      <c r="U66" s="44" t="str">
        <f t="shared" si="3"/>
        <v>Pewarna Kuning</v>
      </c>
      <c r="V66" s="45">
        <f t="shared" si="4"/>
        <v>32.26</v>
      </c>
      <c r="W66" s="45" t="s">
        <v>73</v>
      </c>
      <c r="X66" s="62">
        <v>0.86060000000000003</v>
      </c>
      <c r="Y66" s="63">
        <v>0.1</v>
      </c>
      <c r="Z66" s="45">
        <f t="shared" si="8"/>
        <v>41.23</v>
      </c>
      <c r="AA66" s="64" t="s">
        <v>73</v>
      </c>
      <c r="AB66" t="s">
        <v>1020</v>
      </c>
      <c r="AC66" t="s">
        <v>1021</v>
      </c>
      <c r="AD66" s="45">
        <v>0</v>
      </c>
      <c r="AE66" s="45" t="str">
        <v>Tidak Ditemukan</v>
      </c>
      <c r="AF66" s="45"/>
    </row>
    <row r="67" spans="1:32" x14ac:dyDescent="0.35">
      <c r="A67" s="535" t="str">
        <f t="shared" si="12"/>
        <v/>
      </c>
      <c r="B67" s="330"/>
      <c r="C67" s="330"/>
      <c r="D67" s="355"/>
      <c r="E67" s="355" t="s">
        <v>29</v>
      </c>
      <c r="F67" s="378">
        <v>50</v>
      </c>
      <c r="G67" s="378" t="s">
        <v>73</v>
      </c>
      <c r="H67" s="515"/>
      <c r="I67" s="378"/>
      <c r="J67" s="515"/>
      <c r="K67" s="674"/>
      <c r="L67" s="534">
        <f t="shared" si="6"/>
        <v>9.0067000000000004</v>
      </c>
      <c r="M67" s="458">
        <f t="shared" si="7"/>
        <v>9</v>
      </c>
      <c r="N67" s="458">
        <f t="shared" si="0"/>
        <v>868.46670000000006</v>
      </c>
      <c r="O67" s="458">
        <f t="shared" si="1"/>
        <v>868.46</v>
      </c>
      <c r="P67" s="21"/>
      <c r="Q67" s="506">
        <v>9</v>
      </c>
      <c r="R67" s="52" t="str">
        <v xml:space="preserve">CGEX0011  </v>
      </c>
      <c r="S67" s="44" t="str">
        <f t="shared" si="13"/>
        <v>Add Sliced Beef 100 g</v>
      </c>
      <c r="T67" s="58" t="str">
        <v>FGR00017</v>
      </c>
      <c r="U67" s="44" t="str">
        <f t="shared" si="3"/>
        <v>Minyak Goreng</v>
      </c>
      <c r="V67" s="45">
        <f t="shared" si="4"/>
        <v>868.46</v>
      </c>
      <c r="W67" s="45" t="s">
        <v>73</v>
      </c>
      <c r="X67" s="62">
        <v>1</v>
      </c>
      <c r="Y67" s="63">
        <v>0.1</v>
      </c>
      <c r="Z67" s="45">
        <f t="shared" si="8"/>
        <v>955.31</v>
      </c>
      <c r="AA67" s="64" t="s">
        <v>73</v>
      </c>
      <c r="AB67" t="s">
        <v>1341</v>
      </c>
      <c r="AC67" t="s">
        <v>1449</v>
      </c>
      <c r="AD67" s="45">
        <v>0</v>
      </c>
      <c r="AE67" s="45" t="str">
        <v>Tidak Ditemukan</v>
      </c>
      <c r="AF67" s="45"/>
    </row>
    <row r="68" spans="1:32" x14ac:dyDescent="0.35">
      <c r="A68" s="535" t="str">
        <f t="shared" si="12"/>
        <v/>
      </c>
      <c r="B68" s="337"/>
      <c r="C68" s="337"/>
      <c r="D68" s="326" t="s">
        <v>57</v>
      </c>
      <c r="E68" s="425" t="s">
        <v>96</v>
      </c>
      <c r="F68" s="18">
        <v>100</v>
      </c>
      <c r="G68" s="18" t="s">
        <v>73</v>
      </c>
      <c r="H68" s="335">
        <f>ROUND(($F$67)*(($F$68)/((($F$70)*($F$71/($F$71+$F$72)))+(($F$70)*($F$72/($F$71+$F$72)))+($F$69)+($F$68))),2)</f>
        <v>48.08</v>
      </c>
      <c r="I68" s="18" t="s">
        <v>73</v>
      </c>
      <c r="J68" s="337"/>
      <c r="K68" s="672">
        <f>A61*H68</f>
        <v>3990.64</v>
      </c>
      <c r="L68" s="534">
        <f t="shared" si="6"/>
        <v>1.0067999999999999</v>
      </c>
      <c r="M68" s="458">
        <f t="shared" si="7"/>
        <v>1</v>
      </c>
      <c r="N68" s="458">
        <f t="shared" si="0"/>
        <v>396.14680000000004</v>
      </c>
      <c r="O68" s="458">
        <f t="shared" si="1"/>
        <v>396.14000000000004</v>
      </c>
      <c r="P68" s="21"/>
      <c r="Q68" s="506">
        <v>1</v>
      </c>
      <c r="R68" s="52" t="str">
        <v xml:space="preserve">CGEX0012  </v>
      </c>
      <c r="S68" s="44" t="str">
        <f t="shared" si="13"/>
        <v>Add Tokusen Wagyu 100g</v>
      </c>
      <c r="T68" s="58" t="str">
        <v>FGR00023</v>
      </c>
      <c r="U68" s="44" t="str">
        <f t="shared" si="3"/>
        <v>Cuka</v>
      </c>
      <c r="V68" s="45">
        <f t="shared" si="4"/>
        <v>396.14000000000004</v>
      </c>
      <c r="W68" s="45" t="s">
        <v>73</v>
      </c>
      <c r="X68" s="62">
        <v>0.92779999999999996</v>
      </c>
      <c r="Y68" s="63">
        <v>0.1</v>
      </c>
      <c r="Z68" s="45">
        <f t="shared" si="8"/>
        <v>469.66</v>
      </c>
      <c r="AA68" s="64" t="s">
        <v>73</v>
      </c>
      <c r="AB68" t="s">
        <v>1347</v>
      </c>
      <c r="AC68" t="s">
        <v>1455</v>
      </c>
      <c r="AD68" s="45">
        <v>0</v>
      </c>
      <c r="AE68" s="45" t="str">
        <v>Tidak Ditemukan</v>
      </c>
      <c r="AF68" s="45"/>
    </row>
    <row r="69" spans="1:32" x14ac:dyDescent="0.35">
      <c r="A69" s="535" t="str">
        <f t="shared" si="12"/>
        <v/>
      </c>
      <c r="B69" s="330"/>
      <c r="C69" s="330"/>
      <c r="D69" s="326" t="s">
        <v>41</v>
      </c>
      <c r="E69" s="426" t="s">
        <v>97</v>
      </c>
      <c r="F69" s="22">
        <v>3</v>
      </c>
      <c r="G69" s="22" t="s">
        <v>73</v>
      </c>
      <c r="H69" s="328">
        <f>ROUND(($F$67)*(($F$69)/((($F$70)*($F$71/($F$71+$F$72)))+(($F$70)*($F$72/($F$71+$F$72)))+($F$69)+($F$68))),2)</f>
        <v>1.44</v>
      </c>
      <c r="I69" s="22" t="s">
        <v>73</v>
      </c>
      <c r="J69" s="330"/>
      <c r="K69" s="673">
        <f>A61*H69</f>
        <v>119.52</v>
      </c>
      <c r="L69" s="534">
        <f t="shared" si="6"/>
        <v>2.0068999999999999</v>
      </c>
      <c r="M69" s="458">
        <f t="shared" si="7"/>
        <v>2</v>
      </c>
      <c r="N69" s="458">
        <f t="shared" si="0"/>
        <v>6746.6768999999995</v>
      </c>
      <c r="O69" s="458">
        <f t="shared" si="1"/>
        <v>6746.6699999999992</v>
      </c>
      <c r="P69" s="21"/>
      <c r="Q69" s="506">
        <v>2</v>
      </c>
      <c r="R69" s="52" t="str">
        <v xml:space="preserve">CGEX0013  </v>
      </c>
      <c r="S69" s="44" t="str">
        <f t="shared" si="13"/>
        <v>ADD CHADOL BULGOGI 150GR</v>
      </c>
      <c r="T69" s="58" t="str">
        <v>FVF00010</v>
      </c>
      <c r="U69" s="44" t="str">
        <f t="shared" si="3"/>
        <v>Lobak Kupas</v>
      </c>
      <c r="V69" s="45">
        <f t="shared" si="4"/>
        <v>6746.6699999999992</v>
      </c>
      <c r="W69" s="45" t="s">
        <v>73</v>
      </c>
      <c r="X69" s="62">
        <v>1</v>
      </c>
      <c r="Y69" s="63">
        <v>0.1</v>
      </c>
      <c r="Z69" s="45">
        <f t="shared" si="8"/>
        <v>7421.34</v>
      </c>
      <c r="AA69" s="64" t="s">
        <v>73</v>
      </c>
      <c r="AB69" t="s">
        <v>1310</v>
      </c>
      <c r="AC69" t="s">
        <v>1419</v>
      </c>
      <c r="AD69" s="45">
        <v>0</v>
      </c>
      <c r="AE69" s="45" t="str">
        <v>Tidak Ditemukan</v>
      </c>
      <c r="AF69" s="45"/>
    </row>
    <row r="70" spans="1:32" x14ac:dyDescent="0.35">
      <c r="A70" s="535" t="str">
        <f t="shared" si="12"/>
        <v/>
      </c>
      <c r="B70" s="337"/>
      <c r="C70" s="337"/>
      <c r="D70" s="355"/>
      <c r="E70" s="416" t="s">
        <v>114</v>
      </c>
      <c r="F70" s="378">
        <v>1</v>
      </c>
      <c r="G70" s="378" t="s">
        <v>73</v>
      </c>
      <c r="H70" s="356"/>
      <c r="I70" s="378" t="s">
        <v>73</v>
      </c>
      <c r="J70" s="515"/>
      <c r="K70" s="674"/>
      <c r="L70" s="534">
        <f t="shared" si="6"/>
        <v>3.0070000000000001</v>
      </c>
      <c r="M70" s="458">
        <f t="shared" si="7"/>
        <v>3</v>
      </c>
      <c r="N70" s="458">
        <f t="shared" si="0"/>
        <v>688.75699999999995</v>
      </c>
      <c r="O70" s="458">
        <f t="shared" si="1"/>
        <v>688.75</v>
      </c>
      <c r="P70" s="21"/>
      <c r="Q70" s="506">
        <v>3</v>
      </c>
      <c r="R70" s="52" t="str">
        <v xml:space="preserve">CGEX0040  </v>
      </c>
      <c r="S70" s="44" t="str">
        <f t="shared" si="13"/>
        <v>ADD SEAWED AND EGG SOUP</v>
      </c>
      <c r="T70" s="58" t="str">
        <v>FVF00016</v>
      </c>
      <c r="U70" s="44" t="str">
        <f t="shared" si="3"/>
        <v>Beet ungu</v>
      </c>
      <c r="V70" s="45">
        <f t="shared" si="4"/>
        <v>688.75</v>
      </c>
      <c r="W70" s="45" t="s">
        <v>73</v>
      </c>
      <c r="X70" s="62">
        <v>0.87</v>
      </c>
      <c r="Y70" s="63">
        <v>0.1</v>
      </c>
      <c r="Z70" s="45">
        <f t="shared" si="8"/>
        <v>870.83</v>
      </c>
      <c r="AA70" s="64" t="s">
        <v>73</v>
      </c>
      <c r="AB70" t="s">
        <v>1345</v>
      </c>
      <c r="AC70" t="s">
        <v>1453</v>
      </c>
      <c r="AD70" s="45">
        <v>0</v>
      </c>
      <c r="AE70" s="45" t="str">
        <v>Tidak Ditemukan</v>
      </c>
      <c r="AF70" s="45"/>
    </row>
    <row r="71" spans="1:32" x14ac:dyDescent="0.35">
      <c r="A71" s="535" t="str">
        <f t="shared" si="12"/>
        <v/>
      </c>
      <c r="B71" s="330"/>
      <c r="C71" s="330"/>
      <c r="D71" s="326" t="s">
        <v>43</v>
      </c>
      <c r="E71" s="366" t="s">
        <v>94</v>
      </c>
      <c r="F71" s="22">
        <v>85</v>
      </c>
      <c r="G71" s="22" t="s">
        <v>73</v>
      </c>
      <c r="H71" s="328">
        <f>ROUND(($F$67)*((($F$70)*($F$71/($F$71+$F$72))/((($F$70)*($F$71/($F$71+$F$72)))+(($F$70)*($F$72/($F$71+$F$72)))+($F$69)+($F$68)))),2)</f>
        <v>0.41</v>
      </c>
      <c r="I71" s="22" t="s">
        <v>73</v>
      </c>
      <c r="J71" s="330"/>
      <c r="K71" s="673">
        <f>A61*H71</f>
        <v>34.03</v>
      </c>
      <c r="L71" s="534">
        <f t="shared" si="6"/>
        <v>7.1000000000000004E-3</v>
      </c>
      <c r="M71" s="458" t="str">
        <f t="shared" si="7"/>
        <v/>
      </c>
      <c r="N71" s="458">
        <f t="shared" si="0"/>
        <v>10033.2171</v>
      </c>
      <c r="O71" s="458">
        <f t="shared" si="1"/>
        <v>10033.209999999999</v>
      </c>
      <c r="P71" s="21"/>
      <c r="Q71" s="506">
        <v>0</v>
      </c>
      <c r="R71" s="52" t="str">
        <v xml:space="preserve">CGEX0038  </v>
      </c>
      <c r="S71" s="44" t="str">
        <f t="shared" si="13"/>
        <v>ADD EOMUK BOKKEUM 30GR</v>
      </c>
      <c r="T71" s="58" t="str">
        <v>FGR00095</v>
      </c>
      <c r="U71" s="44" t="str">
        <f t="shared" si="3"/>
        <v>Tepung EASY MIX</v>
      </c>
      <c r="V71" s="45">
        <f t="shared" si="4"/>
        <v>10033.209999999999</v>
      </c>
      <c r="W71" s="45" t="s">
        <v>73</v>
      </c>
      <c r="X71" s="62">
        <v>0.75719999999999998</v>
      </c>
      <c r="Y71" s="63">
        <v>0.1</v>
      </c>
      <c r="Z71" s="45">
        <f t="shared" si="8"/>
        <v>14575.45</v>
      </c>
      <c r="AA71" s="64" t="s">
        <v>73</v>
      </c>
      <c r="AB71" t="s">
        <v>1351</v>
      </c>
      <c r="AC71" t="s">
        <v>1458</v>
      </c>
      <c r="AD71" s="45">
        <v>0</v>
      </c>
      <c r="AE71" s="45" t="str">
        <v>Tidak Ditemukan</v>
      </c>
      <c r="AF71" s="45"/>
    </row>
    <row r="72" spans="1:32" x14ac:dyDescent="0.35">
      <c r="A72" s="535" t="str">
        <f t="shared" si="12"/>
        <v/>
      </c>
      <c r="B72" s="337"/>
      <c r="C72" s="337"/>
      <c r="D72" s="326" t="s">
        <v>42</v>
      </c>
      <c r="E72" s="360" t="s">
        <v>95</v>
      </c>
      <c r="F72" s="18">
        <v>15</v>
      </c>
      <c r="G72" s="18" t="s">
        <v>73</v>
      </c>
      <c r="H72" s="335">
        <f>ROUND(($F$67)*(($F$70)*($F$72/($F$71+$F$72))
/(((($F$70)*($F$71/($F$71+$F$72)))+(($F$70)*($F$72/($F$71+$F$72)))+($F$69)+($F$68)))),2)</f>
        <v>7.0000000000000007E-2</v>
      </c>
      <c r="I72" s="18" t="s">
        <v>73</v>
      </c>
      <c r="J72" s="337"/>
      <c r="K72" s="672">
        <f>A61*H72</f>
        <v>5.8100000000000005</v>
      </c>
      <c r="L72" s="534">
        <f t="shared" si="6"/>
        <v>7.1999999999999998E-3</v>
      </c>
      <c r="M72" s="458" t="str">
        <f t="shared" si="7"/>
        <v/>
      </c>
      <c r="N72" s="458">
        <f t="shared" si="0"/>
        <v>2082.5072</v>
      </c>
      <c r="O72" s="458">
        <f t="shared" si="1"/>
        <v>2082.5</v>
      </c>
      <c r="P72" s="21"/>
      <c r="Q72" s="506">
        <v>0</v>
      </c>
      <c r="R72" s="52" t="str">
        <v xml:space="preserve">CGEX0020  </v>
      </c>
      <c r="S72" s="44" t="str">
        <f t="shared" si="13"/>
        <v>Add Shimeji 30 g</v>
      </c>
      <c r="T72" s="58" t="str">
        <v>FFF00002</v>
      </c>
      <c r="U72" s="44" t="str">
        <f t="shared" si="3"/>
        <v>Kani Stick</v>
      </c>
      <c r="V72" s="45">
        <f t="shared" si="4"/>
        <v>2082.5</v>
      </c>
      <c r="W72" s="45" t="s">
        <v>73</v>
      </c>
      <c r="X72" s="62">
        <v>1</v>
      </c>
      <c r="Y72" s="63">
        <v>0.1</v>
      </c>
      <c r="Z72" s="45">
        <f t="shared" si="8"/>
        <v>2290.75</v>
      </c>
      <c r="AA72" s="64" t="s">
        <v>73</v>
      </c>
      <c r="AB72" t="s">
        <v>1289</v>
      </c>
      <c r="AC72" t="s">
        <v>1398</v>
      </c>
      <c r="AD72" s="45">
        <v>0</v>
      </c>
      <c r="AE72" s="45" t="str">
        <v>Tidak Ditemukan</v>
      </c>
      <c r="AF72" s="45"/>
    </row>
    <row r="73" spans="1:32" x14ac:dyDescent="0.35">
      <c r="A73" s="535" t="str">
        <f t="shared" si="12"/>
        <v/>
      </c>
      <c r="B73" s="330"/>
      <c r="C73" s="330"/>
      <c r="D73" s="355"/>
      <c r="E73" s="549" t="s">
        <v>10</v>
      </c>
      <c r="F73" s="378">
        <v>0.5</v>
      </c>
      <c r="G73" s="378" t="s">
        <v>73</v>
      </c>
      <c r="H73" s="515"/>
      <c r="I73" s="378"/>
      <c r="J73" s="515"/>
      <c r="K73" s="674"/>
      <c r="L73" s="534">
        <f t="shared" si="6"/>
        <v>7.3000000000000001E-3</v>
      </c>
      <c r="M73" s="458" t="str">
        <f t="shared" si="7"/>
        <v/>
      </c>
      <c r="N73" s="458">
        <f t="shared" si="0"/>
        <v>4731.7573000000002</v>
      </c>
      <c r="O73" s="458">
        <f t="shared" si="1"/>
        <v>4731.75</v>
      </c>
      <c r="P73" s="21"/>
      <c r="Q73" s="506">
        <v>0</v>
      </c>
      <c r="R73" s="52" t="str">
        <v xml:space="preserve">CGEX0039  </v>
      </c>
      <c r="S73" s="44" t="str">
        <f t="shared" si="13"/>
        <v>ADD SAMGOGI SAUCE 20 G</v>
      </c>
      <c r="T73" s="58" t="str">
        <v>FSP00003</v>
      </c>
      <c r="U73" s="44" t="str">
        <f t="shared" si="3"/>
        <v>Mayonaise</v>
      </c>
      <c r="V73" s="45">
        <f t="shared" si="4"/>
        <v>4731.75</v>
      </c>
      <c r="W73" s="45" t="s">
        <v>73</v>
      </c>
      <c r="X73" s="62">
        <v>1</v>
      </c>
      <c r="Y73" s="63">
        <v>0.1</v>
      </c>
      <c r="Z73" s="45">
        <f t="shared" si="8"/>
        <v>5204.93</v>
      </c>
      <c r="AA73" s="64" t="s">
        <v>73</v>
      </c>
      <c r="AB73" t="s">
        <v>1286</v>
      </c>
      <c r="AC73" t="s">
        <v>1395</v>
      </c>
      <c r="AD73" s="45">
        <v>0</v>
      </c>
      <c r="AE73" s="45" t="str">
        <v>Tidak Ditemukan</v>
      </c>
      <c r="AF73" s="45"/>
    </row>
    <row r="74" spans="1:32" x14ac:dyDescent="0.35">
      <c r="A74" s="535" t="str">
        <f t="shared" si="12"/>
        <v/>
      </c>
      <c r="B74" s="337"/>
      <c r="C74" s="337"/>
      <c r="D74" s="355"/>
      <c r="E74" s="416" t="s">
        <v>23</v>
      </c>
      <c r="F74" s="378">
        <v>20</v>
      </c>
      <c r="G74" s="378" t="s">
        <v>73</v>
      </c>
      <c r="H74" s="515"/>
      <c r="I74" s="378"/>
      <c r="J74" s="515"/>
      <c r="K74" s="674"/>
      <c r="L74" s="534">
        <f t="shared" si="6"/>
        <v>4.0073999999999996</v>
      </c>
      <c r="M74" s="458">
        <f t="shared" si="7"/>
        <v>4</v>
      </c>
      <c r="N74" s="458">
        <f t="shared" si="0"/>
        <v>1908.5074</v>
      </c>
      <c r="O74" s="458">
        <f t="shared" si="1"/>
        <v>1908.5</v>
      </c>
      <c r="P74" s="21"/>
      <c r="Q74" s="506">
        <v>4</v>
      </c>
      <c r="R74" s="52" t="str">
        <v xml:space="preserve">CGEX0014  </v>
      </c>
      <c r="S74" s="44" t="str">
        <f t="shared" si="13"/>
        <v>Add Egg Gyeranjim</v>
      </c>
      <c r="T74" s="58" t="str">
        <v>FGR00007</v>
      </c>
      <c r="U74" s="44" t="str">
        <f t="shared" si="3"/>
        <v>Tuna Can</v>
      </c>
      <c r="V74" s="45">
        <f t="shared" si="4"/>
        <v>1908.5</v>
      </c>
      <c r="W74" s="45" t="s">
        <v>73</v>
      </c>
      <c r="X74" s="62">
        <v>1</v>
      </c>
      <c r="Y74" s="63">
        <v>0.1</v>
      </c>
      <c r="Z74" s="45">
        <f t="shared" si="8"/>
        <v>2099.35</v>
      </c>
      <c r="AA74" s="64" t="s">
        <v>73</v>
      </c>
      <c r="AB74" t="s">
        <v>1521</v>
      </c>
      <c r="AC74" t="s">
        <v>1522</v>
      </c>
      <c r="AD74" s="45">
        <v>0</v>
      </c>
      <c r="AE74" s="45" t="str">
        <v>Tidak Ditemukan</v>
      </c>
      <c r="AF74" s="45"/>
    </row>
    <row r="75" spans="1:32" x14ac:dyDescent="0.35">
      <c r="A75" s="535" t="str">
        <f t="shared" si="12"/>
        <v/>
      </c>
      <c r="B75" s="330"/>
      <c r="C75" s="330"/>
      <c r="D75" s="326" t="s">
        <v>43</v>
      </c>
      <c r="E75" s="366" t="s">
        <v>94</v>
      </c>
      <c r="F75" s="22">
        <v>85</v>
      </c>
      <c r="G75" s="22" t="s">
        <v>73</v>
      </c>
      <c r="H75" s="22">
        <f>ROUND($F$73*((($F$74*(F75/($F$75+$F$76))))/((($F$74*(F75/($F$75+$F$76)))+($F$74*(F76/($F$75+$F$76)))+$F$77))),2)</f>
        <v>0.34</v>
      </c>
      <c r="I75" s="22" t="s">
        <v>73</v>
      </c>
      <c r="J75" s="330"/>
      <c r="K75" s="673">
        <f>A61*H75</f>
        <v>28.220000000000002</v>
      </c>
      <c r="L75" s="534">
        <f t="shared" si="6"/>
        <v>7.0075000000000003</v>
      </c>
      <c r="M75" s="458">
        <f t="shared" si="7"/>
        <v>7</v>
      </c>
      <c r="N75" s="458">
        <f t="shared" si="0"/>
        <v>0.25750000000000001</v>
      </c>
      <c r="O75" s="458">
        <f t="shared" si="1"/>
        <v>0.25</v>
      </c>
      <c r="P75" s="21"/>
      <c r="Q75" s="506">
        <v>7</v>
      </c>
      <c r="R75" s="52" t="str">
        <v xml:space="preserve">CGEX0019  </v>
      </c>
      <c r="S75" s="44" t="str">
        <f t="shared" si="13"/>
        <v>Add Bulgogi Sauce 20g</v>
      </c>
      <c r="T75" s="58" t="str">
        <v>FSS00007</v>
      </c>
      <c r="U75" s="44" t="str">
        <f t="shared" si="3"/>
        <v>CAPSICUM CHILI OIL 30 G</v>
      </c>
      <c r="V75" s="45">
        <f t="shared" si="4"/>
        <v>0.25</v>
      </c>
      <c r="W75" s="45" t="s">
        <v>73</v>
      </c>
      <c r="X75" s="62">
        <v>0.72909999999999997</v>
      </c>
      <c r="Y75" s="63">
        <v>0.1</v>
      </c>
      <c r="Z75" s="45">
        <f t="shared" si="8"/>
        <v>0.38</v>
      </c>
      <c r="AA75" s="64" t="s">
        <v>73</v>
      </c>
      <c r="AB75" t="s">
        <v>1034</v>
      </c>
      <c r="AC75" t="s">
        <v>1035</v>
      </c>
      <c r="AD75" s="45">
        <v>0</v>
      </c>
      <c r="AE75" s="45" t="str">
        <v>Tidak Ditemukan</v>
      </c>
      <c r="AF75" s="45"/>
    </row>
    <row r="76" spans="1:32" x14ac:dyDescent="0.35">
      <c r="A76" s="535" t="str">
        <f t="shared" si="12"/>
        <v/>
      </c>
      <c r="B76" s="337"/>
      <c r="C76" s="337"/>
      <c r="D76" s="326" t="s">
        <v>42</v>
      </c>
      <c r="E76" s="360" t="s">
        <v>95</v>
      </c>
      <c r="F76" s="18">
        <v>15</v>
      </c>
      <c r="G76" s="18" t="s">
        <v>73</v>
      </c>
      <c r="H76" s="18">
        <f>ROUND($F$73*((($F$74*(F76/($F$75+$F$76))))/((($F$74*(F75/($F$75+$F$76)))+($F$74*(F76/($F$75+$F$76)))+$F$77))),2)</f>
        <v>0.06</v>
      </c>
      <c r="I76" s="18" t="s">
        <v>73</v>
      </c>
      <c r="J76" s="337"/>
      <c r="K76" s="672">
        <f>A61*H76</f>
        <v>4.9799999999999995</v>
      </c>
      <c r="L76" s="534">
        <f t="shared" si="6"/>
        <v>56.007599999999996</v>
      </c>
      <c r="M76" s="458">
        <f t="shared" si="7"/>
        <v>56</v>
      </c>
      <c r="N76" s="458">
        <f t="shared" si="0"/>
        <v>3640.0075999999999</v>
      </c>
      <c r="O76" s="458">
        <f t="shared" si="1"/>
        <v>3640</v>
      </c>
      <c r="P76" s="21"/>
      <c r="Q76" s="506">
        <v>56</v>
      </c>
      <c r="R76" s="52" t="str">
        <v xml:space="preserve">CGEX0027  </v>
      </c>
      <c r="S76" s="44" t="str">
        <f t="shared" si="13"/>
        <v>Add Cabe Rawit Merah Iris</v>
      </c>
      <c r="T76" s="58" t="str">
        <v>FGR00031</v>
      </c>
      <c r="U76" s="44" t="str">
        <f t="shared" si="3"/>
        <v>CREAM CHEESE ANCHOR 1 KG</v>
      </c>
      <c r="V76" s="45">
        <f t="shared" si="4"/>
        <v>3640</v>
      </c>
      <c r="W76" s="45" t="s">
        <v>73</v>
      </c>
      <c r="X76" s="62">
        <v>1</v>
      </c>
      <c r="Y76" s="63">
        <v>0.1</v>
      </c>
      <c r="Z76" s="45">
        <f t="shared" si="8"/>
        <v>4004</v>
      </c>
      <c r="AA76" s="64" t="s">
        <v>73</v>
      </c>
      <c r="AB76" t="s">
        <v>1515</v>
      </c>
      <c r="AC76" t="s">
        <v>1516</v>
      </c>
      <c r="AD76" s="45">
        <v>0</v>
      </c>
      <c r="AE76" s="45" t="str">
        <v>Tidak Ditemukan</v>
      </c>
      <c r="AF76" s="45"/>
    </row>
    <row r="77" spans="1:32" x14ac:dyDescent="0.35">
      <c r="A77" s="535" t="str">
        <f t="shared" si="12"/>
        <v/>
      </c>
      <c r="B77" s="330"/>
      <c r="C77" s="330"/>
      <c r="D77" s="326" t="s">
        <v>52</v>
      </c>
      <c r="E77" s="426" t="s">
        <v>106</v>
      </c>
      <c r="F77" s="22">
        <v>5</v>
      </c>
      <c r="G77" s="22" t="s">
        <v>73</v>
      </c>
      <c r="H77" s="22">
        <f>ROUND(($F$73)*((F77)/((($F$74*(F75/($F$75+$F$76)))+($F$74*(F76/($F$75+$F$76)))+$F$77))),2)</f>
        <v>0.1</v>
      </c>
      <c r="I77" s="22" t="s">
        <v>73</v>
      </c>
      <c r="J77" s="330"/>
      <c r="K77" s="673">
        <f>A61*H77</f>
        <v>8.3000000000000007</v>
      </c>
      <c r="L77" s="534">
        <f t="shared" si="6"/>
        <v>39.0077</v>
      </c>
      <c r="M77" s="458">
        <f t="shared" si="7"/>
        <v>39</v>
      </c>
      <c r="N77" s="458">
        <f t="shared" si="0"/>
        <v>6430.0077000000001</v>
      </c>
      <c r="O77" s="458">
        <f t="shared" si="1"/>
        <v>6430</v>
      </c>
      <c r="P77" s="21"/>
      <c r="Q77" s="506">
        <v>39</v>
      </c>
      <c r="R77" s="52" t="str">
        <v xml:space="preserve">CGEX0028  </v>
      </c>
      <c r="S77" s="44" t="str">
        <f t="shared" si="13"/>
        <v>Add Mozzarella</v>
      </c>
      <c r="T77" s="58" t="str">
        <v>FMP00005</v>
      </c>
      <c r="U77" s="44" t="str">
        <f t="shared" si="3"/>
        <v>BEEF HAM LOAF 4 KG</v>
      </c>
      <c r="V77" s="45">
        <f t="shared" si="4"/>
        <v>6430</v>
      </c>
      <c r="W77" s="45" t="s">
        <v>73</v>
      </c>
      <c r="X77" s="62">
        <v>0.97</v>
      </c>
      <c r="Y77" s="63">
        <v>0.1</v>
      </c>
      <c r="Z77" s="45">
        <f t="shared" si="8"/>
        <v>7291.75</v>
      </c>
      <c r="AA77" s="64" t="s">
        <v>73</v>
      </c>
      <c r="AB77" t="s">
        <v>1300</v>
      </c>
      <c r="AC77" t="s">
        <v>1406</v>
      </c>
      <c r="AD77" s="45">
        <v>0</v>
      </c>
      <c r="AE77" s="45" t="str">
        <v>Tidak Ditemukan</v>
      </c>
      <c r="AF77" s="45"/>
    </row>
    <row r="78" spans="1:32" x14ac:dyDescent="0.35">
      <c r="A78" s="535" t="str">
        <f t="shared" si="12"/>
        <v/>
      </c>
      <c r="B78" s="337"/>
      <c r="C78" s="337"/>
      <c r="D78" s="355"/>
      <c r="E78" s="355" t="s">
        <v>25</v>
      </c>
      <c r="F78" s="378">
        <v>15</v>
      </c>
      <c r="G78" s="378" t="s">
        <v>73</v>
      </c>
      <c r="H78" s="515"/>
      <c r="I78" s="378" t="s">
        <v>73</v>
      </c>
      <c r="J78" s="515"/>
      <c r="K78" s="674"/>
      <c r="L78" s="534">
        <f t="shared" si="6"/>
        <v>4.0077999999999996</v>
      </c>
      <c r="M78" s="458">
        <f t="shared" si="7"/>
        <v>4</v>
      </c>
      <c r="N78" s="458">
        <f t="shared" si="0"/>
        <v>15488.137799999999</v>
      </c>
      <c r="O78" s="458">
        <f t="shared" si="1"/>
        <v>15488.13</v>
      </c>
      <c r="P78" s="21"/>
      <c r="Q78" s="506">
        <v>4</v>
      </c>
      <c r="R78" s="52" t="str">
        <v xml:space="preserve">CGEX0031  </v>
      </c>
      <c r="S78" s="44" t="str">
        <f t="shared" si="13"/>
        <v>ADD PERILLA LEAF 8 PCS</v>
      </c>
      <c r="T78" s="58" t="str">
        <v>FFF00001</v>
      </c>
      <c r="U78" s="44" t="str">
        <f t="shared" si="3"/>
        <v>EOMUK (ODENG) 1 KG</v>
      </c>
      <c r="V78" s="45">
        <f t="shared" si="4"/>
        <v>15488.13</v>
      </c>
      <c r="W78" s="45" t="s">
        <v>73</v>
      </c>
      <c r="X78" s="62">
        <v>0.78</v>
      </c>
      <c r="Y78" s="63">
        <v>0.1</v>
      </c>
      <c r="Z78" s="45">
        <f t="shared" si="8"/>
        <v>21842.23</v>
      </c>
      <c r="AA78" s="64" t="s">
        <v>73</v>
      </c>
      <c r="AB78" t="s">
        <v>1346</v>
      </c>
      <c r="AC78" t="s">
        <v>1454</v>
      </c>
      <c r="AD78" s="45">
        <v>0</v>
      </c>
      <c r="AE78" s="45" t="str">
        <v>Tidak Ditemukan</v>
      </c>
      <c r="AF78" s="45"/>
    </row>
    <row r="79" spans="1:32" x14ac:dyDescent="0.35">
      <c r="A79" s="535" t="str">
        <f t="shared" si="12"/>
        <v/>
      </c>
      <c r="B79" s="330"/>
      <c r="C79" s="330"/>
      <c r="D79" s="326" t="s">
        <v>47</v>
      </c>
      <c r="E79" s="426" t="s">
        <v>93</v>
      </c>
      <c r="F79" s="22">
        <v>600</v>
      </c>
      <c r="G79" s="22" t="s">
        <v>73</v>
      </c>
      <c r="H79" s="22">
        <f>ROUND((($F$78)*((F79)/($F$79+$F$80+$F$81+$F$82+$F$83))),2)</f>
        <v>10</v>
      </c>
      <c r="I79" s="22" t="s">
        <v>73</v>
      </c>
      <c r="J79" s="330"/>
      <c r="K79" s="673">
        <f>A61*H79</f>
        <v>830</v>
      </c>
      <c r="L79" s="534">
        <f t="shared" si="6"/>
        <v>12.007899999999999</v>
      </c>
      <c r="M79" s="458">
        <f t="shared" si="7"/>
        <v>12</v>
      </c>
      <c r="N79" s="458">
        <f t="shared" si="0"/>
        <v>3033.3578999999995</v>
      </c>
      <c r="O79" s="458">
        <f t="shared" si="1"/>
        <v>3033.3499999999995</v>
      </c>
      <c r="P79" s="21"/>
      <c r="Q79" s="506">
        <v>12</v>
      </c>
      <c r="R79" s="52" t="str">
        <v xml:space="preserve">CGEX0032  </v>
      </c>
      <c r="S79" s="44" t="str">
        <f t="shared" si="13"/>
        <v>ADD RADISH SLICE 16 PCS</v>
      </c>
      <c r="T79" s="58" t="str">
        <v>FVF00018</v>
      </c>
      <c r="U79" s="44" t="str">
        <f t="shared" si="3"/>
        <v>Daun Bawang Cung</v>
      </c>
      <c r="V79" s="45">
        <f t="shared" si="4"/>
        <v>3033.3499999999995</v>
      </c>
      <c r="W79" s="45" t="s">
        <v>73</v>
      </c>
      <c r="X79" s="62">
        <v>1</v>
      </c>
      <c r="Y79" s="63">
        <v>0.1</v>
      </c>
      <c r="Z79" s="45">
        <f t="shared" si="8"/>
        <v>3336.69</v>
      </c>
      <c r="AA79" s="64" t="s">
        <v>73</v>
      </c>
      <c r="AB79" t="s">
        <v>1267</v>
      </c>
      <c r="AC79" t="s">
        <v>1380</v>
      </c>
      <c r="AD79" s="45">
        <v>0</v>
      </c>
      <c r="AE79" s="45" t="str">
        <v>Tidak Ditemukan</v>
      </c>
      <c r="AF79" s="45"/>
    </row>
    <row r="80" spans="1:32" x14ac:dyDescent="0.35">
      <c r="A80" s="535" t="str">
        <f t="shared" si="12"/>
        <v/>
      </c>
      <c r="B80" s="337"/>
      <c r="C80" s="337"/>
      <c r="D80" s="326" t="s">
        <v>48</v>
      </c>
      <c r="E80" s="425" t="s">
        <v>115</v>
      </c>
      <c r="F80" s="18">
        <v>100</v>
      </c>
      <c r="G80" s="18" t="s">
        <v>73</v>
      </c>
      <c r="H80" s="18">
        <f t="shared" ref="H80:H83" si="14">ROUND((($F$78)*((F80)/($F$79+$F$80+$F$81+$F$82+$F$83))),2)</f>
        <v>1.67</v>
      </c>
      <c r="I80" s="18" t="s">
        <v>73</v>
      </c>
      <c r="J80" s="337"/>
      <c r="K80" s="672">
        <f>A61*H80</f>
        <v>138.60999999999999</v>
      </c>
      <c r="L80" s="534">
        <f t="shared" si="6"/>
        <v>3.008</v>
      </c>
      <c r="M80" s="458">
        <f t="shared" si="7"/>
        <v>3</v>
      </c>
      <c r="N80" s="458">
        <f t="shared" si="0"/>
        <v>36551.828000000001</v>
      </c>
      <c r="O80" s="458">
        <f t="shared" si="1"/>
        <v>36551.82</v>
      </c>
      <c r="P80" s="21"/>
      <c r="Q80" s="506">
        <v>3</v>
      </c>
      <c r="R80" s="52" t="str">
        <v xml:space="preserve">CGEX0035  </v>
      </c>
      <c r="S80" s="44" t="str">
        <f t="shared" si="13"/>
        <v>ADD BBQ WAGYU TOKUSEN 100 G</v>
      </c>
      <c r="T80" s="58" t="str">
        <v>CKPF0002</v>
      </c>
      <c r="U80" s="44" t="str">
        <f t="shared" si="3"/>
        <v xml:space="preserve">	CK TOKPOKKI BASE 1 KG</v>
      </c>
      <c r="V80" s="45">
        <f t="shared" si="4"/>
        <v>36551.82</v>
      </c>
      <c r="W80" s="45" t="s">
        <v>73</v>
      </c>
      <c r="X80" s="62">
        <v>0.69499999999999995</v>
      </c>
      <c r="Y80" s="63">
        <v>0.1</v>
      </c>
      <c r="Z80" s="45">
        <f t="shared" si="8"/>
        <v>57851.8</v>
      </c>
      <c r="AA80" s="64" t="s">
        <v>73</v>
      </c>
      <c r="AB80" t="s">
        <v>1528</v>
      </c>
      <c r="AC80" t="s">
        <v>1529</v>
      </c>
      <c r="AD80" s="45">
        <v>0</v>
      </c>
      <c r="AE80" s="45" t="str">
        <v>Tidak Ditemukan</v>
      </c>
      <c r="AF80" s="45"/>
    </row>
    <row r="81" spans="1:32" x14ac:dyDescent="0.35">
      <c r="A81" s="535" t="str">
        <f t="shared" ref="A81:A144" si="15">IFERROR(INDEX($Q$17:$Q$41,MATCH(B81,$R$17:$R$41, 0)), "")</f>
        <v/>
      </c>
      <c r="B81" s="330"/>
      <c r="C81" s="330"/>
      <c r="D81" s="326" t="s">
        <v>50</v>
      </c>
      <c r="E81" s="426" t="s">
        <v>14</v>
      </c>
      <c r="F81" s="22">
        <v>100</v>
      </c>
      <c r="G81" s="22" t="s">
        <v>73</v>
      </c>
      <c r="H81" s="22">
        <f t="shared" si="14"/>
        <v>1.67</v>
      </c>
      <c r="I81" s="22" t="s">
        <v>73</v>
      </c>
      <c r="J81" s="330"/>
      <c r="K81" s="673">
        <f>A61*H81</f>
        <v>138.60999999999999</v>
      </c>
      <c r="L81" s="534">
        <f t="shared" si="6"/>
        <v>2.0081000000000002</v>
      </c>
      <c r="M81" s="458">
        <f t="shared" si="7"/>
        <v>2</v>
      </c>
      <c r="N81" s="458">
        <f t="shared" ref="N81:N115" si="16">V81+ROW()/10000</f>
        <v>14550.008099999999</v>
      </c>
      <c r="O81" s="458">
        <f t="shared" ref="O81:O115" si="17">IF(V81&gt;0, V81, "")</f>
        <v>14550</v>
      </c>
      <c r="P81" s="21"/>
      <c r="Q81" s="506">
        <v>2</v>
      </c>
      <c r="R81" s="52" t="str">
        <v xml:space="preserve">CGEX0034  </v>
      </c>
      <c r="S81" s="44" t="str">
        <f t="shared" ref="S81:S112" si="18">IFERROR(VLOOKUP(R81, $B$17:$C$3406, 2, FALSE), "Not Found")</f>
        <v>ADD BBQ TASTY BEEF 100 G</v>
      </c>
      <c r="T81" s="58" t="str">
        <v>FGR00040</v>
      </c>
      <c r="U81" s="44" t="str">
        <f t="shared" ref="U81:U144" si="19">IF(T81="","", IF(INDEX(E$17:E$3406, MATCH(T81, D$17:D$3406, 0))=0,"", INDEX(E$17:E$3406, MATCH(T81, D$17:D$3406, 0))))</f>
        <v>WIP Mie Instan Al Dente</v>
      </c>
      <c r="V81" s="45">
        <f t="shared" ref="V81:V144" si="20">IF(T81="","", SUMIFS(K$17:K$3406, D$17:D$3406, T81))</f>
        <v>14550</v>
      </c>
      <c r="W81" s="45" t="s">
        <v>73</v>
      </c>
      <c r="X81" s="62">
        <v>0.97</v>
      </c>
      <c r="Y81" s="63">
        <v>0.1</v>
      </c>
      <c r="Z81" s="45">
        <f t="shared" si="8"/>
        <v>16500</v>
      </c>
      <c r="AA81" s="64" t="s">
        <v>73</v>
      </c>
      <c r="AB81" t="s">
        <v>1352</v>
      </c>
      <c r="AC81" t="s">
        <v>1459</v>
      </c>
      <c r="AD81" s="45">
        <v>0</v>
      </c>
      <c r="AE81" s="45" t="str">
        <v>Tidak Ditemukan</v>
      </c>
      <c r="AF81" s="45"/>
    </row>
    <row r="82" spans="1:32" x14ac:dyDescent="0.35">
      <c r="A82" s="535" t="str">
        <f t="shared" si="15"/>
        <v/>
      </c>
      <c r="B82" s="337"/>
      <c r="C82" s="337"/>
      <c r="D82" s="326" t="s">
        <v>49</v>
      </c>
      <c r="E82" s="425" t="s">
        <v>15</v>
      </c>
      <c r="F82" s="18">
        <v>50</v>
      </c>
      <c r="G82" s="18" t="s">
        <v>73</v>
      </c>
      <c r="H82" s="18">
        <f t="shared" si="14"/>
        <v>0.83</v>
      </c>
      <c r="I82" s="18" t="s">
        <v>73</v>
      </c>
      <c r="J82" s="337"/>
      <c r="K82" s="672">
        <f>A61*H82</f>
        <v>68.89</v>
      </c>
      <c r="L82" s="534">
        <f t="shared" ref="L82:L98" si="21">Q82+ROW()/10000</f>
        <v>3.0082</v>
      </c>
      <c r="M82" s="458">
        <f t="shared" ref="M82:M98" si="22">IF(Q82&gt;0, Q82, "")</f>
        <v>3</v>
      </c>
      <c r="N82" s="458">
        <f t="shared" si="16"/>
        <v>3872.3882000000003</v>
      </c>
      <c r="O82" s="458">
        <f t="shared" si="17"/>
        <v>3872.38</v>
      </c>
      <c r="P82" s="21"/>
      <c r="Q82" s="506">
        <v>3</v>
      </c>
      <c r="R82" s="52" t="str">
        <v xml:space="preserve">CGEX0033  </v>
      </c>
      <c r="S82" s="44" t="str">
        <f t="shared" si="18"/>
        <v>ADD BAWANG PUTIH SLICE</v>
      </c>
      <c r="T82" s="58" t="str">
        <v>FSP00014</v>
      </c>
      <c r="U82" s="44" t="str">
        <f t="shared" si="19"/>
        <v>CIRIO PASSATA SIEVED TOMATO 2,5 KG</v>
      </c>
      <c r="V82" s="45">
        <f t="shared" si="20"/>
        <v>3872.38</v>
      </c>
      <c r="W82" s="45" t="s">
        <v>73</v>
      </c>
      <c r="X82" s="62">
        <v>1</v>
      </c>
      <c r="Y82" s="63">
        <v>0.1</v>
      </c>
      <c r="Z82" s="45">
        <f t="shared" ref="Z82:Z140" si="23">IF(V82&gt;0,ROUND( ((V82/X82 * (1 + Y82))),2), 0)</f>
        <v>4259.62</v>
      </c>
      <c r="AA82" s="64" t="s">
        <v>73</v>
      </c>
      <c r="AB82" t="s">
        <v>1885</v>
      </c>
      <c r="AC82" t="s">
        <v>1886</v>
      </c>
      <c r="AD82" s="45">
        <v>0</v>
      </c>
      <c r="AE82" s="45" t="str">
        <v>Tidak Ditemukan</v>
      </c>
      <c r="AF82" s="45"/>
    </row>
    <row r="83" spans="1:32" x14ac:dyDescent="0.35">
      <c r="A83" s="535" t="str">
        <f t="shared" si="15"/>
        <v/>
      </c>
      <c r="B83" s="330"/>
      <c r="C83" s="330"/>
      <c r="D83" s="326" t="s">
        <v>51</v>
      </c>
      <c r="E83" s="426" t="s">
        <v>16</v>
      </c>
      <c r="F83" s="22">
        <v>50</v>
      </c>
      <c r="G83" s="22" t="s">
        <v>73</v>
      </c>
      <c r="H83" s="22">
        <f t="shared" si="14"/>
        <v>0.83</v>
      </c>
      <c r="I83" s="22" t="s">
        <v>73</v>
      </c>
      <c r="J83" s="330"/>
      <c r="K83" s="673">
        <f>A61*H83</f>
        <v>68.89</v>
      </c>
      <c r="L83" s="534">
        <f t="shared" si="21"/>
        <v>9.0083000000000002</v>
      </c>
      <c r="M83" s="458">
        <f t="shared" si="22"/>
        <v>9</v>
      </c>
      <c r="N83" s="458">
        <f t="shared" si="16"/>
        <v>17424.778300000002</v>
      </c>
      <c r="O83" s="458">
        <f t="shared" si="17"/>
        <v>17424.77</v>
      </c>
      <c r="P83" s="21"/>
      <c r="Q83" s="506">
        <v>9</v>
      </c>
      <c r="R83" s="52" t="str">
        <v xml:space="preserve">CGEX0018  </v>
      </c>
      <c r="S83" s="44" t="str">
        <f t="shared" si="18"/>
        <v>ADD TWIGIM SAUCE</v>
      </c>
      <c r="T83" s="58" t="str">
        <v>FGR00006</v>
      </c>
      <c r="U83" s="44" t="str">
        <f t="shared" si="19"/>
        <v xml:space="preserve">	SUSU UHT 1 L</v>
      </c>
      <c r="V83" s="45">
        <f t="shared" si="20"/>
        <v>17424.77</v>
      </c>
      <c r="W83" s="45" t="s">
        <v>73</v>
      </c>
      <c r="X83" s="62">
        <v>1</v>
      </c>
      <c r="Y83" s="63">
        <v>0.1</v>
      </c>
      <c r="Z83" s="45">
        <f t="shared" si="23"/>
        <v>19167.25</v>
      </c>
      <c r="AA83" s="64" t="s">
        <v>73</v>
      </c>
      <c r="AB83" t="s">
        <v>1313</v>
      </c>
      <c r="AC83" t="s">
        <v>1422</v>
      </c>
      <c r="AD83" s="45">
        <v>0</v>
      </c>
      <c r="AE83" s="45" t="str">
        <v>Tidak Ditemukan</v>
      </c>
      <c r="AF83" s="45"/>
    </row>
    <row r="84" spans="1:32" x14ac:dyDescent="0.35">
      <c r="A84" s="535" t="str">
        <f t="shared" si="15"/>
        <v/>
      </c>
      <c r="B84" s="337"/>
      <c r="C84" s="337"/>
      <c r="D84" s="355"/>
      <c r="E84" s="355" t="s">
        <v>83</v>
      </c>
      <c r="F84" s="378">
        <v>280</v>
      </c>
      <c r="G84" s="378" t="s">
        <v>73</v>
      </c>
      <c r="H84" s="515"/>
      <c r="I84" s="378"/>
      <c r="J84" s="515"/>
      <c r="K84" s="674"/>
      <c r="L84" s="534">
        <f t="shared" si="21"/>
        <v>8.3999999999999995E-3</v>
      </c>
      <c r="M84" s="458" t="str">
        <f t="shared" si="22"/>
        <v/>
      </c>
      <c r="N84" s="458">
        <f t="shared" si="16"/>
        <v>5808.1083999999992</v>
      </c>
      <c r="O84" s="458">
        <f t="shared" si="17"/>
        <v>5808.0999999999995</v>
      </c>
      <c r="P84" s="21"/>
      <c r="Q84" s="506">
        <v>0</v>
      </c>
      <c r="R84" s="52" t="str">
        <v xml:space="preserve">CGEX0037  </v>
      </c>
      <c r="S84" s="44" t="str">
        <f t="shared" si="18"/>
        <v>ADD MACARONI SALAD 30 G</v>
      </c>
      <c r="T84" s="58" t="str">
        <v>FGR00005</v>
      </c>
      <c r="U84" s="44" t="str">
        <f t="shared" si="19"/>
        <v>COOKING CREAM 1 L</v>
      </c>
      <c r="V84" s="45">
        <f t="shared" si="20"/>
        <v>5808.0999999999995</v>
      </c>
      <c r="W84" s="45" t="s">
        <v>73</v>
      </c>
      <c r="X84" s="62">
        <v>1</v>
      </c>
      <c r="Y84" s="63">
        <v>0.1</v>
      </c>
      <c r="Z84" s="45">
        <f t="shared" si="23"/>
        <v>6388.91</v>
      </c>
      <c r="AA84" s="65" t="s">
        <v>73</v>
      </c>
      <c r="AB84" t="s">
        <v>1281</v>
      </c>
      <c r="AC84" t="s">
        <v>1393</v>
      </c>
      <c r="AD84" s="45">
        <v>0</v>
      </c>
      <c r="AE84" s="71" t="str">
        <v>Tidak Ditemukan</v>
      </c>
      <c r="AF84" s="71"/>
    </row>
    <row r="85" spans="1:32" x14ac:dyDescent="0.35">
      <c r="A85" s="535" t="str">
        <f t="shared" si="15"/>
        <v/>
      </c>
      <c r="B85" s="330"/>
      <c r="C85" s="330"/>
      <c r="D85" s="326" t="s">
        <v>44</v>
      </c>
      <c r="E85" s="426" t="s">
        <v>17</v>
      </c>
      <c r="F85" s="22">
        <v>2000</v>
      </c>
      <c r="G85" s="22" t="s">
        <v>73</v>
      </c>
      <c r="H85" s="22">
        <f>ROUND(($F$84)*((F85)/($F$85+$F$86+$F$87+$F$88)),2)</f>
        <v>182.17</v>
      </c>
      <c r="I85" s="22" t="s">
        <v>73</v>
      </c>
      <c r="J85" s="330"/>
      <c r="K85" s="673">
        <f>A61*H85</f>
        <v>15120.109999999999</v>
      </c>
      <c r="L85" s="534">
        <f t="shared" si="21"/>
        <v>8.5000000000000006E-3</v>
      </c>
      <c r="M85" s="458" t="str">
        <f t="shared" si="22"/>
        <v/>
      </c>
      <c r="N85" s="458">
        <f t="shared" si="16"/>
        <v>476.00850000000003</v>
      </c>
      <c r="O85" s="458">
        <f t="shared" si="17"/>
        <v>476</v>
      </c>
      <c r="P85" s="21"/>
      <c r="Q85" s="506">
        <v>0</v>
      </c>
      <c r="R85" s="52" t="str">
        <v xml:space="preserve">CGJG0005  </v>
      </c>
      <c r="S85" s="44" t="str">
        <f t="shared" si="18"/>
        <v>Add Beef Jjugumi 100 G</v>
      </c>
      <c r="T85" s="58" t="str">
        <v>CKPF0012</v>
      </c>
      <c r="U85" s="44" t="str">
        <f t="shared" si="19"/>
        <v>CK FRIED GIMMARI 30 PCS</v>
      </c>
      <c r="V85" s="45">
        <f t="shared" si="20"/>
        <v>476</v>
      </c>
      <c r="W85" s="45" t="s">
        <v>73</v>
      </c>
      <c r="X85" s="62">
        <v>1</v>
      </c>
      <c r="Y85" s="63">
        <v>0.1</v>
      </c>
      <c r="Z85" s="45">
        <f t="shared" si="23"/>
        <v>523.6</v>
      </c>
      <c r="AA85" s="65" t="s">
        <v>73</v>
      </c>
      <c r="AB85" t="s">
        <v>1032</v>
      </c>
      <c r="AC85" t="s">
        <v>1033</v>
      </c>
      <c r="AD85" s="45">
        <v>0</v>
      </c>
      <c r="AE85" s="71" t="str">
        <v>Tidak Ditemukan</v>
      </c>
      <c r="AF85" s="71"/>
    </row>
    <row r="86" spans="1:32" x14ac:dyDescent="0.35">
      <c r="A86" s="535" t="str">
        <f t="shared" si="15"/>
        <v/>
      </c>
      <c r="B86" s="337"/>
      <c r="C86" s="337"/>
      <c r="D86" s="342"/>
      <c r="E86" s="543" t="s">
        <v>81</v>
      </c>
      <c r="F86" s="404">
        <v>1000</v>
      </c>
      <c r="G86" s="404" t="s">
        <v>73</v>
      </c>
      <c r="H86" s="404">
        <f t="shared" ref="H86:H88" si="24">ROUND(($F$84)*((F86)/($F$85+$F$86+$F$87+$F$88)),2)</f>
        <v>91.09</v>
      </c>
      <c r="I86" s="404"/>
      <c r="J86" s="345"/>
      <c r="K86" s="675"/>
      <c r="L86" s="534">
        <f t="shared" si="21"/>
        <v>62.008600000000001</v>
      </c>
      <c r="M86" s="458">
        <f t="shared" si="22"/>
        <v>62</v>
      </c>
      <c r="N86" s="458">
        <f t="shared" si="16"/>
        <v>3604.5086000000001</v>
      </c>
      <c r="O86" s="458">
        <f t="shared" si="17"/>
        <v>3604.5</v>
      </c>
      <c r="P86" s="21"/>
      <c r="Q86" s="506">
        <v>62</v>
      </c>
      <c r="R86" s="52" t="str">
        <v xml:space="preserve">CGRN0004  </v>
      </c>
      <c r="S86" s="44" t="str">
        <f t="shared" si="18"/>
        <v>Bulgogi Bibimbap</v>
      </c>
      <c r="T86" s="58" t="str">
        <v>FGR00014</v>
      </c>
      <c r="U86" s="44" t="str">
        <f t="shared" si="19"/>
        <v>TEPUNG TERIGU SEGITIGA BIRU 1 KG</v>
      </c>
      <c r="V86" s="45">
        <f t="shared" si="20"/>
        <v>3604.5</v>
      </c>
      <c r="W86" s="45" t="s">
        <v>74</v>
      </c>
      <c r="X86" s="62">
        <v>1</v>
      </c>
      <c r="Y86" s="63">
        <v>0.1</v>
      </c>
      <c r="Z86" s="45">
        <f t="shared" si="23"/>
        <v>3964.95</v>
      </c>
      <c r="AA86" s="65" t="s">
        <v>74</v>
      </c>
      <c r="AB86" t="s">
        <v>1338</v>
      </c>
      <c r="AC86" t="s">
        <v>1446</v>
      </c>
      <c r="AD86" s="45">
        <v>0</v>
      </c>
      <c r="AE86" s="71" t="str">
        <v>Tidak Ditemukan</v>
      </c>
      <c r="AF86" s="71"/>
    </row>
    <row r="87" spans="1:32" x14ac:dyDescent="0.35">
      <c r="A87" s="535" t="str">
        <f t="shared" si="15"/>
        <v/>
      </c>
      <c r="B87" s="330"/>
      <c r="C87" s="330"/>
      <c r="D87" s="326" t="s">
        <v>45</v>
      </c>
      <c r="E87" s="426" t="s">
        <v>18</v>
      </c>
      <c r="F87" s="22">
        <v>57</v>
      </c>
      <c r="G87" s="22" t="s">
        <v>73</v>
      </c>
      <c r="H87" s="22">
        <f t="shared" si="24"/>
        <v>5.19</v>
      </c>
      <c r="I87" s="22" t="s">
        <v>73</v>
      </c>
      <c r="J87" s="330"/>
      <c r="K87" s="673">
        <f>A61*H87</f>
        <v>430.77000000000004</v>
      </c>
      <c r="L87" s="534">
        <f t="shared" si="21"/>
        <v>21.008700000000001</v>
      </c>
      <c r="M87" s="458">
        <f t="shared" si="22"/>
        <v>21</v>
      </c>
      <c r="N87" s="458">
        <f t="shared" si="16"/>
        <v>3369.8386999999998</v>
      </c>
      <c r="O87" s="458">
        <f t="shared" si="17"/>
        <v>3369.83</v>
      </c>
      <c r="P87" s="21"/>
      <c r="Q87" s="506">
        <v>21</v>
      </c>
      <c r="R87" s="52" t="str">
        <v xml:space="preserve">CGRN0005  </v>
      </c>
      <c r="S87" s="44" t="str">
        <f t="shared" si="18"/>
        <v>Vegetabe Bibimbap</v>
      </c>
      <c r="T87" s="58" t="str">
        <v>FVF00023</v>
      </c>
      <c r="U87" s="44" t="str">
        <f t="shared" si="19"/>
        <v>UBI CILEMBU KUNING</v>
      </c>
      <c r="V87" s="45">
        <f t="shared" si="20"/>
        <v>3369.83</v>
      </c>
      <c r="W87" s="45" t="s">
        <v>73</v>
      </c>
      <c r="X87" s="62">
        <v>1</v>
      </c>
      <c r="Y87" s="63">
        <v>0.1</v>
      </c>
      <c r="Z87" s="45">
        <f t="shared" si="23"/>
        <v>3706.81</v>
      </c>
      <c r="AA87" s="65" t="s">
        <v>73</v>
      </c>
      <c r="AB87" t="s">
        <v>1359</v>
      </c>
      <c r="AC87" t="s">
        <v>1465</v>
      </c>
      <c r="AD87" s="45">
        <v>0</v>
      </c>
      <c r="AE87" s="71" t="str">
        <v>Tidak Ditemukan</v>
      </c>
      <c r="AF87" s="71"/>
    </row>
    <row r="88" spans="1:32" x14ac:dyDescent="0.35">
      <c r="A88" s="535" t="str">
        <f t="shared" si="15"/>
        <v/>
      </c>
      <c r="B88" s="337"/>
      <c r="C88" s="337"/>
      <c r="D88" s="326" t="s">
        <v>46</v>
      </c>
      <c r="E88" s="425" t="s">
        <v>19</v>
      </c>
      <c r="F88" s="18">
        <v>17</v>
      </c>
      <c r="G88" s="18" t="s">
        <v>73</v>
      </c>
      <c r="H88" s="18">
        <f t="shared" si="24"/>
        <v>1.55</v>
      </c>
      <c r="I88" s="18" t="s">
        <v>73</v>
      </c>
      <c r="J88" s="337"/>
      <c r="K88" s="672">
        <f>A61*H88</f>
        <v>128.65</v>
      </c>
      <c r="L88" s="534">
        <f t="shared" si="21"/>
        <v>30.008800000000001</v>
      </c>
      <c r="M88" s="458">
        <f t="shared" si="22"/>
        <v>30</v>
      </c>
      <c r="N88" s="458">
        <f t="shared" si="16"/>
        <v>3180.0088000000001</v>
      </c>
      <c r="O88" s="458">
        <f t="shared" si="17"/>
        <v>3180</v>
      </c>
      <c r="P88" s="21"/>
      <c r="Q88" s="506">
        <v>30</v>
      </c>
      <c r="R88" s="52" t="str">
        <v xml:space="preserve">CGSD0014  </v>
      </c>
      <c r="S88" s="44" t="str">
        <f t="shared" si="18"/>
        <v xml:space="preserve">	Jumeokbap Ball</v>
      </c>
      <c r="T88" s="58" t="str">
        <v>FGR00068</v>
      </c>
      <c r="U88" s="44" t="str">
        <f t="shared" si="19"/>
        <v>MOZZARELLA J-PIZZA 1 KG</v>
      </c>
      <c r="V88" s="45">
        <f t="shared" si="20"/>
        <v>3180</v>
      </c>
      <c r="W88" s="45" t="s">
        <v>73</v>
      </c>
      <c r="X88" s="62">
        <v>0.84</v>
      </c>
      <c r="Y88" s="63">
        <v>0.1</v>
      </c>
      <c r="Z88" s="45">
        <f t="shared" si="23"/>
        <v>4164.29</v>
      </c>
      <c r="AA88" s="65" t="s">
        <v>73</v>
      </c>
      <c r="AB88" t="s">
        <v>1040</v>
      </c>
      <c r="AC88" t="s">
        <v>1041</v>
      </c>
      <c r="AD88" s="45">
        <v>0</v>
      </c>
      <c r="AE88" s="71" t="str">
        <v>Tidak Ditemukan</v>
      </c>
      <c r="AF88" s="71"/>
    </row>
    <row r="89" spans="1:32" x14ac:dyDescent="0.35">
      <c r="A89" s="535" t="str">
        <f t="shared" si="15"/>
        <v/>
      </c>
      <c r="B89" s="330"/>
      <c r="C89" s="330"/>
      <c r="D89" s="355"/>
      <c r="E89" s="355" t="s">
        <v>90</v>
      </c>
      <c r="F89" s="378">
        <v>70</v>
      </c>
      <c r="G89" s="378" t="s">
        <v>73</v>
      </c>
      <c r="H89" s="515"/>
      <c r="I89" s="378"/>
      <c r="J89" s="515"/>
      <c r="K89" s="674"/>
      <c r="L89" s="534">
        <f t="shared" si="21"/>
        <v>45.008899999999997</v>
      </c>
      <c r="M89" s="458">
        <f t="shared" si="22"/>
        <v>45</v>
      </c>
      <c r="N89" s="458">
        <f t="shared" si="16"/>
        <v>3780.0088999999998</v>
      </c>
      <c r="O89" s="458">
        <f t="shared" si="17"/>
        <v>3780</v>
      </c>
      <c r="P89" s="21"/>
      <c r="Q89" s="506">
        <v>45</v>
      </c>
      <c r="R89" s="52" t="str">
        <v xml:space="preserve">CGRN0009  </v>
      </c>
      <c r="S89" s="44" t="str">
        <f t="shared" si="18"/>
        <v>Chicken Japchae</v>
      </c>
      <c r="T89" s="58" t="str">
        <v>FMP00022</v>
      </c>
      <c r="U89" s="44" t="str">
        <f t="shared" si="19"/>
        <v>DADA BONELESS SKINLESS 130-150 GR/PCS</v>
      </c>
      <c r="V89" s="45">
        <f t="shared" si="20"/>
        <v>3780</v>
      </c>
      <c r="W89" s="45" t="s">
        <v>73</v>
      </c>
      <c r="X89" s="62">
        <v>1</v>
      </c>
      <c r="Y89" s="63">
        <v>0.1</v>
      </c>
      <c r="Z89" s="45">
        <f t="shared" si="23"/>
        <v>4158</v>
      </c>
      <c r="AA89" s="65" t="s">
        <v>73</v>
      </c>
      <c r="AB89" t="s">
        <v>1290</v>
      </c>
      <c r="AC89" t="s">
        <v>1399</v>
      </c>
      <c r="AD89" s="45">
        <v>0</v>
      </c>
      <c r="AE89" s="71" t="str">
        <v>Tidak Ditemukan</v>
      </c>
      <c r="AF89" s="71"/>
    </row>
    <row r="90" spans="1:32" x14ac:dyDescent="0.35">
      <c r="A90" s="535" t="str">
        <f t="shared" si="15"/>
        <v/>
      </c>
      <c r="B90" s="337"/>
      <c r="C90" s="337"/>
      <c r="D90" s="417" t="s">
        <v>39</v>
      </c>
      <c r="E90" s="425" t="s">
        <v>20</v>
      </c>
      <c r="F90" s="18">
        <v>1000</v>
      </c>
      <c r="G90" s="18" t="s">
        <v>73</v>
      </c>
      <c r="H90" s="18">
        <f>ROUND(($F$89)*(($F$90)/((($F$93)*(F94/($F$94+$F$95)))+(($F$93)*(F95/($F$94+$F$95)))+($F$90)+($F$91)
+($F$92))),2)</f>
        <v>65.73</v>
      </c>
      <c r="I90" s="18" t="s">
        <v>73</v>
      </c>
      <c r="J90" s="337"/>
      <c r="K90" s="672">
        <f>A61*H90</f>
        <v>5455.59</v>
      </c>
      <c r="L90" s="534">
        <f t="shared" si="21"/>
        <v>112.009</v>
      </c>
      <c r="M90" s="458">
        <f t="shared" si="22"/>
        <v>112</v>
      </c>
      <c r="N90" s="458">
        <f t="shared" si="16"/>
        <v>2430.009</v>
      </c>
      <c r="O90" s="458">
        <f t="shared" si="17"/>
        <v>2430</v>
      </c>
      <c r="P90" s="21"/>
      <c r="Q90" s="506">
        <v>112</v>
      </c>
      <c r="R90" s="52" t="str">
        <v xml:space="preserve">CGRN0002  </v>
      </c>
      <c r="S90" s="44" t="str">
        <f t="shared" si="18"/>
        <v>Beef Japchae</v>
      </c>
      <c r="T90" s="58" t="str">
        <v>FGR00079</v>
      </c>
      <c r="U90" s="44" t="str">
        <f t="shared" si="19"/>
        <v>BREAD CRUMB FROZEN 4 x 2 KG</v>
      </c>
      <c r="V90" s="45">
        <f t="shared" si="20"/>
        <v>2430</v>
      </c>
      <c r="W90" s="45" t="s">
        <v>73</v>
      </c>
      <c r="X90" s="62">
        <v>1</v>
      </c>
      <c r="Y90" s="63">
        <v>0.1</v>
      </c>
      <c r="Z90" s="45">
        <f t="shared" si="23"/>
        <v>2673</v>
      </c>
      <c r="AA90" s="65" t="s">
        <v>73</v>
      </c>
      <c r="AB90" t="s">
        <v>1890</v>
      </c>
      <c r="AC90" t="s">
        <v>1228</v>
      </c>
      <c r="AD90" s="45">
        <v>0</v>
      </c>
      <c r="AE90" s="71" t="str">
        <v>Tidak Ditemukan</v>
      </c>
      <c r="AF90" s="71"/>
    </row>
    <row r="91" spans="1:32" x14ac:dyDescent="0.35">
      <c r="A91" s="535" t="str">
        <f t="shared" si="15"/>
        <v/>
      </c>
      <c r="B91" s="330"/>
      <c r="C91" s="330"/>
      <c r="D91" s="417" t="s">
        <v>40</v>
      </c>
      <c r="E91" s="426" t="s">
        <v>21</v>
      </c>
      <c r="F91" s="22">
        <v>15</v>
      </c>
      <c r="G91" s="22" t="s">
        <v>73</v>
      </c>
      <c r="H91" s="328">
        <f>ROUND(($F$89)*(($F$91)/((($F$93)*(F94/($F$94+$F$95)))+(($F$93)*(F95/($F$94+$F$95)))+($F$90)+($F$91)
+($F$92))),2)</f>
        <v>0.99</v>
      </c>
      <c r="I91" s="22" t="s">
        <v>73</v>
      </c>
      <c r="J91" s="330"/>
      <c r="K91" s="673">
        <f>A61*H91</f>
        <v>82.17</v>
      </c>
      <c r="L91" s="534">
        <f t="shared" si="21"/>
        <v>25.0091</v>
      </c>
      <c r="M91" s="458">
        <f t="shared" si="22"/>
        <v>25</v>
      </c>
      <c r="N91" s="458">
        <f t="shared" si="16"/>
        <v>1981.1491000000003</v>
      </c>
      <c r="O91" s="458">
        <f t="shared" si="17"/>
        <v>1981.1400000000003</v>
      </c>
      <c r="P91" s="21"/>
      <c r="Q91" s="506">
        <v>25</v>
      </c>
      <c r="R91" s="52" t="str">
        <v xml:space="preserve">CGRN0011  </v>
      </c>
      <c r="S91" s="44" t="str">
        <f t="shared" si="18"/>
        <v xml:space="preserve">	Chicken Kimchi Fried Rice</v>
      </c>
      <c r="T91" s="58" t="str">
        <v>FVF00011</v>
      </c>
      <c r="U91" s="44" t="str">
        <f t="shared" si="19"/>
        <v>WIP Kucai Trim</v>
      </c>
      <c r="V91" s="45">
        <f t="shared" si="20"/>
        <v>1981.1400000000003</v>
      </c>
      <c r="W91" s="45" t="s">
        <v>73</v>
      </c>
      <c r="X91" s="62">
        <v>0.79</v>
      </c>
      <c r="Y91" s="63">
        <v>0.1</v>
      </c>
      <c r="Z91" s="45">
        <f t="shared" si="23"/>
        <v>2758.55</v>
      </c>
      <c r="AA91" s="65" t="s">
        <v>73</v>
      </c>
      <c r="AB91" t="s">
        <v>1331</v>
      </c>
      <c r="AC91" t="s">
        <v>1439</v>
      </c>
      <c r="AD91" s="45">
        <v>0</v>
      </c>
      <c r="AE91" s="71" t="str">
        <v>Tidak Ditemukan</v>
      </c>
      <c r="AF91" s="71"/>
    </row>
    <row r="92" spans="1:32" x14ac:dyDescent="0.35">
      <c r="A92" s="535" t="str">
        <f t="shared" si="15"/>
        <v/>
      </c>
      <c r="B92" s="337"/>
      <c r="C92" s="337"/>
      <c r="D92" s="417" t="s">
        <v>41</v>
      </c>
      <c r="E92" s="425" t="s">
        <v>22</v>
      </c>
      <c r="F92" s="18">
        <v>30</v>
      </c>
      <c r="G92" s="18" t="s">
        <v>73</v>
      </c>
      <c r="H92" s="335">
        <f>ROUND(($F$89)*(($F$92)/((($F$93)*(F94/($F$94+$F$95)))+(($F$93)*(F95/($F$94+$F$95)))+($F$90)+($F$91)
+($F$92))),2)</f>
        <v>1.97</v>
      </c>
      <c r="I92" s="18" t="s">
        <v>73</v>
      </c>
      <c r="J92" s="337"/>
      <c r="K92" s="672">
        <f>A61*H92</f>
        <v>163.51</v>
      </c>
      <c r="L92" s="534">
        <f t="shared" si="21"/>
        <v>28.0092</v>
      </c>
      <c r="M92" s="458">
        <f t="shared" si="22"/>
        <v>28</v>
      </c>
      <c r="N92" s="458">
        <f t="shared" si="16"/>
        <v>208.00919999999999</v>
      </c>
      <c r="O92" s="458">
        <f t="shared" si="17"/>
        <v>208</v>
      </c>
      <c r="P92" s="21"/>
      <c r="Q92" s="506">
        <v>28</v>
      </c>
      <c r="R92" s="52" t="str">
        <v xml:space="preserve">CGRN0010  </v>
      </c>
      <c r="S92" s="44" t="str">
        <f t="shared" si="18"/>
        <v xml:space="preserve">	Spicy Buldak Fried Rice</v>
      </c>
      <c r="T92" s="58" t="str">
        <v>CKPF0034</v>
      </c>
      <c r="U92" s="44" t="str">
        <f t="shared" si="19"/>
        <v>WIP Ebi Sangrai</v>
      </c>
      <c r="V92" s="45">
        <f t="shared" si="20"/>
        <v>208</v>
      </c>
      <c r="W92" s="45" t="s">
        <v>73</v>
      </c>
      <c r="X92" s="62">
        <v>1</v>
      </c>
      <c r="Y92" s="63">
        <v>0.1</v>
      </c>
      <c r="Z92" s="45">
        <f t="shared" si="23"/>
        <v>228.8</v>
      </c>
      <c r="AA92" s="65" t="s">
        <v>73</v>
      </c>
      <c r="AB92" t="s">
        <v>1354</v>
      </c>
      <c r="AC92" t="s">
        <v>857</v>
      </c>
      <c r="AD92" s="45">
        <v>0</v>
      </c>
      <c r="AE92" s="71" t="str">
        <v>Tidak Ditemukan</v>
      </c>
      <c r="AF92" s="71"/>
    </row>
    <row r="93" spans="1:32" x14ac:dyDescent="0.35">
      <c r="A93" s="535" t="str">
        <f t="shared" si="15"/>
        <v/>
      </c>
      <c r="B93" s="330"/>
      <c r="C93" s="330"/>
      <c r="D93" s="355"/>
      <c r="E93" s="416" t="s">
        <v>23</v>
      </c>
      <c r="F93" s="378">
        <v>20</v>
      </c>
      <c r="G93" s="378" t="s">
        <v>73</v>
      </c>
      <c r="H93" s="515"/>
      <c r="I93" s="378"/>
      <c r="J93" s="515"/>
      <c r="K93" s="674"/>
      <c r="L93" s="534">
        <f t="shared" si="21"/>
        <v>28.0093</v>
      </c>
      <c r="M93" s="458">
        <f t="shared" si="22"/>
        <v>28</v>
      </c>
      <c r="N93" s="458">
        <f t="shared" si="16"/>
        <v>3024.3292999999999</v>
      </c>
      <c r="O93" s="458">
        <f t="shared" si="17"/>
        <v>3024.3199999999997</v>
      </c>
      <c r="P93" s="21"/>
      <c r="Q93" s="506">
        <v>28</v>
      </c>
      <c r="R93" s="52" t="str">
        <v xml:space="preserve">CGRN0001  </v>
      </c>
      <c r="S93" s="44" t="str">
        <f t="shared" si="18"/>
        <v xml:space="preserve">	Beef Kimchi Fried Rice</v>
      </c>
      <c r="T93" s="58" t="str">
        <v>CKPD0011</v>
      </c>
      <c r="U93" s="44" t="str">
        <f t="shared" si="19"/>
        <v>CK Tepung Pajeon</v>
      </c>
      <c r="V93" s="45">
        <f t="shared" si="20"/>
        <v>3024.3199999999997</v>
      </c>
      <c r="W93" s="45" t="s">
        <v>73</v>
      </c>
      <c r="X93" s="62">
        <v>1</v>
      </c>
      <c r="Y93" s="63">
        <v>0.1</v>
      </c>
      <c r="Z93" s="45">
        <f t="shared" si="23"/>
        <v>3326.75</v>
      </c>
      <c r="AA93" s="65" t="s">
        <v>73</v>
      </c>
      <c r="AB93" t="s">
        <v>1357</v>
      </c>
      <c r="AC93" t="s">
        <v>1463</v>
      </c>
      <c r="AD93" s="45">
        <v>0</v>
      </c>
      <c r="AE93" s="71" t="str">
        <v>Tidak Ditemukan</v>
      </c>
      <c r="AF93" s="71"/>
    </row>
    <row r="94" spans="1:32" x14ac:dyDescent="0.35">
      <c r="A94" s="535" t="str">
        <f t="shared" si="15"/>
        <v/>
      </c>
      <c r="B94" s="337"/>
      <c r="C94" s="337"/>
      <c r="D94" s="326" t="s">
        <v>43</v>
      </c>
      <c r="E94" s="419" t="s">
        <v>24</v>
      </c>
      <c r="F94" s="18">
        <v>15</v>
      </c>
      <c r="G94" s="18" t="s">
        <v>73</v>
      </c>
      <c r="H94" s="18">
        <f>ROUND(($F$89)*((($F$93)*(F94/($F$94+$F$95)))
/(((($F$93)*(F94/($F$94+$F$95)))+(($F$93)*(F95/($F$94+$F$95)))+($F$90)+($F$91)
+($F$92)))),2)</f>
        <v>0.2</v>
      </c>
      <c r="I94" s="18" t="s">
        <v>73</v>
      </c>
      <c r="J94" s="337"/>
      <c r="K94" s="672">
        <f>A61*H94</f>
        <v>16.600000000000001</v>
      </c>
      <c r="L94" s="534">
        <f t="shared" si="21"/>
        <v>10.009399999999999</v>
      </c>
      <c r="M94" s="458">
        <f t="shared" si="22"/>
        <v>10</v>
      </c>
      <c r="N94" s="458">
        <f t="shared" si="16"/>
        <v>1169.1894</v>
      </c>
      <c r="O94" s="458">
        <f t="shared" si="17"/>
        <v>1169.18</v>
      </c>
      <c r="P94" s="21"/>
      <c r="Q94" s="506">
        <v>10</v>
      </c>
      <c r="R94" s="52" t="str">
        <v xml:space="preserve">CGDG0003  </v>
      </c>
      <c r="S94" s="44" t="str">
        <f t="shared" si="18"/>
        <v>Fried Ramyeon (Dakgalbi)</v>
      </c>
      <c r="T94" s="58" t="str">
        <v>FSP00002</v>
      </c>
      <c r="U94" s="44" t="str">
        <f t="shared" si="19"/>
        <v>Doenjang Paste</v>
      </c>
      <c r="V94" s="45">
        <f t="shared" si="20"/>
        <v>1169.18</v>
      </c>
      <c r="W94" s="45" t="s">
        <v>73</v>
      </c>
      <c r="X94" s="62">
        <v>0.97</v>
      </c>
      <c r="Y94" s="63">
        <v>0.1</v>
      </c>
      <c r="Z94" s="45">
        <f t="shared" si="23"/>
        <v>1325.87</v>
      </c>
      <c r="AA94" s="65" t="s">
        <v>73</v>
      </c>
      <c r="AB94" t="s">
        <v>1296</v>
      </c>
      <c r="AC94" t="s">
        <v>35</v>
      </c>
      <c r="AD94" s="45">
        <v>0</v>
      </c>
      <c r="AE94" s="71" t="str">
        <v>Tidak Ditemukan</v>
      </c>
      <c r="AF94" s="71"/>
    </row>
    <row r="95" spans="1:32" x14ac:dyDescent="0.35">
      <c r="A95" s="535" t="str">
        <f t="shared" si="15"/>
        <v/>
      </c>
      <c r="B95" s="330"/>
      <c r="C95" s="330"/>
      <c r="D95" s="326" t="s">
        <v>42</v>
      </c>
      <c r="E95" s="475" t="s">
        <v>95</v>
      </c>
      <c r="F95" s="22">
        <v>85</v>
      </c>
      <c r="G95" s="22" t="s">
        <v>73</v>
      </c>
      <c r="H95" s="22">
        <f>ROUND(($F$89)*((($F$93)*(F95/($F$94+$F$95)))
/(((($F$93)*(F94/($F$94+$F$95)))+(($F$93)*(F95/($F$94+$F$95)))+($F$90)+($F$91)
+($F$92)))),2)</f>
        <v>1.1200000000000001</v>
      </c>
      <c r="I95" s="22" t="s">
        <v>73</v>
      </c>
      <c r="J95" s="330"/>
      <c r="K95" s="673">
        <f>A61*H95</f>
        <v>92.960000000000008</v>
      </c>
      <c r="L95" s="534">
        <f t="shared" si="21"/>
        <v>5.0095000000000001</v>
      </c>
      <c r="M95" s="458">
        <f t="shared" si="22"/>
        <v>5</v>
      </c>
      <c r="N95" s="458">
        <f t="shared" si="16"/>
        <v>3954.0095000000001</v>
      </c>
      <c r="O95" s="458">
        <f t="shared" si="17"/>
        <v>3954</v>
      </c>
      <c r="P95" s="21"/>
      <c r="Q95" s="506">
        <v>5</v>
      </c>
      <c r="R95" s="52" t="str">
        <v xml:space="preserve">CGDG0004  </v>
      </c>
      <c r="S95" s="44" t="str">
        <f t="shared" si="18"/>
        <v>Fried Rice (Dakgalbi)</v>
      </c>
      <c r="T95" s="58" t="str">
        <v>CKPF0014</v>
      </c>
      <c r="U95" s="44" t="str">
        <f t="shared" si="19"/>
        <v>CK Twigim Sauce</v>
      </c>
      <c r="V95" s="45">
        <f t="shared" si="20"/>
        <v>3954</v>
      </c>
      <c r="W95" s="45" t="s">
        <v>73</v>
      </c>
      <c r="X95" s="62">
        <v>0.97</v>
      </c>
      <c r="Y95" s="63">
        <v>0.1</v>
      </c>
      <c r="Z95" s="45">
        <f t="shared" si="23"/>
        <v>4483.92</v>
      </c>
      <c r="AA95" s="65" t="s">
        <v>73</v>
      </c>
      <c r="AB95" t="s">
        <v>1028</v>
      </c>
      <c r="AC95" t="s">
        <v>1029</v>
      </c>
      <c r="AD95" s="45">
        <v>0</v>
      </c>
      <c r="AE95" s="71" t="str">
        <v>Tidak Ditemukan</v>
      </c>
      <c r="AF95" s="71"/>
    </row>
    <row r="96" spans="1:32" x14ac:dyDescent="0.35">
      <c r="A96" s="535" t="str">
        <f t="shared" si="15"/>
        <v/>
      </c>
      <c r="B96" s="337"/>
      <c r="C96" s="337"/>
      <c r="D96" s="355"/>
      <c r="E96" s="355" t="s">
        <v>84</v>
      </c>
      <c r="F96" s="378">
        <v>100</v>
      </c>
      <c r="G96" s="378" t="s">
        <v>73</v>
      </c>
      <c r="H96" s="515"/>
      <c r="I96" s="378"/>
      <c r="J96" s="515"/>
      <c r="K96" s="674"/>
      <c r="L96" s="534">
        <f t="shared" si="21"/>
        <v>1.0096000000000001</v>
      </c>
      <c r="M96" s="458">
        <f t="shared" si="22"/>
        <v>1</v>
      </c>
      <c r="N96" s="458">
        <f t="shared" si="16"/>
        <v>2002.2796000000001</v>
      </c>
      <c r="O96" s="458">
        <f t="shared" si="17"/>
        <v>2002.27</v>
      </c>
      <c r="P96" s="21"/>
      <c r="Q96" s="506">
        <v>1</v>
      </c>
      <c r="R96" s="52" t="str">
        <v xml:space="preserve">CGDG0005  </v>
      </c>
      <c r="S96" s="44" t="str">
        <f t="shared" si="18"/>
        <v>Tokpokki (Dakgalbi)</v>
      </c>
      <c r="T96" s="58" t="str">
        <v>FVF00014</v>
      </c>
      <c r="U96" s="44" t="str">
        <f t="shared" si="19"/>
        <v>Cabe rawit Slice</v>
      </c>
      <c r="V96" s="45">
        <f t="shared" si="20"/>
        <v>2002.27</v>
      </c>
      <c r="W96" s="45" t="s">
        <v>73</v>
      </c>
      <c r="X96" s="62">
        <v>0.84050000000000002</v>
      </c>
      <c r="Y96" s="63">
        <v>0.1</v>
      </c>
      <c r="Z96" s="45">
        <f t="shared" si="23"/>
        <v>2620.46</v>
      </c>
      <c r="AA96" s="65" t="s">
        <v>73</v>
      </c>
      <c r="AB96" t="s">
        <v>1526</v>
      </c>
      <c r="AC96" t="s">
        <v>1527</v>
      </c>
      <c r="AD96" s="45">
        <v>0</v>
      </c>
      <c r="AE96" s="71" t="str">
        <v>Tidak Ditemukan</v>
      </c>
      <c r="AF96" s="71"/>
    </row>
    <row r="97" spans="1:32" x14ac:dyDescent="0.35">
      <c r="A97" s="535" t="str">
        <f t="shared" si="15"/>
        <v/>
      </c>
      <c r="B97" s="330"/>
      <c r="C97" s="330"/>
      <c r="D97" s="355"/>
      <c r="E97" s="416" t="s">
        <v>26</v>
      </c>
      <c r="F97" s="378">
        <v>1000</v>
      </c>
      <c r="G97" s="378" t="s">
        <v>73</v>
      </c>
      <c r="H97" s="515"/>
      <c r="I97" s="378"/>
      <c r="J97" s="515"/>
      <c r="K97" s="674"/>
      <c r="L97" s="534">
        <f t="shared" si="21"/>
        <v>75.009699999999995</v>
      </c>
      <c r="M97" s="458">
        <f t="shared" si="22"/>
        <v>75</v>
      </c>
      <c r="N97" s="458">
        <f t="shared" si="16"/>
        <v>22407.509699999999</v>
      </c>
      <c r="O97" s="458">
        <f t="shared" si="17"/>
        <v>22407.5</v>
      </c>
      <c r="P97" s="21"/>
      <c r="Q97" s="506">
        <v>75</v>
      </c>
      <c r="R97" s="52" t="str">
        <v xml:space="preserve">CGGP0007  </v>
      </c>
      <c r="S97" s="44" t="str">
        <f t="shared" si="18"/>
        <v>Finale Kimchi Fried Rice</v>
      </c>
      <c r="T97" s="58" t="str">
        <v>FVF00024</v>
      </c>
      <c r="U97" s="44" t="str">
        <f t="shared" si="19"/>
        <v>TAHU CINA PADAT 420 G</v>
      </c>
      <c r="V97" s="45">
        <f t="shared" si="20"/>
        <v>22407.5</v>
      </c>
      <c r="W97" s="45" t="s">
        <v>73</v>
      </c>
      <c r="X97" s="62">
        <v>0.98799999999999999</v>
      </c>
      <c r="Y97" s="63">
        <v>0.1</v>
      </c>
      <c r="Z97" s="45">
        <f t="shared" si="23"/>
        <v>24947.62</v>
      </c>
      <c r="AA97" s="65" t="s">
        <v>73</v>
      </c>
      <c r="AB97" t="s">
        <v>1301</v>
      </c>
      <c r="AC97" t="s">
        <v>1407</v>
      </c>
      <c r="AD97" s="45">
        <v>0</v>
      </c>
      <c r="AE97" s="71" t="str">
        <v>Tidak Ditemukan</v>
      </c>
      <c r="AF97" s="71"/>
    </row>
    <row r="98" spans="1:32" x14ac:dyDescent="0.35">
      <c r="A98" s="535" t="str">
        <f t="shared" si="15"/>
        <v/>
      </c>
      <c r="B98" s="337"/>
      <c r="C98" s="337"/>
      <c r="D98" s="326" t="s">
        <v>60</v>
      </c>
      <c r="E98" s="360" t="s">
        <v>121</v>
      </c>
      <c r="F98" s="18">
        <v>1000</v>
      </c>
      <c r="G98" s="18" t="s">
        <v>73</v>
      </c>
      <c r="H98" s="18">
        <f>ROUND(($F$96)*((($F$97)*(($F$98)/($F$98+$F$99)))
/((($F$97)*(($F$98)/($F$98+$F$99)))+(($F$97)*(($F$99)/($F$98+$F$99)))+($F$101)+($F$102))),2)</f>
        <v>66.959999999999994</v>
      </c>
      <c r="I98" s="18" t="s">
        <v>73</v>
      </c>
      <c r="J98" s="337"/>
      <c r="K98" s="672">
        <f>A61*H98</f>
        <v>5557.6799999999994</v>
      </c>
      <c r="L98" s="534">
        <f t="shared" si="21"/>
        <v>2.0097999999999998</v>
      </c>
      <c r="M98" s="458">
        <f t="shared" si="22"/>
        <v>2</v>
      </c>
      <c r="N98" s="458">
        <f t="shared" si="16"/>
        <v>9.7999999999999997E-3</v>
      </c>
      <c r="O98" s="458" t="str">
        <f t="shared" si="17"/>
        <v/>
      </c>
      <c r="P98" s="21"/>
      <c r="Q98" s="506">
        <v>2</v>
      </c>
      <c r="R98" s="44" t="str">
        <v xml:space="preserve">CGGP0008  </v>
      </c>
      <c r="S98" s="53" t="str">
        <f t="shared" si="18"/>
        <v xml:space="preserve">	Finale Doenjang Porridge</v>
      </c>
      <c r="T98" s="58" t="str">
        <v>FFF00028</v>
      </c>
      <c r="U98" s="44" t="str">
        <f t="shared" si="19"/>
        <v>MANDU 24 PCS/PACK</v>
      </c>
      <c r="V98" s="45">
        <f t="shared" si="20"/>
        <v>0</v>
      </c>
      <c r="W98" s="45" t="s">
        <v>73</v>
      </c>
      <c r="X98" s="62">
        <v>1</v>
      </c>
      <c r="Y98" s="63">
        <v>0.1</v>
      </c>
      <c r="Z98" s="45">
        <f t="shared" si="23"/>
        <v>0</v>
      </c>
      <c r="AA98" s="65" t="s">
        <v>73</v>
      </c>
      <c r="AB98" t="s">
        <v>1302</v>
      </c>
      <c r="AC98" t="s">
        <v>1408</v>
      </c>
      <c r="AD98" s="45">
        <v>0</v>
      </c>
      <c r="AE98" s="71" t="str">
        <v>Tidak Ditemukan</v>
      </c>
      <c r="AF98" s="71"/>
    </row>
    <row r="99" spans="1:32" x14ac:dyDescent="0.35">
      <c r="A99" s="535" t="str">
        <f t="shared" si="15"/>
        <v/>
      </c>
      <c r="B99" s="330"/>
      <c r="C99" s="330"/>
      <c r="D99" s="326" t="s">
        <v>43</v>
      </c>
      <c r="E99" s="366" t="s">
        <v>8</v>
      </c>
      <c r="F99" s="22">
        <v>30</v>
      </c>
      <c r="G99" s="22" t="s">
        <v>73</v>
      </c>
      <c r="H99" s="22">
        <f>ROUND(($F$96)*((($F$97)*(($F$99)/($F$98+$F$99)))
/((($F$97)*(($F$98)/($F$98+$F$99)))+(($F$97)*(($F$99)/($F$98+$F$99)))+($F$101)+($F$102))),2)</f>
        <v>2.0099999999999998</v>
      </c>
      <c r="I99" s="22" t="s">
        <v>73</v>
      </c>
      <c r="J99" s="330"/>
      <c r="K99" s="673">
        <f>A61*H99</f>
        <v>166.82999999999998</v>
      </c>
      <c r="L99" s="534"/>
      <c r="M99" s="458">
        <f t="shared" ref="M99:M100" si="25">IF(Q99&gt;0, Q99, "")</f>
        <v>33</v>
      </c>
      <c r="N99" s="458">
        <f t="shared" si="16"/>
        <v>9.9000000000000008E-3</v>
      </c>
      <c r="O99" s="458" t="str">
        <f t="shared" si="17"/>
        <v/>
      </c>
      <c r="P99" s="21"/>
      <c r="Q99" s="506">
        <v>33</v>
      </c>
      <c r="R99" s="52" t="str">
        <v xml:space="preserve">CGRN0006  </v>
      </c>
      <c r="S99" s="53" t="str">
        <f t="shared" si="18"/>
        <v>Beef Doenjang Jjigae (NO Rice)</v>
      </c>
      <c r="T99" s="58" t="str">
        <v>CWVF0017</v>
      </c>
      <c r="U99" s="44" t="str">
        <f t="shared" si="19"/>
        <v xml:space="preserve">	WIP Daun Bawang Cung</v>
      </c>
      <c r="V99" s="45">
        <f t="shared" si="20"/>
        <v>0</v>
      </c>
      <c r="W99" s="45" t="s">
        <v>73</v>
      </c>
      <c r="X99" s="62">
        <v>0.97</v>
      </c>
      <c r="Y99" s="63">
        <v>0.1</v>
      </c>
      <c r="Z99" s="45">
        <f t="shared" si="23"/>
        <v>0</v>
      </c>
      <c r="AA99" s="65" t="s">
        <v>73</v>
      </c>
      <c r="AB99" t="s">
        <v>1363</v>
      </c>
      <c r="AC99" t="s">
        <v>1469</v>
      </c>
      <c r="AD99" s="71">
        <v>0</v>
      </c>
      <c r="AE99" s="71" t="str">
        <v>Tidak Ditemukan</v>
      </c>
      <c r="AF99" s="71"/>
    </row>
    <row r="100" spans="1:32" x14ac:dyDescent="0.35">
      <c r="A100" s="535" t="str">
        <f t="shared" si="15"/>
        <v/>
      </c>
      <c r="B100" s="337"/>
      <c r="C100" s="337"/>
      <c r="D100" s="342"/>
      <c r="E100" s="362" t="s">
        <v>81</v>
      </c>
      <c r="F100" s="404">
        <v>400</v>
      </c>
      <c r="G100" s="404" t="s">
        <v>73</v>
      </c>
      <c r="H100" s="343"/>
      <c r="I100" s="404"/>
      <c r="J100" s="345"/>
      <c r="K100" s="675"/>
      <c r="L100" s="534"/>
      <c r="M100" s="458">
        <f t="shared" si="25"/>
        <v>35</v>
      </c>
      <c r="N100" s="458">
        <f t="shared" si="16"/>
        <v>0.01</v>
      </c>
      <c r="O100" s="458" t="str">
        <f t="shared" si="17"/>
        <v/>
      </c>
      <c r="P100" s="21"/>
      <c r="Q100" s="506">
        <v>35</v>
      </c>
      <c r="R100" s="52" t="str">
        <v xml:space="preserve">CGRN0003  </v>
      </c>
      <c r="S100" s="53" t="str">
        <f t="shared" si="18"/>
        <v>Beef Doenjang Jjigae (With Rice)</v>
      </c>
      <c r="T100" s="58" t="str">
        <v>FGR00102</v>
      </c>
      <c r="U100" s="44" t="str">
        <f t="shared" si="19"/>
        <v>Beras Hitam (Mlatiharjo)</v>
      </c>
      <c r="V100" s="45">
        <f t="shared" si="20"/>
        <v>0</v>
      </c>
      <c r="W100" s="45" t="s">
        <v>73</v>
      </c>
      <c r="X100" s="62">
        <v>0.92769999999999997</v>
      </c>
      <c r="Y100" s="63">
        <v>0.1</v>
      </c>
      <c r="Z100" s="45">
        <f t="shared" si="23"/>
        <v>0</v>
      </c>
      <c r="AA100" s="65" t="s">
        <v>73</v>
      </c>
      <c r="AB100" t="s">
        <v>1888</v>
      </c>
      <c r="AC100" t="s">
        <v>1889</v>
      </c>
      <c r="AD100" s="71">
        <v>0</v>
      </c>
      <c r="AE100" s="71" t="str">
        <v>Tidak Ditemukan</v>
      </c>
      <c r="AF100" s="71"/>
    </row>
    <row r="101" spans="1:32" x14ac:dyDescent="0.35">
      <c r="A101" s="535" t="str">
        <f t="shared" si="15"/>
        <v/>
      </c>
      <c r="B101" s="330"/>
      <c r="C101" s="330"/>
      <c r="D101" s="326" t="s">
        <v>48</v>
      </c>
      <c r="E101" s="426" t="s">
        <v>91</v>
      </c>
      <c r="F101" s="22">
        <v>100</v>
      </c>
      <c r="G101" s="22" t="s">
        <v>73</v>
      </c>
      <c r="H101" s="22">
        <f>ROUND(($F$96)*(($F$101)/((($F$97)*(($F$98)/($F$98+$F$99)))+(($F$97)*(($F$99)/($F$98+$F$99)))+($F$101)+($F$102))),2)</f>
        <v>6.9</v>
      </c>
      <c r="I101" s="22" t="s">
        <v>73</v>
      </c>
      <c r="J101" s="330"/>
      <c r="K101" s="673">
        <f>A61*H101</f>
        <v>572.70000000000005</v>
      </c>
      <c r="L101" s="534"/>
      <c r="M101" s="458">
        <f t="shared" ref="M101:M144" si="26">IF(Q100&gt;0, Q100, "")</f>
        <v>35</v>
      </c>
      <c r="N101" s="458">
        <f t="shared" si="16"/>
        <v>1.01E-2</v>
      </c>
      <c r="O101" s="458" t="str">
        <f t="shared" si="17"/>
        <v/>
      </c>
      <c r="P101" s="21"/>
      <c r="Q101" s="506">
        <v>101</v>
      </c>
      <c r="R101" s="3" t="str">
        <v xml:space="preserve">CGRN0008  </v>
      </c>
      <c r="S101" s="44" t="str">
        <f t="shared" si="18"/>
        <v>Sundubu Jjigae (No Rice)</v>
      </c>
      <c r="T101" s="58" t="str">
        <v>FGR00104</v>
      </c>
      <c r="U101" s="44" t="str">
        <f t="shared" si="19"/>
        <v>Seaweed (DRY)</v>
      </c>
      <c r="V101" s="45">
        <f t="shared" si="20"/>
        <v>0</v>
      </c>
      <c r="W101" s="45" t="s">
        <v>73</v>
      </c>
      <c r="X101" s="62">
        <v>1</v>
      </c>
      <c r="Y101" s="63">
        <v>0.1</v>
      </c>
      <c r="Z101" s="45">
        <f t="shared" si="23"/>
        <v>0</v>
      </c>
      <c r="AA101" s="65" t="s">
        <v>73</v>
      </c>
      <c r="AB101" t="s">
        <v>1358</v>
      </c>
      <c r="AC101" t="s">
        <v>1464</v>
      </c>
      <c r="AD101" s="71">
        <v>0</v>
      </c>
      <c r="AE101" s="71" t="str">
        <v>Tidak Ditemukan</v>
      </c>
      <c r="AF101" s="71"/>
    </row>
    <row r="102" spans="1:32" x14ac:dyDescent="0.35">
      <c r="A102" s="535" t="str">
        <f t="shared" si="15"/>
        <v/>
      </c>
      <c r="B102" s="337"/>
      <c r="C102" s="337"/>
      <c r="D102" s="326" t="s">
        <v>59</v>
      </c>
      <c r="E102" s="425" t="s">
        <v>27</v>
      </c>
      <c r="F102" s="18">
        <v>350</v>
      </c>
      <c r="G102" s="18" t="s">
        <v>73</v>
      </c>
      <c r="H102" s="18">
        <f>ROUND(($F$96)*(($F$102)/((($F$97)*(($F$98)/($F$98+$F$99)))+(($F$97)*(($F$99)/($F$98+$F$99)))+($F$101)+($F$102))),2)</f>
        <v>24.14</v>
      </c>
      <c r="I102" s="18" t="s">
        <v>73</v>
      </c>
      <c r="J102" s="337"/>
      <c r="K102" s="672">
        <f>A61*H102</f>
        <v>2003.6200000000001</v>
      </c>
      <c r="L102" s="534"/>
      <c r="M102" s="458">
        <f t="shared" si="26"/>
        <v>101</v>
      </c>
      <c r="N102" s="458">
        <f t="shared" si="16"/>
        <v>277.78019999999998</v>
      </c>
      <c r="O102" s="458">
        <f t="shared" si="17"/>
        <v>277.77</v>
      </c>
      <c r="P102" s="21"/>
      <c r="Q102" s="506">
        <v>115</v>
      </c>
      <c r="R102" s="3" t="str">
        <v xml:space="preserve">CGRN0007  </v>
      </c>
      <c r="S102" s="44" t="str">
        <f t="shared" si="18"/>
        <v>Sundubu Jjigae (With Rice)</v>
      </c>
      <c r="T102" s="58" t="str">
        <v>FSP00013</v>
      </c>
      <c r="U102" s="44" t="str">
        <f t="shared" si="19"/>
        <v>Samjang Sauce Base</v>
      </c>
      <c r="V102" s="45">
        <f t="shared" si="20"/>
        <v>277.77</v>
      </c>
      <c r="W102" s="45" t="s">
        <v>73</v>
      </c>
      <c r="X102" s="62">
        <v>0.97</v>
      </c>
      <c r="Y102" s="63">
        <v>0.1</v>
      </c>
      <c r="Z102" s="45">
        <f t="shared" si="23"/>
        <v>315</v>
      </c>
      <c r="AA102" s="65" t="s">
        <v>73</v>
      </c>
      <c r="AB102" t="s">
        <v>1030</v>
      </c>
      <c r="AC102" t="s">
        <v>1031</v>
      </c>
      <c r="AD102" s="71">
        <v>0</v>
      </c>
      <c r="AE102" s="71" t="str">
        <v>Tidak Ditemukan</v>
      </c>
      <c r="AF102" s="71"/>
    </row>
    <row r="103" spans="1:32" x14ac:dyDescent="0.35">
      <c r="A103" s="535" t="str">
        <f t="shared" si="15"/>
        <v/>
      </c>
      <c r="B103" s="330"/>
      <c r="C103" s="330"/>
      <c r="D103" s="355"/>
      <c r="E103" s="355" t="s">
        <v>89</v>
      </c>
      <c r="F103" s="378">
        <v>0.4</v>
      </c>
      <c r="G103" s="378" t="s">
        <v>73</v>
      </c>
      <c r="H103" s="515"/>
      <c r="I103" s="378"/>
      <c r="J103" s="515"/>
      <c r="K103" s="674"/>
      <c r="L103" s="534"/>
      <c r="M103" s="458">
        <f t="shared" si="26"/>
        <v>115</v>
      </c>
      <c r="N103" s="458">
        <f t="shared" si="16"/>
        <v>936.01030000000003</v>
      </c>
      <c r="O103" s="458">
        <f t="shared" si="17"/>
        <v>936</v>
      </c>
      <c r="P103" s="21"/>
      <c r="Q103" s="506">
        <v>94</v>
      </c>
      <c r="R103" s="3" t="str">
        <v xml:space="preserve">CGKM0001  </v>
      </c>
      <c r="S103" s="44" t="str">
        <f t="shared" si="18"/>
        <v>Yummy Kids Meal</v>
      </c>
      <c r="T103" s="59" t="str">
        <v>FVF00046</v>
      </c>
      <c r="U103" s="44" t="str">
        <f t="shared" si="19"/>
        <v>DAUN PERILLA 9-10CM @10LEMBAR</v>
      </c>
      <c r="V103" s="45">
        <f t="shared" si="20"/>
        <v>936</v>
      </c>
      <c r="W103" s="45" t="s">
        <v>73</v>
      </c>
      <c r="X103" s="62">
        <v>1</v>
      </c>
      <c r="Y103" s="63">
        <v>0.1</v>
      </c>
      <c r="Z103" s="45">
        <f t="shared" si="23"/>
        <v>1029.5999999999999</v>
      </c>
      <c r="AA103" s="65" t="s">
        <v>73</v>
      </c>
      <c r="AB103" t="s">
        <v>1330</v>
      </c>
      <c r="AC103" t="s">
        <v>1438</v>
      </c>
      <c r="AD103" s="71">
        <v>0</v>
      </c>
      <c r="AE103" s="71" t="str">
        <v>Tidak Ditemukan</v>
      </c>
      <c r="AF103" s="71"/>
    </row>
    <row r="104" spans="1:32" x14ac:dyDescent="0.35">
      <c r="A104" s="535" t="str">
        <f t="shared" si="15"/>
        <v/>
      </c>
      <c r="B104" s="337"/>
      <c r="C104" s="337"/>
      <c r="D104" s="326" t="s">
        <v>52</v>
      </c>
      <c r="E104" s="425" t="s">
        <v>11</v>
      </c>
      <c r="F104" s="18">
        <v>5</v>
      </c>
      <c r="G104" s="18" t="s">
        <v>73</v>
      </c>
      <c r="H104" s="18">
        <f>ROUND(($F$103)*(($F$104)/((($F$105)*(F106/($F$106+$F$107)))+(($F$105)*(F107/($F$106+$F$107)))+($F$104))),2)</f>
        <v>0.08</v>
      </c>
      <c r="I104" s="18" t="s">
        <v>73</v>
      </c>
      <c r="J104" s="337"/>
      <c r="K104" s="672">
        <f>A61*H104</f>
        <v>6.6400000000000006</v>
      </c>
      <c r="L104" s="534"/>
      <c r="M104" s="458">
        <f t="shared" si="26"/>
        <v>94</v>
      </c>
      <c r="N104" s="458">
        <f t="shared" si="16"/>
        <v>1.04E-2</v>
      </c>
      <c r="O104" s="458" t="str">
        <f t="shared" si="17"/>
        <v/>
      </c>
      <c r="P104" s="21"/>
      <c r="Q104" s="506">
        <v>27</v>
      </c>
      <c r="R104" s="3" t="str">
        <v xml:space="preserve">CGDR0005  </v>
      </c>
      <c r="S104" s="44" t="str">
        <f t="shared" si="18"/>
        <v>Soy Garlic Chicken &amp; Tofu Kimchi K-Bento</v>
      </c>
      <c r="T104" s="52" t="str">
        <v>FGR00103</v>
      </c>
      <c r="U104" s="44" t="str">
        <f t="shared" si="19"/>
        <v>MACARONI</v>
      </c>
      <c r="V104" s="45">
        <f t="shared" si="20"/>
        <v>0</v>
      </c>
      <c r="W104" s="45" t="s">
        <v>73</v>
      </c>
      <c r="X104" s="62">
        <v>0.97</v>
      </c>
      <c r="Y104" s="63">
        <v>0.1</v>
      </c>
      <c r="Z104" s="45">
        <f t="shared" si="23"/>
        <v>0</v>
      </c>
      <c r="AA104" s="65" t="s">
        <v>73</v>
      </c>
      <c r="AB104" t="s">
        <v>1341</v>
      </c>
      <c r="AC104" t="s">
        <v>1449</v>
      </c>
      <c r="AD104" s="71">
        <v>0</v>
      </c>
      <c r="AE104" s="71" t="str">
        <v>Tidak Ditemukan</v>
      </c>
      <c r="AF104" s="71"/>
    </row>
    <row r="105" spans="1:32" x14ac:dyDescent="0.35">
      <c r="A105" s="535" t="str">
        <f t="shared" si="15"/>
        <v/>
      </c>
      <c r="B105" s="330"/>
      <c r="C105" s="330"/>
      <c r="D105" s="355"/>
      <c r="E105" s="416" t="s">
        <v>23</v>
      </c>
      <c r="F105" s="378">
        <v>20</v>
      </c>
      <c r="G105" s="378" t="s">
        <v>73</v>
      </c>
      <c r="H105" s="515"/>
      <c r="I105" s="378"/>
      <c r="J105" s="515"/>
      <c r="K105" s="674"/>
      <c r="L105" s="534"/>
      <c r="M105" s="458">
        <f t="shared" si="26"/>
        <v>27</v>
      </c>
      <c r="N105" s="458">
        <f t="shared" si="16"/>
        <v>1.0500000000000001E-2</v>
      </c>
      <c r="O105" s="458" t="str">
        <f t="shared" si="17"/>
        <v/>
      </c>
      <c r="P105" s="21"/>
      <c r="Q105" s="506">
        <v>17</v>
      </c>
      <c r="R105" s="3" t="str">
        <v xml:space="preserve">CGDR0006  </v>
      </c>
      <c r="S105" s="44" t="str">
        <f t="shared" si="18"/>
        <v xml:space="preserve">Spicy Chicken &amp; Tofu Kimchi K-Bento	</v>
      </c>
      <c r="T105" s="52" t="str">
        <v>FFF00027</v>
      </c>
      <c r="U105" s="44" t="str">
        <f t="shared" si="19"/>
        <v>MIXED VEGETABLES</v>
      </c>
      <c r="V105" s="45">
        <f t="shared" si="20"/>
        <v>0</v>
      </c>
      <c r="W105" s="45" t="s">
        <v>73</v>
      </c>
      <c r="X105" s="62">
        <v>0.97</v>
      </c>
      <c r="Y105" s="63">
        <v>0.1</v>
      </c>
      <c r="Z105" s="45">
        <f t="shared" si="23"/>
        <v>0</v>
      </c>
      <c r="AA105" s="65" t="s">
        <v>73</v>
      </c>
      <c r="AB105" t="s">
        <v>1361</v>
      </c>
      <c r="AC105" t="s">
        <v>1467</v>
      </c>
      <c r="AD105" s="71">
        <v>0</v>
      </c>
      <c r="AE105" s="71" t="str">
        <v>Tidak Ditemukan</v>
      </c>
      <c r="AF105" s="71"/>
    </row>
    <row r="106" spans="1:32" x14ac:dyDescent="0.35">
      <c r="A106" s="535" t="str">
        <f t="shared" si="15"/>
        <v/>
      </c>
      <c r="B106" s="337"/>
      <c r="C106" s="337"/>
      <c r="D106" s="326" t="s">
        <v>43</v>
      </c>
      <c r="E106" s="360" t="s">
        <v>8</v>
      </c>
      <c r="F106" s="18">
        <v>85</v>
      </c>
      <c r="G106" s="18" t="s">
        <v>73</v>
      </c>
      <c r="H106" s="18">
        <f>ROUND(($F$103)*((($F$105)*(F106/($F$106+$F$107)))
/((($F$105)*(F106/($F$106+$F$107)))+(($F$105)*(F107/($F$106+$F$107)))+($F$104))),2)</f>
        <v>0.27</v>
      </c>
      <c r="I106" s="18" t="s">
        <v>73</v>
      </c>
      <c r="J106" s="337"/>
      <c r="K106" s="672">
        <f>A61*H106</f>
        <v>22.41</v>
      </c>
      <c r="L106" s="534"/>
      <c r="M106" s="458">
        <f t="shared" si="26"/>
        <v>17</v>
      </c>
      <c r="N106" s="458">
        <f t="shared" si="16"/>
        <v>1.06E-2</v>
      </c>
      <c r="O106" s="458" t="str">
        <f t="shared" si="17"/>
        <v/>
      </c>
      <c r="P106" s="21"/>
      <c r="Q106" s="506">
        <v>14</v>
      </c>
      <c r="R106" s="3" t="str">
        <v xml:space="preserve">CGDR0007  </v>
      </c>
      <c r="S106" s="44" t="str">
        <f t="shared" si="18"/>
        <v>Bulgogi &amp; Tofu Kimchi K-Bento</v>
      </c>
      <c r="T106" s="52" t="str">
        <v>FSP00018</v>
      </c>
      <c r="U106" s="44" t="str">
        <f t="shared" si="19"/>
        <v>KEWPIE MAYO (PRO USE)</v>
      </c>
      <c r="V106" s="45">
        <f t="shared" si="20"/>
        <v>0</v>
      </c>
      <c r="W106" s="45" t="s">
        <v>73</v>
      </c>
      <c r="X106" s="62">
        <v>0.88</v>
      </c>
      <c r="Y106" s="63">
        <v>0.1</v>
      </c>
      <c r="Z106" s="45">
        <f t="shared" si="23"/>
        <v>0</v>
      </c>
      <c r="AA106" s="65" t="s">
        <v>73</v>
      </c>
      <c r="AB106" t="s">
        <v>1257</v>
      </c>
      <c r="AC106" t="s">
        <v>723</v>
      </c>
      <c r="AD106" s="71">
        <v>0</v>
      </c>
      <c r="AE106" s="71" t="str">
        <v>Tidak Ditemukan</v>
      </c>
      <c r="AF106" s="71"/>
    </row>
    <row r="107" spans="1:32" x14ac:dyDescent="0.35">
      <c r="A107" s="535" t="str">
        <f t="shared" si="15"/>
        <v/>
      </c>
      <c r="B107" s="330"/>
      <c r="C107" s="330"/>
      <c r="D107" s="326" t="s">
        <v>42</v>
      </c>
      <c r="E107" s="366" t="s">
        <v>9</v>
      </c>
      <c r="F107" s="22">
        <v>15</v>
      </c>
      <c r="G107" s="22" t="s">
        <v>73</v>
      </c>
      <c r="H107" s="22">
        <f>ROUND(($F$103)*((($F$105)*(F107/($F$106+$F$107)))
/((($F$105)*(F106/($F$106+$F$107)))+(($F$105)*(F107/($F$106+$F$107)))+($F$104))),2)</f>
        <v>0.05</v>
      </c>
      <c r="I107" s="22" t="s">
        <v>73</v>
      </c>
      <c r="J107" s="330"/>
      <c r="K107" s="673">
        <f>A61*H107</f>
        <v>4.1500000000000004</v>
      </c>
      <c r="L107" s="534"/>
      <c r="M107" s="458">
        <f t="shared" si="26"/>
        <v>14</v>
      </c>
      <c r="N107" s="458">
        <f t="shared" si="16"/>
        <v>1826.0107</v>
      </c>
      <c r="O107" s="458">
        <f t="shared" si="17"/>
        <v>1826</v>
      </c>
      <c r="P107" s="21"/>
      <c r="Q107" s="506">
        <v>11</v>
      </c>
      <c r="R107" s="3" t="str">
        <v xml:space="preserve">CGDR0008  </v>
      </c>
      <c r="S107" s="44" t="str">
        <f t="shared" si="18"/>
        <v>Dakgalbi &amp; Tofu Kimchi K-Bento</v>
      </c>
      <c r="T107" s="52" t="str">
        <v>CKPF0032</v>
      </c>
      <c r="U107" s="44" t="str">
        <f t="shared" si="19"/>
        <v>CK BIBIMBAP SAUCE 500 G</v>
      </c>
      <c r="V107" s="45">
        <f t="shared" si="20"/>
        <v>1826</v>
      </c>
      <c r="W107" s="45" t="s">
        <v>73</v>
      </c>
      <c r="X107" s="62">
        <v>0.97</v>
      </c>
      <c r="Y107" s="63">
        <v>0.1</v>
      </c>
      <c r="Z107" s="45">
        <f t="shared" si="23"/>
        <v>2070.7199999999998</v>
      </c>
      <c r="AA107" s="65" t="s">
        <v>73</v>
      </c>
      <c r="AB107" t="s">
        <v>1311</v>
      </c>
      <c r="AC107" t="s">
        <v>1420</v>
      </c>
      <c r="AD107" s="71">
        <v>0</v>
      </c>
      <c r="AE107" s="71" t="str">
        <v>Tidak Ditemukan</v>
      </c>
      <c r="AF107" s="71"/>
    </row>
    <row r="108" spans="1:32" ht="15" thickBot="1" x14ac:dyDescent="0.4">
      <c r="A108" s="535" t="str">
        <f t="shared" si="15"/>
        <v/>
      </c>
      <c r="B108" s="337"/>
      <c r="C108" s="337"/>
      <c r="D108" s="326" t="s">
        <v>129</v>
      </c>
      <c r="E108" s="536" t="s">
        <v>713</v>
      </c>
      <c r="F108" s="18">
        <v>20</v>
      </c>
      <c r="G108" s="18" t="s">
        <v>73</v>
      </c>
      <c r="H108" s="18">
        <v>20</v>
      </c>
      <c r="I108" s="18" t="s">
        <v>73</v>
      </c>
      <c r="J108" s="337"/>
      <c r="K108" s="672">
        <f>A61*H108</f>
        <v>1660</v>
      </c>
      <c r="L108" s="534"/>
      <c r="M108" s="458">
        <f t="shared" si="26"/>
        <v>11</v>
      </c>
      <c r="N108" s="458">
        <f t="shared" si="16"/>
        <v>4244.2008000000005</v>
      </c>
      <c r="O108" s="458">
        <f t="shared" si="17"/>
        <v>4244.1900000000005</v>
      </c>
      <c r="P108" s="21"/>
      <c r="Q108" s="506">
        <v>39</v>
      </c>
      <c r="R108" s="3" t="str">
        <v xml:space="preserve">CGJG0001  </v>
      </c>
      <c r="S108" s="44" t="str">
        <f t="shared" si="18"/>
        <v xml:space="preserve">	Jjugumi</v>
      </c>
      <c r="T108" s="52" t="str">
        <v>FVF00009</v>
      </c>
      <c r="U108" s="44" t="str">
        <f t="shared" si="19"/>
        <v>Zucchini</v>
      </c>
      <c r="V108" s="45">
        <f t="shared" si="20"/>
        <v>4244.1900000000005</v>
      </c>
      <c r="W108" s="45" t="s">
        <v>73</v>
      </c>
      <c r="X108" s="62">
        <v>0.97</v>
      </c>
      <c r="Y108" s="63">
        <v>0.1</v>
      </c>
      <c r="Z108" s="45">
        <f t="shared" si="23"/>
        <v>4813</v>
      </c>
      <c r="AA108" s="65" t="s">
        <v>73</v>
      </c>
      <c r="AB108" t="s">
        <v>1327</v>
      </c>
      <c r="AC108" t="s">
        <v>1435</v>
      </c>
      <c r="AD108" s="71">
        <v>0</v>
      </c>
      <c r="AE108" s="71" t="str">
        <v>Tidak Ditemukan</v>
      </c>
      <c r="AF108" s="71"/>
    </row>
    <row r="109" spans="1:32" ht="15.5" thickTop="1" thickBot="1" x14ac:dyDescent="0.4">
      <c r="A109" s="545" t="str">
        <f t="shared" si="15"/>
        <v/>
      </c>
      <c r="B109" s="546"/>
      <c r="C109" s="546"/>
      <c r="D109" s="547"/>
      <c r="E109" s="546"/>
      <c r="F109" s="546"/>
      <c r="G109" s="546"/>
      <c r="H109" s="546"/>
      <c r="I109" s="546"/>
      <c r="J109" s="546"/>
      <c r="K109" s="677"/>
      <c r="L109" s="534"/>
      <c r="M109" s="458">
        <f t="shared" si="26"/>
        <v>39</v>
      </c>
      <c r="N109" s="458">
        <f t="shared" si="16"/>
        <v>556.01089999999999</v>
      </c>
      <c r="O109" s="458">
        <f t="shared" si="17"/>
        <v>556</v>
      </c>
      <c r="P109" s="21"/>
      <c r="Q109" s="506">
        <v>27</v>
      </c>
      <c r="R109" s="3" t="str">
        <v xml:space="preserve">CGJG0002  </v>
      </c>
      <c r="S109" s="44" t="str">
        <f t="shared" si="18"/>
        <v xml:space="preserve">	Chadol Jjugumi</v>
      </c>
      <c r="T109" s="52" t="str">
        <v>FGR00044</v>
      </c>
      <c r="U109" s="44" t="str">
        <f t="shared" si="19"/>
        <v>NORI TABUR / SEASONED LAVER POWDER 1KG</v>
      </c>
      <c r="V109" s="45">
        <f t="shared" si="20"/>
        <v>556</v>
      </c>
      <c r="W109" s="45" t="s">
        <v>73</v>
      </c>
      <c r="X109" s="62">
        <v>1</v>
      </c>
      <c r="Y109" s="63">
        <v>0.1</v>
      </c>
      <c r="Z109" s="45">
        <f t="shared" si="23"/>
        <v>611.6</v>
      </c>
      <c r="AA109" s="65" t="s">
        <v>73</v>
      </c>
      <c r="AB109" t="s">
        <v>1365</v>
      </c>
      <c r="AC109" t="s">
        <v>1470</v>
      </c>
      <c r="AD109" s="71">
        <v>0</v>
      </c>
      <c r="AE109" s="71" t="str">
        <v>Tidak Ditemukan</v>
      </c>
      <c r="AF109" s="71"/>
    </row>
    <row r="110" spans="1:32" ht="15" thickTop="1" x14ac:dyDescent="0.35">
      <c r="A110" s="76">
        <f>IFERROR(INDEX($Q$17:$Q$150,MATCH(B110,$R$17:$R$150, 0)), "")</f>
        <v>69</v>
      </c>
      <c r="B110" s="526" t="s">
        <v>31</v>
      </c>
      <c r="C110" s="7" t="s">
        <v>32</v>
      </c>
      <c r="D110" s="347" t="s">
        <v>61</v>
      </c>
      <c r="E110" s="551" t="s">
        <v>706</v>
      </c>
      <c r="F110" s="6">
        <v>150</v>
      </c>
      <c r="G110" s="6" t="s">
        <v>73</v>
      </c>
      <c r="H110" s="6">
        <v>150</v>
      </c>
      <c r="I110" s="6" t="s">
        <v>73</v>
      </c>
      <c r="J110" s="5"/>
      <c r="K110" s="678">
        <f>A110*H110</f>
        <v>10350</v>
      </c>
      <c r="L110" s="534"/>
      <c r="M110" s="458">
        <f t="shared" si="26"/>
        <v>27</v>
      </c>
      <c r="N110" s="458">
        <f t="shared" si="16"/>
        <v>4605.7610000000013</v>
      </c>
      <c r="O110" s="458">
        <f t="shared" si="17"/>
        <v>4605.7500000000009</v>
      </c>
      <c r="P110" s="40"/>
      <c r="Q110" s="506">
        <v>28</v>
      </c>
      <c r="R110" s="3" t="str">
        <v xml:space="preserve">CGJG0003  </v>
      </c>
      <c r="S110" s="44" t="str">
        <f t="shared" si="18"/>
        <v>Rose Jjugumi</v>
      </c>
      <c r="T110" s="52" t="str">
        <v>CKPF0003</v>
      </c>
      <c r="U110" s="44" t="str">
        <f t="shared" si="19"/>
        <v>CK Japchae Sauce Base</v>
      </c>
      <c r="V110" s="45">
        <f t="shared" si="20"/>
        <v>4605.7500000000009</v>
      </c>
      <c r="W110" s="45" t="s">
        <v>73</v>
      </c>
      <c r="X110" s="62">
        <v>0.97</v>
      </c>
      <c r="Y110" s="63">
        <v>0.1</v>
      </c>
      <c r="Z110" s="45">
        <f t="shared" si="23"/>
        <v>5223.0200000000004</v>
      </c>
      <c r="AA110" s="65" t="s">
        <v>73</v>
      </c>
      <c r="AB110" t="s">
        <v>1038</v>
      </c>
      <c r="AC110" t="s">
        <v>1039</v>
      </c>
      <c r="AD110" s="71">
        <v>0</v>
      </c>
      <c r="AE110" s="71" t="str">
        <v>Tidak Ditemukan</v>
      </c>
      <c r="AF110" s="71"/>
    </row>
    <row r="111" spans="1:32" x14ac:dyDescent="0.35">
      <c r="A111" s="535" t="str">
        <f t="shared" si="15"/>
        <v/>
      </c>
      <c r="B111" s="330"/>
      <c r="C111" s="330"/>
      <c r="D111" s="326" t="s">
        <v>53</v>
      </c>
      <c r="E111" s="327" t="s">
        <v>116</v>
      </c>
      <c r="F111" s="22">
        <v>40</v>
      </c>
      <c r="G111" s="22" t="s">
        <v>73</v>
      </c>
      <c r="H111" s="22">
        <v>40</v>
      </c>
      <c r="I111" s="22" t="s">
        <v>73</v>
      </c>
      <c r="J111" s="330"/>
      <c r="K111" s="673">
        <f>A110*H111</f>
        <v>2760</v>
      </c>
      <c r="L111" s="534"/>
      <c r="M111" s="458">
        <f t="shared" si="26"/>
        <v>28</v>
      </c>
      <c r="N111" s="458">
        <f t="shared" si="16"/>
        <v>27199.761100000003</v>
      </c>
      <c r="O111" s="458">
        <f t="shared" si="17"/>
        <v>27199.750000000004</v>
      </c>
      <c r="P111" s="21"/>
      <c r="Q111" s="506">
        <v>19</v>
      </c>
      <c r="R111" s="3" t="str">
        <v xml:space="preserve">CGJG0004  </v>
      </c>
      <c r="S111" s="44" t="str">
        <f t="shared" si="18"/>
        <v>Rose Chadol Jjugumi</v>
      </c>
      <c r="T111" s="52" t="str">
        <v>FGR00033</v>
      </c>
      <c r="U111" s="44" t="str">
        <f t="shared" si="19"/>
        <v xml:space="preserve">Dangmyeon </v>
      </c>
      <c r="V111" s="45">
        <f t="shared" si="20"/>
        <v>27199.750000000004</v>
      </c>
      <c r="W111" s="45" t="s">
        <v>73</v>
      </c>
      <c r="X111" s="62">
        <v>0.97</v>
      </c>
      <c r="Y111" s="63">
        <v>0.1</v>
      </c>
      <c r="Z111" s="45">
        <f t="shared" si="23"/>
        <v>30845.08</v>
      </c>
      <c r="AA111" s="65" t="s">
        <v>73</v>
      </c>
      <c r="AB111" t="s">
        <v>1340</v>
      </c>
      <c r="AC111" t="s">
        <v>1448</v>
      </c>
      <c r="AD111" s="71">
        <v>0</v>
      </c>
      <c r="AE111" s="71" t="str">
        <v>Tidak Ditemukan</v>
      </c>
      <c r="AF111" s="71"/>
    </row>
    <row r="112" spans="1:32" x14ac:dyDescent="0.35">
      <c r="A112" s="535" t="str">
        <f t="shared" si="15"/>
        <v/>
      </c>
      <c r="B112" s="337"/>
      <c r="C112" s="337"/>
      <c r="D112" s="326" t="s">
        <v>48</v>
      </c>
      <c r="E112" s="334" t="s">
        <v>91</v>
      </c>
      <c r="F112" s="18">
        <v>40</v>
      </c>
      <c r="G112" s="18" t="s">
        <v>73</v>
      </c>
      <c r="H112" s="18">
        <v>40</v>
      </c>
      <c r="I112" s="18" t="s">
        <v>73</v>
      </c>
      <c r="J112" s="337"/>
      <c r="K112" s="672">
        <f>A110*H112</f>
        <v>2760</v>
      </c>
      <c r="L112" s="534"/>
      <c r="M112" s="458">
        <f t="shared" si="26"/>
        <v>19</v>
      </c>
      <c r="N112" s="458">
        <f t="shared" si="16"/>
        <v>3840.0111999999999</v>
      </c>
      <c r="O112" s="458">
        <f t="shared" si="17"/>
        <v>3840</v>
      </c>
      <c r="P112" s="21"/>
      <c r="Q112" s="506">
        <v>1</v>
      </c>
      <c r="R112" s="3" t="str">
        <v xml:space="preserve">CGSD0019  </v>
      </c>
      <c r="S112" s="44" t="str">
        <f t="shared" si="18"/>
        <v>BANCAN SET</v>
      </c>
      <c r="T112" s="52" t="str">
        <v>CKPF0005</v>
      </c>
      <c r="U112" s="44" t="str">
        <f t="shared" si="19"/>
        <v>CK Kimchi Fried Rice Base</v>
      </c>
      <c r="V112" s="45">
        <f t="shared" si="20"/>
        <v>3840</v>
      </c>
      <c r="W112" s="45" t="s">
        <v>73</v>
      </c>
      <c r="X112" s="62">
        <v>0.625</v>
      </c>
      <c r="Y112" s="63">
        <v>0.1</v>
      </c>
      <c r="Z112" s="45">
        <f t="shared" si="23"/>
        <v>6758.4</v>
      </c>
      <c r="AA112" s="65" t="s">
        <v>73</v>
      </c>
      <c r="AB112" t="s">
        <v>1367</v>
      </c>
      <c r="AC112" t="s">
        <v>1472</v>
      </c>
      <c r="AD112" s="71">
        <v>0</v>
      </c>
      <c r="AE112" s="71" t="str">
        <v>Tidak Ditemukan</v>
      </c>
      <c r="AF112" s="71"/>
    </row>
    <row r="113" spans="1:32" x14ac:dyDescent="0.35">
      <c r="A113" s="535" t="str">
        <f t="shared" si="15"/>
        <v/>
      </c>
      <c r="B113" s="330"/>
      <c r="C113" s="330"/>
      <c r="D113" s="326" t="s">
        <v>54</v>
      </c>
      <c r="E113" s="327" t="s">
        <v>707</v>
      </c>
      <c r="F113" s="22">
        <v>50</v>
      </c>
      <c r="G113" s="22" t="s">
        <v>73</v>
      </c>
      <c r="H113" s="22">
        <v>50</v>
      </c>
      <c r="I113" s="22" t="s">
        <v>73</v>
      </c>
      <c r="J113" s="330"/>
      <c r="K113" s="673">
        <f>A110*H113</f>
        <v>3450</v>
      </c>
      <c r="L113" s="534"/>
      <c r="M113" s="458">
        <f t="shared" si="26"/>
        <v>1</v>
      </c>
      <c r="N113" s="458">
        <f t="shared" si="16"/>
        <v>840.01130000000001</v>
      </c>
      <c r="O113" s="458">
        <f t="shared" si="17"/>
        <v>840</v>
      </c>
      <c r="P113" s="21"/>
      <c r="Q113" s="506">
        <v>3</v>
      </c>
      <c r="R113" s="3" t="str">
        <v xml:space="preserve">CGGP0009  </v>
      </c>
      <c r="S113" s="44" t="str">
        <f t="shared" ref="S113:S117" si="27">IFERROR(VLOOKUP(R113, $B$17:$C$3406, 2, FALSE), "Not Found")</f>
        <v>WAGYU FIRE KIMCHI</v>
      </c>
      <c r="T113" s="52" t="str">
        <v>CKSF0027</v>
      </c>
      <c r="U113" s="44" t="str">
        <f t="shared" si="19"/>
        <v>Sauce Dakgalbi (CK)</v>
      </c>
      <c r="V113" s="45">
        <f t="shared" si="20"/>
        <v>840</v>
      </c>
      <c r="W113" s="45" t="s">
        <v>73</v>
      </c>
      <c r="X113" s="62">
        <v>1</v>
      </c>
      <c r="Y113" s="63">
        <v>0.1</v>
      </c>
      <c r="Z113" s="45">
        <f t="shared" si="23"/>
        <v>924</v>
      </c>
      <c r="AA113" s="65" t="s">
        <v>73</v>
      </c>
      <c r="AB113" t="s">
        <v>1272</v>
      </c>
      <c r="AC113" t="s">
        <v>1384</v>
      </c>
      <c r="AD113" s="71">
        <v>0</v>
      </c>
      <c r="AE113" s="71" t="str">
        <v>Tidak Ditemukan</v>
      </c>
      <c r="AF113" s="71"/>
    </row>
    <row r="114" spans="1:32" x14ac:dyDescent="0.35">
      <c r="A114" s="535" t="str">
        <f t="shared" si="15"/>
        <v/>
      </c>
      <c r="B114" s="337"/>
      <c r="C114" s="337"/>
      <c r="D114" s="326" t="s">
        <v>55</v>
      </c>
      <c r="E114" s="334" t="s">
        <v>110</v>
      </c>
      <c r="F114" s="18">
        <v>0.1</v>
      </c>
      <c r="G114" s="18" t="s">
        <v>73</v>
      </c>
      <c r="H114" s="18">
        <v>0.1</v>
      </c>
      <c r="I114" s="18" t="s">
        <v>73</v>
      </c>
      <c r="J114" s="337"/>
      <c r="K114" s="672">
        <f>A110*H114</f>
        <v>6.9</v>
      </c>
      <c r="L114" s="534"/>
      <c r="M114" s="458">
        <f t="shared" si="26"/>
        <v>3</v>
      </c>
      <c r="N114" s="458">
        <f t="shared" si="16"/>
        <v>1040.0114000000001</v>
      </c>
      <c r="O114" s="458">
        <f t="shared" si="17"/>
        <v>1040</v>
      </c>
      <c r="P114" s="21"/>
      <c r="Q114" s="506">
        <v>66</v>
      </c>
      <c r="R114" s="3" t="str">
        <v xml:space="preserve">CGPS0001  </v>
      </c>
      <c r="S114" s="44" t="str">
        <f t="shared" si="27"/>
        <v>SOY GARLIC CHICKEN SET</v>
      </c>
      <c r="T114" s="52" t="str">
        <v>FVF00015</v>
      </c>
      <c r="U114" s="44" t="str">
        <f t="shared" si="19"/>
        <v>Cabe Merah Besar (Cut 5mm)</v>
      </c>
      <c r="V114" s="45">
        <f t="shared" si="20"/>
        <v>1040</v>
      </c>
      <c r="W114" s="45" t="s">
        <v>73</v>
      </c>
      <c r="X114" s="62">
        <v>1</v>
      </c>
      <c r="Y114" s="63">
        <v>0.1</v>
      </c>
      <c r="Z114" s="45">
        <f t="shared" si="23"/>
        <v>1144</v>
      </c>
      <c r="AA114" s="65" t="s">
        <v>73</v>
      </c>
      <c r="AB114" t="s">
        <v>1022</v>
      </c>
      <c r="AC114" t="s">
        <v>1023</v>
      </c>
      <c r="AD114" s="71">
        <v>0</v>
      </c>
      <c r="AE114" s="71" t="str">
        <v>Tidak Ditemukan</v>
      </c>
      <c r="AF114" s="71"/>
    </row>
    <row r="115" spans="1:32" x14ac:dyDescent="0.35">
      <c r="A115" s="535" t="str">
        <f t="shared" si="15"/>
        <v/>
      </c>
      <c r="B115" s="330"/>
      <c r="C115" s="330"/>
      <c r="D115" s="326" t="s">
        <v>56</v>
      </c>
      <c r="E115" s="327" t="s">
        <v>79</v>
      </c>
      <c r="F115" s="22">
        <v>8</v>
      </c>
      <c r="G115" s="22" t="s">
        <v>74</v>
      </c>
      <c r="H115" s="22">
        <v>8</v>
      </c>
      <c r="I115" s="22" t="s">
        <v>74</v>
      </c>
      <c r="J115" s="330"/>
      <c r="K115" s="673">
        <f>A110*H115</f>
        <v>552</v>
      </c>
      <c r="L115" s="534"/>
      <c r="M115" s="458">
        <f t="shared" si="26"/>
        <v>66</v>
      </c>
      <c r="N115" s="458">
        <f t="shared" si="16"/>
        <v>862.96149999999989</v>
      </c>
      <c r="O115" s="458">
        <f t="shared" si="17"/>
        <v>862.94999999999993</v>
      </c>
      <c r="P115" s="21"/>
      <c r="Q115" s="506">
        <v>40</v>
      </c>
      <c r="R115" s="3" t="str">
        <v xml:space="preserve">CGPS0002  </v>
      </c>
      <c r="S115" s="44" t="str">
        <f t="shared" si="27"/>
        <v>SPICY YANGNYEOM CHICKEN SET</v>
      </c>
      <c r="T115" s="52" t="str">
        <v>FSP00001</v>
      </c>
      <c r="U115" s="44" t="str">
        <f t="shared" si="19"/>
        <v>Gochujang</v>
      </c>
      <c r="V115" s="45">
        <f t="shared" si="20"/>
        <v>862.94999999999993</v>
      </c>
      <c r="W115" s="45" t="s">
        <v>73</v>
      </c>
      <c r="X115" s="62">
        <v>1</v>
      </c>
      <c r="Y115" s="63">
        <v>0.1</v>
      </c>
      <c r="Z115" s="45">
        <f t="shared" si="23"/>
        <v>949.25</v>
      </c>
      <c r="AA115" s="65" t="s">
        <v>73</v>
      </c>
      <c r="AB115" t="s">
        <v>1343</v>
      </c>
      <c r="AC115" t="s">
        <v>1451</v>
      </c>
      <c r="AD115" s="71">
        <v>0</v>
      </c>
      <c r="AE115" s="71" t="str">
        <v>Tidak Ditemukan</v>
      </c>
      <c r="AF115" s="71"/>
    </row>
    <row r="116" spans="1:32" x14ac:dyDescent="0.35">
      <c r="A116" s="535" t="str">
        <f t="shared" si="15"/>
        <v/>
      </c>
      <c r="B116" s="337"/>
      <c r="C116" s="337"/>
      <c r="D116" s="355"/>
      <c r="E116" s="355" t="s">
        <v>708</v>
      </c>
      <c r="F116" s="378">
        <v>40</v>
      </c>
      <c r="G116" s="378" t="s">
        <v>73</v>
      </c>
      <c r="H116" s="515"/>
      <c r="I116" s="378"/>
      <c r="J116" s="515"/>
      <c r="K116" s="674"/>
      <c r="L116" s="534"/>
      <c r="M116" s="458">
        <f t="shared" si="26"/>
        <v>40</v>
      </c>
      <c r="N116" s="458"/>
      <c r="O116" s="458">
        <f t="shared" ref="O116:O144" si="28">IF(V116&gt;0, V116, "")</f>
        <v>1188</v>
      </c>
      <c r="P116" s="21"/>
      <c r="Q116" s="506">
        <v>30</v>
      </c>
      <c r="R116" s="3" t="str">
        <v xml:space="preserve">CGPS0003  </v>
      </c>
      <c r="S116" s="44" t="str">
        <f t="shared" si="27"/>
        <v>BBURINKLE CHEESE CHICKEN SET</v>
      </c>
      <c r="T116" s="52" t="str">
        <v>FSS00006</v>
      </c>
      <c r="U116" s="44" t="str">
        <f t="shared" si="19"/>
        <v xml:space="preserve">	ANCHOVY DASHIDA (DASHIDA IKAN TERI) 500 G</v>
      </c>
      <c r="V116" s="45">
        <f t="shared" si="20"/>
        <v>1188</v>
      </c>
      <c r="W116" s="45" t="s">
        <v>73</v>
      </c>
      <c r="X116" s="62">
        <v>1</v>
      </c>
      <c r="Y116" s="63">
        <v>0.1</v>
      </c>
      <c r="Z116" s="45">
        <f t="shared" si="23"/>
        <v>1306.8</v>
      </c>
      <c r="AA116" s="65" t="s">
        <v>73</v>
      </c>
      <c r="AB116" t="s">
        <v>1344</v>
      </c>
      <c r="AC116" t="s">
        <v>1452</v>
      </c>
      <c r="AD116" s="71">
        <v>0</v>
      </c>
      <c r="AE116" s="71" t="str">
        <v>Tidak Ditemukan</v>
      </c>
      <c r="AF116" s="71"/>
    </row>
    <row r="117" spans="1:32" x14ac:dyDescent="0.35">
      <c r="A117" s="535" t="str">
        <f t="shared" si="15"/>
        <v/>
      </c>
      <c r="B117" s="330"/>
      <c r="C117" s="330"/>
      <c r="D117" s="326" t="s">
        <v>57</v>
      </c>
      <c r="E117" s="380" t="s">
        <v>6</v>
      </c>
      <c r="F117" s="22">
        <v>100</v>
      </c>
      <c r="G117" s="22" t="s">
        <v>73</v>
      </c>
      <c r="H117" s="328">
        <f>ROUND(($F$116)*(($F$117)/((($F$119)*($F$120/($F$120+$F$121)))+(($F$119)*($F$121/($F$120+$F$121)))+($F$117)+($F$118))),2)</f>
        <v>38.46</v>
      </c>
      <c r="I117" s="22" t="s">
        <v>73</v>
      </c>
      <c r="J117" s="330"/>
      <c r="K117" s="673">
        <f>A110*H117</f>
        <v>2653.7400000000002</v>
      </c>
      <c r="L117" s="534"/>
      <c r="M117" s="458">
        <f t="shared" si="26"/>
        <v>30</v>
      </c>
      <c r="N117" s="458"/>
      <c r="O117" s="458">
        <f t="shared" si="28"/>
        <v>6696</v>
      </c>
      <c r="P117" s="21"/>
      <c r="Q117" s="506">
        <v>15</v>
      </c>
      <c r="R117" s="3" t="str">
        <v xml:space="preserve">CGPS0004  </v>
      </c>
      <c r="S117" s="44" t="str">
        <f t="shared" si="27"/>
        <v>SPICY MALA CHICKEN SET</v>
      </c>
      <c r="T117" s="52" t="str">
        <v>CKPF0026</v>
      </c>
      <c r="U117" s="44" t="str">
        <f t="shared" si="19"/>
        <v>CK BASE SUNDUBU JJIGAE 1 KG</v>
      </c>
      <c r="V117" s="45">
        <f t="shared" si="20"/>
        <v>6696</v>
      </c>
      <c r="W117" s="45" t="s">
        <v>73</v>
      </c>
      <c r="X117" s="62">
        <v>1</v>
      </c>
      <c r="Y117" s="63">
        <v>0.1</v>
      </c>
      <c r="Z117" s="45">
        <f t="shared" si="23"/>
        <v>7365.6</v>
      </c>
      <c r="AA117" s="65" t="s">
        <v>73</v>
      </c>
      <c r="AB117" t="s">
        <v>1350</v>
      </c>
      <c r="AC117" t="s">
        <v>1457</v>
      </c>
      <c r="AD117" s="71">
        <v>0</v>
      </c>
      <c r="AE117" s="71" t="str">
        <v>Tidak Ditemukan</v>
      </c>
      <c r="AF117" s="71"/>
    </row>
    <row r="118" spans="1:32" x14ac:dyDescent="0.35">
      <c r="A118" s="535" t="str">
        <f t="shared" si="15"/>
        <v/>
      </c>
      <c r="B118" s="337"/>
      <c r="C118" s="337"/>
      <c r="D118" s="326" t="s">
        <v>41</v>
      </c>
      <c r="E118" s="379" t="s">
        <v>22</v>
      </c>
      <c r="F118" s="18">
        <v>3</v>
      </c>
      <c r="G118" s="18" t="s">
        <v>73</v>
      </c>
      <c r="H118" s="335">
        <f>ROUND(($F$116)*(($F$118)/((($F$119)*($F$120/($F$120+$F$121)))+(($F$119)*($F$121/($F$120+$F$121)))+($F$117)+($F$118))),2)</f>
        <v>1.1499999999999999</v>
      </c>
      <c r="I118" s="18" t="s">
        <v>73</v>
      </c>
      <c r="J118" s="337"/>
      <c r="K118" s="672">
        <f>A110*H118</f>
        <v>79.349999999999994</v>
      </c>
      <c r="L118" s="534"/>
      <c r="M118" s="458">
        <f t="shared" si="26"/>
        <v>15</v>
      </c>
      <c r="N118" s="458"/>
      <c r="O118" s="458">
        <f t="shared" si="28"/>
        <v>940</v>
      </c>
      <c r="P118" s="21"/>
      <c r="Q118" s="506">
        <v>41</v>
      </c>
      <c r="R118" s="3" t="str">
        <v xml:space="preserve">CGPS0007  </v>
      </c>
      <c r="S118" s="44" t="str">
        <f t="shared" ref="S118:S139" si="29">IFERROR(VLOOKUP(R118, $B$17:$C$3406, 2, FALSE), "Not Found")</f>
        <v>BEEF KIMCHI SET</v>
      </c>
      <c r="T118" s="52" t="str">
        <v>FSP00006</v>
      </c>
      <c r="U118" s="44" t="str">
        <f t="shared" si="19"/>
        <v>SAOS TOMAT DEL MONTE 1 KG</v>
      </c>
      <c r="V118" s="45">
        <f t="shared" si="20"/>
        <v>940</v>
      </c>
      <c r="W118" s="45" t="s">
        <v>73</v>
      </c>
      <c r="X118" s="62">
        <v>1</v>
      </c>
      <c r="Y118" s="63">
        <v>0.1</v>
      </c>
      <c r="Z118" s="45">
        <f t="shared" si="23"/>
        <v>1034</v>
      </c>
      <c r="AA118" s="65" t="s">
        <v>73</v>
      </c>
      <c r="AB118" t="s">
        <v>1273</v>
      </c>
      <c r="AC118" t="s">
        <v>1385</v>
      </c>
      <c r="AD118" s="71">
        <v>0</v>
      </c>
      <c r="AE118" s="71" t="str">
        <v>Tidak Ditemukan</v>
      </c>
      <c r="AF118" s="71"/>
    </row>
    <row r="119" spans="1:32" x14ac:dyDescent="0.35">
      <c r="A119" s="535" t="str">
        <f t="shared" si="15"/>
        <v/>
      </c>
      <c r="B119" s="330"/>
      <c r="C119" s="330"/>
      <c r="D119" s="355"/>
      <c r="E119" s="540" t="s">
        <v>7</v>
      </c>
      <c r="F119" s="378">
        <v>1</v>
      </c>
      <c r="G119" s="378" t="s">
        <v>73</v>
      </c>
      <c r="H119" s="515"/>
      <c r="I119" s="378"/>
      <c r="J119" s="515"/>
      <c r="K119" s="674"/>
      <c r="L119" s="534"/>
      <c r="M119" s="458">
        <f t="shared" si="26"/>
        <v>41</v>
      </c>
      <c r="N119" s="458"/>
      <c r="O119" s="458">
        <f t="shared" si="28"/>
        <v>33900</v>
      </c>
      <c r="P119" s="21"/>
      <c r="Q119" s="506">
        <v>60</v>
      </c>
      <c r="R119" s="3" t="str">
        <v xml:space="preserve">CGPS0008  </v>
      </c>
      <c r="S119" s="44" t="str">
        <f t="shared" si="29"/>
        <v>BEEF BULGOGI SET</v>
      </c>
      <c r="T119" s="52" t="str">
        <v>FSF00005</v>
      </c>
      <c r="U119" s="44" t="str">
        <f t="shared" si="19"/>
        <v>Jjugumi (Baby Octopus)</v>
      </c>
      <c r="V119" s="45">
        <f t="shared" si="20"/>
        <v>33900</v>
      </c>
      <c r="W119" s="45" t="s">
        <v>73</v>
      </c>
      <c r="X119" s="62">
        <v>1</v>
      </c>
      <c r="Y119" s="63">
        <v>0.1</v>
      </c>
      <c r="Z119" s="45">
        <f t="shared" si="23"/>
        <v>37290</v>
      </c>
      <c r="AA119" s="65" t="s">
        <v>73</v>
      </c>
      <c r="AB119" t="s">
        <v>1291</v>
      </c>
      <c r="AC119" t="s">
        <v>1400</v>
      </c>
      <c r="AD119">
        <v>0</v>
      </c>
      <c r="AE119" t="str">
        <v>Tidak Ditemukan</v>
      </c>
    </row>
    <row r="120" spans="1:32" x14ac:dyDescent="0.35">
      <c r="A120" s="535" t="str">
        <f t="shared" si="15"/>
        <v/>
      </c>
      <c r="B120" s="337"/>
      <c r="C120" s="337"/>
      <c r="D120" s="326" t="s">
        <v>43</v>
      </c>
      <c r="E120" s="419" t="s">
        <v>8</v>
      </c>
      <c r="F120" s="18">
        <v>85</v>
      </c>
      <c r="G120" s="18" t="s">
        <v>73</v>
      </c>
      <c r="H120" s="18">
        <f>ROUND(($F$116)*((($F$119)*($F$120/($F$120+$F$121)))
/(((($F$119)*($F$120/($F$120+$F$121)))+(($F$119)*($F$121/($F$120+$F$121)))+($F$117)+($F$118)))),2)</f>
        <v>0.33</v>
      </c>
      <c r="I120" s="18" t="s">
        <v>73</v>
      </c>
      <c r="J120" s="337"/>
      <c r="K120" s="672">
        <f>A110*H120</f>
        <v>22.77</v>
      </c>
      <c r="L120" s="534"/>
      <c r="M120" s="458">
        <f t="shared" si="26"/>
        <v>60</v>
      </c>
      <c r="N120" s="458"/>
      <c r="O120" s="458">
        <f t="shared" si="28"/>
        <v>1135.6500000000001</v>
      </c>
      <c r="P120" s="21"/>
      <c r="Q120" s="506">
        <v>49</v>
      </c>
      <c r="R120" s="3" t="str">
        <v xml:space="preserve">CGPS0005  </v>
      </c>
      <c r="S120" s="44" t="str">
        <f t="shared" si="29"/>
        <v>WAGYU TOKUSEN BBQ SET</v>
      </c>
      <c r="T120" s="52" t="str">
        <v>FGR00015</v>
      </c>
      <c r="U120" s="44" t="str">
        <f t="shared" si="19"/>
        <v>Tepung Tapioka</v>
      </c>
      <c r="V120" s="45">
        <f t="shared" si="20"/>
        <v>1135.6500000000001</v>
      </c>
      <c r="W120" s="45" t="s">
        <v>73</v>
      </c>
      <c r="X120" s="62">
        <v>1</v>
      </c>
      <c r="Y120" s="63">
        <v>0.1</v>
      </c>
      <c r="Z120" s="45">
        <f t="shared" si="23"/>
        <v>1249.22</v>
      </c>
      <c r="AA120" s="65" t="s">
        <v>73</v>
      </c>
      <c r="AB120" t="s">
        <v>1360</v>
      </c>
      <c r="AC120" t="s">
        <v>1466</v>
      </c>
      <c r="AD120">
        <v>0</v>
      </c>
      <c r="AE120" t="str">
        <v>Tidak Ditemukan</v>
      </c>
    </row>
    <row r="121" spans="1:32" x14ac:dyDescent="0.35">
      <c r="A121" s="535" t="str">
        <f t="shared" si="15"/>
        <v/>
      </c>
      <c r="B121" s="330"/>
      <c r="C121" s="330"/>
      <c r="D121" s="326" t="s">
        <v>42</v>
      </c>
      <c r="E121" s="475" t="s">
        <v>9</v>
      </c>
      <c r="F121" s="22">
        <v>15</v>
      </c>
      <c r="G121" s="22" t="s">
        <v>73</v>
      </c>
      <c r="H121" s="22">
        <f>ROUND(($F$116)*((($F$119)*($F$121/($F$120+$F$121)))
/(((($F$119)*($F$120/($F$120+$F$121)))+(($F$119)*($F$121/($F$120+$F$121)))+($F$117)+($F$118)))),2)</f>
        <v>0.06</v>
      </c>
      <c r="I121" s="22" t="s">
        <v>73</v>
      </c>
      <c r="J121" s="330"/>
      <c r="K121" s="673">
        <f>A110*H121</f>
        <v>4.1399999999999997</v>
      </c>
      <c r="L121" s="534"/>
      <c r="M121" s="458">
        <f t="shared" si="26"/>
        <v>49</v>
      </c>
      <c r="N121" s="458"/>
      <c r="O121" s="458">
        <f t="shared" si="28"/>
        <v>259.70999999999998</v>
      </c>
      <c r="P121" s="21"/>
      <c r="Q121" s="506">
        <v>13</v>
      </c>
      <c r="R121" s="3" t="str">
        <v xml:space="preserve">CGPR0026  </v>
      </c>
      <c r="S121" s="44" t="str">
        <f t="shared" si="29"/>
        <v>GIMBAP BIRTHDAY CAKE</v>
      </c>
      <c r="T121" s="3" t="str">
        <v>FGR00013</v>
      </c>
      <c r="U121" s="44" t="str">
        <f t="shared" si="19"/>
        <v>Tepung Ketan</v>
      </c>
      <c r="V121" s="45">
        <f t="shared" si="20"/>
        <v>259.70999999999998</v>
      </c>
      <c r="W121" s="45" t="s">
        <v>73</v>
      </c>
      <c r="X121" s="62">
        <v>1</v>
      </c>
      <c r="Y121" s="63">
        <v>0.1</v>
      </c>
      <c r="Z121" s="45">
        <f t="shared" si="23"/>
        <v>285.68</v>
      </c>
      <c r="AA121" s="65" t="s">
        <v>73</v>
      </c>
      <c r="AB121" t="s">
        <v>1370</v>
      </c>
      <c r="AC121" t="s">
        <v>1475</v>
      </c>
      <c r="AE121">
        <v>0</v>
      </c>
    </row>
    <row r="122" spans="1:32" x14ac:dyDescent="0.35">
      <c r="A122" s="535" t="str">
        <f t="shared" si="15"/>
        <v/>
      </c>
      <c r="B122" s="337"/>
      <c r="C122" s="337"/>
      <c r="D122" s="355"/>
      <c r="E122" s="355" t="s">
        <v>80</v>
      </c>
      <c r="F122" s="378">
        <v>15</v>
      </c>
      <c r="G122" s="378" t="s">
        <v>73</v>
      </c>
      <c r="H122" s="515"/>
      <c r="I122" s="378"/>
      <c r="J122" s="515"/>
      <c r="K122" s="674"/>
      <c r="L122" s="534"/>
      <c r="M122" s="458">
        <f t="shared" si="26"/>
        <v>13</v>
      </c>
      <c r="N122" s="458"/>
      <c r="O122" s="458">
        <f t="shared" si="28"/>
        <v>940</v>
      </c>
      <c r="P122" s="21"/>
      <c r="Q122" s="506">
        <v>56</v>
      </c>
      <c r="R122" s="3" t="str">
        <v xml:space="preserve">CGPS0006  </v>
      </c>
      <c r="S122" s="44" t="str">
        <f t="shared" si="29"/>
        <v>TASTY BEEF BBQ SET</v>
      </c>
      <c r="T122" s="3" t="str">
        <v>FGR00094</v>
      </c>
      <c r="U122" s="44" t="str">
        <f t="shared" si="19"/>
        <v>Mexican Mix Cheese</v>
      </c>
      <c r="V122" s="45">
        <f t="shared" si="20"/>
        <v>940</v>
      </c>
      <c r="W122" s="45" t="s">
        <v>73</v>
      </c>
      <c r="X122" s="62">
        <v>1</v>
      </c>
      <c r="Y122" s="63">
        <v>0.1</v>
      </c>
      <c r="Z122" s="45">
        <f t="shared" si="23"/>
        <v>1034</v>
      </c>
      <c r="AA122" s="65" t="s">
        <v>73</v>
      </c>
      <c r="AB122" t="s">
        <v>1322</v>
      </c>
      <c r="AC122" t="s">
        <v>1430</v>
      </c>
      <c r="AE122">
        <v>0</v>
      </c>
    </row>
    <row r="123" spans="1:32" x14ac:dyDescent="0.35">
      <c r="A123" s="535" t="str">
        <f t="shared" si="15"/>
        <v/>
      </c>
      <c r="B123" s="330"/>
      <c r="C123" s="330"/>
      <c r="D123" s="326" t="s">
        <v>47</v>
      </c>
      <c r="E123" s="426" t="s">
        <v>12</v>
      </c>
      <c r="F123" s="22">
        <v>600</v>
      </c>
      <c r="G123" s="22" t="s">
        <v>73</v>
      </c>
      <c r="H123" s="22">
        <f>ROUND(($F$122)*((F123)/($F$123+$F$124+$F$125+$F$126+$F$127)),2)</f>
        <v>10</v>
      </c>
      <c r="I123" s="22" t="s">
        <v>73</v>
      </c>
      <c r="J123" s="330"/>
      <c r="K123" s="673">
        <f>A110*H123</f>
        <v>690</v>
      </c>
      <c r="L123" s="534"/>
      <c r="M123" s="458">
        <f t="shared" si="26"/>
        <v>56</v>
      </c>
      <c r="N123" s="458"/>
      <c r="O123" s="458">
        <f t="shared" si="28"/>
        <v>13.02</v>
      </c>
      <c r="P123" s="21"/>
      <c r="Q123" s="506">
        <v>0</v>
      </c>
      <c r="R123" s="3" t="str">
        <v xml:space="preserve">CGDR0009  </v>
      </c>
      <c r="S123" s="44" t="str">
        <f t="shared" si="29"/>
        <v xml:space="preserve">SOY GARLIC CHICKEN &amp; EOMUK K-BENTO	</v>
      </c>
      <c r="T123" s="3" t="str">
        <v>CKPF0013</v>
      </c>
      <c r="U123" s="44" t="str">
        <f t="shared" si="19"/>
        <v>CK SAUCE MUSTARD</v>
      </c>
      <c r="V123" s="45">
        <f t="shared" si="20"/>
        <v>13.02</v>
      </c>
      <c r="W123" s="45" t="s">
        <v>73</v>
      </c>
      <c r="X123" s="62">
        <v>1</v>
      </c>
      <c r="Y123" s="63">
        <v>0.1</v>
      </c>
      <c r="Z123" s="45">
        <f t="shared" si="23"/>
        <v>14.32</v>
      </c>
      <c r="AA123" s="65" t="s">
        <v>73</v>
      </c>
      <c r="AB123" t="s">
        <v>1323</v>
      </c>
      <c r="AC123" t="s">
        <v>1431</v>
      </c>
      <c r="AE123">
        <v>0</v>
      </c>
    </row>
    <row r="124" spans="1:32" x14ac:dyDescent="0.35">
      <c r="A124" s="535" t="str">
        <f t="shared" si="15"/>
        <v/>
      </c>
      <c r="B124" s="337"/>
      <c r="C124" s="337"/>
      <c r="D124" s="326" t="s">
        <v>48</v>
      </c>
      <c r="E124" s="425" t="s">
        <v>13</v>
      </c>
      <c r="F124" s="18">
        <v>100</v>
      </c>
      <c r="G124" s="18" t="s">
        <v>73</v>
      </c>
      <c r="H124" s="18">
        <f t="shared" ref="H124:H127" si="30">ROUND(($F$122)*((F124)/($F$123+$F$124+$F$125+$F$126+$F$127)),2)</f>
        <v>1.67</v>
      </c>
      <c r="I124" s="18" t="s">
        <v>73</v>
      </c>
      <c r="J124" s="337"/>
      <c r="K124" s="672">
        <f>A110*H124</f>
        <v>115.22999999999999</v>
      </c>
      <c r="L124" s="534"/>
      <c r="M124" s="458" t="str">
        <f t="shared" si="26"/>
        <v/>
      </c>
      <c r="N124" s="458"/>
      <c r="O124" s="458" t="str">
        <f t="shared" si="28"/>
        <v/>
      </c>
      <c r="P124" s="21"/>
      <c r="Q124" s="506">
        <v>0</v>
      </c>
      <c r="R124" s="3" t="str">
        <v xml:space="preserve">CGDR0010  </v>
      </c>
      <c r="S124" s="44" t="str">
        <f t="shared" si="29"/>
        <v xml:space="preserve">SPICY YANGNYEOM CHICKEN &amp; EOMUK K-BENTO		</v>
      </c>
      <c r="T124" s="3" t="str">
        <v>CKPF0041</v>
      </c>
      <c r="U124" s="44" t="str">
        <f t="shared" si="19"/>
        <v>CK KKANPUNGGI SAUCE 500 G</v>
      </c>
      <c r="V124" s="45">
        <f t="shared" si="20"/>
        <v>0</v>
      </c>
      <c r="W124" s="45" t="s">
        <v>73</v>
      </c>
      <c r="X124" s="62">
        <v>1</v>
      </c>
      <c r="Y124" s="63">
        <v>0.1</v>
      </c>
      <c r="Z124" s="45">
        <f t="shared" si="23"/>
        <v>0</v>
      </c>
      <c r="AA124" s="65" t="s">
        <v>73</v>
      </c>
      <c r="AB124" t="s">
        <v>1264</v>
      </c>
      <c r="AC124" t="s">
        <v>1377</v>
      </c>
      <c r="AE124">
        <v>0</v>
      </c>
    </row>
    <row r="125" spans="1:32" x14ac:dyDescent="0.35">
      <c r="A125" s="535" t="str">
        <f t="shared" si="15"/>
        <v/>
      </c>
      <c r="B125" s="330"/>
      <c r="C125" s="330"/>
      <c r="D125" s="326" t="s">
        <v>50</v>
      </c>
      <c r="E125" s="426" t="s">
        <v>14</v>
      </c>
      <c r="F125" s="22">
        <v>100</v>
      </c>
      <c r="G125" s="22" t="s">
        <v>73</v>
      </c>
      <c r="H125" s="22">
        <f t="shared" si="30"/>
        <v>1.67</v>
      </c>
      <c r="I125" s="22" t="s">
        <v>73</v>
      </c>
      <c r="J125" s="330"/>
      <c r="K125" s="673">
        <f>A110*H125</f>
        <v>115.22999999999999</v>
      </c>
      <c r="L125" s="534"/>
      <c r="M125" s="458" t="str">
        <f t="shared" si="26"/>
        <v/>
      </c>
      <c r="N125" s="458"/>
      <c r="O125" s="458" t="str">
        <f t="shared" si="28"/>
        <v/>
      </c>
      <c r="P125" s="21"/>
      <c r="Q125" s="506">
        <v>0</v>
      </c>
      <c r="R125" s="3" t="str">
        <v xml:space="preserve">CGDR0012  </v>
      </c>
      <c r="S125" s="44" t="str">
        <f t="shared" si="29"/>
        <v xml:space="preserve">SPICY MALA KATSU &amp; EOMUK K-BENTO		</v>
      </c>
      <c r="T125" s="3" t="str">
        <v>FSS00002</v>
      </c>
      <c r="U125" s="44" t="str">
        <f t="shared" si="19"/>
        <v xml:space="preserve">	GOCHUGARU HALUS 1 KG</v>
      </c>
      <c r="V125" s="45">
        <f t="shared" si="20"/>
        <v>0</v>
      </c>
      <c r="W125" s="45" t="s">
        <v>73</v>
      </c>
      <c r="X125" s="62">
        <v>1</v>
      </c>
      <c r="Y125" s="63">
        <v>0.1</v>
      </c>
      <c r="Z125" s="45">
        <f t="shared" si="23"/>
        <v>0</v>
      </c>
      <c r="AA125" s="65" t="s">
        <v>73</v>
      </c>
      <c r="AB125" t="s">
        <v>1339</v>
      </c>
      <c r="AC125" t="s">
        <v>1447</v>
      </c>
      <c r="AE125">
        <v>0</v>
      </c>
    </row>
    <row r="126" spans="1:32" x14ac:dyDescent="0.35">
      <c r="A126" s="535" t="str">
        <f t="shared" si="15"/>
        <v/>
      </c>
      <c r="B126" s="337"/>
      <c r="C126" s="337"/>
      <c r="D126" s="326" t="s">
        <v>49</v>
      </c>
      <c r="E126" s="425" t="s">
        <v>15</v>
      </c>
      <c r="F126" s="18">
        <v>50</v>
      </c>
      <c r="G126" s="18" t="s">
        <v>73</v>
      </c>
      <c r="H126" s="18">
        <f t="shared" si="30"/>
        <v>0.83</v>
      </c>
      <c r="I126" s="18" t="s">
        <v>73</v>
      </c>
      <c r="J126" s="337"/>
      <c r="K126" s="672">
        <f>A110*H126</f>
        <v>57.269999999999996</v>
      </c>
      <c r="L126" s="534"/>
      <c r="M126" s="458" t="str">
        <f t="shared" si="26"/>
        <v/>
      </c>
      <c r="N126" s="458"/>
      <c r="O126" s="458" t="str">
        <f t="shared" si="28"/>
        <v/>
      </c>
      <c r="P126" s="21"/>
      <c r="Q126" s="506">
        <v>0</v>
      </c>
      <c r="R126" s="3" t="str">
        <v xml:space="preserve">CGDR0011  </v>
      </c>
      <c r="S126" s="44" t="str">
        <f t="shared" si="29"/>
        <v xml:space="preserve">BBURINKLE KATSU &amp; EOMUK K-BENTO	</v>
      </c>
      <c r="T126" s="3" t="str">
        <v>FGR00097</v>
      </c>
      <c r="U126" s="44" t="str">
        <f t="shared" si="19"/>
        <v>SUSU KENTAL MANIS 365 G</v>
      </c>
      <c r="V126" s="45">
        <f t="shared" si="20"/>
        <v>0</v>
      </c>
      <c r="W126" s="45" t="s">
        <v>73</v>
      </c>
      <c r="X126" s="62">
        <v>1</v>
      </c>
      <c r="Y126" s="63">
        <v>0.1</v>
      </c>
      <c r="Z126" s="45">
        <f t="shared" si="23"/>
        <v>0</v>
      </c>
      <c r="AA126" s="65" t="s">
        <v>73</v>
      </c>
      <c r="AB126" t="s">
        <v>1268</v>
      </c>
      <c r="AC126" t="s">
        <v>1381</v>
      </c>
      <c r="AE126">
        <v>0</v>
      </c>
    </row>
    <row r="127" spans="1:32" x14ac:dyDescent="0.35">
      <c r="A127" s="535" t="str">
        <f t="shared" si="15"/>
        <v/>
      </c>
      <c r="B127" s="330"/>
      <c r="C127" s="330"/>
      <c r="D127" s="326" t="s">
        <v>51</v>
      </c>
      <c r="E127" s="426" t="s">
        <v>16</v>
      </c>
      <c r="F127" s="22">
        <v>50</v>
      </c>
      <c r="G127" s="22" t="s">
        <v>73</v>
      </c>
      <c r="H127" s="22">
        <f t="shared" si="30"/>
        <v>0.83</v>
      </c>
      <c r="I127" s="22" t="s">
        <v>73</v>
      </c>
      <c r="J127" s="330"/>
      <c r="K127" s="673">
        <f>A110*H127</f>
        <v>57.269999999999996</v>
      </c>
      <c r="L127" s="534"/>
      <c r="M127" s="458" t="str">
        <f t="shared" si="26"/>
        <v/>
      </c>
      <c r="N127" s="458"/>
      <c r="O127" s="458" t="str">
        <f t="shared" si="28"/>
        <v/>
      </c>
      <c r="P127" s="21"/>
      <c r="Q127" s="506">
        <v>41</v>
      </c>
      <c r="R127" s="3" t="str">
        <v xml:space="preserve">CGKD0001  </v>
      </c>
      <c r="S127" s="44" t="str">
        <f t="shared" si="29"/>
        <v>WATERMELON K-DRINK</v>
      </c>
      <c r="T127" s="3" t="str">
        <v>CKRD0011</v>
      </c>
      <c r="U127" s="44" t="str">
        <f t="shared" si="19"/>
        <v>Umami Booster</v>
      </c>
      <c r="V127" s="45">
        <f t="shared" si="20"/>
        <v>0</v>
      </c>
      <c r="W127" s="45" t="s">
        <v>73</v>
      </c>
      <c r="X127" s="62">
        <v>1</v>
      </c>
      <c r="Y127" s="63">
        <v>0.1</v>
      </c>
      <c r="Z127" s="45">
        <f t="shared" si="23"/>
        <v>0</v>
      </c>
      <c r="AA127" s="65" t="s">
        <v>73</v>
      </c>
      <c r="AB127" t="s">
        <v>1292</v>
      </c>
      <c r="AC127" t="s">
        <v>1401</v>
      </c>
      <c r="AE127">
        <v>0</v>
      </c>
    </row>
    <row r="128" spans="1:32" x14ac:dyDescent="0.35">
      <c r="A128" s="535" t="str">
        <f t="shared" si="15"/>
        <v/>
      </c>
      <c r="B128" s="337"/>
      <c r="C128" s="337"/>
      <c r="D128" s="355"/>
      <c r="E128" s="355" t="s">
        <v>83</v>
      </c>
      <c r="F128" s="378">
        <v>150</v>
      </c>
      <c r="G128" s="378" t="s">
        <v>73</v>
      </c>
      <c r="H128" s="515"/>
      <c r="I128" s="378"/>
      <c r="J128" s="515"/>
      <c r="K128" s="674"/>
      <c r="L128" s="534"/>
      <c r="M128" s="458">
        <f t="shared" si="26"/>
        <v>41</v>
      </c>
      <c r="N128" s="458"/>
      <c r="O128" s="458" t="str">
        <f t="shared" si="28"/>
        <v/>
      </c>
      <c r="P128" s="21"/>
      <c r="Q128" s="506">
        <v>11</v>
      </c>
      <c r="R128" s="3" t="str">
        <v xml:space="preserve">CGKD0002  </v>
      </c>
      <c r="S128" s="44" t="str">
        <f t="shared" si="29"/>
        <v>KIWI K-DRINK</v>
      </c>
      <c r="T128" s="3" t="str">
        <v>CKPKD002</v>
      </c>
      <c r="U128" s="44" t="str">
        <f t="shared" si="19"/>
        <v>WATERMELON K-DRINK</v>
      </c>
      <c r="V128" s="45">
        <f t="shared" si="20"/>
        <v>0</v>
      </c>
      <c r="W128" s="747" t="s">
        <v>74</v>
      </c>
      <c r="X128" s="62">
        <v>1</v>
      </c>
      <c r="Y128" s="63">
        <v>0.1</v>
      </c>
      <c r="Z128" s="45">
        <f t="shared" si="23"/>
        <v>0</v>
      </c>
      <c r="AA128" s="65" t="s">
        <v>74</v>
      </c>
      <c r="AB128" t="s">
        <v>1351</v>
      </c>
      <c r="AC128" t="s">
        <v>1458</v>
      </c>
      <c r="AE128">
        <v>0</v>
      </c>
    </row>
    <row r="129" spans="1:31" x14ac:dyDescent="0.35">
      <c r="A129" s="535" t="str">
        <f t="shared" si="15"/>
        <v/>
      </c>
      <c r="B129" s="330"/>
      <c r="C129" s="330"/>
      <c r="D129" s="326" t="s">
        <v>44</v>
      </c>
      <c r="E129" s="426" t="s">
        <v>17</v>
      </c>
      <c r="F129" s="22">
        <v>2000</v>
      </c>
      <c r="G129" s="22" t="s">
        <v>73</v>
      </c>
      <c r="H129" s="22">
        <f>ROUND(($F$128)*((F129)/($F$129+$F$130+$F$131+$F$132)),2)</f>
        <v>97.59</v>
      </c>
      <c r="I129" s="22" t="s">
        <v>73</v>
      </c>
      <c r="J129" s="330"/>
      <c r="K129" s="673">
        <f>A110*H129</f>
        <v>6733.71</v>
      </c>
      <c r="L129" s="534"/>
      <c r="M129" s="458">
        <f t="shared" si="26"/>
        <v>11</v>
      </c>
      <c r="N129" s="458"/>
      <c r="O129" s="458" t="str">
        <f t="shared" si="28"/>
        <v/>
      </c>
      <c r="P129" s="21"/>
      <c r="Q129" s="506">
        <v>89</v>
      </c>
      <c r="R129" s="3" t="str">
        <v xml:space="preserve">CGKD0003  </v>
      </c>
      <c r="S129" s="44" t="str">
        <f t="shared" si="29"/>
        <v>PEACH K-DRINK</v>
      </c>
      <c r="T129" s="3" t="str">
        <v>CKPKD008</v>
      </c>
      <c r="U129" s="44" t="str">
        <f t="shared" si="19"/>
        <v>KIWI K-DRINK</v>
      </c>
      <c r="V129" s="45">
        <f t="shared" si="20"/>
        <v>0</v>
      </c>
      <c r="W129" s="747" t="s">
        <v>74</v>
      </c>
      <c r="X129" s="62">
        <v>1</v>
      </c>
      <c r="Y129" s="63">
        <v>0.1</v>
      </c>
      <c r="Z129" s="45">
        <f t="shared" si="23"/>
        <v>0</v>
      </c>
      <c r="AA129" s="65" t="s">
        <v>74</v>
      </c>
      <c r="AB129" t="s">
        <v>1356</v>
      </c>
      <c r="AC129" t="s">
        <v>1462</v>
      </c>
      <c r="AE129">
        <v>0</v>
      </c>
    </row>
    <row r="130" spans="1:31" x14ac:dyDescent="0.35">
      <c r="A130" s="535" t="str">
        <f t="shared" si="15"/>
        <v/>
      </c>
      <c r="B130" s="337"/>
      <c r="C130" s="337"/>
      <c r="D130" s="342"/>
      <c r="E130" s="543" t="s">
        <v>81</v>
      </c>
      <c r="F130" s="404">
        <v>1000</v>
      </c>
      <c r="G130" s="404"/>
      <c r="H130" s="404">
        <f t="shared" ref="H130:H132" si="31">ROUND(($F$128)*((F130)/($F$129+$F$130+$F$131+$F$132)),2)</f>
        <v>48.8</v>
      </c>
      <c r="I130" s="404"/>
      <c r="J130" s="345"/>
      <c r="K130" s="675"/>
      <c r="L130" s="534"/>
      <c r="M130" s="458">
        <f t="shared" si="26"/>
        <v>89</v>
      </c>
      <c r="N130" s="458"/>
      <c r="O130" s="458" t="str">
        <f t="shared" si="28"/>
        <v/>
      </c>
      <c r="P130" s="21"/>
      <c r="Q130" s="506">
        <v>168</v>
      </c>
      <c r="R130" s="3" t="str">
        <v xml:space="preserve">CGKD0004  </v>
      </c>
      <c r="S130" s="44" t="str">
        <f t="shared" si="29"/>
        <v>MUSCAT (GREEN GRAPE) K-DRINK</v>
      </c>
      <c r="T130" s="3" t="str">
        <v>CKPKD013</v>
      </c>
      <c r="U130" s="44" t="str">
        <f t="shared" si="19"/>
        <v>PEACH K-DRINK</v>
      </c>
      <c r="V130" s="45">
        <f t="shared" si="20"/>
        <v>0</v>
      </c>
      <c r="W130" s="747" t="s">
        <v>74</v>
      </c>
      <c r="X130" s="62">
        <v>1</v>
      </c>
      <c r="Y130" s="63">
        <v>0.1</v>
      </c>
      <c r="Z130" s="45">
        <f t="shared" si="23"/>
        <v>0</v>
      </c>
      <c r="AA130" s="65" t="s">
        <v>74</v>
      </c>
      <c r="AB130" t="s">
        <v>1368</v>
      </c>
      <c r="AC130" t="s">
        <v>1473</v>
      </c>
      <c r="AE130">
        <v>0</v>
      </c>
    </row>
    <row r="131" spans="1:31" x14ac:dyDescent="0.35">
      <c r="A131" s="535" t="str">
        <f t="shared" si="15"/>
        <v/>
      </c>
      <c r="B131" s="330"/>
      <c r="C131" s="330"/>
      <c r="D131" s="326" t="s">
        <v>45</v>
      </c>
      <c r="E131" s="426" t="s">
        <v>18</v>
      </c>
      <c r="F131" s="22">
        <v>57</v>
      </c>
      <c r="G131" s="22" t="s">
        <v>73</v>
      </c>
      <c r="H131" s="22">
        <f t="shared" si="31"/>
        <v>2.78</v>
      </c>
      <c r="I131" s="22" t="s">
        <v>73</v>
      </c>
      <c r="J131" s="330"/>
      <c r="K131" s="673">
        <f>A110*H131</f>
        <v>191.82</v>
      </c>
      <c r="L131" s="534"/>
      <c r="M131" s="458">
        <f t="shared" si="26"/>
        <v>168</v>
      </c>
      <c r="N131" s="458"/>
      <c r="O131" s="458" t="str">
        <f t="shared" si="28"/>
        <v/>
      </c>
      <c r="P131" s="21"/>
      <c r="Q131" s="506">
        <v>20</v>
      </c>
      <c r="R131" s="3" t="str">
        <v xml:space="preserve">CGKD0005  </v>
      </c>
      <c r="S131" s="44" t="str">
        <f t="shared" si="29"/>
        <v>KOREAN PEAR K-DRINK</v>
      </c>
      <c r="T131" s="3" t="str">
        <v>CKPKD003</v>
      </c>
      <c r="U131" s="44" t="str">
        <f t="shared" si="19"/>
        <v>MUSCAT (GREEN GRAPE) K-DRINK</v>
      </c>
      <c r="V131" s="45">
        <f t="shared" si="20"/>
        <v>0</v>
      </c>
      <c r="W131" s="747" t="s">
        <v>74</v>
      </c>
      <c r="X131" s="62">
        <v>1</v>
      </c>
      <c r="Y131" s="63">
        <v>0.1</v>
      </c>
      <c r="Z131" s="45">
        <f t="shared" si="23"/>
        <v>0</v>
      </c>
      <c r="AA131" s="65" t="s">
        <v>74</v>
      </c>
      <c r="AB131" t="s">
        <v>1289</v>
      </c>
      <c r="AC131" t="s">
        <v>1398</v>
      </c>
      <c r="AE131">
        <v>0</v>
      </c>
    </row>
    <row r="132" spans="1:31" x14ac:dyDescent="0.35">
      <c r="A132" s="535" t="str">
        <f t="shared" si="15"/>
        <v/>
      </c>
      <c r="B132" s="337"/>
      <c r="C132" s="337"/>
      <c r="D132" s="326" t="s">
        <v>46</v>
      </c>
      <c r="E132" s="425" t="s">
        <v>19</v>
      </c>
      <c r="F132" s="18">
        <v>17</v>
      </c>
      <c r="G132" s="18" t="s">
        <v>73</v>
      </c>
      <c r="H132" s="18">
        <f t="shared" si="31"/>
        <v>0.83</v>
      </c>
      <c r="I132" s="18" t="s">
        <v>73</v>
      </c>
      <c r="J132" s="337"/>
      <c r="K132" s="672">
        <f>A110*H132</f>
        <v>57.269999999999996</v>
      </c>
      <c r="L132" s="534"/>
      <c r="M132" s="458">
        <f t="shared" si="26"/>
        <v>20</v>
      </c>
      <c r="N132" s="458"/>
      <c r="O132" s="458" t="str">
        <f t="shared" si="28"/>
        <v/>
      </c>
      <c r="P132" s="21"/>
      <c r="Q132" s="506">
        <v>16</v>
      </c>
      <c r="R132" s="3" t="str">
        <v xml:space="preserve">CGKD0006  </v>
      </c>
      <c r="S132" s="44" t="str">
        <f t="shared" si="29"/>
        <v>ICE AMERICANO K-DRINK</v>
      </c>
      <c r="T132" s="3" t="str">
        <v>CKPKD004</v>
      </c>
      <c r="U132" s="44" t="str">
        <f t="shared" si="19"/>
        <v>KOREAN PEAR K-DRINK</v>
      </c>
      <c r="V132" s="45">
        <f t="shared" si="20"/>
        <v>0</v>
      </c>
      <c r="W132" s="747" t="s">
        <v>74</v>
      </c>
      <c r="X132" s="62">
        <v>1</v>
      </c>
      <c r="Y132" s="63">
        <v>0.1</v>
      </c>
      <c r="Z132" s="45">
        <f t="shared" si="23"/>
        <v>0</v>
      </c>
      <c r="AA132" s="65" t="s">
        <v>74</v>
      </c>
      <c r="AB132" t="s">
        <v>1291</v>
      </c>
      <c r="AC132" t="s">
        <v>1400</v>
      </c>
      <c r="AE132">
        <v>0</v>
      </c>
    </row>
    <row r="133" spans="1:31" x14ac:dyDescent="0.35">
      <c r="A133" s="535" t="str">
        <f t="shared" si="15"/>
        <v/>
      </c>
      <c r="B133" s="330"/>
      <c r="C133" s="330"/>
      <c r="D133" s="355"/>
      <c r="E133" s="355" t="s">
        <v>90</v>
      </c>
      <c r="F133" s="378">
        <v>50</v>
      </c>
      <c r="G133" s="378" t="s">
        <v>73</v>
      </c>
      <c r="H133" s="515"/>
      <c r="I133" s="378"/>
      <c r="J133" s="515"/>
      <c r="K133" s="674"/>
      <c r="L133" s="534"/>
      <c r="M133" s="458">
        <f t="shared" si="26"/>
        <v>16</v>
      </c>
      <c r="N133" s="458"/>
      <c r="O133" s="458" t="str">
        <f t="shared" si="28"/>
        <v/>
      </c>
      <c r="P133" s="21"/>
      <c r="Q133" s="506">
        <v>24</v>
      </c>
      <c r="R133" s="3" t="str">
        <v xml:space="preserve">CGKD0008  </v>
      </c>
      <c r="S133" s="44" t="str">
        <f t="shared" si="29"/>
        <v>STRAWBERRY K-DRINK</v>
      </c>
      <c r="T133" s="3" t="str">
        <v>CKPKD011</v>
      </c>
      <c r="U133" s="44" t="str">
        <f t="shared" si="19"/>
        <v>ICE AMERICANO K-DRINK</v>
      </c>
      <c r="V133" s="45">
        <f t="shared" si="20"/>
        <v>0</v>
      </c>
      <c r="W133" s="747" t="s">
        <v>74</v>
      </c>
      <c r="X133" s="62">
        <v>1</v>
      </c>
      <c r="Y133" s="63">
        <v>0.1</v>
      </c>
      <c r="Z133" s="45">
        <f t="shared" si="23"/>
        <v>0</v>
      </c>
      <c r="AA133" s="65" t="s">
        <v>74</v>
      </c>
      <c r="AB133" t="s">
        <v>1328</v>
      </c>
      <c r="AC133" t="s">
        <v>1436</v>
      </c>
      <c r="AE133">
        <v>0</v>
      </c>
    </row>
    <row r="134" spans="1:31" x14ac:dyDescent="0.35">
      <c r="A134" s="535" t="str">
        <f t="shared" si="15"/>
        <v/>
      </c>
      <c r="B134" s="337"/>
      <c r="C134" s="337"/>
      <c r="D134" s="417" t="s">
        <v>39</v>
      </c>
      <c r="E134" s="425" t="s">
        <v>20</v>
      </c>
      <c r="F134" s="18">
        <v>1000</v>
      </c>
      <c r="G134" s="18" t="s">
        <v>73</v>
      </c>
      <c r="H134" s="18">
        <f>ROUND(($F$133)*(($F$134)/(($F$137*($F$138/($F$138+$F$139)))+($F$137*($F$139/($F$138+$F$139)))+($F$134)+($F$135)+($F$136))),2)</f>
        <v>46.95</v>
      </c>
      <c r="I134" s="18" t="s">
        <v>73</v>
      </c>
      <c r="J134" s="337"/>
      <c r="K134" s="672">
        <f>A110*H134</f>
        <v>3239.55</v>
      </c>
      <c r="L134" s="534"/>
      <c r="M134" s="458">
        <f t="shared" si="26"/>
        <v>24</v>
      </c>
      <c r="N134" s="458"/>
      <c r="O134" s="458" t="str">
        <f t="shared" si="28"/>
        <v/>
      </c>
      <c r="P134" s="21"/>
      <c r="Q134" s="506">
        <v>244</v>
      </c>
      <c r="R134" s="3" t="str">
        <v xml:space="preserve">CGRD0004  </v>
      </c>
      <c r="S134" s="44" t="str">
        <f t="shared" si="29"/>
        <v>MINERAL WATER</v>
      </c>
      <c r="T134" s="3" t="str">
        <v>CKPKD005</v>
      </c>
      <c r="U134" s="44" t="str">
        <f t="shared" si="19"/>
        <v>STRAWBERRY K-DRINK</v>
      </c>
      <c r="V134" s="45">
        <f t="shared" si="20"/>
        <v>0</v>
      </c>
      <c r="W134" s="747" t="s">
        <v>74</v>
      </c>
      <c r="X134" s="62">
        <v>1</v>
      </c>
      <c r="Y134" s="63">
        <v>0.1</v>
      </c>
      <c r="Z134" s="45">
        <f t="shared" si="23"/>
        <v>0</v>
      </c>
      <c r="AA134" s="65" t="s">
        <v>74</v>
      </c>
      <c r="AB134" t="s">
        <v>1348</v>
      </c>
      <c r="AC134" t="s">
        <v>1523</v>
      </c>
      <c r="AE134">
        <v>0</v>
      </c>
    </row>
    <row r="135" spans="1:31" x14ac:dyDescent="0.35">
      <c r="A135" s="535" t="str">
        <f t="shared" si="15"/>
        <v/>
      </c>
      <c r="B135" s="330"/>
      <c r="C135" s="330"/>
      <c r="D135" s="417" t="s">
        <v>40</v>
      </c>
      <c r="E135" s="426" t="s">
        <v>21</v>
      </c>
      <c r="F135" s="22">
        <v>15</v>
      </c>
      <c r="G135" s="22" t="s">
        <v>73</v>
      </c>
      <c r="H135" s="328">
        <f>ROUND(($F$133)*(($F$135)/(($F$137*($F$138/($F$138+$F$139)))+($F$137*($F$139/($F$138+$F$139)))+($F$134)+($F$135)+($F$136))),2)</f>
        <v>0.7</v>
      </c>
      <c r="I135" s="22" t="s">
        <v>73</v>
      </c>
      <c r="J135" s="330"/>
      <c r="K135" s="673">
        <f>A110*H135</f>
        <v>48.3</v>
      </c>
      <c r="L135" s="534"/>
      <c r="M135" s="458">
        <f t="shared" si="26"/>
        <v>244</v>
      </c>
      <c r="N135" s="458"/>
      <c r="O135" s="458" t="str">
        <f t="shared" si="28"/>
        <v/>
      </c>
      <c r="P135" s="21"/>
      <c r="Q135" s="506">
        <v>35</v>
      </c>
      <c r="R135" s="3" t="str">
        <v xml:space="preserve">CGKD0009  </v>
      </c>
      <c r="S135" s="44" t="str">
        <f t="shared" si="29"/>
        <v>MANGO K-DRINK</v>
      </c>
      <c r="T135" s="3" t="str">
        <v>BRTD0002</v>
      </c>
      <c r="U135" s="44" t="str">
        <f t="shared" si="19"/>
        <v>MINERAL WATER</v>
      </c>
      <c r="V135" s="45">
        <f t="shared" si="20"/>
        <v>0</v>
      </c>
      <c r="W135" s="747" t="s">
        <v>74</v>
      </c>
      <c r="X135" s="62">
        <v>1</v>
      </c>
      <c r="Y135" s="63">
        <v>0.1</v>
      </c>
      <c r="Z135" s="45">
        <f t="shared" si="23"/>
        <v>0</v>
      </c>
      <c r="AA135" s="65" t="s">
        <v>74</v>
      </c>
      <c r="AB135" t="s">
        <v>1303</v>
      </c>
      <c r="AC135" t="s">
        <v>1409</v>
      </c>
      <c r="AE135">
        <v>0</v>
      </c>
    </row>
    <row r="136" spans="1:31" x14ac:dyDescent="0.35">
      <c r="A136" s="535" t="str">
        <f t="shared" si="15"/>
        <v/>
      </c>
      <c r="B136" s="337"/>
      <c r="C136" s="337"/>
      <c r="D136" s="417" t="s">
        <v>41</v>
      </c>
      <c r="E136" s="425" t="s">
        <v>22</v>
      </c>
      <c r="F136" s="18">
        <v>30</v>
      </c>
      <c r="G136" s="18" t="s">
        <v>73</v>
      </c>
      <c r="H136" s="335">
        <f>ROUND(($F$133)*(($F$136)/(($F$137*($F$138/($F$138+$F$139)))+($F$137*($F$139/($F$138+$F$139)))+($F$134)+($F$135)+($F$136))),2)</f>
        <v>1.41</v>
      </c>
      <c r="I136" s="18" t="s">
        <v>73</v>
      </c>
      <c r="J136" s="337"/>
      <c r="K136" s="672">
        <f>A110*H136</f>
        <v>97.289999999999992</v>
      </c>
      <c r="L136" s="534"/>
      <c r="M136" s="458">
        <f t="shared" si="26"/>
        <v>35</v>
      </c>
      <c r="N136" s="458"/>
      <c r="O136" s="458" t="str">
        <f t="shared" si="28"/>
        <v/>
      </c>
      <c r="P136" s="21"/>
      <c r="Q136" s="506">
        <v>50</v>
      </c>
      <c r="R136" s="3" t="str">
        <v xml:space="preserve">CGKD0010  </v>
      </c>
      <c r="S136" s="44" t="str">
        <f t="shared" si="29"/>
        <v>JEJU ORANGE K-DRINK</v>
      </c>
      <c r="T136" s="3" t="str">
        <v>CKPKD001</v>
      </c>
      <c r="U136" s="44" t="str">
        <f t="shared" si="19"/>
        <v>MANGO K-DRINK</v>
      </c>
      <c r="V136" s="45">
        <f t="shared" si="20"/>
        <v>0</v>
      </c>
      <c r="W136" s="747" t="s">
        <v>74</v>
      </c>
      <c r="X136" s="62">
        <v>1</v>
      </c>
      <c r="Y136" s="63">
        <v>0.1</v>
      </c>
      <c r="Z136" s="45">
        <f t="shared" si="23"/>
        <v>0</v>
      </c>
      <c r="AA136" s="65" t="s">
        <v>74</v>
      </c>
      <c r="AB136" t="s">
        <v>1264</v>
      </c>
      <c r="AC136" t="s">
        <v>1377</v>
      </c>
      <c r="AE136">
        <v>0</v>
      </c>
    </row>
    <row r="137" spans="1:31" x14ac:dyDescent="0.35">
      <c r="A137" s="535" t="str">
        <f t="shared" si="15"/>
        <v/>
      </c>
      <c r="B137" s="330"/>
      <c r="C137" s="330"/>
      <c r="D137" s="355"/>
      <c r="E137" s="416" t="s">
        <v>23</v>
      </c>
      <c r="F137" s="378">
        <v>20</v>
      </c>
      <c r="G137" s="378" t="s">
        <v>73</v>
      </c>
      <c r="H137" s="515"/>
      <c r="I137" s="378"/>
      <c r="J137" s="515"/>
      <c r="K137" s="674"/>
      <c r="L137" s="534"/>
      <c r="M137" s="458">
        <f t="shared" si="26"/>
        <v>50</v>
      </c>
      <c r="N137" s="458"/>
      <c r="O137" s="458" t="str">
        <f t="shared" si="28"/>
        <v/>
      </c>
      <c r="P137" s="21"/>
      <c r="Q137" s="506">
        <v>18</v>
      </c>
      <c r="R137" s="3" t="str">
        <v xml:space="preserve">CGKD0011  </v>
      </c>
      <c r="S137" s="44" t="str">
        <f t="shared" si="29"/>
        <v>HONEY YUJA K-DRINK</v>
      </c>
      <c r="T137" s="3" t="str">
        <v>CKPKD006</v>
      </c>
      <c r="U137" s="44" t="str">
        <f t="shared" si="19"/>
        <v>JEJU ORANGE K-DRINK</v>
      </c>
      <c r="V137" s="45">
        <f t="shared" si="20"/>
        <v>0</v>
      </c>
      <c r="W137" s="747" t="s">
        <v>74</v>
      </c>
      <c r="X137" s="62">
        <v>1</v>
      </c>
      <c r="Y137" s="63">
        <v>0.1</v>
      </c>
      <c r="Z137" s="45">
        <f t="shared" si="23"/>
        <v>0</v>
      </c>
      <c r="AA137" s="65" t="s">
        <v>74</v>
      </c>
      <c r="AB137" t="s">
        <v>1287</v>
      </c>
      <c r="AC137" t="s">
        <v>1396</v>
      </c>
      <c r="AE137">
        <v>0</v>
      </c>
    </row>
    <row r="138" spans="1:31" x14ac:dyDescent="0.35">
      <c r="A138" s="535" t="str">
        <f t="shared" si="15"/>
        <v/>
      </c>
      <c r="B138" s="337"/>
      <c r="C138" s="337"/>
      <c r="D138" s="326" t="s">
        <v>43</v>
      </c>
      <c r="E138" s="419" t="s">
        <v>24</v>
      </c>
      <c r="F138" s="18">
        <v>15</v>
      </c>
      <c r="G138" s="18" t="s">
        <v>73</v>
      </c>
      <c r="H138" s="18">
        <f>ROUND(($F$133)*(($F$137*($F$138/($F$138+$F$139)))
/(($F$137*($F$138/($F$138+$F$139)))+($F$137*($F$139/($F$138+$F$139)))+($F$134)+($F$135)+($F$136))),2)</f>
        <v>0.14000000000000001</v>
      </c>
      <c r="I138" s="18" t="s">
        <v>73</v>
      </c>
      <c r="J138" s="337"/>
      <c r="K138" s="672">
        <f>A110*H138</f>
        <v>9.66</v>
      </c>
      <c r="L138" s="534"/>
      <c r="M138" s="458">
        <f t="shared" si="26"/>
        <v>18</v>
      </c>
      <c r="N138" s="458"/>
      <c r="O138" s="458" t="str">
        <f t="shared" si="28"/>
        <v/>
      </c>
      <c r="P138" s="21"/>
      <c r="Q138" s="506">
        <v>19</v>
      </c>
      <c r="R138" s="3" t="str">
        <v xml:space="preserve">CGKD0012  </v>
      </c>
      <c r="S138" s="44" t="str">
        <f t="shared" si="29"/>
        <v>GRAPES (PURPLE GRAPES) K-DRINK</v>
      </c>
      <c r="T138" s="3" t="str">
        <v>CKPKD007</v>
      </c>
      <c r="U138" s="44" t="str">
        <f t="shared" si="19"/>
        <v>HONEY YUJA K-DRINK</v>
      </c>
      <c r="V138" s="45">
        <f t="shared" si="20"/>
        <v>0</v>
      </c>
      <c r="W138" s="747" t="s">
        <v>74</v>
      </c>
      <c r="X138" s="62">
        <v>1</v>
      </c>
      <c r="Y138" s="63">
        <v>0.1</v>
      </c>
      <c r="Z138" s="45">
        <f t="shared" si="23"/>
        <v>0</v>
      </c>
      <c r="AA138" s="65" t="s">
        <v>74</v>
      </c>
      <c r="AB138" t="s">
        <v>1287</v>
      </c>
      <c r="AC138" t="s">
        <v>1396</v>
      </c>
      <c r="AE138">
        <v>0</v>
      </c>
    </row>
    <row r="139" spans="1:31" x14ac:dyDescent="0.35">
      <c r="A139" s="535" t="str">
        <f t="shared" si="15"/>
        <v/>
      </c>
      <c r="B139" s="330"/>
      <c r="C139" s="330"/>
      <c r="D139" s="326" t="s">
        <v>42</v>
      </c>
      <c r="E139" s="475" t="s">
        <v>9</v>
      </c>
      <c r="F139" s="22">
        <v>85</v>
      </c>
      <c r="G139" s="22" t="s">
        <v>73</v>
      </c>
      <c r="H139" s="22">
        <f>ROUND(($F$133)*(($F$137*($F$139/($F$138+$F$139)))
/(($F$137*($F$138/($F$138+$F$139)))+($F$137*($F$139/($F$138+$F$139)))+($F$134)+($F$135)+($F$136))),2)</f>
        <v>0.8</v>
      </c>
      <c r="I139" s="22" t="s">
        <v>73</v>
      </c>
      <c r="J139" s="330"/>
      <c r="K139" s="673">
        <f>A110*H139</f>
        <v>55.2</v>
      </c>
      <c r="L139" s="534"/>
      <c r="M139" s="458">
        <f t="shared" si="26"/>
        <v>19</v>
      </c>
      <c r="N139" s="458"/>
      <c r="O139" s="458" t="str">
        <f t="shared" si="28"/>
        <v/>
      </c>
      <c r="P139" s="21"/>
      <c r="Q139" s="506">
        <v>58</v>
      </c>
      <c r="R139" s="3" t="str">
        <v xml:space="preserve">CGKD0015  </v>
      </c>
      <c r="S139" s="44" t="str">
        <f t="shared" si="29"/>
        <v>LYCHEE K-DRINK</v>
      </c>
      <c r="T139" s="3" t="str">
        <v>CKPKD009</v>
      </c>
      <c r="U139" s="44" t="str">
        <f t="shared" si="19"/>
        <v>GRAPES (PURPLE GRAPES) K-DRINK</v>
      </c>
      <c r="V139" s="45">
        <f t="shared" si="20"/>
        <v>0</v>
      </c>
      <c r="W139" s="747" t="s">
        <v>74</v>
      </c>
      <c r="X139" s="62">
        <v>1</v>
      </c>
      <c r="Y139" s="63">
        <v>0.1</v>
      </c>
      <c r="Z139" s="45">
        <f t="shared" si="23"/>
        <v>0</v>
      </c>
      <c r="AA139" s="65" t="s">
        <v>74</v>
      </c>
      <c r="AB139" t="s">
        <v>1262</v>
      </c>
      <c r="AC139" t="s">
        <v>1375</v>
      </c>
      <c r="AE139">
        <v>0</v>
      </c>
    </row>
    <row r="140" spans="1:31" x14ac:dyDescent="0.35">
      <c r="A140" s="535" t="str">
        <f t="shared" si="15"/>
        <v/>
      </c>
      <c r="B140" s="337"/>
      <c r="C140" s="337"/>
      <c r="D140" s="355"/>
      <c r="E140" s="355" t="s">
        <v>711</v>
      </c>
      <c r="F140" s="378">
        <v>80</v>
      </c>
      <c r="G140" s="378" t="s">
        <v>73</v>
      </c>
      <c r="H140" s="515"/>
      <c r="I140" s="378"/>
      <c r="J140" s="515"/>
      <c r="K140" s="674"/>
      <c r="L140" s="534"/>
      <c r="M140" s="458">
        <f t="shared" si="26"/>
        <v>58</v>
      </c>
      <c r="N140" s="458"/>
      <c r="O140" s="458" t="str">
        <f t="shared" si="28"/>
        <v/>
      </c>
      <c r="P140" s="21"/>
      <c r="T140" s="3" t="str">
        <v>CKPKD016</v>
      </c>
      <c r="U140" s="44" t="str">
        <f t="shared" si="19"/>
        <v>LYCHEE K-DRINK</v>
      </c>
      <c r="V140" s="45">
        <f t="shared" si="20"/>
        <v>0</v>
      </c>
      <c r="W140" s="747" t="s">
        <v>74</v>
      </c>
      <c r="X140" s="62">
        <v>1</v>
      </c>
      <c r="Y140" s="63">
        <v>0.1</v>
      </c>
      <c r="Z140" s="45">
        <f t="shared" si="23"/>
        <v>0</v>
      </c>
      <c r="AA140" s="65" t="s">
        <v>74</v>
      </c>
      <c r="AB140" t="s">
        <v>1267</v>
      </c>
      <c r="AC140" t="s">
        <v>1380</v>
      </c>
      <c r="AE140">
        <v>0</v>
      </c>
    </row>
    <row r="141" spans="1:31" x14ac:dyDescent="0.35">
      <c r="A141" s="535" t="str">
        <f t="shared" si="15"/>
        <v/>
      </c>
      <c r="B141" s="330"/>
      <c r="C141" s="330"/>
      <c r="D141" s="355"/>
      <c r="E141" s="416" t="s">
        <v>26</v>
      </c>
      <c r="F141" s="378">
        <v>1000</v>
      </c>
      <c r="G141" s="378" t="s">
        <v>73</v>
      </c>
      <c r="H141" s="515"/>
      <c r="I141" s="378"/>
      <c r="J141" s="515"/>
      <c r="K141" s="674"/>
      <c r="L141" s="534"/>
      <c r="M141" s="458" t="str">
        <f t="shared" si="26"/>
        <v/>
      </c>
      <c r="N141" s="458"/>
      <c r="O141" s="458" t="str">
        <f t="shared" si="28"/>
        <v/>
      </c>
      <c r="P141" s="21"/>
      <c r="U141" s="44" t="str">
        <f t="shared" si="19"/>
        <v/>
      </c>
      <c r="V141" s="45" t="str">
        <f t="shared" si="20"/>
        <v/>
      </c>
      <c r="AB141" t="s">
        <v>1362</v>
      </c>
      <c r="AC141" t="s">
        <v>1468</v>
      </c>
      <c r="AE141">
        <v>0</v>
      </c>
    </row>
    <row r="142" spans="1:31" x14ac:dyDescent="0.35">
      <c r="A142" s="535" t="str">
        <f t="shared" si="15"/>
        <v/>
      </c>
      <c r="B142" s="337"/>
      <c r="C142" s="337"/>
      <c r="D142" s="326" t="s">
        <v>60</v>
      </c>
      <c r="E142" s="360" t="s">
        <v>121</v>
      </c>
      <c r="F142" s="18">
        <v>1000</v>
      </c>
      <c r="G142" s="18" t="s">
        <v>73</v>
      </c>
      <c r="H142" s="18">
        <f>ROUND(($F$140)*((($F$141)*(($F$142)/($F$142+$F$144)))
/((($F$141)*(($F$142)/($F$142+$F$144)))+(($F$141)*(($F$144)/($F$142+$F$144)))
+($F$146)+($F$145))),2)</f>
        <v>53.57</v>
      </c>
      <c r="I142" s="18" t="s">
        <v>73</v>
      </c>
      <c r="J142" s="337"/>
      <c r="K142" s="672">
        <f>A110*H142</f>
        <v>3696.33</v>
      </c>
      <c r="L142" s="534"/>
      <c r="M142" s="458" t="str">
        <f t="shared" si="26"/>
        <v/>
      </c>
      <c r="N142" s="458"/>
      <c r="O142" s="458" t="str">
        <f t="shared" si="28"/>
        <v/>
      </c>
      <c r="P142" s="21"/>
      <c r="U142" s="44" t="str">
        <f t="shared" si="19"/>
        <v/>
      </c>
      <c r="V142" s="45" t="str">
        <f t="shared" si="20"/>
        <v/>
      </c>
      <c r="AB142" t="s">
        <v>1366</v>
      </c>
      <c r="AC142" t="s">
        <v>1471</v>
      </c>
      <c r="AE142">
        <v>0</v>
      </c>
    </row>
    <row r="143" spans="1:31" x14ac:dyDescent="0.35">
      <c r="A143" s="535" t="str">
        <f t="shared" si="15"/>
        <v/>
      </c>
      <c r="B143" s="330"/>
      <c r="C143" s="330"/>
      <c r="D143" s="342"/>
      <c r="E143" s="362" t="s">
        <v>81</v>
      </c>
      <c r="F143" s="404">
        <v>400</v>
      </c>
      <c r="G143" s="404" t="s">
        <v>73</v>
      </c>
      <c r="H143" s="345"/>
      <c r="I143" s="404"/>
      <c r="J143" s="345"/>
      <c r="K143" s="675"/>
      <c r="L143" s="534"/>
      <c r="M143" s="458" t="str">
        <f t="shared" si="26"/>
        <v/>
      </c>
      <c r="N143" s="458"/>
      <c r="O143" s="458" t="str">
        <f t="shared" si="28"/>
        <v/>
      </c>
      <c r="P143" s="21"/>
      <c r="U143" s="44" t="str">
        <f t="shared" si="19"/>
        <v/>
      </c>
      <c r="V143" s="45" t="str">
        <f t="shared" si="20"/>
        <v/>
      </c>
      <c r="AB143" t="s">
        <v>1274</v>
      </c>
      <c r="AC143" t="s">
        <v>1386</v>
      </c>
      <c r="AE143">
        <v>0</v>
      </c>
    </row>
    <row r="144" spans="1:31" x14ac:dyDescent="0.35">
      <c r="A144" s="535" t="str">
        <f t="shared" si="15"/>
        <v/>
      </c>
      <c r="B144" s="337"/>
      <c r="C144" s="337"/>
      <c r="D144" s="326" t="s">
        <v>43</v>
      </c>
      <c r="E144" s="360" t="s">
        <v>8</v>
      </c>
      <c r="F144" s="18">
        <v>30</v>
      </c>
      <c r="G144" s="18" t="s">
        <v>73</v>
      </c>
      <c r="H144" s="18">
        <f>ROUND(($F$140)*((($F$141)*(($F$144)/($F$142+$F$144)))
/((($F$141)*(($F$142)/($F$142+$F$144)))+(($F$141)*(($F$144)/($F$142+$F$144)))
+($F$146)+($F$145))),2)</f>
        <v>1.61</v>
      </c>
      <c r="I144" s="18" t="s">
        <v>73</v>
      </c>
      <c r="J144" s="337"/>
      <c r="K144" s="672">
        <f>A110*H144</f>
        <v>111.09</v>
      </c>
      <c r="L144" s="534"/>
      <c r="M144" s="458" t="str">
        <f t="shared" si="26"/>
        <v/>
      </c>
      <c r="N144" s="458"/>
      <c r="O144" s="458" t="str">
        <f t="shared" si="28"/>
        <v/>
      </c>
      <c r="P144" s="21"/>
      <c r="U144" s="44" t="str">
        <f t="shared" si="19"/>
        <v/>
      </c>
      <c r="V144" s="45" t="str">
        <f t="shared" si="20"/>
        <v/>
      </c>
      <c r="AB144" t="s">
        <v>1283</v>
      </c>
      <c r="AC144" t="s">
        <v>885</v>
      </c>
      <c r="AE144">
        <v>0</v>
      </c>
    </row>
    <row r="145" spans="1:31" x14ac:dyDescent="0.35">
      <c r="A145" s="535" t="str">
        <f t="shared" ref="A145:A208" si="32">IFERROR(INDEX($Q$17:$Q$41,MATCH(B145,$R$17:$R$41, 0)), "")</f>
        <v/>
      </c>
      <c r="B145" s="330"/>
      <c r="C145" s="330"/>
      <c r="D145" s="326" t="s">
        <v>48</v>
      </c>
      <c r="E145" s="426" t="s">
        <v>91</v>
      </c>
      <c r="F145" s="22">
        <v>100</v>
      </c>
      <c r="G145" s="22" t="s">
        <v>73</v>
      </c>
      <c r="H145" s="22">
        <f>ROUND(($F$140)*(($F$145)/((($F$141)*(($F$142)/($F$142+$F$144)))+(($F$141)*(($F$144)/($F$142+$F$144)))
+($F$146)+($F$145))),2)</f>
        <v>5.52</v>
      </c>
      <c r="I145" s="22" t="s">
        <v>73</v>
      </c>
      <c r="J145" s="330"/>
      <c r="K145" s="673">
        <f>A110*H145</f>
        <v>380.88</v>
      </c>
      <c r="L145" s="534"/>
      <c r="M145" s="458" t="str">
        <f t="shared" ref="M145:M208" si="33">IF(Q144&gt;0, Q144, "")</f>
        <v/>
      </c>
      <c r="N145" s="458"/>
      <c r="O145" s="458" t="str">
        <f t="shared" ref="O145:O208" si="34">IF(V145&gt;0, V145, "")</f>
        <v/>
      </c>
      <c r="P145" s="21"/>
      <c r="U145" s="44" t="str">
        <f t="shared" ref="U145:U208" si="35">IF(T145="","", IF(INDEX(E$17:E$3406, MATCH(T145, D$17:D$3406, 0))=0,"", INDEX(E$17:E$3406, MATCH(T145, D$17:D$3406, 0))))</f>
        <v/>
      </c>
      <c r="V145" s="45" t="str">
        <f t="shared" ref="V145:V208" si="36">IF(T145="","", SUMIFS(K$17:K$3406, D$17:D$3406, T145))</f>
        <v/>
      </c>
      <c r="AB145" t="s">
        <v>1299</v>
      </c>
      <c r="AC145" t="s">
        <v>1207</v>
      </c>
      <c r="AE145">
        <v>0</v>
      </c>
    </row>
    <row r="146" spans="1:31" x14ac:dyDescent="0.35">
      <c r="A146" s="535" t="str">
        <f t="shared" si="32"/>
        <v/>
      </c>
      <c r="B146" s="337"/>
      <c r="C146" s="337"/>
      <c r="D146" s="326" t="s">
        <v>59</v>
      </c>
      <c r="E146" s="425" t="s">
        <v>27</v>
      </c>
      <c r="F146" s="18">
        <v>350</v>
      </c>
      <c r="G146" s="18" t="s">
        <v>73</v>
      </c>
      <c r="H146" s="18">
        <f>ROUND(($F$140)*(($F$146)/((($F$141)*(($F$142)/($F$142+$F$144)))+(($F$141)*(($F$144)/($F$142+$F$144)))
+($F$146)+($F$145))),2)</f>
        <v>19.309999999999999</v>
      </c>
      <c r="I146" s="18" t="s">
        <v>73</v>
      </c>
      <c r="J146" s="337"/>
      <c r="K146" s="672">
        <f>A110*H146</f>
        <v>1332.3899999999999</v>
      </c>
      <c r="L146" s="534"/>
      <c r="M146" s="458" t="str">
        <f t="shared" si="33"/>
        <v/>
      </c>
      <c r="N146" s="458"/>
      <c r="O146" s="458" t="str">
        <f t="shared" si="34"/>
        <v/>
      </c>
      <c r="P146" s="21"/>
      <c r="U146" s="44" t="str">
        <f t="shared" si="35"/>
        <v/>
      </c>
      <c r="V146" s="45" t="str">
        <f t="shared" si="36"/>
        <v/>
      </c>
      <c r="AB146" t="s">
        <v>1307</v>
      </c>
      <c r="AC146" t="s">
        <v>1416</v>
      </c>
      <c r="AE146">
        <v>0</v>
      </c>
    </row>
    <row r="147" spans="1:31" x14ac:dyDescent="0.35">
      <c r="A147" s="535" t="str">
        <f t="shared" si="32"/>
        <v/>
      </c>
      <c r="B147" s="330"/>
      <c r="C147" s="330"/>
      <c r="D147" s="355"/>
      <c r="E147" s="355" t="s">
        <v>33</v>
      </c>
      <c r="F147" s="378">
        <v>0.3</v>
      </c>
      <c r="G147" s="378" t="s">
        <v>73</v>
      </c>
      <c r="H147" s="515"/>
      <c r="I147" s="378"/>
      <c r="J147" s="515"/>
      <c r="K147" s="674"/>
      <c r="L147" s="534"/>
      <c r="M147" s="458" t="str">
        <f t="shared" si="33"/>
        <v/>
      </c>
      <c r="N147" s="458"/>
      <c r="O147" s="458" t="str">
        <f t="shared" si="34"/>
        <v/>
      </c>
      <c r="P147" s="21"/>
      <c r="U147" s="44" t="str">
        <f t="shared" si="35"/>
        <v/>
      </c>
      <c r="V147" s="45" t="str">
        <f t="shared" si="36"/>
        <v/>
      </c>
      <c r="AB147" t="s">
        <v>1530</v>
      </c>
      <c r="AC147" t="s">
        <v>1531</v>
      </c>
      <c r="AE147">
        <v>0</v>
      </c>
    </row>
    <row r="148" spans="1:31" x14ac:dyDescent="0.35">
      <c r="A148" s="535" t="str">
        <f t="shared" si="32"/>
        <v/>
      </c>
      <c r="B148" s="337"/>
      <c r="C148" s="337"/>
      <c r="D148" s="326" t="s">
        <v>52</v>
      </c>
      <c r="E148" s="425" t="s">
        <v>11</v>
      </c>
      <c r="F148" s="18">
        <v>5</v>
      </c>
      <c r="G148" s="18" t="s">
        <v>73</v>
      </c>
      <c r="H148" s="18">
        <f>ROUND(($F$147)*(($F$148)/((($F$149)*(($F$150)/($F$150+$F$151)))+(($F$149)*(($F$151)/($F$150+$F$151)))
+($F$148))),2)</f>
        <v>0.06</v>
      </c>
      <c r="I148" s="18" t="s">
        <v>73</v>
      </c>
      <c r="J148" s="337"/>
      <c r="K148" s="672">
        <f>A110*H148</f>
        <v>4.1399999999999997</v>
      </c>
      <c r="L148" s="534"/>
      <c r="M148" s="458" t="str">
        <f t="shared" si="33"/>
        <v/>
      </c>
      <c r="N148" s="458"/>
      <c r="O148" s="458" t="str">
        <f t="shared" si="34"/>
        <v/>
      </c>
      <c r="P148" s="21"/>
      <c r="U148" s="44" t="str">
        <f t="shared" si="35"/>
        <v/>
      </c>
      <c r="V148" s="45" t="str">
        <f t="shared" si="36"/>
        <v/>
      </c>
      <c r="AB148" t="s">
        <v>1338</v>
      </c>
      <c r="AC148" t="s">
        <v>1446</v>
      </c>
      <c r="AE148">
        <v>0</v>
      </c>
    </row>
    <row r="149" spans="1:31" x14ac:dyDescent="0.35">
      <c r="A149" s="535" t="str">
        <f t="shared" si="32"/>
        <v/>
      </c>
      <c r="B149" s="330"/>
      <c r="C149" s="330"/>
      <c r="D149" s="355"/>
      <c r="E149" s="416" t="s">
        <v>23</v>
      </c>
      <c r="F149" s="378">
        <v>20</v>
      </c>
      <c r="G149" s="378" t="s">
        <v>73</v>
      </c>
      <c r="H149" s="515"/>
      <c r="I149" s="378"/>
      <c r="J149" s="515"/>
      <c r="K149" s="674"/>
      <c r="L149" s="534"/>
      <c r="M149" s="458" t="str">
        <f t="shared" si="33"/>
        <v/>
      </c>
      <c r="N149" s="458"/>
      <c r="O149" s="458" t="str">
        <f t="shared" si="34"/>
        <v/>
      </c>
      <c r="P149" s="21"/>
      <c r="U149" s="44" t="str">
        <f t="shared" si="35"/>
        <v/>
      </c>
      <c r="V149" s="45" t="str">
        <f t="shared" si="36"/>
        <v/>
      </c>
      <c r="AB149" t="s">
        <v>1359</v>
      </c>
      <c r="AC149" t="s">
        <v>1465</v>
      </c>
      <c r="AE149">
        <v>0</v>
      </c>
    </row>
    <row r="150" spans="1:31" x14ac:dyDescent="0.35">
      <c r="A150" s="535" t="str">
        <f t="shared" si="32"/>
        <v/>
      </c>
      <c r="B150" s="337"/>
      <c r="C150" s="337"/>
      <c r="D150" s="326" t="s">
        <v>43</v>
      </c>
      <c r="E150" s="360" t="s">
        <v>8</v>
      </c>
      <c r="F150" s="18">
        <v>15</v>
      </c>
      <c r="G150" s="18" t="s">
        <v>73</v>
      </c>
      <c r="H150" s="18">
        <f>ROUND(($F$147)*((($F$149)*(($F$150)/($F$150+$F$151)))/((($F$149)*(($F$150)/($F$150+$F$151)))+(($F$149)*(($F$151)/($F$150+$F$151)))
+($F$148))),2)</f>
        <v>0.04</v>
      </c>
      <c r="I150" s="18" t="s">
        <v>73</v>
      </c>
      <c r="J150" s="337"/>
      <c r="K150" s="672">
        <f>A110*H150</f>
        <v>2.7600000000000002</v>
      </c>
      <c r="L150" s="534"/>
      <c r="M150" s="458" t="str">
        <f t="shared" si="33"/>
        <v/>
      </c>
      <c r="N150" s="458"/>
      <c r="O150" s="458" t="str">
        <f t="shared" si="34"/>
        <v/>
      </c>
      <c r="P150" s="21"/>
      <c r="U150" s="44" t="str">
        <f t="shared" si="35"/>
        <v/>
      </c>
      <c r="V150" s="45" t="str">
        <f t="shared" si="36"/>
        <v/>
      </c>
      <c r="AB150" t="s">
        <v>1369</v>
      </c>
      <c r="AC150" t="s">
        <v>1474</v>
      </c>
      <c r="AE150">
        <v>0</v>
      </c>
    </row>
    <row r="151" spans="1:31" x14ac:dyDescent="0.35">
      <c r="A151" s="535" t="str">
        <f t="shared" si="32"/>
        <v/>
      </c>
      <c r="B151" s="330"/>
      <c r="C151" s="330"/>
      <c r="D151" s="326" t="s">
        <v>42</v>
      </c>
      <c r="E151" s="366" t="s">
        <v>9</v>
      </c>
      <c r="F151" s="22">
        <v>85</v>
      </c>
      <c r="G151" s="22" t="s">
        <v>73</v>
      </c>
      <c r="H151" s="22">
        <f>ROUND(($F$147)*((($F$149)*(($F$151)/($F$150+$F$151)))/((($F$149)*(($F$150)/($F$150+$F$151)))+(($F$149)*(($F$151)/($F$150+$F$151)))
+($F$148))),2)</f>
        <v>0.2</v>
      </c>
      <c r="I151" s="22" t="s">
        <v>73</v>
      </c>
      <c r="J151" s="330"/>
      <c r="K151" s="673">
        <f>A110*H151</f>
        <v>13.8</v>
      </c>
      <c r="L151" s="534"/>
      <c r="M151" s="458" t="str">
        <f t="shared" si="33"/>
        <v/>
      </c>
      <c r="N151" s="458"/>
      <c r="O151" s="458" t="str">
        <f t="shared" si="34"/>
        <v/>
      </c>
      <c r="P151" s="21"/>
      <c r="U151" s="44" t="str">
        <f t="shared" si="35"/>
        <v/>
      </c>
      <c r="V151" s="45" t="str">
        <f t="shared" si="36"/>
        <v/>
      </c>
      <c r="AB151" t="s">
        <v>1371</v>
      </c>
      <c r="AC151" t="s">
        <v>1476</v>
      </c>
      <c r="AE151">
        <v>0</v>
      </c>
    </row>
    <row r="152" spans="1:31" ht="15" thickBot="1" x14ac:dyDescent="0.4">
      <c r="A152" s="535" t="str">
        <f t="shared" si="32"/>
        <v/>
      </c>
      <c r="B152" s="337"/>
      <c r="C152" s="337"/>
      <c r="D152" s="326" t="s">
        <v>129</v>
      </c>
      <c r="E152" s="536" t="s">
        <v>713</v>
      </c>
      <c r="F152" s="18">
        <v>20</v>
      </c>
      <c r="G152" s="18" t="s">
        <v>73</v>
      </c>
      <c r="H152" s="18">
        <v>20</v>
      </c>
      <c r="I152" s="18" t="s">
        <v>73</v>
      </c>
      <c r="J152" s="337"/>
      <c r="K152" s="672">
        <f>A110*H152</f>
        <v>1380</v>
      </c>
      <c r="L152" s="534"/>
      <c r="M152" s="458" t="str">
        <f t="shared" si="33"/>
        <v/>
      </c>
      <c r="N152" s="458"/>
      <c r="O152" s="458" t="str">
        <f t="shared" si="34"/>
        <v/>
      </c>
      <c r="P152" s="21"/>
      <c r="U152" s="44" t="str">
        <f t="shared" si="35"/>
        <v/>
      </c>
      <c r="V152" s="45" t="str">
        <f t="shared" si="36"/>
        <v/>
      </c>
      <c r="AB152" t="s">
        <v>1262</v>
      </c>
      <c r="AC152" t="s">
        <v>1375</v>
      </c>
      <c r="AE152">
        <v>0</v>
      </c>
    </row>
    <row r="153" spans="1:31" ht="15.5" thickTop="1" thickBot="1" x14ac:dyDescent="0.4">
      <c r="A153" s="545" t="str">
        <f t="shared" si="32"/>
        <v/>
      </c>
      <c r="B153" s="546"/>
      <c r="C153" s="546"/>
      <c r="D153" s="547"/>
      <c r="E153" s="546"/>
      <c r="F153" s="550"/>
      <c r="G153" s="546"/>
      <c r="H153" s="546"/>
      <c r="I153" s="546"/>
      <c r="J153" s="546"/>
      <c r="K153" s="676"/>
      <c r="L153" s="535"/>
      <c r="M153" s="552" t="str">
        <f t="shared" si="33"/>
        <v/>
      </c>
      <c r="N153" s="552"/>
      <c r="O153" s="552" t="str">
        <f t="shared" si="34"/>
        <v/>
      </c>
      <c r="P153" s="39"/>
      <c r="U153" s="44" t="str">
        <f t="shared" si="35"/>
        <v/>
      </c>
      <c r="V153" s="45" t="str">
        <f t="shared" si="36"/>
        <v/>
      </c>
      <c r="AB153" t="s">
        <v>1293</v>
      </c>
      <c r="AC153" t="s">
        <v>1402</v>
      </c>
      <c r="AE153">
        <v>0</v>
      </c>
    </row>
    <row r="154" spans="1:31" ht="15" thickTop="1" x14ac:dyDescent="0.35">
      <c r="A154" s="76">
        <f>IFERROR(INDEX($Q$17:$Q$150,MATCH(B154,$R$17:$R$150, 0)), "")</f>
        <v>49</v>
      </c>
      <c r="B154" s="382" t="s">
        <v>1295</v>
      </c>
      <c r="C154" s="7" t="s">
        <v>34</v>
      </c>
      <c r="D154" s="347" t="s">
        <v>61</v>
      </c>
      <c r="E154" s="551" t="s">
        <v>706</v>
      </c>
      <c r="F154" s="6">
        <v>225</v>
      </c>
      <c r="G154" s="6" t="s">
        <v>73</v>
      </c>
      <c r="H154" s="6">
        <v>225</v>
      </c>
      <c r="I154" s="6" t="s">
        <v>73</v>
      </c>
      <c r="J154" s="5"/>
      <c r="K154" s="678">
        <f>A154*H154</f>
        <v>11025</v>
      </c>
      <c r="L154" s="534"/>
      <c r="M154" s="458" t="str">
        <f t="shared" si="33"/>
        <v/>
      </c>
      <c r="N154" s="458"/>
      <c r="O154" s="458" t="str">
        <f t="shared" si="34"/>
        <v/>
      </c>
      <c r="P154" s="40"/>
      <c r="U154" s="44" t="str">
        <f t="shared" si="35"/>
        <v/>
      </c>
      <c r="V154" s="45" t="str">
        <f t="shared" si="36"/>
        <v/>
      </c>
      <c r="AB154" t="s">
        <v>1349</v>
      </c>
      <c r="AC154" t="s">
        <v>1456</v>
      </c>
      <c r="AE154">
        <v>0</v>
      </c>
    </row>
    <row r="155" spans="1:31" x14ac:dyDescent="0.35">
      <c r="A155" s="535" t="str">
        <f t="shared" si="32"/>
        <v/>
      </c>
      <c r="B155" s="330"/>
      <c r="C155" s="330"/>
      <c r="D155" s="326" t="s">
        <v>53</v>
      </c>
      <c r="E155" s="327" t="s">
        <v>116</v>
      </c>
      <c r="F155" s="22">
        <v>50</v>
      </c>
      <c r="G155" s="22" t="s">
        <v>73</v>
      </c>
      <c r="H155" s="22">
        <v>50</v>
      </c>
      <c r="I155" s="22" t="s">
        <v>73</v>
      </c>
      <c r="J155" s="330"/>
      <c r="K155" s="673">
        <f>A154*H155</f>
        <v>2450</v>
      </c>
      <c r="L155" s="534"/>
      <c r="M155" s="458" t="str">
        <f t="shared" si="33"/>
        <v/>
      </c>
      <c r="N155" s="458"/>
      <c r="O155" s="458" t="str">
        <f t="shared" si="34"/>
        <v/>
      </c>
      <c r="P155" s="21"/>
      <c r="U155" s="44" t="str">
        <f t="shared" si="35"/>
        <v/>
      </c>
      <c r="V155" s="45" t="str">
        <f t="shared" si="36"/>
        <v/>
      </c>
      <c r="AB155" t="s">
        <v>1260</v>
      </c>
      <c r="AC155" t="s">
        <v>1373</v>
      </c>
      <c r="AE155">
        <v>0</v>
      </c>
    </row>
    <row r="156" spans="1:31" x14ac:dyDescent="0.35">
      <c r="A156" s="535" t="str">
        <f t="shared" si="32"/>
        <v/>
      </c>
      <c r="B156" s="337"/>
      <c r="C156" s="337"/>
      <c r="D156" s="326" t="s">
        <v>48</v>
      </c>
      <c r="E156" s="334" t="s">
        <v>91</v>
      </c>
      <c r="F156" s="18">
        <v>55</v>
      </c>
      <c r="G156" s="18" t="s">
        <v>73</v>
      </c>
      <c r="H156" s="18">
        <v>55</v>
      </c>
      <c r="I156" s="18" t="s">
        <v>73</v>
      </c>
      <c r="J156" s="337"/>
      <c r="K156" s="672">
        <f>A154*H156</f>
        <v>2695</v>
      </c>
      <c r="L156" s="534"/>
      <c r="M156" s="458" t="str">
        <f t="shared" si="33"/>
        <v/>
      </c>
      <c r="N156" s="458"/>
      <c r="O156" s="458" t="str">
        <f t="shared" si="34"/>
        <v/>
      </c>
      <c r="P156" s="21"/>
      <c r="U156" s="44" t="str">
        <f t="shared" si="35"/>
        <v/>
      </c>
      <c r="V156" s="45" t="str">
        <f t="shared" si="36"/>
        <v/>
      </c>
      <c r="AB156" t="s">
        <v>1026</v>
      </c>
      <c r="AC156" t="s">
        <v>1412</v>
      </c>
      <c r="AE156">
        <v>0</v>
      </c>
    </row>
    <row r="157" spans="1:31" x14ac:dyDescent="0.35">
      <c r="A157" s="535" t="str">
        <f t="shared" si="32"/>
        <v/>
      </c>
      <c r="B157" s="330"/>
      <c r="C157" s="330"/>
      <c r="D157" s="326" t="s">
        <v>54</v>
      </c>
      <c r="E157" s="327" t="s">
        <v>113</v>
      </c>
      <c r="F157" s="22">
        <v>70</v>
      </c>
      <c r="G157" s="22" t="s">
        <v>73</v>
      </c>
      <c r="H157" s="22">
        <v>70</v>
      </c>
      <c r="I157" s="22" t="s">
        <v>73</v>
      </c>
      <c r="J157" s="330"/>
      <c r="K157" s="673">
        <f>A154*H157</f>
        <v>3430</v>
      </c>
      <c r="L157" s="534"/>
      <c r="M157" s="458" t="str">
        <f t="shared" si="33"/>
        <v/>
      </c>
      <c r="N157" s="458"/>
      <c r="O157" s="458" t="str">
        <f t="shared" si="34"/>
        <v/>
      </c>
      <c r="P157" s="21"/>
      <c r="U157" s="44" t="str">
        <f t="shared" si="35"/>
        <v/>
      </c>
      <c r="V157" s="45" t="str">
        <f t="shared" si="36"/>
        <v/>
      </c>
      <c r="AB157" t="s">
        <v>1312</v>
      </c>
      <c r="AC157" t="s">
        <v>1421</v>
      </c>
      <c r="AE157">
        <v>0</v>
      </c>
    </row>
    <row r="158" spans="1:31" x14ac:dyDescent="0.35">
      <c r="A158" s="535" t="str">
        <f t="shared" si="32"/>
        <v/>
      </c>
      <c r="B158" s="337"/>
      <c r="C158" s="337"/>
      <c r="D158" s="326" t="s">
        <v>55</v>
      </c>
      <c r="E158" s="334" t="s">
        <v>110</v>
      </c>
      <c r="F158" s="18">
        <v>0.2</v>
      </c>
      <c r="G158" s="18" t="s">
        <v>73</v>
      </c>
      <c r="H158" s="18">
        <v>0.2</v>
      </c>
      <c r="I158" s="18" t="s">
        <v>73</v>
      </c>
      <c r="J158" s="337"/>
      <c r="K158" s="672">
        <f>A154*H158</f>
        <v>9.8000000000000007</v>
      </c>
      <c r="L158" s="534"/>
      <c r="M158" s="458" t="str">
        <f t="shared" si="33"/>
        <v/>
      </c>
      <c r="N158" s="458"/>
      <c r="O158" s="458" t="str">
        <f t="shared" si="34"/>
        <v/>
      </c>
      <c r="P158" s="21"/>
      <c r="U158" s="44" t="str">
        <f t="shared" si="35"/>
        <v/>
      </c>
      <c r="V158" s="45" t="str">
        <f t="shared" si="36"/>
        <v/>
      </c>
      <c r="AB158" t="s">
        <v>1343</v>
      </c>
      <c r="AC158" t="s">
        <v>1451</v>
      </c>
      <c r="AE158">
        <v>0</v>
      </c>
    </row>
    <row r="159" spans="1:31" x14ac:dyDescent="0.35">
      <c r="A159" s="535" t="str">
        <f t="shared" si="32"/>
        <v/>
      </c>
      <c r="B159" s="330"/>
      <c r="C159" s="330"/>
      <c r="D159" s="326" t="s">
        <v>56</v>
      </c>
      <c r="E159" s="327" t="s">
        <v>79</v>
      </c>
      <c r="F159" s="22">
        <v>8</v>
      </c>
      <c r="G159" s="22" t="s">
        <v>74</v>
      </c>
      <c r="H159" s="22">
        <v>8</v>
      </c>
      <c r="I159" s="22" t="s">
        <v>74</v>
      </c>
      <c r="J159" s="330"/>
      <c r="K159" s="673">
        <f>A154*H159</f>
        <v>392</v>
      </c>
      <c r="L159" s="534"/>
      <c r="M159" s="458" t="str">
        <f t="shared" si="33"/>
        <v/>
      </c>
      <c r="N159" s="458"/>
      <c r="O159" s="458" t="str">
        <f t="shared" si="34"/>
        <v/>
      </c>
      <c r="P159" s="21"/>
      <c r="U159" s="44" t="str">
        <f t="shared" si="35"/>
        <v/>
      </c>
      <c r="V159" s="45" t="str">
        <f t="shared" si="36"/>
        <v/>
      </c>
      <c r="AB159" t="s">
        <v>1356</v>
      </c>
      <c r="AC159" t="s">
        <v>1462</v>
      </c>
      <c r="AE159">
        <v>0</v>
      </c>
    </row>
    <row r="160" spans="1:31" x14ac:dyDescent="0.35">
      <c r="A160" s="535" t="str">
        <f t="shared" si="32"/>
        <v/>
      </c>
      <c r="B160" s="337"/>
      <c r="C160" s="337"/>
      <c r="D160" s="355"/>
      <c r="E160" s="355" t="s">
        <v>5</v>
      </c>
      <c r="F160" s="378">
        <v>50</v>
      </c>
      <c r="G160" s="378" t="s">
        <v>73</v>
      </c>
      <c r="H160" s="515"/>
      <c r="I160" s="378"/>
      <c r="J160" s="515"/>
      <c r="K160" s="674"/>
      <c r="L160" s="534"/>
      <c r="M160" s="458" t="str">
        <f t="shared" si="33"/>
        <v/>
      </c>
      <c r="N160" s="458"/>
      <c r="O160" s="458" t="str">
        <f t="shared" si="34"/>
        <v/>
      </c>
      <c r="P160" s="21"/>
      <c r="U160" s="44" t="str">
        <f t="shared" si="35"/>
        <v/>
      </c>
      <c r="V160" s="45" t="str">
        <f t="shared" si="36"/>
        <v/>
      </c>
      <c r="AB160" t="s">
        <v>1262</v>
      </c>
      <c r="AC160" t="s">
        <v>1375</v>
      </c>
      <c r="AE160">
        <v>0</v>
      </c>
    </row>
    <row r="161" spans="1:31" x14ac:dyDescent="0.35">
      <c r="A161" s="535" t="str">
        <f t="shared" si="32"/>
        <v/>
      </c>
      <c r="B161" s="330"/>
      <c r="C161" s="330"/>
      <c r="D161" s="326" t="s">
        <v>57</v>
      </c>
      <c r="E161" s="380" t="s">
        <v>6</v>
      </c>
      <c r="F161" s="22">
        <v>100</v>
      </c>
      <c r="G161" s="22" t="s">
        <v>73</v>
      </c>
      <c r="H161" s="328">
        <f>ROUND(($F$160)*(($F$161)/((($F$163)*(($F$164)/($F$164+$F$165)))+(($F$163)*(($F$165)/($F$164+$F$165)))
+($F$161)+($F$162))),2)</f>
        <v>48.08</v>
      </c>
      <c r="I161" s="22" t="s">
        <v>73</v>
      </c>
      <c r="J161" s="330"/>
      <c r="K161" s="673">
        <f>A154*H161</f>
        <v>2355.92</v>
      </c>
      <c r="L161" s="534"/>
      <c r="M161" s="458" t="str">
        <f t="shared" si="33"/>
        <v/>
      </c>
      <c r="N161" s="458"/>
      <c r="O161" s="458" t="str">
        <f t="shared" si="34"/>
        <v/>
      </c>
      <c r="P161" s="21"/>
      <c r="U161" s="44" t="str">
        <f t="shared" si="35"/>
        <v/>
      </c>
      <c r="V161" s="45" t="str">
        <f t="shared" si="36"/>
        <v/>
      </c>
      <c r="AB161" t="s">
        <v>1290</v>
      </c>
      <c r="AC161" t="s">
        <v>1399</v>
      </c>
      <c r="AE161">
        <v>0</v>
      </c>
    </row>
    <row r="162" spans="1:31" x14ac:dyDescent="0.35">
      <c r="A162" s="535" t="str">
        <f t="shared" si="32"/>
        <v/>
      </c>
      <c r="B162" s="337"/>
      <c r="C162" s="337"/>
      <c r="D162" s="326" t="s">
        <v>41</v>
      </c>
      <c r="E162" s="379" t="s">
        <v>22</v>
      </c>
      <c r="F162" s="18">
        <v>3</v>
      </c>
      <c r="G162" s="18" t="s">
        <v>73</v>
      </c>
      <c r="H162" s="335">
        <f>ROUND(($F$160)*(($F$162)/((($F$163)*(($F$164)/($F$164+$F$165)))+(($F$163)*(($F$165)/($F$164+$F$165)))
+($F$161)+($F$162))),2)</f>
        <v>1.44</v>
      </c>
      <c r="I162" s="18" t="s">
        <v>73</v>
      </c>
      <c r="J162" s="337"/>
      <c r="K162" s="672">
        <f>A154*H162</f>
        <v>70.56</v>
      </c>
      <c r="L162" s="534"/>
      <c r="M162" s="458" t="str">
        <f t="shared" si="33"/>
        <v/>
      </c>
      <c r="N162" s="458"/>
      <c r="O162" s="458" t="str">
        <f t="shared" si="34"/>
        <v/>
      </c>
      <c r="P162" s="21"/>
      <c r="U162" s="44" t="str">
        <f t="shared" si="35"/>
        <v/>
      </c>
      <c r="V162" s="45" t="str">
        <f t="shared" si="36"/>
        <v/>
      </c>
      <c r="AB162" t="s">
        <v>1319</v>
      </c>
      <c r="AC162" t="s">
        <v>1428</v>
      </c>
      <c r="AE162">
        <v>0</v>
      </c>
    </row>
    <row r="163" spans="1:31" x14ac:dyDescent="0.35">
      <c r="A163" s="535" t="str">
        <f t="shared" si="32"/>
        <v/>
      </c>
      <c r="B163" s="330"/>
      <c r="C163" s="330"/>
      <c r="D163" s="355"/>
      <c r="E163" s="540" t="s">
        <v>712</v>
      </c>
      <c r="F163" s="378">
        <v>1</v>
      </c>
      <c r="G163" s="378" t="s">
        <v>73</v>
      </c>
      <c r="H163" s="515"/>
      <c r="I163" s="378" t="s">
        <v>73</v>
      </c>
      <c r="J163" s="515"/>
      <c r="K163" s="674"/>
      <c r="L163" s="534"/>
      <c r="M163" s="458" t="str">
        <f t="shared" si="33"/>
        <v/>
      </c>
      <c r="N163" s="458"/>
      <c r="O163" s="458" t="str">
        <f t="shared" si="34"/>
        <v/>
      </c>
      <c r="P163" s="21"/>
      <c r="U163" s="44" t="str">
        <f t="shared" si="35"/>
        <v/>
      </c>
      <c r="V163" s="45" t="str">
        <f t="shared" si="36"/>
        <v/>
      </c>
      <c r="AB163" t="s">
        <v>1352</v>
      </c>
      <c r="AC163" t="s">
        <v>1459</v>
      </c>
      <c r="AE163">
        <v>0</v>
      </c>
    </row>
    <row r="164" spans="1:31" x14ac:dyDescent="0.35">
      <c r="A164" s="535" t="str">
        <f t="shared" si="32"/>
        <v/>
      </c>
      <c r="B164" s="337"/>
      <c r="C164" s="337"/>
      <c r="D164" s="326" t="s">
        <v>43</v>
      </c>
      <c r="E164" s="419" t="s">
        <v>8</v>
      </c>
      <c r="F164" s="18">
        <v>85</v>
      </c>
      <c r="G164" s="18" t="s">
        <v>73</v>
      </c>
      <c r="H164" s="18">
        <f>ROUND(($F$160)*((($F$163)*(($F$164)/($F$164+$F$165)))
/((($F$163)*(($F$164)/($F$164+$F$165)))+(($F$163)*(($F$165)/($F$164+$F$165)))
+($F$161)+($F$162))),2)</f>
        <v>0.41</v>
      </c>
      <c r="I164" s="18" t="s">
        <v>73</v>
      </c>
      <c r="J164" s="337"/>
      <c r="K164" s="672">
        <f>A154*H164</f>
        <v>20.09</v>
      </c>
      <c r="L164" s="534"/>
      <c r="M164" s="458" t="str">
        <f t="shared" si="33"/>
        <v/>
      </c>
      <c r="N164" s="458"/>
      <c r="O164" s="458" t="str">
        <f t="shared" si="34"/>
        <v/>
      </c>
      <c r="P164" s="21"/>
      <c r="U164" s="44" t="str">
        <f t="shared" si="35"/>
        <v/>
      </c>
      <c r="V164" s="45" t="str">
        <f t="shared" si="36"/>
        <v/>
      </c>
      <c r="AB164" t="s">
        <v>1353</v>
      </c>
      <c r="AC164" t="s">
        <v>1460</v>
      </c>
      <c r="AE164">
        <v>0</v>
      </c>
    </row>
    <row r="165" spans="1:31" x14ac:dyDescent="0.35">
      <c r="A165" s="535" t="str">
        <f t="shared" si="32"/>
        <v/>
      </c>
      <c r="B165" s="330"/>
      <c r="C165" s="330"/>
      <c r="D165" s="326" t="s">
        <v>42</v>
      </c>
      <c r="E165" s="475" t="s">
        <v>9</v>
      </c>
      <c r="F165" s="22">
        <v>15</v>
      </c>
      <c r="G165" s="22" t="s">
        <v>73</v>
      </c>
      <c r="H165" s="22">
        <f>ROUND(($F$160)*((($F$163)*(($F$165)/($F$164+$F$165)))
/((($F$163)*(($F$164)/($F$164+$F$165)))+(($F$163)*(($F$165)/($F$164+$F$165)))
+($F$161)+($F$162))),2)</f>
        <v>7.0000000000000007E-2</v>
      </c>
      <c r="I165" s="22" t="s">
        <v>73</v>
      </c>
      <c r="J165" s="330"/>
      <c r="K165" s="673">
        <f>A154*H165</f>
        <v>3.43</v>
      </c>
      <c r="L165" s="534"/>
      <c r="M165" s="458" t="str">
        <f t="shared" si="33"/>
        <v/>
      </c>
      <c r="N165" s="458"/>
      <c r="O165" s="458" t="str">
        <f t="shared" si="34"/>
        <v/>
      </c>
      <c r="P165" s="21"/>
      <c r="U165" s="44" t="str">
        <f t="shared" si="35"/>
        <v/>
      </c>
      <c r="V165" s="45" t="str">
        <f t="shared" si="36"/>
        <v/>
      </c>
      <c r="AB165" t="s">
        <v>1258</v>
      </c>
      <c r="AC165" t="s">
        <v>37</v>
      </c>
      <c r="AE165">
        <v>0</v>
      </c>
    </row>
    <row r="166" spans="1:31" x14ac:dyDescent="0.35">
      <c r="A166" s="535" t="str">
        <f t="shared" si="32"/>
        <v/>
      </c>
      <c r="B166" s="337"/>
      <c r="C166" s="337"/>
      <c r="D166" s="355"/>
      <c r="E166" s="355" t="s">
        <v>117</v>
      </c>
      <c r="F166" s="378">
        <v>15</v>
      </c>
      <c r="G166" s="378" t="s">
        <v>73</v>
      </c>
      <c r="H166" s="515"/>
      <c r="I166" s="378"/>
      <c r="J166" s="515"/>
      <c r="K166" s="674"/>
      <c r="L166" s="534"/>
      <c r="M166" s="458" t="str">
        <f t="shared" si="33"/>
        <v/>
      </c>
      <c r="N166" s="458"/>
      <c r="O166" s="458" t="str">
        <f t="shared" si="34"/>
        <v/>
      </c>
      <c r="P166" s="21"/>
      <c r="U166" s="44" t="str">
        <f t="shared" si="35"/>
        <v/>
      </c>
      <c r="V166" s="45" t="str">
        <f t="shared" si="36"/>
        <v/>
      </c>
      <c r="AB166" t="s">
        <v>1259</v>
      </c>
      <c r="AC166" t="s">
        <v>1372</v>
      </c>
      <c r="AE166">
        <v>0</v>
      </c>
    </row>
    <row r="167" spans="1:31" x14ac:dyDescent="0.35">
      <c r="A167" s="535" t="str">
        <f t="shared" si="32"/>
        <v/>
      </c>
      <c r="B167" s="330"/>
      <c r="C167" s="330"/>
      <c r="D167" s="326" t="s">
        <v>47</v>
      </c>
      <c r="E167" s="426" t="s">
        <v>12</v>
      </c>
      <c r="F167" s="22">
        <v>600</v>
      </c>
      <c r="G167" s="22" t="s">
        <v>73</v>
      </c>
      <c r="H167" s="22">
        <f>ROUND(F166*(F167/(F167+F168+F169+F170+F171)),2)</f>
        <v>10</v>
      </c>
      <c r="I167" s="22" t="s">
        <v>73</v>
      </c>
      <c r="J167" s="330"/>
      <c r="K167" s="673">
        <f>A154*H167</f>
        <v>490</v>
      </c>
      <c r="L167" s="534"/>
      <c r="M167" s="458" t="str">
        <f t="shared" si="33"/>
        <v/>
      </c>
      <c r="N167" s="458"/>
      <c r="O167" s="458" t="str">
        <f t="shared" si="34"/>
        <v/>
      </c>
      <c r="P167" s="21"/>
      <c r="U167" s="44" t="str">
        <f t="shared" si="35"/>
        <v/>
      </c>
      <c r="V167" s="45" t="str">
        <f t="shared" si="36"/>
        <v/>
      </c>
      <c r="AB167" t="s">
        <v>1263</v>
      </c>
      <c r="AC167" t="s">
        <v>1376</v>
      </c>
      <c r="AE167">
        <v>0</v>
      </c>
    </row>
    <row r="168" spans="1:31" x14ac:dyDescent="0.35">
      <c r="A168" s="535" t="str">
        <f t="shared" si="32"/>
        <v/>
      </c>
      <c r="B168" s="337"/>
      <c r="C168" s="337"/>
      <c r="D168" s="326" t="s">
        <v>48</v>
      </c>
      <c r="E168" s="425" t="s">
        <v>13</v>
      </c>
      <c r="F168" s="18">
        <v>100</v>
      </c>
      <c r="G168" s="18" t="s">
        <v>73</v>
      </c>
      <c r="H168" s="18">
        <f>ROUND(F166*(F168/(F167+F168+F169+F170+F171)),2)</f>
        <v>1.67</v>
      </c>
      <c r="I168" s="18" t="s">
        <v>73</v>
      </c>
      <c r="J168" s="337"/>
      <c r="K168" s="672">
        <f>A154*H168</f>
        <v>81.83</v>
      </c>
      <c r="L168" s="534"/>
      <c r="M168" s="458" t="str">
        <f t="shared" si="33"/>
        <v/>
      </c>
      <c r="N168" s="458"/>
      <c r="O168" s="458" t="str">
        <f t="shared" si="34"/>
        <v/>
      </c>
      <c r="P168" s="21"/>
      <c r="U168" s="44" t="str">
        <f t="shared" si="35"/>
        <v/>
      </c>
      <c r="V168" s="45" t="str">
        <f t="shared" si="36"/>
        <v/>
      </c>
      <c r="AB168" t="s">
        <v>1266</v>
      </c>
      <c r="AC168" t="s">
        <v>1379</v>
      </c>
      <c r="AE168">
        <v>0</v>
      </c>
    </row>
    <row r="169" spans="1:31" x14ac:dyDescent="0.35">
      <c r="A169" s="535" t="str">
        <f t="shared" si="32"/>
        <v/>
      </c>
      <c r="B169" s="330"/>
      <c r="C169" s="330"/>
      <c r="D169" s="326" t="s">
        <v>50</v>
      </c>
      <c r="E169" s="426" t="s">
        <v>14</v>
      </c>
      <c r="F169" s="22">
        <v>100</v>
      </c>
      <c r="G169" s="22" t="s">
        <v>73</v>
      </c>
      <c r="H169" s="22">
        <f>ROUND(F166*(F169/(F167+F168+F169+F170+F171)),2)</f>
        <v>1.67</v>
      </c>
      <c r="I169" s="22" t="s">
        <v>73</v>
      </c>
      <c r="J169" s="330"/>
      <c r="K169" s="673">
        <f>A154*H169</f>
        <v>81.83</v>
      </c>
      <c r="L169" s="534"/>
      <c r="M169" s="458" t="str">
        <f t="shared" si="33"/>
        <v/>
      </c>
      <c r="N169" s="458"/>
      <c r="O169" s="458" t="str">
        <f t="shared" si="34"/>
        <v/>
      </c>
      <c r="P169" s="21"/>
      <c r="U169" s="44" t="str">
        <f t="shared" si="35"/>
        <v/>
      </c>
      <c r="V169" s="45" t="str">
        <f t="shared" si="36"/>
        <v/>
      </c>
      <c r="AB169" t="s">
        <v>1292</v>
      </c>
      <c r="AC169" t="s">
        <v>1401</v>
      </c>
      <c r="AE169">
        <v>0</v>
      </c>
    </row>
    <row r="170" spans="1:31" x14ac:dyDescent="0.35">
      <c r="A170" s="535" t="str">
        <f t="shared" si="32"/>
        <v/>
      </c>
      <c r="B170" s="337"/>
      <c r="C170" s="337"/>
      <c r="D170" s="326" t="s">
        <v>49</v>
      </c>
      <c r="E170" s="425" t="s">
        <v>15</v>
      </c>
      <c r="F170" s="18">
        <v>50</v>
      </c>
      <c r="G170" s="18" t="s">
        <v>73</v>
      </c>
      <c r="H170" s="18">
        <f>ROUND(F166*(F170/(F167+F168+F169+F170+F171)),2)</f>
        <v>0.83</v>
      </c>
      <c r="I170" s="18" t="s">
        <v>73</v>
      </c>
      <c r="J170" s="337"/>
      <c r="K170" s="672">
        <f>A154*H170</f>
        <v>40.669999999999995</v>
      </c>
      <c r="L170" s="534"/>
      <c r="M170" s="458" t="str">
        <f t="shared" si="33"/>
        <v/>
      </c>
      <c r="N170" s="458"/>
      <c r="O170" s="458" t="str">
        <f t="shared" si="34"/>
        <v/>
      </c>
      <c r="P170" s="21"/>
      <c r="U170" s="44" t="str">
        <f t="shared" si="35"/>
        <v/>
      </c>
      <c r="V170" s="45" t="str">
        <f t="shared" si="36"/>
        <v/>
      </c>
      <c r="AB170" t="s">
        <v>1026</v>
      </c>
      <c r="AC170" t="s">
        <v>1027</v>
      </c>
      <c r="AE170">
        <v>0</v>
      </c>
    </row>
    <row r="171" spans="1:31" x14ac:dyDescent="0.35">
      <c r="A171" s="535" t="str">
        <f t="shared" si="32"/>
        <v/>
      </c>
      <c r="B171" s="330"/>
      <c r="C171" s="330"/>
      <c r="D171" s="326" t="s">
        <v>51</v>
      </c>
      <c r="E171" s="426" t="s">
        <v>16</v>
      </c>
      <c r="F171" s="22">
        <v>50</v>
      </c>
      <c r="G171" s="22" t="s">
        <v>73</v>
      </c>
      <c r="H171" s="22">
        <f>ROUND(F166*(F171/(F167+F168+F169+F170+F171)),2)</f>
        <v>0.83</v>
      </c>
      <c r="I171" s="22" t="s">
        <v>73</v>
      </c>
      <c r="J171" s="330"/>
      <c r="K171" s="673">
        <f>A154*H171</f>
        <v>40.669999999999995</v>
      </c>
      <c r="L171" s="534"/>
      <c r="M171" s="458" t="str">
        <f t="shared" si="33"/>
        <v/>
      </c>
      <c r="N171" s="458"/>
      <c r="O171" s="458" t="str">
        <f t="shared" si="34"/>
        <v/>
      </c>
      <c r="P171" s="21"/>
      <c r="U171" s="44" t="str">
        <f t="shared" si="35"/>
        <v/>
      </c>
      <c r="V171" s="45" t="str">
        <f t="shared" si="36"/>
        <v/>
      </c>
      <c r="AB171" t="s">
        <v>1306</v>
      </c>
      <c r="AC171" t="s">
        <v>1415</v>
      </c>
      <c r="AE171">
        <v>0</v>
      </c>
    </row>
    <row r="172" spans="1:31" x14ac:dyDescent="0.35">
      <c r="A172" s="535" t="str">
        <f t="shared" si="32"/>
        <v/>
      </c>
      <c r="B172" s="337"/>
      <c r="C172" s="337"/>
      <c r="D172" s="355"/>
      <c r="E172" s="355" t="s">
        <v>83</v>
      </c>
      <c r="F172" s="378">
        <v>280</v>
      </c>
      <c r="G172" s="378" t="s">
        <v>73</v>
      </c>
      <c r="H172" s="515"/>
      <c r="I172" s="378"/>
      <c r="J172" s="515"/>
      <c r="K172" s="674"/>
      <c r="L172" s="534"/>
      <c r="M172" s="458" t="str">
        <f t="shared" si="33"/>
        <v/>
      </c>
      <c r="N172" s="458"/>
      <c r="O172" s="458" t="str">
        <f t="shared" si="34"/>
        <v/>
      </c>
      <c r="P172" s="21"/>
      <c r="U172" s="44" t="str">
        <f t="shared" si="35"/>
        <v/>
      </c>
      <c r="V172" s="45" t="str">
        <f t="shared" si="36"/>
        <v/>
      </c>
      <c r="AB172" t="s">
        <v>1347</v>
      </c>
      <c r="AC172" t="s">
        <v>1455</v>
      </c>
      <c r="AE172">
        <v>0</v>
      </c>
    </row>
    <row r="173" spans="1:31" x14ac:dyDescent="0.35">
      <c r="A173" s="535" t="str">
        <f t="shared" si="32"/>
        <v/>
      </c>
      <c r="B173" s="330"/>
      <c r="C173" s="330"/>
      <c r="D173" s="326" t="s">
        <v>44</v>
      </c>
      <c r="E173" s="426" t="s">
        <v>17</v>
      </c>
      <c r="F173" s="22">
        <v>2000</v>
      </c>
      <c r="G173" s="22" t="s">
        <v>73</v>
      </c>
      <c r="H173" s="22">
        <f>ROUND(($F$172)*((F173)/($F$173+$F$174+$F$175+$F$176)),2)</f>
        <v>182.17</v>
      </c>
      <c r="I173" s="22" t="s">
        <v>73</v>
      </c>
      <c r="J173" s="330"/>
      <c r="K173" s="673">
        <f>A154*H173</f>
        <v>8926.33</v>
      </c>
      <c r="L173" s="534"/>
      <c r="M173" s="458" t="str">
        <f t="shared" si="33"/>
        <v/>
      </c>
      <c r="N173" s="458"/>
      <c r="O173" s="458" t="str">
        <f t="shared" si="34"/>
        <v/>
      </c>
      <c r="P173" s="21"/>
      <c r="U173" s="44" t="str">
        <f t="shared" si="35"/>
        <v/>
      </c>
      <c r="V173" s="45" t="str">
        <f t="shared" si="36"/>
        <v/>
      </c>
      <c r="AB173" t="s">
        <v>1342</v>
      </c>
      <c r="AC173" t="s">
        <v>1450</v>
      </c>
      <c r="AE173">
        <v>0</v>
      </c>
    </row>
    <row r="174" spans="1:31" x14ac:dyDescent="0.35">
      <c r="A174" s="535" t="str">
        <f t="shared" si="32"/>
        <v/>
      </c>
      <c r="B174" s="337"/>
      <c r="C174" s="337"/>
      <c r="D174" s="342"/>
      <c r="E174" s="543" t="s">
        <v>81</v>
      </c>
      <c r="F174" s="404">
        <v>1000</v>
      </c>
      <c r="G174" s="404"/>
      <c r="H174" s="404">
        <f t="shared" ref="H174:H176" si="37">ROUND(($F$172)*((F174)/($F$173+$F$174+$F$175+$F$176)),2)</f>
        <v>91.09</v>
      </c>
      <c r="I174" s="404"/>
      <c r="J174" s="345"/>
      <c r="K174" s="675"/>
      <c r="L174" s="534"/>
      <c r="M174" s="458" t="str">
        <f t="shared" si="33"/>
        <v/>
      </c>
      <c r="N174" s="458"/>
      <c r="O174" s="458" t="str">
        <f t="shared" si="34"/>
        <v/>
      </c>
      <c r="P174" s="21"/>
      <c r="U174" s="44" t="str">
        <f t="shared" si="35"/>
        <v/>
      </c>
      <c r="V174" s="45" t="str">
        <f t="shared" si="36"/>
        <v/>
      </c>
      <c r="AB174" t="s">
        <v>1360</v>
      </c>
      <c r="AC174" t="s">
        <v>1466</v>
      </c>
      <c r="AE174">
        <v>0</v>
      </c>
    </row>
    <row r="175" spans="1:31" x14ac:dyDescent="0.35">
      <c r="A175" s="535" t="str">
        <f t="shared" si="32"/>
        <v/>
      </c>
      <c r="B175" s="330"/>
      <c r="C175" s="330"/>
      <c r="D175" s="326" t="s">
        <v>45</v>
      </c>
      <c r="E175" s="426" t="s">
        <v>18</v>
      </c>
      <c r="F175" s="22">
        <v>57</v>
      </c>
      <c r="G175" s="22" t="s">
        <v>73</v>
      </c>
      <c r="H175" s="22">
        <f t="shared" si="37"/>
        <v>5.19</v>
      </c>
      <c r="I175" s="22" t="s">
        <v>73</v>
      </c>
      <c r="J175" s="330"/>
      <c r="K175" s="673">
        <f>A154*H175</f>
        <v>254.31000000000003</v>
      </c>
      <c r="L175" s="534"/>
      <c r="M175" s="458" t="str">
        <f t="shared" si="33"/>
        <v/>
      </c>
      <c r="N175" s="458"/>
      <c r="O175" s="458" t="str">
        <f t="shared" si="34"/>
        <v/>
      </c>
      <c r="P175" s="21"/>
      <c r="U175" s="44" t="str">
        <f t="shared" si="35"/>
        <v/>
      </c>
      <c r="V175" s="45" t="str">
        <f t="shared" si="36"/>
        <v/>
      </c>
      <c r="AB175" t="s">
        <v>1263</v>
      </c>
      <c r="AC175" t="s">
        <v>1376</v>
      </c>
      <c r="AE175">
        <v>0</v>
      </c>
    </row>
    <row r="176" spans="1:31" x14ac:dyDescent="0.35">
      <c r="A176" s="535" t="str">
        <f t="shared" si="32"/>
        <v/>
      </c>
      <c r="B176" s="337"/>
      <c r="C176" s="337"/>
      <c r="D176" s="326" t="s">
        <v>46</v>
      </c>
      <c r="E176" s="425" t="s">
        <v>19</v>
      </c>
      <c r="F176" s="18">
        <v>17</v>
      </c>
      <c r="G176" s="18" t="s">
        <v>73</v>
      </c>
      <c r="H176" s="18">
        <f t="shared" si="37"/>
        <v>1.55</v>
      </c>
      <c r="I176" s="18" t="s">
        <v>73</v>
      </c>
      <c r="J176" s="337"/>
      <c r="K176" s="672">
        <f>A154*H176</f>
        <v>75.95</v>
      </c>
      <c r="L176" s="534"/>
      <c r="M176" s="458" t="str">
        <f t="shared" si="33"/>
        <v/>
      </c>
      <c r="N176" s="458"/>
      <c r="O176" s="458" t="str">
        <f t="shared" si="34"/>
        <v/>
      </c>
      <c r="P176" s="21"/>
      <c r="U176" s="44" t="str">
        <f t="shared" si="35"/>
        <v/>
      </c>
      <c r="V176" s="45" t="str">
        <f t="shared" si="36"/>
        <v/>
      </c>
      <c r="AB176" t="s">
        <v>1275</v>
      </c>
      <c r="AC176" t="s">
        <v>1387</v>
      </c>
      <c r="AE176">
        <v>0</v>
      </c>
    </row>
    <row r="177" spans="1:31" x14ac:dyDescent="0.35">
      <c r="A177" s="535" t="str">
        <f t="shared" si="32"/>
        <v/>
      </c>
      <c r="B177" s="330"/>
      <c r="C177" s="330"/>
      <c r="D177" s="355"/>
      <c r="E177" s="355" t="s">
        <v>90</v>
      </c>
      <c r="F177" s="378">
        <v>70</v>
      </c>
      <c r="G177" s="378" t="s">
        <v>73</v>
      </c>
      <c r="H177" s="515"/>
      <c r="I177" s="378"/>
      <c r="J177" s="515"/>
      <c r="K177" s="674"/>
      <c r="L177" s="534"/>
      <c r="M177" s="458" t="str">
        <f t="shared" si="33"/>
        <v/>
      </c>
      <c r="N177" s="458"/>
      <c r="O177" s="458" t="str">
        <f t="shared" si="34"/>
        <v/>
      </c>
      <c r="P177" s="21"/>
      <c r="U177" s="44" t="str">
        <f t="shared" si="35"/>
        <v/>
      </c>
      <c r="V177" s="45" t="str">
        <f t="shared" si="36"/>
        <v/>
      </c>
      <c r="AB177" t="s">
        <v>1281</v>
      </c>
      <c r="AC177" t="s">
        <v>1393</v>
      </c>
      <c r="AE177">
        <v>0</v>
      </c>
    </row>
    <row r="178" spans="1:31" x14ac:dyDescent="0.35">
      <c r="A178" s="535" t="str">
        <f t="shared" si="32"/>
        <v/>
      </c>
      <c r="B178" s="337"/>
      <c r="C178" s="337"/>
      <c r="D178" s="417" t="s">
        <v>39</v>
      </c>
      <c r="E178" s="425" t="s">
        <v>20</v>
      </c>
      <c r="F178" s="18">
        <v>1000</v>
      </c>
      <c r="G178" s="18" t="s">
        <v>73</v>
      </c>
      <c r="H178" s="18">
        <f>ROUND(($F$177)*(($F$178)/((($F$181)*(($F$182)/($F$182+$F$183)))+(($F$181)*(($F$183)/($F$182+$F$183)))
+($F$178)+($F$179)+($F$180))),2)</f>
        <v>65.73</v>
      </c>
      <c r="I178" s="18" t="s">
        <v>73</v>
      </c>
      <c r="J178" s="337"/>
      <c r="K178" s="672">
        <f>A154*H178</f>
        <v>3220.77</v>
      </c>
      <c r="L178" s="534"/>
      <c r="M178" s="458" t="str">
        <f t="shared" si="33"/>
        <v/>
      </c>
      <c r="N178" s="458"/>
      <c r="O178" s="458" t="str">
        <f t="shared" si="34"/>
        <v/>
      </c>
      <c r="P178" s="21"/>
      <c r="U178" s="44" t="str">
        <f t="shared" si="35"/>
        <v/>
      </c>
      <c r="V178" s="45" t="str">
        <f t="shared" si="36"/>
        <v/>
      </c>
      <c r="AB178" t="s">
        <v>1022</v>
      </c>
      <c r="AC178" t="s">
        <v>1410</v>
      </c>
      <c r="AE178">
        <v>0</v>
      </c>
    </row>
    <row r="179" spans="1:31" x14ac:dyDescent="0.35">
      <c r="A179" s="535" t="str">
        <f t="shared" si="32"/>
        <v/>
      </c>
      <c r="B179" s="330"/>
      <c r="C179" s="330"/>
      <c r="D179" s="417" t="s">
        <v>40</v>
      </c>
      <c r="E179" s="426" t="s">
        <v>21</v>
      </c>
      <c r="F179" s="22">
        <v>15</v>
      </c>
      <c r="G179" s="22" t="s">
        <v>73</v>
      </c>
      <c r="H179" s="328">
        <f>ROUND(($F$177)*(($F$179)/((($F$181)*(($F$182)/($F$182+$F$183)))+(($F$181)*(($F$183)/($F$182+$F$183)))
+($F$178)+($F$179)+($F$180))),2)</f>
        <v>0.99</v>
      </c>
      <c r="I179" s="22" t="s">
        <v>73</v>
      </c>
      <c r="J179" s="330"/>
      <c r="K179" s="673">
        <f>A154*H179</f>
        <v>48.51</v>
      </c>
      <c r="L179" s="534"/>
      <c r="M179" s="458" t="str">
        <f t="shared" si="33"/>
        <v/>
      </c>
      <c r="N179" s="458"/>
      <c r="O179" s="458" t="str">
        <f t="shared" si="34"/>
        <v/>
      </c>
      <c r="P179" s="21"/>
      <c r="U179" s="44" t="str">
        <f t="shared" si="35"/>
        <v/>
      </c>
      <c r="V179" s="45" t="str">
        <f t="shared" si="36"/>
        <v/>
      </c>
      <c r="AB179" t="s">
        <v>1329</v>
      </c>
      <c r="AC179" t="s">
        <v>1437</v>
      </c>
      <c r="AE179">
        <v>0</v>
      </c>
    </row>
    <row r="180" spans="1:31" x14ac:dyDescent="0.35">
      <c r="A180" s="535" t="str">
        <f t="shared" si="32"/>
        <v/>
      </c>
      <c r="B180" s="337"/>
      <c r="C180" s="337"/>
      <c r="D180" s="417" t="s">
        <v>41</v>
      </c>
      <c r="E180" s="425" t="s">
        <v>22</v>
      </c>
      <c r="F180" s="18">
        <v>30</v>
      </c>
      <c r="G180" s="18" t="s">
        <v>73</v>
      </c>
      <c r="H180" s="335">
        <f>ROUND(($F$177)*(($F$180)/((($F$181)*(($F$182)/($F$182+$F$183)))+(($F$181)*(($F$183)/($F$182+$F$183)))
+($F$178)+($F$179)+($F$180))),2)</f>
        <v>1.97</v>
      </c>
      <c r="I180" s="18" t="s">
        <v>73</v>
      </c>
      <c r="J180" s="337"/>
      <c r="K180" s="672">
        <f>A154*H180</f>
        <v>96.53</v>
      </c>
      <c r="L180" s="534"/>
      <c r="M180" s="458" t="str">
        <f t="shared" si="33"/>
        <v/>
      </c>
      <c r="N180" s="458"/>
      <c r="O180" s="458" t="str">
        <f t="shared" si="34"/>
        <v/>
      </c>
      <c r="P180" s="21"/>
      <c r="U180" s="44" t="str">
        <f t="shared" si="35"/>
        <v/>
      </c>
      <c r="V180" s="45" t="str">
        <f t="shared" si="36"/>
        <v/>
      </c>
      <c r="AB180" t="s">
        <v>1340</v>
      </c>
      <c r="AC180" t="s">
        <v>1448</v>
      </c>
      <c r="AE180">
        <v>0</v>
      </c>
    </row>
    <row r="181" spans="1:31" x14ac:dyDescent="0.35">
      <c r="A181" s="535" t="str">
        <f t="shared" si="32"/>
        <v/>
      </c>
      <c r="B181" s="330"/>
      <c r="C181" s="330"/>
      <c r="D181" s="355"/>
      <c r="E181" s="416" t="s">
        <v>23</v>
      </c>
      <c r="F181" s="378">
        <v>20</v>
      </c>
      <c r="G181" s="378" t="s">
        <v>73</v>
      </c>
      <c r="H181" s="515"/>
      <c r="I181" s="378"/>
      <c r="J181" s="515"/>
      <c r="K181" s="674"/>
      <c r="L181" s="534"/>
      <c r="M181" s="458" t="str">
        <f t="shared" si="33"/>
        <v/>
      </c>
      <c r="N181" s="458"/>
      <c r="O181" s="458" t="str">
        <f t="shared" si="34"/>
        <v/>
      </c>
      <c r="P181" s="21"/>
      <c r="U181" s="44" t="str">
        <f t="shared" si="35"/>
        <v/>
      </c>
      <c r="V181" s="45" t="str">
        <f t="shared" si="36"/>
        <v/>
      </c>
      <c r="AB181" t="s">
        <v>1346</v>
      </c>
      <c r="AC181" t="s">
        <v>1454</v>
      </c>
      <c r="AE181">
        <v>0</v>
      </c>
    </row>
    <row r="182" spans="1:31" x14ac:dyDescent="0.35">
      <c r="A182" s="535" t="str">
        <f t="shared" si="32"/>
        <v/>
      </c>
      <c r="B182" s="337"/>
      <c r="C182" s="337"/>
      <c r="D182" s="326" t="s">
        <v>43</v>
      </c>
      <c r="E182" s="419" t="s">
        <v>24</v>
      </c>
      <c r="F182" s="18">
        <v>85</v>
      </c>
      <c r="G182" s="18" t="s">
        <v>73</v>
      </c>
      <c r="H182" s="18">
        <f>ROUND(($F$177)*((($F$181)*(($F$182)/($F$182+$F$183)))
/((($F$181)*(($F$182)/($F$182+$F$183)))+(($F$181)*(($F$183)/($F$182+$F$183)))
+($F$178)+($F$179)+($F$180))),2)</f>
        <v>1.1200000000000001</v>
      </c>
      <c r="I182" s="18" t="s">
        <v>73</v>
      </c>
      <c r="J182" s="337"/>
      <c r="K182" s="672">
        <f>A154*H182</f>
        <v>54.88</v>
      </c>
      <c r="L182" s="534"/>
      <c r="M182" s="458" t="str">
        <f t="shared" si="33"/>
        <v/>
      </c>
      <c r="N182" s="458"/>
      <c r="O182" s="458" t="str">
        <f t="shared" si="34"/>
        <v/>
      </c>
      <c r="P182" s="21"/>
      <c r="U182" s="44" t="str">
        <f t="shared" si="35"/>
        <v/>
      </c>
      <c r="V182" s="45" t="str">
        <f t="shared" si="36"/>
        <v/>
      </c>
      <c r="AB182" t="s">
        <v>1348</v>
      </c>
      <c r="AC182" t="s">
        <v>1523</v>
      </c>
      <c r="AE182">
        <v>0</v>
      </c>
    </row>
    <row r="183" spans="1:31" x14ac:dyDescent="0.35">
      <c r="A183" s="535" t="str">
        <f t="shared" si="32"/>
        <v/>
      </c>
      <c r="B183" s="330"/>
      <c r="C183" s="330"/>
      <c r="D183" s="326" t="s">
        <v>42</v>
      </c>
      <c r="E183" s="475" t="s">
        <v>9</v>
      </c>
      <c r="F183" s="22">
        <v>15</v>
      </c>
      <c r="G183" s="22" t="s">
        <v>73</v>
      </c>
      <c r="H183" s="22">
        <f>ROUND(($F$177)*((($F$181)*(($F$183)/($F$182+$F$183)))
/((($F$181)*(($F$182)/($F$182+$F$183)))+(($F$181)*(($F$183)/($F$182+$F$183)))
+($F$178)+($F$179)+($F$180))),2)</f>
        <v>0.2</v>
      </c>
      <c r="I183" s="22" t="s">
        <v>73</v>
      </c>
      <c r="J183" s="330"/>
      <c r="K183" s="673">
        <f>A154*H183</f>
        <v>9.8000000000000007</v>
      </c>
      <c r="L183" s="534"/>
      <c r="M183" s="458" t="str">
        <f t="shared" si="33"/>
        <v/>
      </c>
      <c r="N183" s="458"/>
      <c r="O183" s="458" t="str">
        <f t="shared" si="34"/>
        <v/>
      </c>
      <c r="P183" s="21"/>
      <c r="U183" s="44" t="str">
        <f t="shared" si="35"/>
        <v/>
      </c>
      <c r="V183" s="45" t="str">
        <f t="shared" si="36"/>
        <v/>
      </c>
      <c r="AB183" t="s">
        <v>1265</v>
      </c>
      <c r="AC183" t="s">
        <v>1378</v>
      </c>
      <c r="AE183">
        <v>0</v>
      </c>
    </row>
    <row r="184" spans="1:31" x14ac:dyDescent="0.35">
      <c r="A184" s="535" t="str">
        <f t="shared" si="32"/>
        <v/>
      </c>
      <c r="B184" s="337"/>
      <c r="C184" s="337"/>
      <c r="D184" s="355"/>
      <c r="E184" s="355" t="s">
        <v>84</v>
      </c>
      <c r="F184" s="378">
        <v>100</v>
      </c>
      <c r="G184" s="378" t="s">
        <v>73</v>
      </c>
      <c r="H184" s="515"/>
      <c r="I184" s="378"/>
      <c r="J184" s="515"/>
      <c r="K184" s="674"/>
      <c r="L184" s="534"/>
      <c r="M184" s="458" t="str">
        <f t="shared" si="33"/>
        <v/>
      </c>
      <c r="N184" s="458"/>
      <c r="O184" s="458" t="str">
        <f t="shared" si="34"/>
        <v/>
      </c>
      <c r="P184" s="21"/>
      <c r="U184" s="44" t="str">
        <f t="shared" si="35"/>
        <v/>
      </c>
      <c r="V184" s="45" t="str">
        <f t="shared" si="36"/>
        <v/>
      </c>
      <c r="AB184" t="s">
        <v>1277</v>
      </c>
      <c r="AC184" t="s">
        <v>1389</v>
      </c>
      <c r="AE184">
        <v>0</v>
      </c>
    </row>
    <row r="185" spans="1:31" x14ac:dyDescent="0.35">
      <c r="A185" s="535" t="str">
        <f t="shared" si="32"/>
        <v/>
      </c>
      <c r="B185" s="330"/>
      <c r="C185" s="330"/>
      <c r="D185" s="355"/>
      <c r="E185" s="416" t="s">
        <v>26</v>
      </c>
      <c r="F185" s="378">
        <v>1000</v>
      </c>
      <c r="G185" s="378" t="s">
        <v>73</v>
      </c>
      <c r="H185" s="515"/>
      <c r="I185" s="378"/>
      <c r="J185" s="515"/>
      <c r="K185" s="674"/>
      <c r="L185" s="534"/>
      <c r="M185" s="458" t="str">
        <f t="shared" si="33"/>
        <v/>
      </c>
      <c r="N185" s="458"/>
      <c r="O185" s="458" t="str">
        <f t="shared" si="34"/>
        <v/>
      </c>
      <c r="P185" s="21"/>
      <c r="U185" s="44" t="str">
        <f t="shared" si="35"/>
        <v/>
      </c>
      <c r="V185" s="45" t="str">
        <f t="shared" si="36"/>
        <v/>
      </c>
      <c r="AB185" t="s">
        <v>1278</v>
      </c>
      <c r="AC185" t="s">
        <v>1390</v>
      </c>
      <c r="AE185">
        <v>0</v>
      </c>
    </row>
    <row r="186" spans="1:31" x14ac:dyDescent="0.35">
      <c r="A186" s="535" t="str">
        <f t="shared" si="32"/>
        <v/>
      </c>
      <c r="B186" s="337"/>
      <c r="C186" s="337"/>
      <c r="D186" s="326" t="s">
        <v>60</v>
      </c>
      <c r="E186" s="360" t="s">
        <v>121</v>
      </c>
      <c r="F186" s="18">
        <v>1000</v>
      </c>
      <c r="G186" s="18" t="s">
        <v>73</v>
      </c>
      <c r="H186" s="18">
        <f>ROUND(($F$184)*((($F$185)*(($F$186)/($F$186+$F$188)))
/((($F$185)*(($F$186)/($F$186+$F$188)))+(($F$185)*(($F$188)/($F$186+$F$188)))
+($F$189)+($F$190))),2)</f>
        <v>66.959999999999994</v>
      </c>
      <c r="I186" s="18" t="s">
        <v>73</v>
      </c>
      <c r="J186" s="337"/>
      <c r="K186" s="672">
        <f>A154*H186</f>
        <v>3281.0399999999995</v>
      </c>
      <c r="L186" s="534"/>
      <c r="M186" s="458" t="str">
        <f t="shared" si="33"/>
        <v/>
      </c>
      <c r="N186" s="458"/>
      <c r="O186" s="458" t="str">
        <f t="shared" si="34"/>
        <v/>
      </c>
      <c r="P186" s="21"/>
      <c r="U186" s="44" t="str">
        <f t="shared" si="35"/>
        <v/>
      </c>
      <c r="V186" s="45" t="str">
        <f t="shared" si="36"/>
        <v/>
      </c>
      <c r="AB186" t="s">
        <v>1282</v>
      </c>
      <c r="AC186" t="s">
        <v>865</v>
      </c>
      <c r="AE186">
        <v>0</v>
      </c>
    </row>
    <row r="187" spans="1:31" x14ac:dyDescent="0.35">
      <c r="A187" s="535" t="str">
        <f t="shared" si="32"/>
        <v/>
      </c>
      <c r="B187" s="330"/>
      <c r="C187" s="330"/>
      <c r="D187" s="342"/>
      <c r="E187" s="362" t="s">
        <v>81</v>
      </c>
      <c r="F187" s="404">
        <v>400</v>
      </c>
      <c r="G187" s="553" t="s">
        <v>73</v>
      </c>
      <c r="H187" s="345"/>
      <c r="I187" s="404"/>
      <c r="J187" s="345"/>
      <c r="K187" s="675"/>
      <c r="L187" s="534"/>
      <c r="M187" s="458" t="str">
        <f t="shared" si="33"/>
        <v/>
      </c>
      <c r="N187" s="458"/>
      <c r="O187" s="458" t="str">
        <f t="shared" si="34"/>
        <v/>
      </c>
      <c r="P187" s="21"/>
      <c r="U187" s="44" t="str">
        <f t="shared" si="35"/>
        <v/>
      </c>
      <c r="V187" s="45" t="str">
        <f t="shared" si="36"/>
        <v/>
      </c>
      <c r="AB187" t="s">
        <v>1024</v>
      </c>
      <c r="AC187" t="s">
        <v>1411</v>
      </c>
      <c r="AE187">
        <v>0</v>
      </c>
    </row>
    <row r="188" spans="1:31" x14ac:dyDescent="0.35">
      <c r="A188" s="535" t="str">
        <f t="shared" si="32"/>
        <v/>
      </c>
      <c r="B188" s="337"/>
      <c r="C188" s="337"/>
      <c r="D188" s="326" t="s">
        <v>43</v>
      </c>
      <c r="E188" s="360" t="s">
        <v>8</v>
      </c>
      <c r="F188" s="18">
        <v>30</v>
      </c>
      <c r="G188" s="18" t="s">
        <v>73</v>
      </c>
      <c r="H188" s="18">
        <f>ROUND(($F$184)*((($F$185)*(($F$188)/($F$186+$F$188)))
/((($F$185)*(($F$186)/($F$186+$F$188)))+(($F$185)*(($F$188)/($F$186+$F$188)))
+($F$189)+($F$190))),2)</f>
        <v>2.0099999999999998</v>
      </c>
      <c r="I188" s="18" t="s">
        <v>73</v>
      </c>
      <c r="J188" s="337"/>
      <c r="K188" s="672">
        <f>A154*H188</f>
        <v>98.49</v>
      </c>
      <c r="L188" s="534"/>
      <c r="M188" s="458" t="str">
        <f t="shared" si="33"/>
        <v/>
      </c>
      <c r="N188" s="458"/>
      <c r="O188" s="458" t="str">
        <f t="shared" si="34"/>
        <v/>
      </c>
      <c r="P188" s="21"/>
      <c r="U188" s="44" t="str">
        <f t="shared" si="35"/>
        <v/>
      </c>
      <c r="V188" s="45" t="str">
        <f t="shared" si="36"/>
        <v/>
      </c>
      <c r="AB188" t="s">
        <v>1342</v>
      </c>
      <c r="AC188" t="s">
        <v>1450</v>
      </c>
      <c r="AE188">
        <v>0</v>
      </c>
    </row>
    <row r="189" spans="1:31" x14ac:dyDescent="0.35">
      <c r="A189" s="535" t="str">
        <f t="shared" si="32"/>
        <v/>
      </c>
      <c r="B189" s="330"/>
      <c r="C189" s="330"/>
      <c r="D189" s="326" t="s">
        <v>48</v>
      </c>
      <c r="E189" s="426" t="s">
        <v>91</v>
      </c>
      <c r="F189" s="22">
        <v>100</v>
      </c>
      <c r="G189" s="22" t="s">
        <v>73</v>
      </c>
      <c r="H189" s="22">
        <f>ROUND(($F$184)*(($F$189)/((($F$185)*(($F$186)/($F$186+$F$188)))+(($F$185)*(($F$188)/($F$186+$F$188)))
+($F$189)+($F$190))),2)</f>
        <v>6.9</v>
      </c>
      <c r="I189" s="22" t="s">
        <v>73</v>
      </c>
      <c r="J189" s="330"/>
      <c r="K189" s="673">
        <f>A154*H189</f>
        <v>338.1</v>
      </c>
      <c r="L189" s="534"/>
      <c r="M189" s="458" t="str">
        <f t="shared" si="33"/>
        <v/>
      </c>
      <c r="N189" s="458"/>
      <c r="O189" s="458" t="str">
        <f t="shared" si="34"/>
        <v/>
      </c>
      <c r="P189" s="21"/>
      <c r="U189" s="44" t="str">
        <f t="shared" si="35"/>
        <v/>
      </c>
      <c r="V189" s="45" t="str">
        <f t="shared" si="36"/>
        <v/>
      </c>
      <c r="AB189" t="s">
        <v>1355</v>
      </c>
      <c r="AC189" t="s">
        <v>1461</v>
      </c>
      <c r="AE189">
        <v>0</v>
      </c>
    </row>
    <row r="190" spans="1:31" x14ac:dyDescent="0.35">
      <c r="A190" s="535" t="str">
        <f t="shared" si="32"/>
        <v/>
      </c>
      <c r="B190" s="337"/>
      <c r="C190" s="337"/>
      <c r="D190" s="326" t="s">
        <v>59</v>
      </c>
      <c r="E190" s="425" t="s">
        <v>27</v>
      </c>
      <c r="F190" s="18">
        <v>350</v>
      </c>
      <c r="G190" s="18" t="s">
        <v>73</v>
      </c>
      <c r="H190" s="18">
        <f>ROUND(($F$184)*(($F$190)/((($F$185)*(($F$186)/($F$186+$F$188)))+(($F$185)*(($F$188)/($F$186+$F$188)))
+($F$189)+($F$190))),2)</f>
        <v>24.14</v>
      </c>
      <c r="I190" s="18" t="s">
        <v>73</v>
      </c>
      <c r="J190" s="337"/>
      <c r="K190" s="672">
        <f>A154*H190</f>
        <v>1182.8600000000001</v>
      </c>
      <c r="L190" s="534"/>
      <c r="M190" s="458" t="str">
        <f t="shared" si="33"/>
        <v/>
      </c>
      <c r="N190" s="458"/>
      <c r="O190" s="458" t="str">
        <f t="shared" si="34"/>
        <v/>
      </c>
      <c r="P190" s="21"/>
      <c r="U190" s="44" t="str">
        <f t="shared" si="35"/>
        <v/>
      </c>
      <c r="V190" s="45" t="str">
        <f t="shared" si="36"/>
        <v/>
      </c>
      <c r="AB190" t="s">
        <v>1279</v>
      </c>
      <c r="AC190" t="s">
        <v>1391</v>
      </c>
      <c r="AE190">
        <v>0</v>
      </c>
    </row>
    <row r="191" spans="1:31" x14ac:dyDescent="0.35">
      <c r="A191" s="535" t="str">
        <f t="shared" si="32"/>
        <v/>
      </c>
      <c r="B191" s="330"/>
      <c r="C191" s="330"/>
      <c r="D191" s="355"/>
      <c r="E191" s="355" t="s">
        <v>118</v>
      </c>
      <c r="F191" s="378">
        <v>0.4</v>
      </c>
      <c r="G191" s="378" t="s">
        <v>73</v>
      </c>
      <c r="H191" s="515"/>
      <c r="I191" s="378"/>
      <c r="J191" s="515"/>
      <c r="K191" s="674"/>
      <c r="L191" s="534"/>
      <c r="M191" s="458" t="str">
        <f t="shared" si="33"/>
        <v/>
      </c>
      <c r="N191" s="458"/>
      <c r="O191" s="458" t="str">
        <f t="shared" si="34"/>
        <v/>
      </c>
      <c r="P191" s="21"/>
      <c r="U191" s="44" t="str">
        <f t="shared" si="35"/>
        <v/>
      </c>
      <c r="V191" s="45" t="str">
        <f t="shared" si="36"/>
        <v/>
      </c>
      <c r="AB191" t="s">
        <v>1285</v>
      </c>
      <c r="AC191" t="s">
        <v>1394</v>
      </c>
      <c r="AE191">
        <v>0</v>
      </c>
    </row>
    <row r="192" spans="1:31" x14ac:dyDescent="0.35">
      <c r="A192" s="535" t="str">
        <f t="shared" si="32"/>
        <v/>
      </c>
      <c r="B192" s="337"/>
      <c r="C192" s="337"/>
      <c r="D192" s="326" t="s">
        <v>52</v>
      </c>
      <c r="E192" s="425" t="s">
        <v>11</v>
      </c>
      <c r="F192" s="18">
        <v>5</v>
      </c>
      <c r="G192" s="18" t="s">
        <v>73</v>
      </c>
      <c r="H192" s="18">
        <f>ROUND(($F$191)*(($F$192)/((($F$193)*(($F$194)/($F$194+$F$195)))+(($F$193)*(($F$195)/($F$194+$F$195)))
+($F$192))),2)</f>
        <v>0.08</v>
      </c>
      <c r="I192" s="18" t="s">
        <v>73</v>
      </c>
      <c r="J192" s="337"/>
      <c r="K192" s="672">
        <f>A154*H192</f>
        <v>3.92</v>
      </c>
      <c r="L192" s="534"/>
      <c r="M192" s="458" t="str">
        <f t="shared" si="33"/>
        <v/>
      </c>
      <c r="N192" s="458"/>
      <c r="O192" s="458" t="str">
        <f t="shared" si="34"/>
        <v/>
      </c>
      <c r="P192" s="21"/>
      <c r="U192" s="44" t="str">
        <f t="shared" si="35"/>
        <v/>
      </c>
      <c r="V192" s="45" t="str">
        <f t="shared" si="36"/>
        <v/>
      </c>
      <c r="AB192" t="s">
        <v>1922</v>
      </c>
      <c r="AC192" t="s">
        <v>1923</v>
      </c>
      <c r="AE192">
        <v>0</v>
      </c>
    </row>
    <row r="193" spans="1:31" x14ac:dyDescent="0.35">
      <c r="A193" s="535" t="str">
        <f t="shared" si="32"/>
        <v/>
      </c>
      <c r="B193" s="330"/>
      <c r="C193" s="330"/>
      <c r="D193" s="355"/>
      <c r="E193" s="416" t="s">
        <v>23</v>
      </c>
      <c r="F193" s="378">
        <v>20</v>
      </c>
      <c r="G193" s="378" t="s">
        <v>73</v>
      </c>
      <c r="H193" s="515"/>
      <c r="I193" s="378"/>
      <c r="J193" s="515"/>
      <c r="K193" s="674"/>
      <c r="L193" s="554"/>
      <c r="M193" s="378" t="str">
        <f t="shared" si="33"/>
        <v/>
      </c>
      <c r="N193" s="378"/>
      <c r="O193" s="378" t="str">
        <f t="shared" si="34"/>
        <v/>
      </c>
      <c r="P193" s="21"/>
      <c r="U193" s="44" t="str">
        <f t="shared" si="35"/>
        <v/>
      </c>
      <c r="V193" s="45" t="str">
        <f t="shared" si="36"/>
        <v/>
      </c>
      <c r="AB193" t="s">
        <v>1353</v>
      </c>
      <c r="AC193" t="s">
        <v>1460</v>
      </c>
      <c r="AE193">
        <v>0</v>
      </c>
    </row>
    <row r="194" spans="1:31" x14ac:dyDescent="0.35">
      <c r="A194" s="535" t="str">
        <f t="shared" si="32"/>
        <v/>
      </c>
      <c r="B194" s="337"/>
      <c r="C194" s="337"/>
      <c r="D194" s="326" t="s">
        <v>43</v>
      </c>
      <c r="E194" s="360" t="s">
        <v>8</v>
      </c>
      <c r="F194" s="18">
        <v>85</v>
      </c>
      <c r="G194" s="18" t="s">
        <v>73</v>
      </c>
      <c r="H194" s="18">
        <f>ROUND(($F$191)*((($F$193)*(($F$194)/($F$194+$F$195)))
/((($F$193)*(($F$194)/($F$194+$F$195)))+(($F$193)*(($F$195)/($F$194+$F$195)))
+($F$192))),2)</f>
        <v>0.27</v>
      </c>
      <c r="I194" s="18" t="s">
        <v>73</v>
      </c>
      <c r="J194" s="337"/>
      <c r="K194" s="672">
        <f>A154*H194</f>
        <v>13.23</v>
      </c>
      <c r="L194" s="534"/>
      <c r="M194" s="458" t="str">
        <f t="shared" si="33"/>
        <v/>
      </c>
      <c r="N194" s="458"/>
      <c r="O194" s="458" t="str">
        <f t="shared" si="34"/>
        <v/>
      </c>
      <c r="P194" s="21"/>
      <c r="U194" s="44" t="str">
        <f t="shared" si="35"/>
        <v/>
      </c>
      <c r="V194" s="45" t="str">
        <f t="shared" si="36"/>
        <v/>
      </c>
      <c r="AB194" t="s">
        <v>1536</v>
      </c>
      <c r="AC194" t="s">
        <v>1895</v>
      </c>
      <c r="AE194">
        <v>0</v>
      </c>
    </row>
    <row r="195" spans="1:31" x14ac:dyDescent="0.35">
      <c r="A195" s="535" t="str">
        <f t="shared" si="32"/>
        <v/>
      </c>
      <c r="B195" s="330"/>
      <c r="C195" s="330"/>
      <c r="D195" s="326" t="s">
        <v>42</v>
      </c>
      <c r="E195" s="366" t="s">
        <v>9</v>
      </c>
      <c r="F195" s="22">
        <v>15</v>
      </c>
      <c r="G195" s="22" t="s">
        <v>73</v>
      </c>
      <c r="H195" s="22">
        <f>ROUND(($F$191)*((($F$193)*(($F$195)/($F$194+$F$195)))
/((($F$193)*(($F$194)/($F$194+$F$195)))+(($F$193)*(($F$195)/($F$194+$F$195)))
+($F$192))),2)</f>
        <v>0.05</v>
      </c>
      <c r="I195" s="22" t="s">
        <v>73</v>
      </c>
      <c r="J195" s="330"/>
      <c r="K195" s="673">
        <f>A154*H195</f>
        <v>2.4500000000000002</v>
      </c>
      <c r="L195" s="534"/>
      <c r="M195" s="458" t="str">
        <f t="shared" si="33"/>
        <v/>
      </c>
      <c r="N195" s="458"/>
      <c r="O195" s="458" t="str">
        <f t="shared" si="34"/>
        <v/>
      </c>
      <c r="P195" s="21"/>
      <c r="U195" s="44" t="str">
        <f t="shared" si="35"/>
        <v/>
      </c>
      <c r="V195" s="45" t="str">
        <f t="shared" si="36"/>
        <v/>
      </c>
      <c r="AB195" t="s">
        <v>1263</v>
      </c>
      <c r="AC195" t="s">
        <v>1893</v>
      </c>
      <c r="AE195">
        <v>0</v>
      </c>
    </row>
    <row r="196" spans="1:31" ht="15" thickBot="1" x14ac:dyDescent="0.4">
      <c r="A196" s="535" t="str">
        <f t="shared" si="32"/>
        <v/>
      </c>
      <c r="B196" s="337"/>
      <c r="C196" s="337"/>
      <c r="D196" s="326" t="s">
        <v>129</v>
      </c>
      <c r="E196" s="536" t="s">
        <v>713</v>
      </c>
      <c r="F196" s="18">
        <v>20</v>
      </c>
      <c r="G196" s="18" t="s">
        <v>73</v>
      </c>
      <c r="H196" s="18">
        <v>20</v>
      </c>
      <c r="I196" s="18" t="s">
        <v>73</v>
      </c>
      <c r="J196" s="337"/>
      <c r="K196" s="672">
        <f>A154*H196</f>
        <v>980</v>
      </c>
      <c r="L196" s="534"/>
      <c r="M196" s="458" t="str">
        <f t="shared" si="33"/>
        <v/>
      </c>
      <c r="N196" s="458"/>
      <c r="O196" s="458" t="str">
        <f t="shared" si="34"/>
        <v/>
      </c>
      <c r="P196" s="21"/>
      <c r="U196" s="44" t="str">
        <f t="shared" si="35"/>
        <v/>
      </c>
      <c r="V196" s="45" t="str">
        <f t="shared" si="36"/>
        <v/>
      </c>
      <c r="AB196" t="s">
        <v>1263</v>
      </c>
      <c r="AC196" t="s">
        <v>1893</v>
      </c>
      <c r="AE196">
        <v>0</v>
      </c>
    </row>
    <row r="197" spans="1:31" ht="15.5" thickTop="1" thickBot="1" x14ac:dyDescent="0.4">
      <c r="A197" s="545" t="str">
        <f t="shared" si="32"/>
        <v/>
      </c>
      <c r="B197" s="546"/>
      <c r="C197" s="546"/>
      <c r="D197" s="547"/>
      <c r="E197" s="546"/>
      <c r="F197" s="550"/>
      <c r="G197" s="550"/>
      <c r="H197" s="546"/>
      <c r="I197" s="546"/>
      <c r="J197" s="546"/>
      <c r="K197" s="677"/>
      <c r="L197" s="534"/>
      <c r="M197" s="458" t="str">
        <f t="shared" si="33"/>
        <v/>
      </c>
      <c r="N197" s="458"/>
      <c r="O197" s="458" t="str">
        <f t="shared" si="34"/>
        <v/>
      </c>
      <c r="P197" s="21"/>
      <c r="U197" s="44" t="str">
        <f t="shared" si="35"/>
        <v/>
      </c>
      <c r="V197" s="45" t="str">
        <f t="shared" si="36"/>
        <v/>
      </c>
      <c r="AB197" t="s">
        <v>1275</v>
      </c>
      <c r="AC197" t="s">
        <v>1387</v>
      </c>
      <c r="AE197">
        <v>0</v>
      </c>
    </row>
    <row r="198" spans="1:31" ht="15" thickTop="1" x14ac:dyDescent="0.35">
      <c r="A198" s="76">
        <f>IFERROR(INDEX($Q$17:$Q$150,MATCH(B198,$R$17:$R$150, 0)), "")</f>
        <v>15</v>
      </c>
      <c r="B198" s="382" t="s">
        <v>1296</v>
      </c>
      <c r="C198" s="7" t="s">
        <v>35</v>
      </c>
      <c r="D198" s="347" t="s">
        <v>63</v>
      </c>
      <c r="E198" s="551" t="s">
        <v>75</v>
      </c>
      <c r="F198" s="6">
        <v>150</v>
      </c>
      <c r="G198" s="6" t="s">
        <v>73</v>
      </c>
      <c r="H198" s="6">
        <v>150</v>
      </c>
      <c r="I198" s="6" t="s">
        <v>73</v>
      </c>
      <c r="J198" s="5"/>
      <c r="K198" s="678">
        <f>A198*H198</f>
        <v>2250</v>
      </c>
      <c r="L198" s="534"/>
      <c r="M198" s="458" t="str">
        <f t="shared" si="33"/>
        <v/>
      </c>
      <c r="N198" s="458"/>
      <c r="O198" s="458" t="str">
        <f t="shared" si="34"/>
        <v/>
      </c>
      <c r="P198" s="40"/>
      <c r="U198" s="44" t="str">
        <f t="shared" si="35"/>
        <v/>
      </c>
      <c r="V198" s="45" t="str">
        <f t="shared" si="36"/>
        <v/>
      </c>
      <c r="AB198" t="s">
        <v>1281</v>
      </c>
      <c r="AC198" t="s">
        <v>1924</v>
      </c>
      <c r="AE198">
        <v>0</v>
      </c>
    </row>
    <row r="199" spans="1:31" x14ac:dyDescent="0.35">
      <c r="A199" s="535" t="str">
        <f t="shared" si="32"/>
        <v/>
      </c>
      <c r="B199" s="330"/>
      <c r="C199" s="555"/>
      <c r="D199" s="355"/>
      <c r="E199" s="556" t="s">
        <v>1119</v>
      </c>
      <c r="F199" s="378">
        <v>1000</v>
      </c>
      <c r="G199" s="378" t="s">
        <v>73</v>
      </c>
      <c r="H199" s="378">
        <f>ROUND(($F$198)*((($F$198)*(($F$199)/($F$200+$F$199)))
/((($F$198)*(($F$199)/($F$200+$F$199)))+(($F$198)*(($F$200)/($F$200+$F$199)))
+($F$201)+($F$202)+($F$203))),2)</f>
        <v>105.34</v>
      </c>
      <c r="I199" s="378"/>
      <c r="J199" s="515"/>
      <c r="K199" s="674"/>
      <c r="L199" s="534"/>
      <c r="M199" s="458" t="str">
        <f t="shared" si="33"/>
        <v/>
      </c>
      <c r="N199" s="458"/>
      <c r="O199" s="458" t="str">
        <f t="shared" si="34"/>
        <v/>
      </c>
      <c r="P199" s="21"/>
      <c r="U199" s="44" t="str">
        <f t="shared" si="35"/>
        <v/>
      </c>
      <c r="V199" s="45" t="str">
        <f t="shared" si="36"/>
        <v/>
      </c>
      <c r="AB199" t="s">
        <v>1284</v>
      </c>
      <c r="AC199" t="s">
        <v>886</v>
      </c>
      <c r="AE199">
        <v>0</v>
      </c>
    </row>
    <row r="200" spans="1:31" x14ac:dyDescent="0.35">
      <c r="A200" s="535" t="str">
        <f t="shared" si="32"/>
        <v/>
      </c>
      <c r="B200" s="337"/>
      <c r="C200" s="555"/>
      <c r="D200" s="326" t="s">
        <v>525</v>
      </c>
      <c r="E200" s="419" t="s">
        <v>714</v>
      </c>
      <c r="F200" s="18">
        <v>7</v>
      </c>
      <c r="G200" s="18" t="s">
        <v>73</v>
      </c>
      <c r="H200" s="18">
        <f>ROUND(($F$198)*((($F$198)*(($F$200)/($F$200+$F$199)))
/((($F$198)*(($F$199)/($F$200+$F$199)))+(($F$198)*(($F$200)/($F$200+$F$199)))
+($F$201)+($F$202)+($F$203))),2)</f>
        <v>0.74</v>
      </c>
      <c r="I200" s="18" t="s">
        <v>73</v>
      </c>
      <c r="J200" s="337"/>
      <c r="K200" s="672">
        <f>A198*H200</f>
        <v>11.1</v>
      </c>
      <c r="L200" s="534"/>
      <c r="M200" s="458" t="str">
        <f t="shared" si="33"/>
        <v/>
      </c>
      <c r="N200" s="458"/>
      <c r="O200" s="458" t="str">
        <f t="shared" si="34"/>
        <v/>
      </c>
      <c r="P200" s="21"/>
      <c r="U200" s="44" t="str">
        <f t="shared" si="35"/>
        <v/>
      </c>
      <c r="V200" s="45" t="str">
        <f t="shared" si="36"/>
        <v/>
      </c>
      <c r="AB200" t="s">
        <v>1298</v>
      </c>
      <c r="AC200" t="s">
        <v>1405</v>
      </c>
      <c r="AE200">
        <v>0</v>
      </c>
    </row>
    <row r="201" spans="1:31" x14ac:dyDescent="0.35">
      <c r="A201" s="535" t="str">
        <f t="shared" si="32"/>
        <v/>
      </c>
      <c r="B201" s="330"/>
      <c r="C201" s="555"/>
      <c r="D201" s="326" t="s">
        <v>129</v>
      </c>
      <c r="E201" s="557" t="s">
        <v>715</v>
      </c>
      <c r="F201" s="22">
        <v>60</v>
      </c>
      <c r="G201" s="22" t="s">
        <v>73</v>
      </c>
      <c r="H201" s="22">
        <f>ROUND(($F$198)*(($F$201)/((($F$198)*(($F$199)/($F$200+$F$199)))+(($F$198)*(($F$200)/($F$200+$F$199)))
+($F$201)+($F$202)+($F$203))),2)</f>
        <v>42.43</v>
      </c>
      <c r="I201" s="22" t="s">
        <v>73</v>
      </c>
      <c r="J201" s="330"/>
      <c r="K201" s="673">
        <f>A198*H201</f>
        <v>636.45000000000005</v>
      </c>
      <c r="L201" s="534"/>
      <c r="M201" s="458" t="str">
        <f t="shared" si="33"/>
        <v/>
      </c>
      <c r="N201" s="458"/>
      <c r="O201" s="458" t="str">
        <f t="shared" si="34"/>
        <v/>
      </c>
      <c r="P201" s="21"/>
      <c r="U201" s="44" t="str">
        <f t="shared" si="35"/>
        <v/>
      </c>
      <c r="V201" s="45" t="str">
        <f t="shared" si="36"/>
        <v/>
      </c>
      <c r="AB201" t="s">
        <v>1361</v>
      </c>
      <c r="AC201" t="s">
        <v>1467</v>
      </c>
      <c r="AE201">
        <v>0</v>
      </c>
    </row>
    <row r="202" spans="1:31" x14ac:dyDescent="0.35">
      <c r="A202" s="535" t="str">
        <f t="shared" si="32"/>
        <v/>
      </c>
      <c r="B202" s="337"/>
      <c r="C202" s="555"/>
      <c r="D202" s="417" t="s">
        <v>41</v>
      </c>
      <c r="E202" s="558" t="s">
        <v>22</v>
      </c>
      <c r="F202" s="18">
        <v>2</v>
      </c>
      <c r="G202" s="18" t="s">
        <v>73</v>
      </c>
      <c r="H202" s="18">
        <f>ROUND(($F$198)*(($F$202)/((($F$198)*(($F$199)/($F$200+$F$199)))+(($F$198)*(($F$200)/($F$200+$F$199)))
+($F$201)+($F$202)+($F$203))),2)</f>
        <v>1.41</v>
      </c>
      <c r="I202" s="18" t="s">
        <v>73</v>
      </c>
      <c r="J202" s="337"/>
      <c r="K202" s="672">
        <f>A198*H202</f>
        <v>21.15</v>
      </c>
      <c r="L202" s="534"/>
      <c r="M202" s="458" t="str">
        <f t="shared" si="33"/>
        <v/>
      </c>
      <c r="N202" s="458"/>
      <c r="O202" s="458" t="str">
        <f t="shared" si="34"/>
        <v/>
      </c>
      <c r="P202" s="21"/>
      <c r="U202" s="44" t="str">
        <f t="shared" si="35"/>
        <v/>
      </c>
      <c r="V202" s="45" t="str">
        <f t="shared" si="36"/>
        <v/>
      </c>
      <c r="AB202" t="s">
        <v>1265</v>
      </c>
      <c r="AC202" t="s">
        <v>1378</v>
      </c>
      <c r="AE202">
        <v>0</v>
      </c>
    </row>
    <row r="203" spans="1:31" x14ac:dyDescent="0.35">
      <c r="A203" s="535" t="str">
        <f t="shared" si="32"/>
        <v/>
      </c>
      <c r="B203" s="330"/>
      <c r="C203" s="555"/>
      <c r="D203" s="326" t="s">
        <v>55</v>
      </c>
      <c r="E203" s="557" t="s">
        <v>110</v>
      </c>
      <c r="F203" s="22">
        <v>0.1</v>
      </c>
      <c r="G203" s="22" t="s">
        <v>73</v>
      </c>
      <c r="H203" s="22">
        <f>ROUND(($F$198)*(($F$203)/((($F$198)*(($F$199)/($F$200+$F$199)))+(($F$198)*(($F$200)/($F$200+$F$199)))
+($F$201)+($F$202)+($F$203))),2)</f>
        <v>7.0000000000000007E-2</v>
      </c>
      <c r="I203" s="22" t="s">
        <v>73</v>
      </c>
      <c r="J203" s="330"/>
      <c r="K203" s="673">
        <f>A198*H203</f>
        <v>1.05</v>
      </c>
      <c r="L203" s="534"/>
      <c r="M203" s="458" t="str">
        <f t="shared" si="33"/>
        <v/>
      </c>
      <c r="N203" s="458"/>
      <c r="O203" s="458" t="str">
        <f t="shared" si="34"/>
        <v/>
      </c>
      <c r="P203" s="21"/>
      <c r="U203" s="44" t="str">
        <f t="shared" si="35"/>
        <v/>
      </c>
      <c r="V203" s="45" t="str">
        <f t="shared" si="36"/>
        <v/>
      </c>
      <c r="AB203" t="s">
        <v>1270</v>
      </c>
      <c r="AC203" t="s">
        <v>1383</v>
      </c>
      <c r="AE203">
        <v>0</v>
      </c>
    </row>
    <row r="204" spans="1:31" x14ac:dyDescent="0.35">
      <c r="A204" s="535" t="str">
        <f t="shared" si="32"/>
        <v/>
      </c>
      <c r="B204" s="337"/>
      <c r="C204" s="337"/>
      <c r="D204" s="326" t="s">
        <v>505</v>
      </c>
      <c r="E204" s="536" t="s">
        <v>709</v>
      </c>
      <c r="F204" s="18">
        <v>2</v>
      </c>
      <c r="G204" s="18" t="s">
        <v>73</v>
      </c>
      <c r="H204" s="18">
        <v>2</v>
      </c>
      <c r="I204" s="18" t="s">
        <v>73</v>
      </c>
      <c r="J204" s="337"/>
      <c r="K204" s="672">
        <f>A198*H204</f>
        <v>30</v>
      </c>
      <c r="L204" s="534"/>
      <c r="M204" s="458" t="str">
        <f t="shared" si="33"/>
        <v/>
      </c>
      <c r="N204" s="458"/>
      <c r="O204" s="458" t="str">
        <f t="shared" si="34"/>
        <v/>
      </c>
      <c r="P204" s="21"/>
      <c r="U204" s="44" t="str">
        <f t="shared" si="35"/>
        <v/>
      </c>
      <c r="V204" s="45" t="str">
        <f t="shared" si="36"/>
        <v/>
      </c>
      <c r="AB204" t="s">
        <v>1925</v>
      </c>
      <c r="AC204" t="s">
        <v>1926</v>
      </c>
      <c r="AE204">
        <v>0</v>
      </c>
    </row>
    <row r="205" spans="1:31" x14ac:dyDescent="0.35">
      <c r="A205" s="535" t="str">
        <f t="shared" si="32"/>
        <v/>
      </c>
      <c r="B205" s="330"/>
      <c r="C205" s="330"/>
      <c r="D205" s="326" t="s">
        <v>398</v>
      </c>
      <c r="E205" s="327" t="s">
        <v>710</v>
      </c>
      <c r="F205" s="22">
        <v>35</v>
      </c>
      <c r="G205" s="22" t="s">
        <v>73</v>
      </c>
      <c r="H205" s="22">
        <v>35</v>
      </c>
      <c r="I205" s="22" t="s">
        <v>73</v>
      </c>
      <c r="J205" s="330"/>
      <c r="K205" s="673">
        <f>A198*H205</f>
        <v>525</v>
      </c>
      <c r="L205" s="534"/>
      <c r="M205" s="458" t="str">
        <f t="shared" si="33"/>
        <v/>
      </c>
      <c r="N205" s="458"/>
      <c r="O205" s="458" t="str">
        <f t="shared" si="34"/>
        <v/>
      </c>
      <c r="P205" s="21"/>
      <c r="U205" s="44" t="str">
        <f t="shared" si="35"/>
        <v/>
      </c>
      <c r="V205" s="45" t="str">
        <f t="shared" si="36"/>
        <v/>
      </c>
      <c r="AB205" t="s">
        <v>1024</v>
      </c>
      <c r="AC205" t="s">
        <v>1025</v>
      </c>
      <c r="AE205">
        <v>0</v>
      </c>
    </row>
    <row r="206" spans="1:31" x14ac:dyDescent="0.35">
      <c r="A206" s="535" t="str">
        <f t="shared" si="32"/>
        <v/>
      </c>
      <c r="B206" s="337"/>
      <c r="C206" s="337"/>
      <c r="D206" s="326" t="s">
        <v>49</v>
      </c>
      <c r="E206" s="334" t="s">
        <v>99</v>
      </c>
      <c r="F206" s="18">
        <v>7</v>
      </c>
      <c r="G206" s="18" t="s">
        <v>73</v>
      </c>
      <c r="H206" s="18">
        <v>7</v>
      </c>
      <c r="I206" s="18" t="s">
        <v>73</v>
      </c>
      <c r="J206" s="337"/>
      <c r="K206" s="672">
        <f>A198*H206</f>
        <v>105</v>
      </c>
      <c r="L206" s="534"/>
      <c r="M206" s="458" t="str">
        <f t="shared" si="33"/>
        <v/>
      </c>
      <c r="N206" s="458"/>
      <c r="O206" s="458" t="str">
        <f t="shared" si="34"/>
        <v/>
      </c>
      <c r="P206" s="21"/>
      <c r="U206" s="44" t="str">
        <f t="shared" si="35"/>
        <v/>
      </c>
      <c r="V206" s="45" t="str">
        <f t="shared" si="36"/>
        <v/>
      </c>
      <c r="AB206" t="s">
        <v>1044</v>
      </c>
      <c r="AC206" t="s">
        <v>1045</v>
      </c>
      <c r="AE206">
        <v>0</v>
      </c>
    </row>
    <row r="207" spans="1:31" x14ac:dyDescent="0.35">
      <c r="A207" s="535" t="str">
        <f t="shared" si="32"/>
        <v/>
      </c>
      <c r="B207" s="330"/>
      <c r="C207" s="330"/>
      <c r="D207" s="355"/>
      <c r="E207" s="355" t="s">
        <v>90</v>
      </c>
      <c r="F207" s="378">
        <v>70</v>
      </c>
      <c r="G207" s="378" t="s">
        <v>73</v>
      </c>
      <c r="H207" s="515"/>
      <c r="I207" s="378"/>
      <c r="J207" s="515"/>
      <c r="K207" s="674"/>
      <c r="L207" s="534"/>
      <c r="M207" s="458" t="str">
        <f t="shared" si="33"/>
        <v/>
      </c>
      <c r="N207" s="458"/>
      <c r="O207" s="458" t="str">
        <f t="shared" si="34"/>
        <v/>
      </c>
      <c r="P207" s="21"/>
      <c r="U207" s="44" t="str">
        <f t="shared" si="35"/>
        <v/>
      </c>
      <c r="V207" s="45" t="str">
        <f t="shared" si="36"/>
        <v/>
      </c>
      <c r="AB207" t="s">
        <v>1304</v>
      </c>
      <c r="AC207" t="s">
        <v>1413</v>
      </c>
      <c r="AE207">
        <v>0</v>
      </c>
    </row>
    <row r="208" spans="1:31" x14ac:dyDescent="0.35">
      <c r="A208" s="535" t="str">
        <f t="shared" si="32"/>
        <v/>
      </c>
      <c r="B208" s="337"/>
      <c r="C208" s="337"/>
      <c r="D208" s="417" t="s">
        <v>39</v>
      </c>
      <c r="E208" s="558" t="s">
        <v>20</v>
      </c>
      <c r="F208" s="18">
        <v>1000</v>
      </c>
      <c r="G208" s="18" t="s">
        <v>73</v>
      </c>
      <c r="H208" s="18">
        <f>ROUND(($F$207)*(($F$208)/((($F$211)*(($F$212)/($F$212+$F$213))+($F$211)*(($F$213)/($F$212+$F$213))
+($F$208)+($F$209)+($F$210)))),2)</f>
        <v>65.73</v>
      </c>
      <c r="I208" s="18" t="s">
        <v>73</v>
      </c>
      <c r="J208" s="337"/>
      <c r="K208" s="672">
        <f>A198*H208</f>
        <v>985.95</v>
      </c>
      <c r="L208" s="534"/>
      <c r="M208" s="458" t="str">
        <f t="shared" si="33"/>
        <v/>
      </c>
      <c r="N208" s="458"/>
      <c r="O208" s="458" t="str">
        <f t="shared" si="34"/>
        <v/>
      </c>
      <c r="P208" s="21"/>
      <c r="U208" s="44" t="str">
        <f t="shared" si="35"/>
        <v/>
      </c>
      <c r="V208" s="45" t="str">
        <f t="shared" si="36"/>
        <v/>
      </c>
      <c r="AB208" t="s">
        <v>1310</v>
      </c>
      <c r="AC208" t="s">
        <v>1419</v>
      </c>
      <c r="AE208">
        <v>0</v>
      </c>
    </row>
    <row r="209" spans="1:31" x14ac:dyDescent="0.35">
      <c r="A209" s="535" t="str">
        <f t="shared" ref="A209:A272" si="38">IFERROR(INDEX($Q$17:$Q$41,MATCH(B209,$R$17:$R$41, 0)), "")</f>
        <v/>
      </c>
      <c r="B209" s="330"/>
      <c r="C209" s="330"/>
      <c r="D209" s="417" t="s">
        <v>40</v>
      </c>
      <c r="E209" s="557" t="s">
        <v>21</v>
      </c>
      <c r="F209" s="22">
        <v>15</v>
      </c>
      <c r="G209" s="22" t="s">
        <v>73</v>
      </c>
      <c r="H209" s="328">
        <f>ROUND(($F$207)*(($F$209)/((($F$211)*(($F$212)/($F$212+$F$213))+($F$211)*(($F$213)/($F$212+$F$213))
+($F$208)+($F$209)+($F$210)))),2)</f>
        <v>0.99</v>
      </c>
      <c r="I209" s="22" t="s">
        <v>73</v>
      </c>
      <c r="J209" s="330"/>
      <c r="K209" s="673">
        <f>A198*H209</f>
        <v>14.85</v>
      </c>
      <c r="L209" s="534"/>
      <c r="M209" s="458" t="str">
        <f t="shared" ref="M209:M272" si="39">IF(Q208&gt;0, Q208, "")</f>
        <v/>
      </c>
      <c r="N209" s="458"/>
      <c r="O209" s="458" t="str">
        <f t="shared" ref="O209:O272" si="40">IF(V209&gt;0, V209, "")</f>
        <v/>
      </c>
      <c r="P209" s="21"/>
      <c r="U209" s="44" t="str">
        <f t="shared" ref="U209:U272" si="41">IF(T209="","", IF(INDEX(E$17:E$3406, MATCH(T209, D$17:D$3406, 0))=0,"", INDEX(E$17:E$3406, MATCH(T209, D$17:D$3406, 0))))</f>
        <v/>
      </c>
      <c r="V209" s="45" t="str">
        <f t="shared" ref="V209:V272" si="42">IF(T209="","", SUMIFS(K$17:K$3406, D$17:D$3406, T209))</f>
        <v/>
      </c>
      <c r="AB209" t="s">
        <v>1324</v>
      </c>
      <c r="AC209" t="s">
        <v>1432</v>
      </c>
      <c r="AE209">
        <v>0</v>
      </c>
    </row>
    <row r="210" spans="1:31" x14ac:dyDescent="0.35">
      <c r="A210" s="535" t="str">
        <f t="shared" si="38"/>
        <v/>
      </c>
      <c r="B210" s="337"/>
      <c r="C210" s="337"/>
      <c r="D210" s="417" t="s">
        <v>41</v>
      </c>
      <c r="E210" s="558" t="s">
        <v>22</v>
      </c>
      <c r="F210" s="18">
        <v>30</v>
      </c>
      <c r="G210" s="18" t="s">
        <v>73</v>
      </c>
      <c r="H210" s="335">
        <f>ROUND(($F$207)*(($F$210)/((($F$211)*(($F$212)/($F$212+$F$213))+($F$211)*(($F$213)/($F$212+$F$213))
+($F$208)+($F$209)+($F$210)))),2)</f>
        <v>1.97</v>
      </c>
      <c r="I210" s="18" t="s">
        <v>73</v>
      </c>
      <c r="J210" s="337"/>
      <c r="K210" s="672">
        <f>A198*H210</f>
        <v>29.55</v>
      </c>
      <c r="L210" s="534"/>
      <c r="M210" s="458" t="str">
        <f t="shared" si="39"/>
        <v/>
      </c>
      <c r="N210" s="458"/>
      <c r="O210" s="458" t="str">
        <f t="shared" si="40"/>
        <v/>
      </c>
      <c r="P210" s="21"/>
      <c r="U210" s="44" t="str">
        <f t="shared" si="41"/>
        <v/>
      </c>
      <c r="V210" s="45" t="str">
        <f t="shared" si="42"/>
        <v/>
      </c>
      <c r="AB210" t="s">
        <v>1018</v>
      </c>
      <c r="AC210" t="s">
        <v>1019</v>
      </c>
      <c r="AE210">
        <v>0</v>
      </c>
    </row>
    <row r="211" spans="1:31" x14ac:dyDescent="0.35">
      <c r="A211" s="535" t="str">
        <f t="shared" si="38"/>
        <v/>
      </c>
      <c r="B211" s="330"/>
      <c r="C211" s="330"/>
      <c r="D211" s="355"/>
      <c r="E211" s="559" t="s">
        <v>23</v>
      </c>
      <c r="F211" s="378">
        <v>20</v>
      </c>
      <c r="G211" s="378" t="s">
        <v>73</v>
      </c>
      <c r="H211" s="515"/>
      <c r="I211" s="378"/>
      <c r="J211" s="515"/>
      <c r="K211" s="674"/>
      <c r="L211" s="534"/>
      <c r="M211" s="458" t="str">
        <f t="shared" si="39"/>
        <v/>
      </c>
      <c r="N211" s="458"/>
      <c r="O211" s="458" t="str">
        <f t="shared" si="40"/>
        <v/>
      </c>
      <c r="P211" s="21"/>
      <c r="U211" s="44" t="str">
        <f t="shared" si="41"/>
        <v/>
      </c>
      <c r="V211" s="45" t="str">
        <f t="shared" si="42"/>
        <v/>
      </c>
      <c r="AB211" t="s">
        <v>1354</v>
      </c>
      <c r="AC211" t="s">
        <v>857</v>
      </c>
      <c r="AE211">
        <v>0</v>
      </c>
    </row>
    <row r="212" spans="1:31" x14ac:dyDescent="0.35">
      <c r="A212" s="535" t="str">
        <f t="shared" si="38"/>
        <v/>
      </c>
      <c r="B212" s="337"/>
      <c r="C212" s="337"/>
      <c r="D212" s="326" t="s">
        <v>43</v>
      </c>
      <c r="E212" s="360" t="s">
        <v>24</v>
      </c>
      <c r="F212" s="18">
        <v>85</v>
      </c>
      <c r="G212" s="18" t="s">
        <v>73</v>
      </c>
      <c r="H212" s="18">
        <f>ROUND(($F$207)*((($F$211)*(($F$212)/($F$212+$F$213)))
/(($F$211)*(($F$212)/($F$212+$F$213))+($F$211)*(($F$213)/($F$212+$F$213))
+($F$208)+($F$209)+($F$210))),2)</f>
        <v>1.1200000000000001</v>
      </c>
      <c r="I212" s="18" t="s">
        <v>73</v>
      </c>
      <c r="J212" s="337"/>
      <c r="K212" s="672">
        <f>A198*H212</f>
        <v>16.8</v>
      </c>
      <c r="L212" s="534"/>
      <c r="M212" s="458" t="str">
        <f t="shared" si="39"/>
        <v/>
      </c>
      <c r="N212" s="458"/>
      <c r="O212" s="458" t="str">
        <f t="shared" si="40"/>
        <v/>
      </c>
      <c r="P212" s="21"/>
      <c r="U212" s="44" t="str">
        <f t="shared" si="41"/>
        <v/>
      </c>
      <c r="V212" s="45" t="str">
        <f t="shared" si="42"/>
        <v/>
      </c>
      <c r="AB212" t="s">
        <v>1358</v>
      </c>
      <c r="AC212" t="s">
        <v>1464</v>
      </c>
      <c r="AE212">
        <v>0</v>
      </c>
    </row>
    <row r="213" spans="1:31" x14ac:dyDescent="0.35">
      <c r="A213" s="535" t="str">
        <f t="shared" si="38"/>
        <v/>
      </c>
      <c r="B213" s="330"/>
      <c r="C213" s="330"/>
      <c r="D213" s="326" t="s">
        <v>42</v>
      </c>
      <c r="E213" s="366" t="s">
        <v>9</v>
      </c>
      <c r="F213" s="22">
        <v>15</v>
      </c>
      <c r="G213" s="22" t="s">
        <v>73</v>
      </c>
      <c r="H213" s="22">
        <f>ROUND(($F$207)*((($F$211)*(($F$213)/($F$212+$F$213)))
/(($F$211)*(($F$212)/($F$212+$F$213))+($F$211)*(($F$213)/($F$212+$F$213))
+($F$208)+($F$209)+($F$210))),2)</f>
        <v>0.2</v>
      </c>
      <c r="I213" s="22" t="s">
        <v>73</v>
      </c>
      <c r="J213" s="330"/>
      <c r="K213" s="673">
        <f>A198*H213</f>
        <v>3</v>
      </c>
      <c r="L213" s="534"/>
      <c r="M213" s="458" t="str">
        <f t="shared" si="39"/>
        <v/>
      </c>
      <c r="N213" s="458"/>
      <c r="O213" s="458" t="str">
        <f t="shared" si="40"/>
        <v/>
      </c>
      <c r="P213" s="21"/>
      <c r="U213" s="44" t="str">
        <f t="shared" si="41"/>
        <v/>
      </c>
      <c r="V213" s="45" t="str">
        <f t="shared" si="42"/>
        <v/>
      </c>
      <c r="AB213" t="s">
        <v>1927</v>
      </c>
      <c r="AC213" t="s">
        <v>1928</v>
      </c>
      <c r="AE213">
        <v>0</v>
      </c>
    </row>
    <row r="214" spans="1:31" x14ac:dyDescent="0.35">
      <c r="A214" s="535" t="str">
        <f t="shared" si="38"/>
        <v/>
      </c>
      <c r="B214" s="337"/>
      <c r="C214" s="337"/>
      <c r="D214" s="355"/>
      <c r="E214" s="355" t="s">
        <v>30</v>
      </c>
      <c r="F214" s="378">
        <v>100</v>
      </c>
      <c r="G214" s="378" t="s">
        <v>73</v>
      </c>
      <c r="H214" s="515"/>
      <c r="I214" s="378"/>
      <c r="J214" s="515"/>
      <c r="K214" s="674"/>
      <c r="L214" s="534"/>
      <c r="M214" s="458" t="str">
        <f t="shared" si="39"/>
        <v/>
      </c>
      <c r="N214" s="458"/>
      <c r="O214" s="458" t="str">
        <f t="shared" si="40"/>
        <v/>
      </c>
      <c r="P214" s="21"/>
      <c r="U214" s="44" t="str">
        <f t="shared" si="41"/>
        <v/>
      </c>
      <c r="V214" s="45" t="str">
        <f t="shared" si="42"/>
        <v/>
      </c>
      <c r="AB214" t="s">
        <v>1538</v>
      </c>
      <c r="AC214" t="s">
        <v>1929</v>
      </c>
      <c r="AE214">
        <v>0</v>
      </c>
    </row>
    <row r="215" spans="1:31" x14ac:dyDescent="0.35">
      <c r="A215" s="535" t="str">
        <f t="shared" si="38"/>
        <v/>
      </c>
      <c r="B215" s="330"/>
      <c r="C215" s="330"/>
      <c r="D215" s="355"/>
      <c r="E215" s="416" t="s">
        <v>26</v>
      </c>
      <c r="F215" s="378">
        <v>1000</v>
      </c>
      <c r="G215" s="378" t="s">
        <v>73</v>
      </c>
      <c r="H215" s="515"/>
      <c r="I215" s="378"/>
      <c r="J215" s="515"/>
      <c r="K215" s="674"/>
      <c r="L215" s="534"/>
      <c r="M215" s="458" t="str">
        <f t="shared" si="39"/>
        <v/>
      </c>
      <c r="N215" s="458"/>
      <c r="O215" s="458" t="str">
        <f t="shared" si="40"/>
        <v/>
      </c>
      <c r="P215" s="21"/>
      <c r="U215" s="44" t="str">
        <f t="shared" si="41"/>
        <v/>
      </c>
      <c r="V215" s="45" t="str">
        <f t="shared" si="42"/>
        <v/>
      </c>
      <c r="AB215" t="s">
        <v>1532</v>
      </c>
      <c r="AC215" t="s">
        <v>1533</v>
      </c>
      <c r="AE215">
        <v>0</v>
      </c>
    </row>
    <row r="216" spans="1:31" x14ac:dyDescent="0.35">
      <c r="A216" s="535" t="str">
        <f t="shared" si="38"/>
        <v/>
      </c>
      <c r="B216" s="337"/>
      <c r="C216" s="337"/>
      <c r="D216" s="326" t="s">
        <v>60</v>
      </c>
      <c r="E216" s="560" t="s">
        <v>121</v>
      </c>
      <c r="F216" s="18">
        <v>1000</v>
      </c>
      <c r="G216" s="18" t="s">
        <v>73</v>
      </c>
      <c r="H216" s="18">
        <f>ROUND(($F$214)*((($F$215)*(($F$216)/($F$216+$F$218)))
/((($F$215)*(($F$216)/($F$216+$F$218)))+(($F$215)*(($F$218)/($F$216+$F$218)))
+($F$219)+($F$220))),2)</f>
        <v>66.959999999999994</v>
      </c>
      <c r="I216" s="18" t="s">
        <v>73</v>
      </c>
      <c r="J216" s="337"/>
      <c r="K216" s="672">
        <f>A198*H216</f>
        <v>1004.3999999999999</v>
      </c>
      <c r="L216" s="534"/>
      <c r="M216" s="458" t="str">
        <f t="shared" si="39"/>
        <v/>
      </c>
      <c r="N216" s="458"/>
      <c r="O216" s="458" t="str">
        <f t="shared" si="40"/>
        <v/>
      </c>
      <c r="P216" s="21"/>
      <c r="U216" s="44" t="str">
        <f t="shared" si="41"/>
        <v/>
      </c>
      <c r="V216" s="45" t="str">
        <f t="shared" si="42"/>
        <v/>
      </c>
      <c r="AB216" t="s">
        <v>1032</v>
      </c>
      <c r="AC216" t="s">
        <v>1033</v>
      </c>
      <c r="AE216">
        <v>0</v>
      </c>
    </row>
    <row r="217" spans="1:31" x14ac:dyDescent="0.35">
      <c r="A217" s="535" t="str">
        <f t="shared" si="38"/>
        <v/>
      </c>
      <c r="B217" s="330"/>
      <c r="C217" s="330"/>
      <c r="D217" s="342"/>
      <c r="E217" s="561" t="s">
        <v>81</v>
      </c>
      <c r="F217" s="404">
        <v>400</v>
      </c>
      <c r="G217" s="404"/>
      <c r="H217" s="345"/>
      <c r="I217" s="404"/>
      <c r="J217" s="345"/>
      <c r="K217" s="675"/>
      <c r="L217" s="534"/>
      <c r="M217" s="458" t="str">
        <f t="shared" si="39"/>
        <v/>
      </c>
      <c r="N217" s="458"/>
      <c r="O217" s="458" t="str">
        <f t="shared" si="40"/>
        <v/>
      </c>
      <c r="P217" s="21"/>
      <c r="U217" s="44" t="str">
        <f t="shared" si="41"/>
        <v/>
      </c>
      <c r="V217" s="45" t="str">
        <f t="shared" si="42"/>
        <v/>
      </c>
      <c r="AB217" t="s">
        <v>1930</v>
      </c>
      <c r="AC217" t="s">
        <v>1931</v>
      </c>
      <c r="AE217">
        <v>0</v>
      </c>
    </row>
    <row r="218" spans="1:31" x14ac:dyDescent="0.35">
      <c r="A218" s="535" t="str">
        <f t="shared" si="38"/>
        <v/>
      </c>
      <c r="B218" s="337"/>
      <c r="C218" s="337"/>
      <c r="D218" s="326" t="s">
        <v>43</v>
      </c>
      <c r="E218" s="560" t="s">
        <v>8</v>
      </c>
      <c r="F218" s="18">
        <v>30</v>
      </c>
      <c r="G218" s="18" t="s">
        <v>73</v>
      </c>
      <c r="H218" s="18">
        <f>ROUND(($F$214)*((($F$215)*(($F$218)/($F$216+$F$218)))
/((($F$215)*(($F$216)/($F$216+$F$218)))+(($F$215)*(($F$218)/($F$216+$F$218)))
+($F$219)+($F$220))),2)</f>
        <v>2.0099999999999998</v>
      </c>
      <c r="I218" s="18" t="s">
        <v>73</v>
      </c>
      <c r="J218" s="337"/>
      <c r="K218" s="672">
        <f>A198*H218</f>
        <v>30.15</v>
      </c>
      <c r="L218" s="534"/>
      <c r="M218" s="458" t="str">
        <f t="shared" si="39"/>
        <v/>
      </c>
      <c r="N218" s="458"/>
      <c r="O218" s="458" t="str">
        <f t="shared" si="40"/>
        <v/>
      </c>
      <c r="P218" s="21"/>
      <c r="U218" s="44" t="str">
        <f t="shared" si="41"/>
        <v/>
      </c>
      <c r="V218" s="45" t="str">
        <f t="shared" si="42"/>
        <v/>
      </c>
      <c r="AB218" t="s">
        <v>1315</v>
      </c>
      <c r="AC218" t="s">
        <v>1424</v>
      </c>
      <c r="AE218">
        <v>0</v>
      </c>
    </row>
    <row r="219" spans="1:31" x14ac:dyDescent="0.35">
      <c r="A219" s="535" t="str">
        <f t="shared" si="38"/>
        <v/>
      </c>
      <c r="B219" s="330"/>
      <c r="C219" s="330"/>
      <c r="D219" s="326" t="s">
        <v>48</v>
      </c>
      <c r="E219" s="426" t="s">
        <v>91</v>
      </c>
      <c r="F219" s="22">
        <v>100</v>
      </c>
      <c r="G219" s="22" t="s">
        <v>73</v>
      </c>
      <c r="H219" s="22">
        <f>ROUND(($F$214)*(($F$219)/((($F$215)*(($F$216)/($F$216+$F$218)))+(($F$215)*(($F$218)/($F$216+$F$218)))
+($F$219)+($F$220))),2)</f>
        <v>6.9</v>
      </c>
      <c r="I219" s="22" t="s">
        <v>73</v>
      </c>
      <c r="J219" s="330"/>
      <c r="K219" s="673">
        <f>A198*H219</f>
        <v>103.5</v>
      </c>
      <c r="L219" s="534"/>
      <c r="M219" s="458" t="str">
        <f t="shared" si="39"/>
        <v/>
      </c>
      <c r="N219" s="458"/>
      <c r="O219" s="458" t="str">
        <f t="shared" si="40"/>
        <v/>
      </c>
      <c r="P219" s="21"/>
      <c r="U219" s="44" t="str">
        <f t="shared" si="41"/>
        <v/>
      </c>
      <c r="V219" s="45" t="str">
        <f t="shared" si="42"/>
        <v/>
      </c>
      <c r="AB219" t="s">
        <v>1363</v>
      </c>
      <c r="AC219" t="s">
        <v>1469</v>
      </c>
      <c r="AE219">
        <v>0</v>
      </c>
    </row>
    <row r="220" spans="1:31" x14ac:dyDescent="0.35">
      <c r="A220" s="535" t="str">
        <f t="shared" si="38"/>
        <v/>
      </c>
      <c r="B220" s="337"/>
      <c r="C220" s="337"/>
      <c r="D220" s="326" t="s">
        <v>59</v>
      </c>
      <c r="E220" s="425" t="s">
        <v>27</v>
      </c>
      <c r="F220" s="18">
        <v>350</v>
      </c>
      <c r="G220" s="18" t="s">
        <v>73</v>
      </c>
      <c r="H220" s="18">
        <f>ROUND(($F$214)*(($F$220)/((($F$215)*(($F$216)/($F$216+$F$218)))+(($F$215)*(($F$218)/($F$216+$F$218)))
+($F$219)+($F$220))),2)</f>
        <v>24.14</v>
      </c>
      <c r="I220" s="18" t="s">
        <v>73</v>
      </c>
      <c r="J220" s="337"/>
      <c r="K220" s="672">
        <f>A198*H220</f>
        <v>362.1</v>
      </c>
      <c r="L220" s="534"/>
      <c r="M220" s="458" t="str">
        <f t="shared" si="39"/>
        <v/>
      </c>
      <c r="N220" s="458"/>
      <c r="O220" s="458" t="str">
        <f t="shared" si="40"/>
        <v/>
      </c>
      <c r="P220" s="21"/>
      <c r="U220" s="44" t="str">
        <f t="shared" si="41"/>
        <v/>
      </c>
      <c r="V220" s="45" t="str">
        <f t="shared" si="42"/>
        <v/>
      </c>
      <c r="AB220" t="s">
        <v>1364</v>
      </c>
      <c r="AC220" t="s">
        <v>1205</v>
      </c>
      <c r="AE220">
        <v>0</v>
      </c>
    </row>
    <row r="221" spans="1:31" x14ac:dyDescent="0.35">
      <c r="A221" s="535" t="str">
        <f t="shared" si="38"/>
        <v/>
      </c>
      <c r="B221" s="330"/>
      <c r="C221" s="330"/>
      <c r="D221" s="355"/>
      <c r="E221" s="355" t="s">
        <v>36</v>
      </c>
      <c r="F221" s="378">
        <v>100</v>
      </c>
      <c r="G221" s="378" t="s">
        <v>73</v>
      </c>
      <c r="H221" s="515"/>
      <c r="I221" s="378"/>
      <c r="J221" s="515"/>
      <c r="K221" s="674"/>
      <c r="L221" s="534"/>
      <c r="M221" s="458" t="str">
        <f t="shared" si="39"/>
        <v/>
      </c>
      <c r="N221" s="458"/>
      <c r="O221" s="458" t="str">
        <f t="shared" si="40"/>
        <v/>
      </c>
      <c r="P221" s="21"/>
      <c r="U221" s="44" t="str">
        <f t="shared" si="41"/>
        <v/>
      </c>
      <c r="V221" s="45" t="str">
        <f t="shared" si="42"/>
        <v/>
      </c>
      <c r="AB221" t="s">
        <v>1263</v>
      </c>
      <c r="AC221" t="s">
        <v>1893</v>
      </c>
      <c r="AE221">
        <v>0</v>
      </c>
    </row>
    <row r="222" spans="1:31" x14ac:dyDescent="0.35">
      <c r="A222" s="535" t="str">
        <f t="shared" si="38"/>
        <v/>
      </c>
      <c r="B222" s="337"/>
      <c r="C222" s="337"/>
      <c r="D222" s="326" t="s">
        <v>44</v>
      </c>
      <c r="E222" s="425" t="s">
        <v>17</v>
      </c>
      <c r="F222" s="18">
        <v>2000</v>
      </c>
      <c r="G222" s="18" t="s">
        <v>73</v>
      </c>
      <c r="H222" s="18">
        <f>ROUND(($F$221)*((F222)/($F$222+$F$223+$F$224+$F$225)),2)</f>
        <v>65.06</v>
      </c>
      <c r="I222" s="18" t="s">
        <v>73</v>
      </c>
      <c r="J222" s="337"/>
      <c r="K222" s="672">
        <f>A198*H222</f>
        <v>975.90000000000009</v>
      </c>
      <c r="L222" s="534"/>
      <c r="M222" s="458" t="str">
        <f t="shared" si="39"/>
        <v/>
      </c>
      <c r="N222" s="458"/>
      <c r="O222" s="458" t="str">
        <f t="shared" si="40"/>
        <v/>
      </c>
      <c r="P222" s="21"/>
      <c r="U222" s="44" t="str">
        <f t="shared" si="41"/>
        <v/>
      </c>
      <c r="V222" s="45" t="str">
        <f t="shared" si="42"/>
        <v/>
      </c>
      <c r="AB222" t="s">
        <v>1264</v>
      </c>
      <c r="AC222" t="s">
        <v>1377</v>
      </c>
      <c r="AE222">
        <v>0</v>
      </c>
    </row>
    <row r="223" spans="1:31" x14ac:dyDescent="0.35">
      <c r="A223" s="535" t="str">
        <f t="shared" si="38"/>
        <v/>
      </c>
      <c r="B223" s="330"/>
      <c r="C223" s="330"/>
      <c r="D223" s="342"/>
      <c r="E223" s="543" t="s">
        <v>81</v>
      </c>
      <c r="F223" s="404">
        <v>1000</v>
      </c>
      <c r="G223" s="404"/>
      <c r="H223" s="404">
        <f t="shared" ref="H223:H225" si="43">ROUND(($F$221)*((F223)/($F$222+$F$223+$F$224+$F$225)),2)</f>
        <v>32.53</v>
      </c>
      <c r="I223" s="404"/>
      <c r="J223" s="345"/>
      <c r="K223" s="675"/>
      <c r="L223" s="534"/>
      <c r="M223" s="458" t="str">
        <f t="shared" si="39"/>
        <v/>
      </c>
      <c r="N223" s="458"/>
      <c r="O223" s="458" t="str">
        <f t="shared" si="40"/>
        <v/>
      </c>
      <c r="P223" s="21"/>
      <c r="U223" s="44" t="str">
        <f t="shared" si="41"/>
        <v/>
      </c>
      <c r="V223" s="45" t="str">
        <f t="shared" si="42"/>
        <v/>
      </c>
      <c r="AB223" t="s">
        <v>1932</v>
      </c>
      <c r="AC223" t="s">
        <v>1933</v>
      </c>
      <c r="AE223">
        <v>0</v>
      </c>
    </row>
    <row r="224" spans="1:31" x14ac:dyDescent="0.35">
      <c r="A224" s="535" t="str">
        <f t="shared" si="38"/>
        <v/>
      </c>
      <c r="B224" s="337"/>
      <c r="C224" s="337"/>
      <c r="D224" s="326" t="s">
        <v>45</v>
      </c>
      <c r="E224" s="425" t="s">
        <v>18</v>
      </c>
      <c r="F224" s="18">
        <v>57</v>
      </c>
      <c r="G224" s="18" t="s">
        <v>73</v>
      </c>
      <c r="H224" s="18">
        <f t="shared" si="43"/>
        <v>1.85</v>
      </c>
      <c r="I224" s="18" t="s">
        <v>73</v>
      </c>
      <c r="J224" s="337"/>
      <c r="K224" s="672">
        <f>A198*H224</f>
        <v>27.75</v>
      </c>
      <c r="L224" s="534"/>
      <c r="M224" s="458" t="str">
        <f t="shared" si="39"/>
        <v/>
      </c>
      <c r="N224" s="458"/>
      <c r="O224" s="458" t="str">
        <f t="shared" si="40"/>
        <v/>
      </c>
      <c r="P224" s="21"/>
      <c r="U224" s="44" t="str">
        <f t="shared" si="41"/>
        <v/>
      </c>
      <c r="V224" s="45" t="str">
        <f t="shared" si="42"/>
        <v/>
      </c>
      <c r="AB224" t="s">
        <v>1537</v>
      </c>
      <c r="AC224" t="s">
        <v>1934</v>
      </c>
      <c r="AE224">
        <v>0</v>
      </c>
    </row>
    <row r="225" spans="1:31" x14ac:dyDescent="0.35">
      <c r="A225" s="535" t="str">
        <f t="shared" si="38"/>
        <v/>
      </c>
      <c r="B225" s="330"/>
      <c r="C225" s="330"/>
      <c r="D225" s="326" t="s">
        <v>46</v>
      </c>
      <c r="E225" s="426" t="s">
        <v>19</v>
      </c>
      <c r="F225" s="22">
        <v>17</v>
      </c>
      <c r="G225" s="22" t="s">
        <v>73</v>
      </c>
      <c r="H225" s="22">
        <f t="shared" si="43"/>
        <v>0.55000000000000004</v>
      </c>
      <c r="I225" s="22" t="s">
        <v>73</v>
      </c>
      <c r="J225" s="330"/>
      <c r="K225" s="673">
        <f>A198*H225</f>
        <v>8.25</v>
      </c>
      <c r="L225" s="534"/>
      <c r="M225" s="458" t="str">
        <f t="shared" si="39"/>
        <v/>
      </c>
      <c r="N225" s="458"/>
      <c r="O225" s="458" t="str">
        <f t="shared" si="40"/>
        <v/>
      </c>
      <c r="P225" s="21"/>
      <c r="U225" s="44" t="str">
        <f t="shared" si="41"/>
        <v/>
      </c>
      <c r="V225" s="45" t="str">
        <f t="shared" si="42"/>
        <v/>
      </c>
      <c r="AB225" t="s">
        <v>1935</v>
      </c>
      <c r="AC225" t="s">
        <v>1936</v>
      </c>
      <c r="AE225">
        <v>0</v>
      </c>
    </row>
    <row r="226" spans="1:31" x14ac:dyDescent="0.35">
      <c r="A226" s="535" t="str">
        <f t="shared" si="38"/>
        <v/>
      </c>
      <c r="B226" s="337"/>
      <c r="C226" s="337"/>
      <c r="D226" s="355"/>
      <c r="E226" s="355" t="s">
        <v>33</v>
      </c>
      <c r="F226" s="378">
        <v>0.3</v>
      </c>
      <c r="G226" s="378" t="s">
        <v>73</v>
      </c>
      <c r="H226" s="515"/>
      <c r="I226" s="378"/>
      <c r="J226" s="515"/>
      <c r="K226" s="674"/>
      <c r="L226" s="534"/>
      <c r="M226" s="458" t="str">
        <f t="shared" si="39"/>
        <v/>
      </c>
      <c r="N226" s="458"/>
      <c r="O226" s="458" t="str">
        <f t="shared" si="40"/>
        <v/>
      </c>
      <c r="P226" s="21"/>
      <c r="U226" s="44" t="str">
        <f t="shared" si="41"/>
        <v/>
      </c>
      <c r="V226" s="45" t="str">
        <f t="shared" si="42"/>
        <v/>
      </c>
      <c r="AB226" t="s">
        <v>1281</v>
      </c>
      <c r="AC226" t="s">
        <v>1924</v>
      </c>
      <c r="AE226">
        <v>0</v>
      </c>
    </row>
    <row r="227" spans="1:31" x14ac:dyDescent="0.35">
      <c r="A227" s="535" t="str">
        <f t="shared" si="38"/>
        <v/>
      </c>
      <c r="B227" s="330"/>
      <c r="C227" s="330"/>
      <c r="D227" s="326" t="s">
        <v>52</v>
      </c>
      <c r="E227" s="426" t="s">
        <v>106</v>
      </c>
      <c r="F227" s="22">
        <v>5</v>
      </c>
      <c r="G227" s="22" t="s">
        <v>73</v>
      </c>
      <c r="H227" s="328">
        <f>ROUND(($F$226)*(($F$227)/((($F$228)*(($F$229)/($F$229+$F$230)))+(($F$228)*(($F$230)/($F$229+$F$230)))
+($F$227))),2)</f>
        <v>0.06</v>
      </c>
      <c r="I227" s="22" t="s">
        <v>73</v>
      </c>
      <c r="J227" s="330"/>
      <c r="K227" s="673">
        <f>A198*H227</f>
        <v>0.89999999999999991</v>
      </c>
      <c r="L227" s="534"/>
      <c r="M227" s="458" t="str">
        <f t="shared" si="39"/>
        <v/>
      </c>
      <c r="N227" s="458"/>
      <c r="O227" s="458" t="str">
        <f t="shared" si="40"/>
        <v/>
      </c>
      <c r="P227" s="21"/>
      <c r="U227" s="44" t="str">
        <f t="shared" si="41"/>
        <v/>
      </c>
      <c r="V227" s="45" t="str">
        <f t="shared" si="42"/>
        <v/>
      </c>
      <c r="AB227" t="s">
        <v>1534</v>
      </c>
      <c r="AC227" t="s">
        <v>1535</v>
      </c>
      <c r="AE227">
        <v>0</v>
      </c>
    </row>
    <row r="228" spans="1:31" x14ac:dyDescent="0.35">
      <c r="A228" s="535" t="str">
        <f t="shared" si="38"/>
        <v/>
      </c>
      <c r="B228" s="337"/>
      <c r="C228" s="337"/>
      <c r="D228" s="355"/>
      <c r="E228" s="416" t="s">
        <v>23</v>
      </c>
      <c r="F228" s="378">
        <v>20</v>
      </c>
      <c r="G228" s="378" t="s">
        <v>73</v>
      </c>
      <c r="H228" s="515"/>
      <c r="I228" s="378"/>
      <c r="J228" s="515"/>
      <c r="K228" s="674"/>
      <c r="L228" s="534"/>
      <c r="M228" s="458" t="str">
        <f t="shared" si="39"/>
        <v/>
      </c>
      <c r="N228" s="458"/>
      <c r="O228" s="458" t="str">
        <f t="shared" si="40"/>
        <v/>
      </c>
      <c r="P228" s="21"/>
      <c r="U228" s="44" t="str">
        <f t="shared" si="41"/>
        <v/>
      </c>
      <c r="V228" s="45" t="str">
        <f t="shared" si="42"/>
        <v/>
      </c>
      <c r="AB228" t="s">
        <v>1937</v>
      </c>
      <c r="AC228" t="s">
        <v>1938</v>
      </c>
      <c r="AE228">
        <v>0</v>
      </c>
    </row>
    <row r="229" spans="1:31" x14ac:dyDescent="0.35">
      <c r="A229" s="535" t="str">
        <f t="shared" si="38"/>
        <v/>
      </c>
      <c r="B229" s="330"/>
      <c r="C229" s="330"/>
      <c r="D229" s="326" t="s">
        <v>43</v>
      </c>
      <c r="E229" s="475" t="s">
        <v>8</v>
      </c>
      <c r="F229" s="22">
        <v>85</v>
      </c>
      <c r="G229" s="22" t="s">
        <v>73</v>
      </c>
      <c r="H229" s="22">
        <f>ROUND(($F$226)*((($F$228)*(($F$229)/($F$229+$F$230)))
/((($F$228)*(($F$229)/($F$229+$F$230)))+(($F$228)*(($F$230)/($F$229+$F$230)))
+($F$227))),2)</f>
        <v>0.2</v>
      </c>
      <c r="I229" s="22" t="s">
        <v>73</v>
      </c>
      <c r="J229" s="330"/>
      <c r="K229" s="673">
        <f>A198*H229</f>
        <v>3</v>
      </c>
      <c r="L229" s="534"/>
      <c r="M229" s="458" t="str">
        <f t="shared" si="39"/>
        <v/>
      </c>
      <c r="N229" s="458"/>
      <c r="O229" s="458" t="str">
        <f t="shared" si="40"/>
        <v/>
      </c>
      <c r="P229" s="21"/>
      <c r="U229" s="44" t="str">
        <f t="shared" si="41"/>
        <v/>
      </c>
      <c r="V229" s="45" t="str">
        <f t="shared" si="42"/>
        <v/>
      </c>
      <c r="AB229" t="s">
        <v>1891</v>
      </c>
      <c r="AC229" t="s">
        <v>1892</v>
      </c>
      <c r="AE229">
        <v>0</v>
      </c>
    </row>
    <row r="230" spans="1:31" x14ac:dyDescent="0.35">
      <c r="A230" s="535" t="str">
        <f t="shared" si="38"/>
        <v/>
      </c>
      <c r="B230" s="337"/>
      <c r="C230" s="337"/>
      <c r="D230" s="326" t="s">
        <v>42</v>
      </c>
      <c r="E230" s="419" t="s">
        <v>9</v>
      </c>
      <c r="F230" s="18">
        <v>15</v>
      </c>
      <c r="G230" s="18" t="s">
        <v>73</v>
      </c>
      <c r="H230" s="18">
        <f>ROUND(($F$226)*((($F$228)*(($F$230)/($F$229+$F$230)))
/((($F$228)*(($F$229)/($F$229+$F$230)))+(($F$228)*(($F$230)/($F$229+$F$230)))
+($F$227))),2)</f>
        <v>0.04</v>
      </c>
      <c r="I230" s="18" t="s">
        <v>73</v>
      </c>
      <c r="J230" s="337"/>
      <c r="K230" s="672">
        <f>A198*H230</f>
        <v>0.6</v>
      </c>
      <c r="L230" s="534"/>
      <c r="M230" s="458" t="str">
        <f t="shared" si="39"/>
        <v/>
      </c>
      <c r="N230" s="458"/>
      <c r="O230" s="458" t="str">
        <f t="shared" si="40"/>
        <v/>
      </c>
      <c r="P230" s="21"/>
      <c r="U230" s="44" t="str">
        <f t="shared" si="41"/>
        <v/>
      </c>
      <c r="V230" s="45" t="str">
        <f t="shared" si="42"/>
        <v/>
      </c>
      <c r="AB230" t="s">
        <v>1028</v>
      </c>
      <c r="AC230" t="s">
        <v>1029</v>
      </c>
      <c r="AE230">
        <v>0</v>
      </c>
    </row>
    <row r="231" spans="1:31" x14ac:dyDescent="0.35">
      <c r="A231" s="535" t="str">
        <f t="shared" si="38"/>
        <v/>
      </c>
      <c r="B231" s="330"/>
      <c r="C231" s="330"/>
      <c r="D231" s="355"/>
      <c r="E231" s="355" t="s">
        <v>25</v>
      </c>
      <c r="F231" s="378">
        <v>15</v>
      </c>
      <c r="G231" s="378" t="s">
        <v>73</v>
      </c>
      <c r="H231" s="515"/>
      <c r="I231" s="378"/>
      <c r="J231" s="515"/>
      <c r="K231" s="674"/>
      <c r="L231" s="534"/>
      <c r="M231" s="458" t="str">
        <f t="shared" si="39"/>
        <v/>
      </c>
      <c r="N231" s="458"/>
      <c r="O231" s="458" t="str">
        <f t="shared" si="40"/>
        <v/>
      </c>
      <c r="P231" s="21"/>
      <c r="U231" s="44" t="str">
        <f t="shared" si="41"/>
        <v/>
      </c>
      <c r="V231" s="45" t="str">
        <f t="shared" si="42"/>
        <v/>
      </c>
      <c r="AB231" t="s">
        <v>1030</v>
      </c>
      <c r="AC231" t="s">
        <v>1894</v>
      </c>
      <c r="AE231">
        <v>0</v>
      </c>
    </row>
    <row r="232" spans="1:31" x14ac:dyDescent="0.35">
      <c r="A232" s="535" t="str">
        <f t="shared" si="38"/>
        <v/>
      </c>
      <c r="B232" s="337"/>
      <c r="C232" s="337"/>
      <c r="D232" s="326" t="s">
        <v>47</v>
      </c>
      <c r="E232" s="425" t="s">
        <v>12</v>
      </c>
      <c r="F232" s="18">
        <v>600</v>
      </c>
      <c r="G232" s="18" t="s">
        <v>73</v>
      </c>
      <c r="H232" s="18">
        <f>ROUND(F231*(F232/(F232+F233+F234+F235+F236)),2)</f>
        <v>10</v>
      </c>
      <c r="I232" s="18" t="s">
        <v>73</v>
      </c>
      <c r="J232" s="337"/>
      <c r="K232" s="672">
        <f>A198*H232</f>
        <v>150</v>
      </c>
      <c r="L232" s="534"/>
      <c r="M232" s="458" t="str">
        <f t="shared" si="39"/>
        <v/>
      </c>
      <c r="N232" s="458"/>
      <c r="O232" s="458" t="str">
        <f t="shared" si="40"/>
        <v/>
      </c>
      <c r="P232" s="21"/>
      <c r="U232" s="44" t="str">
        <f t="shared" si="41"/>
        <v/>
      </c>
      <c r="V232" s="45" t="str">
        <f t="shared" si="42"/>
        <v/>
      </c>
      <c r="AB232" t="s">
        <v>1030</v>
      </c>
      <c r="AC232" t="s">
        <v>1031</v>
      </c>
      <c r="AE232">
        <v>0</v>
      </c>
    </row>
    <row r="233" spans="1:31" x14ac:dyDescent="0.35">
      <c r="A233" s="535" t="str">
        <f t="shared" si="38"/>
        <v/>
      </c>
      <c r="B233" s="330"/>
      <c r="C233" s="330"/>
      <c r="D233" s="326" t="s">
        <v>48</v>
      </c>
      <c r="E233" s="426" t="s">
        <v>13</v>
      </c>
      <c r="F233" s="22">
        <v>100</v>
      </c>
      <c r="G233" s="22" t="s">
        <v>73</v>
      </c>
      <c r="H233" s="22">
        <f>ROUND(F231*(F233/(F232+F233+F234+F235+F236)),2)</f>
        <v>1.67</v>
      </c>
      <c r="I233" s="22" t="s">
        <v>73</v>
      </c>
      <c r="J233" s="330"/>
      <c r="K233" s="673">
        <f>A198*H233</f>
        <v>25.049999999999997</v>
      </c>
      <c r="L233" s="534"/>
      <c r="M233" s="458" t="str">
        <f t="shared" si="39"/>
        <v/>
      </c>
      <c r="N233" s="458"/>
      <c r="O233" s="458" t="str">
        <f t="shared" si="40"/>
        <v/>
      </c>
      <c r="P233" s="21"/>
      <c r="U233" s="44" t="str">
        <f t="shared" si="41"/>
        <v/>
      </c>
      <c r="V233" s="45" t="str">
        <f t="shared" si="42"/>
        <v/>
      </c>
      <c r="AB233" t="s">
        <v>1311</v>
      </c>
      <c r="AC233" t="s">
        <v>1420</v>
      </c>
      <c r="AE233">
        <v>0</v>
      </c>
    </row>
    <row r="234" spans="1:31" x14ac:dyDescent="0.35">
      <c r="A234" s="535" t="str">
        <f t="shared" si="38"/>
        <v/>
      </c>
      <c r="B234" s="337"/>
      <c r="C234" s="337"/>
      <c r="D234" s="326" t="s">
        <v>50</v>
      </c>
      <c r="E234" s="425" t="s">
        <v>14</v>
      </c>
      <c r="F234" s="18">
        <v>100</v>
      </c>
      <c r="G234" s="18" t="s">
        <v>73</v>
      </c>
      <c r="H234" s="18">
        <f>ROUND(F231*(F234/(F232+F233+F234+F235+F236)),2)</f>
        <v>1.67</v>
      </c>
      <c r="I234" s="18" t="s">
        <v>73</v>
      </c>
      <c r="J234" s="337"/>
      <c r="K234" s="672">
        <f>A198*H234</f>
        <v>25.049999999999997</v>
      </c>
      <c r="L234" s="534"/>
      <c r="M234" s="458" t="str">
        <f t="shared" si="39"/>
        <v/>
      </c>
      <c r="N234" s="458"/>
      <c r="O234" s="458" t="str">
        <f t="shared" si="40"/>
        <v/>
      </c>
      <c r="P234" s="21"/>
      <c r="U234" s="44" t="str">
        <f t="shared" si="41"/>
        <v/>
      </c>
      <c r="V234" s="45" t="str">
        <f t="shared" si="42"/>
        <v/>
      </c>
      <c r="AB234" t="s">
        <v>1321</v>
      </c>
      <c r="AC234" t="s">
        <v>1429</v>
      </c>
      <c r="AE234">
        <v>0</v>
      </c>
    </row>
    <row r="235" spans="1:31" x14ac:dyDescent="0.35">
      <c r="A235" s="535" t="str">
        <f t="shared" si="38"/>
        <v/>
      </c>
      <c r="B235" s="330"/>
      <c r="C235" s="330"/>
      <c r="D235" s="326" t="s">
        <v>49</v>
      </c>
      <c r="E235" s="426" t="s">
        <v>15</v>
      </c>
      <c r="F235" s="22">
        <v>50</v>
      </c>
      <c r="G235" s="22" t="s">
        <v>73</v>
      </c>
      <c r="H235" s="22">
        <f>ROUND(F231*(F235/(F232+F233+F234+F235+F236)),2)</f>
        <v>0.83</v>
      </c>
      <c r="I235" s="22" t="s">
        <v>73</v>
      </c>
      <c r="J235" s="330"/>
      <c r="K235" s="673">
        <f>A198*H235</f>
        <v>12.45</v>
      </c>
      <c r="L235" s="534"/>
      <c r="M235" s="458" t="str">
        <f t="shared" si="39"/>
        <v/>
      </c>
      <c r="N235" s="458"/>
      <c r="O235" s="458" t="str">
        <f t="shared" si="40"/>
        <v/>
      </c>
      <c r="P235" s="21"/>
      <c r="U235" s="44" t="str">
        <f t="shared" si="41"/>
        <v/>
      </c>
      <c r="V235" s="45" t="str">
        <f t="shared" si="42"/>
        <v/>
      </c>
      <c r="AE235">
        <v>0</v>
      </c>
    </row>
    <row r="236" spans="1:31" x14ac:dyDescent="0.35">
      <c r="A236" s="535" t="str">
        <f t="shared" si="38"/>
        <v/>
      </c>
      <c r="B236" s="337"/>
      <c r="C236" s="337"/>
      <c r="D236" s="326" t="s">
        <v>51</v>
      </c>
      <c r="E236" s="425" t="s">
        <v>16</v>
      </c>
      <c r="F236" s="18">
        <v>50</v>
      </c>
      <c r="G236" s="18" t="s">
        <v>73</v>
      </c>
      <c r="H236" s="18">
        <f>ROUND(F231*(F236/(F232+F233+F234+F235+F236)),2)</f>
        <v>0.83</v>
      </c>
      <c r="I236" s="18" t="s">
        <v>73</v>
      </c>
      <c r="J236" s="337"/>
      <c r="K236" s="672">
        <f>A198*H236</f>
        <v>12.45</v>
      </c>
      <c r="L236" s="534"/>
      <c r="M236" s="458" t="str">
        <f t="shared" si="39"/>
        <v/>
      </c>
      <c r="N236" s="458"/>
      <c r="O236" s="458" t="str">
        <f t="shared" si="40"/>
        <v/>
      </c>
      <c r="P236" s="21"/>
      <c r="U236" s="44" t="str">
        <f t="shared" si="41"/>
        <v/>
      </c>
      <c r="V236" s="45" t="str">
        <f t="shared" si="42"/>
        <v/>
      </c>
      <c r="AE236">
        <v>0</v>
      </c>
    </row>
    <row r="237" spans="1:31" ht="15" thickBot="1" x14ac:dyDescent="0.4">
      <c r="A237" s="535" t="str">
        <f t="shared" si="38"/>
        <v/>
      </c>
      <c r="B237" s="330"/>
      <c r="C237" s="330"/>
      <c r="D237" s="326" t="s">
        <v>129</v>
      </c>
      <c r="E237" s="544" t="s">
        <v>713</v>
      </c>
      <c r="F237" s="22">
        <v>40</v>
      </c>
      <c r="G237" s="22" t="s">
        <v>73</v>
      </c>
      <c r="H237" s="22">
        <v>40</v>
      </c>
      <c r="I237" s="22" t="s">
        <v>73</v>
      </c>
      <c r="J237" s="330"/>
      <c r="K237" s="673">
        <f>A198*H237</f>
        <v>600</v>
      </c>
      <c r="L237" s="534"/>
      <c r="M237" s="458" t="str">
        <f t="shared" si="39"/>
        <v/>
      </c>
      <c r="N237" s="458"/>
      <c r="O237" s="458" t="str">
        <f t="shared" si="40"/>
        <v/>
      </c>
      <c r="P237" s="21"/>
      <c r="U237" s="44" t="str">
        <f t="shared" si="41"/>
        <v/>
      </c>
      <c r="V237" s="45" t="str">
        <f t="shared" si="42"/>
        <v/>
      </c>
      <c r="AE237">
        <v>0</v>
      </c>
    </row>
    <row r="238" spans="1:31" ht="15.5" thickTop="1" thickBot="1" x14ac:dyDescent="0.4">
      <c r="A238" s="545" t="str">
        <f t="shared" si="38"/>
        <v/>
      </c>
      <c r="B238" s="546"/>
      <c r="C238" s="546"/>
      <c r="D238" s="547"/>
      <c r="E238" s="546"/>
      <c r="F238" s="550"/>
      <c r="G238" s="546"/>
      <c r="H238" s="546"/>
      <c r="I238" s="546"/>
      <c r="J238" s="546"/>
      <c r="K238" s="676"/>
      <c r="L238" s="535"/>
      <c r="M238" s="552" t="str">
        <f t="shared" si="39"/>
        <v/>
      </c>
      <c r="N238" s="552"/>
      <c r="O238" s="552" t="str">
        <f t="shared" si="40"/>
        <v/>
      </c>
      <c r="P238" s="39"/>
      <c r="U238" s="44" t="str">
        <f t="shared" si="41"/>
        <v/>
      </c>
      <c r="V238" s="45" t="str">
        <f t="shared" si="42"/>
        <v/>
      </c>
      <c r="AE238">
        <v>0</v>
      </c>
    </row>
    <row r="239" spans="1:31" ht="15" thickTop="1" x14ac:dyDescent="0.35">
      <c r="A239" s="76">
        <f>IFERROR(INDEX($Q$17:$Q$150,MATCH(B239,$R$17:$R$150, 0)), "")</f>
        <v>15</v>
      </c>
      <c r="B239" s="382" t="s">
        <v>1257</v>
      </c>
      <c r="C239" s="7" t="s">
        <v>723</v>
      </c>
      <c r="D239" s="347" t="s">
        <v>473</v>
      </c>
      <c r="E239" s="532" t="s">
        <v>474</v>
      </c>
      <c r="F239" s="438">
        <v>200</v>
      </c>
      <c r="G239" s="438" t="s">
        <v>73</v>
      </c>
      <c r="H239" s="438">
        <v>200</v>
      </c>
      <c r="I239" s="438" t="s">
        <v>73</v>
      </c>
      <c r="J239" s="533"/>
      <c r="K239" s="671">
        <f>A239*H239</f>
        <v>3000</v>
      </c>
      <c r="L239" s="534"/>
      <c r="M239" s="458" t="str">
        <f t="shared" si="39"/>
        <v/>
      </c>
      <c r="N239" s="458"/>
      <c r="O239" s="458" t="str">
        <f t="shared" si="40"/>
        <v/>
      </c>
      <c r="P239" s="40"/>
      <c r="U239" s="44" t="str">
        <f t="shared" si="41"/>
        <v/>
      </c>
      <c r="V239" s="45" t="str">
        <f t="shared" si="42"/>
        <v/>
      </c>
      <c r="AE239">
        <v>0</v>
      </c>
    </row>
    <row r="240" spans="1:31" x14ac:dyDescent="0.35">
      <c r="A240" s="535" t="str">
        <f t="shared" si="38"/>
        <v/>
      </c>
      <c r="B240" s="337"/>
      <c r="C240" s="337"/>
      <c r="D240" s="326" t="s">
        <v>48</v>
      </c>
      <c r="E240" s="334" t="s">
        <v>716</v>
      </c>
      <c r="F240" s="18">
        <v>50</v>
      </c>
      <c r="G240" s="18" t="s">
        <v>73</v>
      </c>
      <c r="H240" s="18">
        <v>50</v>
      </c>
      <c r="I240" s="18" t="s">
        <v>73</v>
      </c>
      <c r="J240" s="337"/>
      <c r="K240" s="672">
        <f>A239*H240</f>
        <v>750</v>
      </c>
      <c r="L240" s="534"/>
      <c r="M240" s="458" t="str">
        <f t="shared" si="39"/>
        <v/>
      </c>
      <c r="N240" s="458"/>
      <c r="O240" s="458" t="str">
        <f t="shared" si="40"/>
        <v/>
      </c>
      <c r="P240" s="21"/>
      <c r="U240" s="44" t="str">
        <f t="shared" si="41"/>
        <v/>
      </c>
      <c r="V240" s="45" t="str">
        <f t="shared" si="42"/>
        <v/>
      </c>
      <c r="AE240">
        <v>0</v>
      </c>
    </row>
    <row r="241" spans="1:31" x14ac:dyDescent="0.35">
      <c r="A241" s="535" t="str">
        <f t="shared" si="38"/>
        <v/>
      </c>
      <c r="B241" s="330"/>
      <c r="C241" s="330"/>
      <c r="D241" s="326" t="s">
        <v>50</v>
      </c>
      <c r="E241" s="327" t="s">
        <v>717</v>
      </c>
      <c r="F241" s="22">
        <v>80</v>
      </c>
      <c r="G241" s="22" t="s">
        <v>73</v>
      </c>
      <c r="H241" s="22">
        <v>80</v>
      </c>
      <c r="I241" s="22" t="s">
        <v>73</v>
      </c>
      <c r="J241" s="330"/>
      <c r="K241" s="673">
        <f>A239*H241</f>
        <v>1200</v>
      </c>
      <c r="L241" s="534"/>
      <c r="M241" s="458" t="str">
        <f t="shared" si="39"/>
        <v/>
      </c>
      <c r="N241" s="458"/>
      <c r="O241" s="458" t="str">
        <f t="shared" si="40"/>
        <v/>
      </c>
      <c r="P241" s="21"/>
      <c r="U241" s="44" t="str">
        <f t="shared" si="41"/>
        <v/>
      </c>
      <c r="V241" s="45" t="str">
        <f t="shared" si="42"/>
        <v/>
      </c>
      <c r="AE241">
        <v>0</v>
      </c>
    </row>
    <row r="242" spans="1:31" x14ac:dyDescent="0.35">
      <c r="A242" s="535" t="str">
        <f t="shared" si="38"/>
        <v/>
      </c>
      <c r="B242" s="337"/>
      <c r="C242" s="337"/>
      <c r="D242" s="326" t="s">
        <v>369</v>
      </c>
      <c r="E242" s="334" t="s">
        <v>718</v>
      </c>
      <c r="F242" s="18">
        <v>80</v>
      </c>
      <c r="G242" s="18" t="s">
        <v>73</v>
      </c>
      <c r="H242" s="18">
        <v>80</v>
      </c>
      <c r="I242" s="18" t="s">
        <v>73</v>
      </c>
      <c r="J242" s="337"/>
      <c r="K242" s="672">
        <f>A239*H242</f>
        <v>1200</v>
      </c>
      <c r="L242" s="534"/>
      <c r="M242" s="458" t="str">
        <f t="shared" si="39"/>
        <v/>
      </c>
      <c r="N242" s="458"/>
      <c r="O242" s="458" t="str">
        <f t="shared" si="40"/>
        <v/>
      </c>
      <c r="P242" s="21"/>
      <c r="U242" s="44" t="str">
        <f t="shared" si="41"/>
        <v/>
      </c>
      <c r="V242" s="45" t="str">
        <f t="shared" si="42"/>
        <v/>
      </c>
      <c r="AE242">
        <v>0</v>
      </c>
    </row>
    <row r="243" spans="1:31" x14ac:dyDescent="0.35">
      <c r="A243" s="535" t="str">
        <f t="shared" si="38"/>
        <v/>
      </c>
      <c r="B243" s="330"/>
      <c r="C243" s="330"/>
      <c r="D243" s="326" t="s">
        <v>413</v>
      </c>
      <c r="E243" s="327" t="s">
        <v>719</v>
      </c>
      <c r="F243" s="22">
        <v>70</v>
      </c>
      <c r="G243" s="22" t="s">
        <v>73</v>
      </c>
      <c r="H243" s="22">
        <v>70</v>
      </c>
      <c r="I243" s="22" t="s">
        <v>73</v>
      </c>
      <c r="J243" s="330"/>
      <c r="K243" s="673">
        <f>A239*H243</f>
        <v>1050</v>
      </c>
      <c r="L243" s="534"/>
      <c r="M243" s="458" t="str">
        <f t="shared" si="39"/>
        <v/>
      </c>
      <c r="N243" s="458"/>
      <c r="O243" s="458" t="str">
        <f t="shared" si="40"/>
        <v/>
      </c>
      <c r="P243" s="21"/>
      <c r="U243" s="44" t="str">
        <f t="shared" si="41"/>
        <v/>
      </c>
      <c r="V243" s="45" t="str">
        <f t="shared" si="42"/>
        <v/>
      </c>
      <c r="AE243">
        <v>0</v>
      </c>
    </row>
    <row r="244" spans="1:31" x14ac:dyDescent="0.35">
      <c r="A244" s="535" t="str">
        <f t="shared" si="38"/>
        <v/>
      </c>
      <c r="B244" s="337"/>
      <c r="C244" s="337"/>
      <c r="D244" s="326" t="s">
        <v>163</v>
      </c>
      <c r="E244" s="334" t="s">
        <v>720</v>
      </c>
      <c r="F244" s="18">
        <v>55</v>
      </c>
      <c r="G244" s="18" t="s">
        <v>73</v>
      </c>
      <c r="H244" s="18">
        <v>55</v>
      </c>
      <c r="I244" s="18" t="s">
        <v>73</v>
      </c>
      <c r="J244" s="337"/>
      <c r="K244" s="672">
        <f>A239*H244</f>
        <v>825</v>
      </c>
      <c r="L244" s="534"/>
      <c r="M244" s="458" t="str">
        <f t="shared" si="39"/>
        <v/>
      </c>
      <c r="N244" s="458"/>
      <c r="O244" s="458" t="str">
        <f t="shared" si="40"/>
        <v/>
      </c>
      <c r="P244" s="21"/>
      <c r="U244" s="44" t="str">
        <f t="shared" si="41"/>
        <v/>
      </c>
      <c r="V244" s="45" t="str">
        <f t="shared" si="42"/>
        <v/>
      </c>
      <c r="AE244">
        <v>0</v>
      </c>
    </row>
    <row r="245" spans="1:31" x14ac:dyDescent="0.35">
      <c r="A245" s="535" t="str">
        <f t="shared" si="38"/>
        <v/>
      </c>
      <c r="B245" s="330"/>
      <c r="C245" s="330"/>
      <c r="D245" s="326" t="s">
        <v>489</v>
      </c>
      <c r="E245" s="327" t="s">
        <v>721</v>
      </c>
      <c r="F245" s="22">
        <v>90</v>
      </c>
      <c r="G245" s="22" t="s">
        <v>73</v>
      </c>
      <c r="H245" s="22">
        <v>90</v>
      </c>
      <c r="I245" s="22" t="s">
        <v>73</v>
      </c>
      <c r="J245" s="330"/>
      <c r="K245" s="673">
        <f>A239*H245</f>
        <v>1350</v>
      </c>
      <c r="L245" s="534"/>
      <c r="M245" s="458" t="str">
        <f t="shared" si="39"/>
        <v/>
      </c>
      <c r="N245" s="458"/>
      <c r="O245" s="458" t="str">
        <f t="shared" si="40"/>
        <v/>
      </c>
      <c r="P245" s="21"/>
      <c r="U245" s="44" t="str">
        <f t="shared" si="41"/>
        <v/>
      </c>
      <c r="V245" s="45" t="str">
        <f t="shared" si="42"/>
        <v/>
      </c>
      <c r="AE245">
        <v>0</v>
      </c>
    </row>
    <row r="246" spans="1:31" x14ac:dyDescent="0.35">
      <c r="A246" s="535" t="str">
        <f t="shared" si="38"/>
        <v/>
      </c>
      <c r="B246" s="337"/>
      <c r="C246" s="337"/>
      <c r="D246" s="326" t="s">
        <v>505</v>
      </c>
      <c r="E246" s="334" t="s">
        <v>722</v>
      </c>
      <c r="F246" s="18">
        <v>0.2</v>
      </c>
      <c r="G246" s="18" t="s">
        <v>73</v>
      </c>
      <c r="H246" s="18">
        <v>0.2</v>
      </c>
      <c r="I246" s="18" t="s">
        <v>73</v>
      </c>
      <c r="J246" s="337"/>
      <c r="K246" s="672">
        <f>A239*H246</f>
        <v>3</v>
      </c>
      <c r="L246" s="534"/>
      <c r="M246" s="458" t="str">
        <f t="shared" si="39"/>
        <v/>
      </c>
      <c r="N246" s="458"/>
      <c r="O246" s="458" t="str">
        <f t="shared" si="40"/>
        <v/>
      </c>
      <c r="P246" s="21"/>
      <c r="U246" s="44" t="str">
        <f t="shared" si="41"/>
        <v/>
      </c>
      <c r="V246" s="45" t="str">
        <f t="shared" si="42"/>
        <v/>
      </c>
      <c r="AE246">
        <v>0</v>
      </c>
    </row>
    <row r="247" spans="1:31" x14ac:dyDescent="0.35">
      <c r="A247" s="535" t="str">
        <f t="shared" si="38"/>
        <v/>
      </c>
      <c r="B247" s="330"/>
      <c r="C247" s="330"/>
      <c r="D247" s="326" t="s">
        <v>163</v>
      </c>
      <c r="E247" s="327" t="s">
        <v>720</v>
      </c>
      <c r="F247" s="22">
        <v>30</v>
      </c>
      <c r="G247" s="22" t="s">
        <v>73</v>
      </c>
      <c r="H247" s="22">
        <v>30</v>
      </c>
      <c r="I247" s="22" t="s">
        <v>73</v>
      </c>
      <c r="J247" s="330"/>
      <c r="K247" s="673">
        <f>A239*H247</f>
        <v>450</v>
      </c>
      <c r="L247" s="534"/>
      <c r="M247" s="458" t="str">
        <f t="shared" si="39"/>
        <v/>
      </c>
      <c r="N247" s="458"/>
      <c r="O247" s="458" t="str">
        <f t="shared" si="40"/>
        <v/>
      </c>
      <c r="P247" s="21"/>
      <c r="U247" s="44" t="str">
        <f t="shared" si="41"/>
        <v/>
      </c>
      <c r="V247" s="45" t="str">
        <f t="shared" si="42"/>
        <v/>
      </c>
      <c r="AE247">
        <v>0</v>
      </c>
    </row>
    <row r="248" spans="1:31" x14ac:dyDescent="0.35">
      <c r="A248" s="535" t="str">
        <f t="shared" si="38"/>
        <v/>
      </c>
      <c r="B248" s="337"/>
      <c r="C248" s="337"/>
      <c r="D248" s="355"/>
      <c r="E248" s="355" t="s">
        <v>25</v>
      </c>
      <c r="F248" s="378">
        <v>40</v>
      </c>
      <c r="G248" s="378" t="s">
        <v>73</v>
      </c>
      <c r="H248" s="515"/>
      <c r="I248" s="378"/>
      <c r="J248" s="515"/>
      <c r="K248" s="674"/>
      <c r="L248" s="534"/>
      <c r="M248" s="458" t="str">
        <f t="shared" si="39"/>
        <v/>
      </c>
      <c r="N248" s="458"/>
      <c r="O248" s="458" t="str">
        <f t="shared" si="40"/>
        <v/>
      </c>
      <c r="P248" s="21"/>
      <c r="U248" s="44" t="str">
        <f t="shared" si="41"/>
        <v/>
      </c>
      <c r="V248" s="45" t="str">
        <f t="shared" si="42"/>
        <v/>
      </c>
      <c r="AE248">
        <v>0</v>
      </c>
    </row>
    <row r="249" spans="1:31" x14ac:dyDescent="0.35">
      <c r="A249" s="535" t="str">
        <f t="shared" si="38"/>
        <v/>
      </c>
      <c r="B249" s="330"/>
      <c r="C249" s="330"/>
      <c r="D249" s="326" t="s">
        <v>47</v>
      </c>
      <c r="E249" s="426" t="s">
        <v>12</v>
      </c>
      <c r="F249" s="22">
        <v>600</v>
      </c>
      <c r="G249" s="22" t="s">
        <v>73</v>
      </c>
      <c r="H249" s="22">
        <f>ROUND(F248*(F249/(F249+F250+F251+F252+F253)),2)</f>
        <v>26.67</v>
      </c>
      <c r="I249" s="22" t="s">
        <v>73</v>
      </c>
      <c r="J249" s="330"/>
      <c r="K249" s="673">
        <f>A239*H249</f>
        <v>400.05</v>
      </c>
      <c r="L249" s="534"/>
      <c r="M249" s="458" t="str">
        <f t="shared" si="39"/>
        <v/>
      </c>
      <c r="N249" s="458"/>
      <c r="O249" s="458" t="str">
        <f t="shared" si="40"/>
        <v/>
      </c>
      <c r="P249" s="21"/>
      <c r="U249" s="44" t="str">
        <f t="shared" si="41"/>
        <v/>
      </c>
      <c r="V249" s="45" t="str">
        <f t="shared" si="42"/>
        <v/>
      </c>
      <c r="AE249">
        <v>0</v>
      </c>
    </row>
    <row r="250" spans="1:31" x14ac:dyDescent="0.35">
      <c r="A250" s="535" t="str">
        <f t="shared" si="38"/>
        <v/>
      </c>
      <c r="B250" s="337"/>
      <c r="C250" s="337"/>
      <c r="D250" s="326" t="s">
        <v>48</v>
      </c>
      <c r="E250" s="425" t="s">
        <v>13</v>
      </c>
      <c r="F250" s="18">
        <v>100</v>
      </c>
      <c r="G250" s="18" t="s">
        <v>73</v>
      </c>
      <c r="H250" s="18">
        <f>ROUND(F248*(F250/(F249+F250+F251+F252+F253)),2)</f>
        <v>4.4400000000000004</v>
      </c>
      <c r="I250" s="18" t="s">
        <v>73</v>
      </c>
      <c r="J250" s="337"/>
      <c r="K250" s="672">
        <f>A239*H250</f>
        <v>66.600000000000009</v>
      </c>
      <c r="L250" s="534"/>
      <c r="M250" s="458" t="str">
        <f t="shared" si="39"/>
        <v/>
      </c>
      <c r="N250" s="458"/>
      <c r="O250" s="458" t="str">
        <f t="shared" si="40"/>
        <v/>
      </c>
      <c r="P250" s="21"/>
      <c r="U250" s="44" t="str">
        <f t="shared" si="41"/>
        <v/>
      </c>
      <c r="V250" s="45" t="str">
        <f t="shared" si="42"/>
        <v/>
      </c>
      <c r="AE250">
        <v>0</v>
      </c>
    </row>
    <row r="251" spans="1:31" x14ac:dyDescent="0.35">
      <c r="A251" s="535" t="str">
        <f t="shared" si="38"/>
        <v/>
      </c>
      <c r="B251" s="330"/>
      <c r="C251" s="330"/>
      <c r="D251" s="326" t="s">
        <v>50</v>
      </c>
      <c r="E251" s="426" t="s">
        <v>14</v>
      </c>
      <c r="F251" s="22">
        <v>100</v>
      </c>
      <c r="G251" s="22" t="s">
        <v>73</v>
      </c>
      <c r="H251" s="22">
        <f>ROUND(F248*(F251/(F249+F250+F251+F252+F253)),2)</f>
        <v>4.4400000000000004</v>
      </c>
      <c r="I251" s="22" t="s">
        <v>73</v>
      </c>
      <c r="J251" s="330"/>
      <c r="K251" s="673">
        <f>A239*H251</f>
        <v>66.600000000000009</v>
      </c>
      <c r="L251" s="534"/>
      <c r="M251" s="458" t="str">
        <f t="shared" si="39"/>
        <v/>
      </c>
      <c r="N251" s="458"/>
      <c r="O251" s="458" t="str">
        <f t="shared" si="40"/>
        <v/>
      </c>
      <c r="P251" s="21"/>
      <c r="U251" s="44" t="str">
        <f t="shared" si="41"/>
        <v/>
      </c>
      <c r="V251" s="45" t="str">
        <f t="shared" si="42"/>
        <v/>
      </c>
      <c r="AE251">
        <v>0</v>
      </c>
    </row>
    <row r="252" spans="1:31" x14ac:dyDescent="0.35">
      <c r="A252" s="535" t="str">
        <f t="shared" si="38"/>
        <v/>
      </c>
      <c r="B252" s="337"/>
      <c r="C252" s="337"/>
      <c r="D252" s="326" t="s">
        <v>49</v>
      </c>
      <c r="E252" s="425" t="s">
        <v>15</v>
      </c>
      <c r="F252" s="18">
        <v>50</v>
      </c>
      <c r="G252" s="18" t="s">
        <v>73</v>
      </c>
      <c r="H252" s="18">
        <f>ROUND(F248*(F252/(F249+F250+F251+F252+F253)),2)</f>
        <v>2.2200000000000002</v>
      </c>
      <c r="I252" s="18" t="s">
        <v>73</v>
      </c>
      <c r="J252" s="337"/>
      <c r="K252" s="672">
        <f>A239*H252</f>
        <v>33.300000000000004</v>
      </c>
      <c r="L252" s="534"/>
      <c r="M252" s="458" t="str">
        <f t="shared" si="39"/>
        <v/>
      </c>
      <c r="N252" s="458"/>
      <c r="O252" s="458" t="str">
        <f t="shared" si="40"/>
        <v/>
      </c>
      <c r="P252" s="21"/>
      <c r="U252" s="44" t="str">
        <f t="shared" si="41"/>
        <v/>
      </c>
      <c r="V252" s="45" t="str">
        <f t="shared" si="42"/>
        <v/>
      </c>
      <c r="AE252">
        <v>0</v>
      </c>
    </row>
    <row r="253" spans="1:31" x14ac:dyDescent="0.35">
      <c r="A253" s="535" t="str">
        <f t="shared" si="38"/>
        <v/>
      </c>
      <c r="B253" s="330"/>
      <c r="C253" s="330"/>
      <c r="D253" s="326" t="s">
        <v>51</v>
      </c>
      <c r="E253" s="426" t="s">
        <v>16</v>
      </c>
      <c r="F253" s="22">
        <v>50</v>
      </c>
      <c r="G253" s="22" t="s">
        <v>73</v>
      </c>
      <c r="H253" s="22">
        <f>ROUND(F248*(F253/(F249+F250+F251+F252+F253)),2)</f>
        <v>2.2200000000000002</v>
      </c>
      <c r="I253" s="22" t="s">
        <v>73</v>
      </c>
      <c r="J253" s="330"/>
      <c r="K253" s="673">
        <f>A239*H253</f>
        <v>33.300000000000004</v>
      </c>
      <c r="L253" s="534"/>
      <c r="M253" s="458" t="str">
        <f t="shared" si="39"/>
        <v/>
      </c>
      <c r="N253" s="458"/>
      <c r="O253" s="458" t="str">
        <f t="shared" si="40"/>
        <v/>
      </c>
      <c r="P253" s="21"/>
      <c r="U253" s="44" t="str">
        <f t="shared" si="41"/>
        <v/>
      </c>
      <c r="V253" s="45" t="str">
        <f t="shared" si="42"/>
        <v/>
      </c>
      <c r="AE253">
        <v>0</v>
      </c>
    </row>
    <row r="254" spans="1:31" x14ac:dyDescent="0.35">
      <c r="A254" s="535" t="str">
        <f t="shared" si="38"/>
        <v/>
      </c>
      <c r="B254" s="337"/>
      <c r="C254" s="337"/>
      <c r="D254" s="355"/>
      <c r="E254" s="355" t="s">
        <v>33</v>
      </c>
      <c r="F254" s="378">
        <v>0.75</v>
      </c>
      <c r="G254" s="378" t="s">
        <v>73</v>
      </c>
      <c r="H254" s="515"/>
      <c r="I254" s="378"/>
      <c r="J254" s="515"/>
      <c r="K254" s="674"/>
      <c r="L254" s="534"/>
      <c r="M254" s="458" t="str">
        <f t="shared" si="39"/>
        <v/>
      </c>
      <c r="N254" s="458"/>
      <c r="O254" s="458" t="str">
        <f t="shared" si="40"/>
        <v/>
      </c>
      <c r="P254" s="21"/>
      <c r="U254" s="44" t="str">
        <f t="shared" si="41"/>
        <v/>
      </c>
      <c r="V254" s="45" t="str">
        <f t="shared" si="42"/>
        <v/>
      </c>
      <c r="AE254">
        <v>0</v>
      </c>
    </row>
    <row r="255" spans="1:31" x14ac:dyDescent="0.35">
      <c r="A255" s="535" t="str">
        <f t="shared" si="38"/>
        <v/>
      </c>
      <c r="B255" s="330"/>
      <c r="C255" s="330"/>
      <c r="D255" s="326" t="s">
        <v>52</v>
      </c>
      <c r="E255" s="426" t="s">
        <v>106</v>
      </c>
      <c r="F255" s="22">
        <v>5</v>
      </c>
      <c r="G255" s="22" t="s">
        <v>73</v>
      </c>
      <c r="H255" s="22">
        <f>ROUND(($F$254)*(F255/($F$255+($F$256*(F257/($F$257+$F$258)))+($F$256*(F258/($F$257+$F$258))))),2)</f>
        <v>0.15</v>
      </c>
      <c r="I255" s="22" t="s">
        <v>73</v>
      </c>
      <c r="J255" s="330"/>
      <c r="K255" s="673">
        <f>A239*H255</f>
        <v>2.25</v>
      </c>
      <c r="L255" s="534"/>
      <c r="M255" s="458" t="str">
        <f t="shared" si="39"/>
        <v/>
      </c>
      <c r="N255" s="458"/>
      <c r="O255" s="458" t="str">
        <f t="shared" si="40"/>
        <v/>
      </c>
      <c r="P255" s="21"/>
      <c r="U255" s="44" t="str">
        <f t="shared" si="41"/>
        <v/>
      </c>
      <c r="V255" s="45" t="str">
        <f t="shared" si="42"/>
        <v/>
      </c>
      <c r="AE255">
        <v>0</v>
      </c>
    </row>
    <row r="256" spans="1:31" x14ac:dyDescent="0.35">
      <c r="A256" s="535" t="str">
        <f t="shared" si="38"/>
        <v/>
      </c>
      <c r="B256" s="337"/>
      <c r="C256" s="337"/>
      <c r="D256" s="355"/>
      <c r="E256" s="416" t="s">
        <v>23</v>
      </c>
      <c r="F256" s="378">
        <v>20</v>
      </c>
      <c r="G256" s="378" t="s">
        <v>73</v>
      </c>
      <c r="H256" s="515"/>
      <c r="I256" s="378"/>
      <c r="J256" s="515"/>
      <c r="K256" s="674"/>
      <c r="L256" s="534"/>
      <c r="M256" s="458" t="str">
        <f t="shared" si="39"/>
        <v/>
      </c>
      <c r="N256" s="458"/>
      <c r="O256" s="458" t="str">
        <f t="shared" si="40"/>
        <v/>
      </c>
      <c r="P256" s="21"/>
      <c r="U256" s="44" t="str">
        <f t="shared" si="41"/>
        <v/>
      </c>
      <c r="V256" s="45" t="str">
        <f t="shared" si="42"/>
        <v/>
      </c>
      <c r="AE256">
        <v>0</v>
      </c>
    </row>
    <row r="257" spans="1:31" x14ac:dyDescent="0.35">
      <c r="A257" s="535" t="str">
        <f t="shared" si="38"/>
        <v/>
      </c>
      <c r="B257" s="330"/>
      <c r="C257" s="330"/>
      <c r="D257" s="326" t="s">
        <v>43</v>
      </c>
      <c r="E257" s="366" t="s">
        <v>8</v>
      </c>
      <c r="F257" s="22">
        <v>15</v>
      </c>
      <c r="G257" s="22" t="s">
        <v>73</v>
      </c>
      <c r="H257" s="22">
        <f>ROUND(($F$254)*(($F$256*(F257/($F$257+$F$258)))/($F$255+($F$256*(F257/($F$257+$F$258)))+($F$256*(F258/($F$257+$F$258))))),2)</f>
        <v>0.09</v>
      </c>
      <c r="I257" s="22" t="s">
        <v>73</v>
      </c>
      <c r="J257" s="330"/>
      <c r="K257" s="673">
        <f>A239*H257</f>
        <v>1.3499999999999999</v>
      </c>
      <c r="L257" s="534"/>
      <c r="M257" s="458" t="str">
        <f t="shared" si="39"/>
        <v/>
      </c>
      <c r="N257" s="458"/>
      <c r="O257" s="458" t="str">
        <f t="shared" si="40"/>
        <v/>
      </c>
      <c r="P257" s="21"/>
      <c r="U257" s="44" t="str">
        <f t="shared" si="41"/>
        <v/>
      </c>
      <c r="V257" s="45" t="str">
        <f t="shared" si="42"/>
        <v/>
      </c>
      <c r="AE257">
        <v>0</v>
      </c>
    </row>
    <row r="258" spans="1:31" ht="15" thickBot="1" x14ac:dyDescent="0.4">
      <c r="A258" s="535" t="str">
        <f t="shared" si="38"/>
        <v/>
      </c>
      <c r="B258" s="337"/>
      <c r="C258" s="337"/>
      <c r="D258" s="326" t="s">
        <v>42</v>
      </c>
      <c r="E258" s="360" t="s">
        <v>9</v>
      </c>
      <c r="F258" s="18">
        <v>85</v>
      </c>
      <c r="G258" s="18" t="s">
        <v>73</v>
      </c>
      <c r="H258" s="18">
        <f>ROUND(($F$254)*(($F$256*(F258/($F$257+$F$258)))/(($F$255+($F$256*(F257/($F$257+$F$258)))+($F$256*(F258/($F$257+$F$258))))
)),2)</f>
        <v>0.51</v>
      </c>
      <c r="I258" s="18" t="s">
        <v>73</v>
      </c>
      <c r="J258" s="337"/>
      <c r="K258" s="672">
        <f>A239*H258</f>
        <v>7.65</v>
      </c>
      <c r="L258" s="534"/>
      <c r="M258" s="458" t="str">
        <f t="shared" si="39"/>
        <v/>
      </c>
      <c r="N258" s="458"/>
      <c r="O258" s="458" t="str">
        <f t="shared" si="40"/>
        <v/>
      </c>
      <c r="P258" s="21"/>
      <c r="U258" s="44" t="str">
        <f t="shared" si="41"/>
        <v/>
      </c>
      <c r="V258" s="45" t="str">
        <f t="shared" si="42"/>
        <v/>
      </c>
      <c r="AE258">
        <v>0</v>
      </c>
    </row>
    <row r="259" spans="1:31" ht="15.5" thickTop="1" thickBot="1" x14ac:dyDescent="0.4">
      <c r="A259" s="545" t="str">
        <f t="shared" si="38"/>
        <v/>
      </c>
      <c r="B259" s="546"/>
      <c r="C259" s="546"/>
      <c r="D259" s="547"/>
      <c r="E259" s="562"/>
      <c r="F259" s="550"/>
      <c r="G259" s="550"/>
      <c r="H259" s="546"/>
      <c r="I259" s="546"/>
      <c r="J259" s="546"/>
      <c r="K259" s="676"/>
      <c r="L259" s="535"/>
      <c r="M259" s="552" t="str">
        <f t="shared" si="39"/>
        <v/>
      </c>
      <c r="N259" s="552"/>
      <c r="O259" s="552" t="str">
        <f t="shared" si="40"/>
        <v/>
      </c>
      <c r="P259" s="39"/>
      <c r="U259" s="44" t="str">
        <f t="shared" si="41"/>
        <v/>
      </c>
      <c r="V259" s="45" t="str">
        <f t="shared" si="42"/>
        <v/>
      </c>
      <c r="AE259">
        <v>0</v>
      </c>
    </row>
    <row r="260" spans="1:31" ht="15" thickTop="1" x14ac:dyDescent="0.35">
      <c r="A260" s="76">
        <f>IFERROR(INDEX($Q$17:$Q$150,MATCH(B260,$R$17:$R$150, 0)), "")</f>
        <v>8</v>
      </c>
      <c r="B260" s="382" t="s">
        <v>1258</v>
      </c>
      <c r="C260" s="7" t="s">
        <v>37</v>
      </c>
      <c r="D260" s="347" t="s">
        <v>473</v>
      </c>
      <c r="E260" s="532" t="s">
        <v>474</v>
      </c>
      <c r="F260" s="438">
        <v>300</v>
      </c>
      <c r="G260" s="438" t="s">
        <v>73</v>
      </c>
      <c r="H260" s="438">
        <v>300</v>
      </c>
      <c r="I260" s="438" t="s">
        <v>73</v>
      </c>
      <c r="J260" s="5"/>
      <c r="K260" s="678">
        <f>A260*H260</f>
        <v>2400</v>
      </c>
      <c r="L260" s="534"/>
      <c r="M260" s="458" t="str">
        <f t="shared" si="39"/>
        <v/>
      </c>
      <c r="N260" s="458"/>
      <c r="O260" s="458" t="str">
        <f t="shared" si="40"/>
        <v/>
      </c>
      <c r="P260" s="40"/>
      <c r="U260" s="44" t="str">
        <f t="shared" si="41"/>
        <v/>
      </c>
      <c r="V260" s="45" t="str">
        <f t="shared" si="42"/>
        <v/>
      </c>
      <c r="AE260">
        <v>0</v>
      </c>
    </row>
    <row r="261" spans="1:31" x14ac:dyDescent="0.35">
      <c r="A261" s="535" t="str">
        <f t="shared" si="38"/>
        <v/>
      </c>
      <c r="B261" s="330"/>
      <c r="C261" s="330"/>
      <c r="D261" s="326" t="s">
        <v>48</v>
      </c>
      <c r="E261" s="327" t="s">
        <v>716</v>
      </c>
      <c r="F261" s="22">
        <v>60</v>
      </c>
      <c r="G261" s="22" t="s">
        <v>73</v>
      </c>
      <c r="H261" s="22">
        <v>60</v>
      </c>
      <c r="I261" s="22" t="s">
        <v>73</v>
      </c>
      <c r="J261" s="330"/>
      <c r="K261" s="673">
        <f>A260*H261</f>
        <v>480</v>
      </c>
      <c r="L261" s="534"/>
      <c r="M261" s="458" t="str">
        <f t="shared" si="39"/>
        <v/>
      </c>
      <c r="N261" s="458"/>
      <c r="O261" s="458" t="str">
        <f t="shared" si="40"/>
        <v/>
      </c>
      <c r="P261" s="21"/>
      <c r="U261" s="44" t="str">
        <f t="shared" si="41"/>
        <v/>
      </c>
      <c r="V261" s="45" t="str">
        <f t="shared" si="42"/>
        <v/>
      </c>
      <c r="AE261">
        <v>0</v>
      </c>
    </row>
    <row r="262" spans="1:31" x14ac:dyDescent="0.35">
      <c r="A262" s="535" t="str">
        <f t="shared" si="38"/>
        <v/>
      </c>
      <c r="B262" s="337"/>
      <c r="C262" s="337"/>
      <c r="D262" s="326" t="s">
        <v>50</v>
      </c>
      <c r="E262" s="334" t="s">
        <v>717</v>
      </c>
      <c r="F262" s="18">
        <v>120</v>
      </c>
      <c r="G262" s="18" t="s">
        <v>73</v>
      </c>
      <c r="H262" s="18">
        <v>120</v>
      </c>
      <c r="I262" s="18" t="s">
        <v>73</v>
      </c>
      <c r="J262" s="337"/>
      <c r="K262" s="672">
        <f>A260*H262</f>
        <v>960</v>
      </c>
      <c r="L262" s="534"/>
      <c r="M262" s="458" t="str">
        <f t="shared" si="39"/>
        <v/>
      </c>
      <c r="N262" s="458"/>
      <c r="O262" s="458" t="str">
        <f t="shared" si="40"/>
        <v/>
      </c>
      <c r="P262" s="21"/>
      <c r="U262" s="44" t="str">
        <f t="shared" si="41"/>
        <v/>
      </c>
      <c r="V262" s="45" t="str">
        <f t="shared" si="42"/>
        <v/>
      </c>
      <c r="AE262">
        <v>0</v>
      </c>
    </row>
    <row r="263" spans="1:31" x14ac:dyDescent="0.35">
      <c r="A263" s="535" t="str">
        <f t="shared" si="38"/>
        <v/>
      </c>
      <c r="B263" s="330"/>
      <c r="C263" s="330"/>
      <c r="D263" s="326" t="s">
        <v>369</v>
      </c>
      <c r="E263" s="327" t="s">
        <v>718</v>
      </c>
      <c r="F263" s="22">
        <v>120</v>
      </c>
      <c r="G263" s="22" t="s">
        <v>73</v>
      </c>
      <c r="H263" s="22">
        <v>120</v>
      </c>
      <c r="I263" s="22" t="s">
        <v>73</v>
      </c>
      <c r="J263" s="330"/>
      <c r="K263" s="673">
        <f>A260*H263</f>
        <v>960</v>
      </c>
      <c r="L263" s="534"/>
      <c r="M263" s="458" t="str">
        <f t="shared" si="39"/>
        <v/>
      </c>
      <c r="N263" s="458"/>
      <c r="O263" s="458" t="str">
        <f t="shared" si="40"/>
        <v/>
      </c>
      <c r="P263" s="21"/>
      <c r="U263" s="44" t="str">
        <f t="shared" si="41"/>
        <v/>
      </c>
      <c r="V263" s="45" t="str">
        <f t="shared" si="42"/>
        <v/>
      </c>
      <c r="AE263">
        <v>0</v>
      </c>
    </row>
    <row r="264" spans="1:31" x14ac:dyDescent="0.35">
      <c r="A264" s="535" t="str">
        <f t="shared" si="38"/>
        <v/>
      </c>
      <c r="B264" s="337"/>
      <c r="C264" s="337"/>
      <c r="D264" s="326" t="s">
        <v>413</v>
      </c>
      <c r="E264" s="334" t="s">
        <v>719</v>
      </c>
      <c r="F264" s="18">
        <v>105</v>
      </c>
      <c r="G264" s="18" t="s">
        <v>73</v>
      </c>
      <c r="H264" s="18">
        <v>105</v>
      </c>
      <c r="I264" s="18" t="s">
        <v>73</v>
      </c>
      <c r="J264" s="337"/>
      <c r="K264" s="672">
        <f>A260*H264</f>
        <v>840</v>
      </c>
      <c r="L264" s="534"/>
      <c r="M264" s="458" t="str">
        <f t="shared" si="39"/>
        <v/>
      </c>
      <c r="N264" s="458"/>
      <c r="O264" s="458" t="str">
        <f t="shared" si="40"/>
        <v/>
      </c>
      <c r="P264" s="21"/>
      <c r="U264" s="44" t="str">
        <f t="shared" si="41"/>
        <v/>
      </c>
      <c r="V264" s="45" t="str">
        <f t="shared" si="42"/>
        <v/>
      </c>
      <c r="AE264">
        <v>0</v>
      </c>
    </row>
    <row r="265" spans="1:31" x14ac:dyDescent="0.35">
      <c r="A265" s="535" t="str">
        <f t="shared" si="38"/>
        <v/>
      </c>
      <c r="B265" s="330"/>
      <c r="C265" s="330"/>
      <c r="D265" s="326" t="s">
        <v>163</v>
      </c>
      <c r="E265" s="327" t="s">
        <v>720</v>
      </c>
      <c r="F265" s="22">
        <v>85</v>
      </c>
      <c r="G265" s="22" t="s">
        <v>73</v>
      </c>
      <c r="H265" s="22">
        <v>85</v>
      </c>
      <c r="I265" s="22" t="s">
        <v>73</v>
      </c>
      <c r="J265" s="330"/>
      <c r="K265" s="673">
        <f>A260*H265</f>
        <v>680</v>
      </c>
      <c r="L265" s="534"/>
      <c r="M265" s="458" t="str">
        <f t="shared" si="39"/>
        <v/>
      </c>
      <c r="N265" s="458"/>
      <c r="O265" s="458" t="str">
        <f t="shared" si="40"/>
        <v/>
      </c>
      <c r="P265" s="21"/>
      <c r="U265" s="44" t="str">
        <f t="shared" si="41"/>
        <v/>
      </c>
      <c r="V265" s="45" t="str">
        <f t="shared" si="42"/>
        <v/>
      </c>
      <c r="AE265">
        <v>0</v>
      </c>
    </row>
    <row r="266" spans="1:31" x14ac:dyDescent="0.35">
      <c r="A266" s="535" t="str">
        <f t="shared" si="38"/>
        <v/>
      </c>
      <c r="B266" s="337"/>
      <c r="C266" s="337"/>
      <c r="D266" s="326" t="s">
        <v>489</v>
      </c>
      <c r="E266" s="334" t="s">
        <v>721</v>
      </c>
      <c r="F266" s="18">
        <v>135</v>
      </c>
      <c r="G266" s="18" t="s">
        <v>73</v>
      </c>
      <c r="H266" s="18">
        <v>135</v>
      </c>
      <c r="I266" s="18" t="s">
        <v>73</v>
      </c>
      <c r="J266" s="337"/>
      <c r="K266" s="672">
        <f>A260*H266</f>
        <v>1080</v>
      </c>
      <c r="L266" s="534"/>
      <c r="M266" s="458" t="str">
        <f t="shared" si="39"/>
        <v/>
      </c>
      <c r="N266" s="458"/>
      <c r="O266" s="458" t="str">
        <f t="shared" si="40"/>
        <v/>
      </c>
      <c r="P266" s="21"/>
      <c r="U266" s="44" t="str">
        <f t="shared" si="41"/>
        <v/>
      </c>
      <c r="V266" s="45" t="str">
        <f t="shared" si="42"/>
        <v/>
      </c>
      <c r="AE266">
        <v>0</v>
      </c>
    </row>
    <row r="267" spans="1:31" x14ac:dyDescent="0.35">
      <c r="A267" s="535" t="str">
        <f t="shared" si="38"/>
        <v/>
      </c>
      <c r="B267" s="330"/>
      <c r="C267" s="330"/>
      <c r="D267" s="326" t="s">
        <v>505</v>
      </c>
      <c r="E267" s="327" t="s">
        <v>722</v>
      </c>
      <c r="F267" s="22">
        <v>0.2</v>
      </c>
      <c r="G267" s="22" t="s">
        <v>73</v>
      </c>
      <c r="H267" s="22">
        <v>0.2</v>
      </c>
      <c r="I267" s="22" t="s">
        <v>73</v>
      </c>
      <c r="J267" s="330"/>
      <c r="K267" s="673">
        <f>A260*H267</f>
        <v>1.6</v>
      </c>
      <c r="L267" s="534"/>
      <c r="M267" s="458" t="str">
        <f t="shared" si="39"/>
        <v/>
      </c>
      <c r="N267" s="458"/>
      <c r="O267" s="458" t="str">
        <f t="shared" si="40"/>
        <v/>
      </c>
      <c r="P267" s="21"/>
      <c r="U267" s="44" t="str">
        <f t="shared" si="41"/>
        <v/>
      </c>
      <c r="V267" s="45" t="str">
        <f t="shared" si="42"/>
        <v/>
      </c>
      <c r="AE267">
        <v>0</v>
      </c>
    </row>
    <row r="268" spans="1:31" x14ac:dyDescent="0.35">
      <c r="A268" s="535" t="str">
        <f t="shared" si="38"/>
        <v/>
      </c>
      <c r="B268" s="337"/>
      <c r="C268" s="337"/>
      <c r="D268" s="326" t="s">
        <v>163</v>
      </c>
      <c r="E268" s="334" t="s">
        <v>720</v>
      </c>
      <c r="F268" s="18">
        <v>40</v>
      </c>
      <c r="G268" s="18" t="s">
        <v>73</v>
      </c>
      <c r="H268" s="18">
        <v>40</v>
      </c>
      <c r="I268" s="18" t="s">
        <v>73</v>
      </c>
      <c r="J268" s="337"/>
      <c r="K268" s="672">
        <f>A260*H268</f>
        <v>320</v>
      </c>
      <c r="L268" s="534"/>
      <c r="M268" s="458" t="str">
        <f t="shared" si="39"/>
        <v/>
      </c>
      <c r="N268" s="458"/>
      <c r="O268" s="458" t="str">
        <f t="shared" si="40"/>
        <v/>
      </c>
      <c r="P268" s="21"/>
      <c r="U268" s="44" t="str">
        <f t="shared" si="41"/>
        <v/>
      </c>
      <c r="V268" s="45" t="str">
        <f t="shared" si="42"/>
        <v/>
      </c>
      <c r="AE268">
        <v>0</v>
      </c>
    </row>
    <row r="269" spans="1:31" x14ac:dyDescent="0.35">
      <c r="A269" s="535" t="str">
        <f t="shared" si="38"/>
        <v/>
      </c>
      <c r="B269" s="330"/>
      <c r="C269" s="330"/>
      <c r="D269" s="355"/>
      <c r="E269" s="355" t="s">
        <v>80</v>
      </c>
      <c r="F269" s="378">
        <v>40</v>
      </c>
      <c r="G269" s="378" t="s">
        <v>73</v>
      </c>
      <c r="H269" s="515"/>
      <c r="I269" s="378"/>
      <c r="J269" s="515"/>
      <c r="K269" s="674"/>
      <c r="L269" s="534"/>
      <c r="M269" s="458" t="str">
        <f t="shared" si="39"/>
        <v/>
      </c>
      <c r="N269" s="458"/>
      <c r="O269" s="458" t="str">
        <f t="shared" si="40"/>
        <v/>
      </c>
      <c r="P269" s="21"/>
      <c r="U269" s="44" t="str">
        <f t="shared" si="41"/>
        <v/>
      </c>
      <c r="V269" s="45" t="str">
        <f t="shared" si="42"/>
        <v/>
      </c>
      <c r="AE269">
        <v>0</v>
      </c>
    </row>
    <row r="270" spans="1:31" x14ac:dyDescent="0.35">
      <c r="A270" s="535" t="str">
        <f t="shared" si="38"/>
        <v/>
      </c>
      <c r="B270" s="337"/>
      <c r="C270" s="337"/>
      <c r="D270" s="326" t="s">
        <v>47</v>
      </c>
      <c r="E270" s="425" t="s">
        <v>12</v>
      </c>
      <c r="F270" s="18">
        <v>600</v>
      </c>
      <c r="G270" s="18" t="s">
        <v>73</v>
      </c>
      <c r="H270" s="18">
        <f>ROUND(F269*(F270/(F270+F271+F272+F273+F274)),2)</f>
        <v>26.67</v>
      </c>
      <c r="I270" s="18" t="s">
        <v>73</v>
      </c>
      <c r="J270" s="337"/>
      <c r="K270" s="672">
        <f>A260*H270</f>
        <v>213.36</v>
      </c>
      <c r="L270" s="534"/>
      <c r="M270" s="458" t="str">
        <f t="shared" si="39"/>
        <v/>
      </c>
      <c r="N270" s="458"/>
      <c r="O270" s="458" t="str">
        <f t="shared" si="40"/>
        <v/>
      </c>
      <c r="P270" s="21"/>
      <c r="U270" s="44" t="str">
        <f t="shared" si="41"/>
        <v/>
      </c>
      <c r="V270" s="45" t="str">
        <f t="shared" si="42"/>
        <v/>
      </c>
      <c r="AE270">
        <v>0</v>
      </c>
    </row>
    <row r="271" spans="1:31" x14ac:dyDescent="0.35">
      <c r="A271" s="535" t="str">
        <f t="shared" si="38"/>
        <v/>
      </c>
      <c r="B271" s="330"/>
      <c r="C271" s="330"/>
      <c r="D271" s="326" t="s">
        <v>48</v>
      </c>
      <c r="E271" s="426" t="s">
        <v>13</v>
      </c>
      <c r="F271" s="22">
        <v>100</v>
      </c>
      <c r="G271" s="22" t="s">
        <v>73</v>
      </c>
      <c r="H271" s="22">
        <f>ROUND(F269*(F271/(F270+F271+F272+F273+F274)),2)</f>
        <v>4.4400000000000004</v>
      </c>
      <c r="I271" s="22" t="s">
        <v>73</v>
      </c>
      <c r="J271" s="330"/>
      <c r="K271" s="673">
        <f>A260*H271</f>
        <v>35.520000000000003</v>
      </c>
      <c r="L271" s="534"/>
      <c r="M271" s="458" t="str">
        <f t="shared" si="39"/>
        <v/>
      </c>
      <c r="N271" s="458"/>
      <c r="O271" s="458" t="str">
        <f t="shared" si="40"/>
        <v/>
      </c>
      <c r="P271" s="21"/>
      <c r="U271" s="44" t="str">
        <f t="shared" si="41"/>
        <v/>
      </c>
      <c r="V271" s="45" t="str">
        <f t="shared" si="42"/>
        <v/>
      </c>
      <c r="AE271">
        <v>0</v>
      </c>
    </row>
    <row r="272" spans="1:31" x14ac:dyDescent="0.35">
      <c r="A272" s="535" t="str">
        <f t="shared" si="38"/>
        <v/>
      </c>
      <c r="B272" s="337"/>
      <c r="C272" s="337"/>
      <c r="D272" s="326" t="s">
        <v>50</v>
      </c>
      <c r="E272" s="425" t="s">
        <v>14</v>
      </c>
      <c r="F272" s="18">
        <v>100</v>
      </c>
      <c r="G272" s="18" t="s">
        <v>73</v>
      </c>
      <c r="H272" s="18">
        <f>ROUND(F269*(F272/(F270+F271+F272+F273+F274)),2)</f>
        <v>4.4400000000000004</v>
      </c>
      <c r="I272" s="18" t="s">
        <v>73</v>
      </c>
      <c r="J272" s="337"/>
      <c r="K272" s="672">
        <f>A260*H272</f>
        <v>35.520000000000003</v>
      </c>
      <c r="L272" s="534"/>
      <c r="M272" s="458" t="str">
        <f t="shared" si="39"/>
        <v/>
      </c>
      <c r="N272" s="458"/>
      <c r="O272" s="458" t="str">
        <f t="shared" si="40"/>
        <v/>
      </c>
      <c r="P272" s="21"/>
      <c r="U272" s="44" t="str">
        <f t="shared" si="41"/>
        <v/>
      </c>
      <c r="V272" s="45" t="str">
        <f t="shared" si="42"/>
        <v/>
      </c>
      <c r="AE272">
        <v>0</v>
      </c>
    </row>
    <row r="273" spans="1:31" x14ac:dyDescent="0.35">
      <c r="A273" s="535" t="str">
        <f t="shared" ref="A273:A336" si="44">IFERROR(INDEX($Q$17:$Q$41,MATCH(B273,$R$17:$R$41, 0)), "")</f>
        <v/>
      </c>
      <c r="B273" s="330"/>
      <c r="C273" s="330"/>
      <c r="D273" s="326" t="s">
        <v>49</v>
      </c>
      <c r="E273" s="426" t="s">
        <v>15</v>
      </c>
      <c r="F273" s="22">
        <v>50</v>
      </c>
      <c r="G273" s="22" t="s">
        <v>73</v>
      </c>
      <c r="H273" s="22">
        <f>ROUND(F269*(F273/(F270+F271+F272+F273+F274)),2)</f>
        <v>2.2200000000000002</v>
      </c>
      <c r="I273" s="22" t="s">
        <v>73</v>
      </c>
      <c r="J273" s="330"/>
      <c r="K273" s="673">
        <f>A260*H273</f>
        <v>17.760000000000002</v>
      </c>
      <c r="L273" s="534"/>
      <c r="M273" s="458" t="str">
        <f t="shared" ref="M273:M336" si="45">IF(Q272&gt;0, Q272, "")</f>
        <v/>
      </c>
      <c r="N273" s="458"/>
      <c r="O273" s="458" t="str">
        <f t="shared" ref="O273:O336" si="46">IF(V273&gt;0, V273, "")</f>
        <v/>
      </c>
      <c r="P273" s="21"/>
      <c r="U273" s="44" t="str">
        <f t="shared" ref="U273:U300" si="47">IF(T273="","", IF(INDEX(E$17:E$3406, MATCH(T273, D$17:D$3406, 0))=0,"", INDEX(E$17:E$3406, MATCH(T273, D$17:D$3406, 0))))</f>
        <v/>
      </c>
      <c r="V273" s="45" t="str">
        <f t="shared" ref="V273:V300" si="48">IF(T273="","", SUMIFS(K$17:K$3406, D$17:D$3406, T273))</f>
        <v/>
      </c>
      <c r="AE273">
        <v>0</v>
      </c>
    </row>
    <row r="274" spans="1:31" x14ac:dyDescent="0.35">
      <c r="A274" s="535" t="str">
        <f t="shared" si="44"/>
        <v/>
      </c>
      <c r="B274" s="337"/>
      <c r="C274" s="337"/>
      <c r="D274" s="326" t="s">
        <v>51</v>
      </c>
      <c r="E274" s="425" t="s">
        <v>16</v>
      </c>
      <c r="F274" s="18">
        <v>50</v>
      </c>
      <c r="G274" s="18" t="s">
        <v>73</v>
      </c>
      <c r="H274" s="18">
        <f>ROUND(F269*(F274/(F270+F271+F272+F273+F274)),2)</f>
        <v>2.2200000000000002</v>
      </c>
      <c r="I274" s="18" t="s">
        <v>73</v>
      </c>
      <c r="J274" s="337"/>
      <c r="K274" s="672">
        <f>A260*H274</f>
        <v>17.760000000000002</v>
      </c>
      <c r="L274" s="534"/>
      <c r="M274" s="458" t="str">
        <f t="shared" si="45"/>
        <v/>
      </c>
      <c r="N274" s="458"/>
      <c r="O274" s="458" t="str">
        <f t="shared" si="46"/>
        <v/>
      </c>
      <c r="P274" s="21"/>
      <c r="U274" s="44" t="str">
        <f t="shared" si="47"/>
        <v/>
      </c>
      <c r="V274" s="45" t="str">
        <f t="shared" si="48"/>
        <v/>
      </c>
      <c r="AE274">
        <v>0</v>
      </c>
    </row>
    <row r="275" spans="1:31" x14ac:dyDescent="0.35">
      <c r="A275" s="535" t="str">
        <f t="shared" si="44"/>
        <v/>
      </c>
      <c r="B275" s="330"/>
      <c r="C275" s="330"/>
      <c r="D275" s="355"/>
      <c r="E275" s="355" t="s">
        <v>89</v>
      </c>
      <c r="F275" s="378">
        <v>0.75</v>
      </c>
      <c r="G275" s="378" t="s">
        <v>73</v>
      </c>
      <c r="H275" s="515"/>
      <c r="I275" s="378"/>
      <c r="J275" s="515"/>
      <c r="K275" s="674"/>
      <c r="L275" s="534"/>
      <c r="M275" s="458" t="str">
        <f t="shared" si="45"/>
        <v/>
      </c>
      <c r="N275" s="458"/>
      <c r="O275" s="458" t="str">
        <f t="shared" si="46"/>
        <v/>
      </c>
      <c r="P275" s="21"/>
      <c r="U275" s="44" t="str">
        <f t="shared" si="47"/>
        <v/>
      </c>
      <c r="V275" s="45" t="str">
        <f t="shared" si="48"/>
        <v/>
      </c>
      <c r="AE275">
        <v>0</v>
      </c>
    </row>
    <row r="276" spans="1:31" x14ac:dyDescent="0.35">
      <c r="A276" s="535" t="str">
        <f t="shared" si="44"/>
        <v/>
      </c>
      <c r="B276" s="337"/>
      <c r="C276" s="337"/>
      <c r="D276" s="326" t="s">
        <v>52</v>
      </c>
      <c r="E276" s="425" t="s">
        <v>106</v>
      </c>
      <c r="F276" s="18">
        <v>5</v>
      </c>
      <c r="G276" s="18" t="s">
        <v>73</v>
      </c>
      <c r="H276" s="18">
        <f>ROUND(($F$275)*(($F$276)/((($F$277)*(($F$278)/($F$278+$F$279)))+(($F$277)*(($F$279)/($F$278+$F$279)))
+($F$276))),2)</f>
        <v>0.15</v>
      </c>
      <c r="I276" s="18" t="s">
        <v>73</v>
      </c>
      <c r="J276" s="337"/>
      <c r="K276" s="672">
        <f>A260*H276</f>
        <v>1.2</v>
      </c>
      <c r="L276" s="534"/>
      <c r="M276" s="458" t="str">
        <f t="shared" si="45"/>
        <v/>
      </c>
      <c r="N276" s="458"/>
      <c r="O276" s="458" t="str">
        <f t="shared" si="46"/>
        <v/>
      </c>
      <c r="P276" s="21"/>
      <c r="U276" s="44" t="str">
        <f t="shared" si="47"/>
        <v/>
      </c>
      <c r="V276" s="45" t="str">
        <f t="shared" si="48"/>
        <v/>
      </c>
      <c r="AE276">
        <v>0</v>
      </c>
    </row>
    <row r="277" spans="1:31" x14ac:dyDescent="0.35">
      <c r="A277" s="535" t="str">
        <f t="shared" si="44"/>
        <v/>
      </c>
      <c r="B277" s="330"/>
      <c r="C277" s="330"/>
      <c r="D277" s="355"/>
      <c r="E277" s="416" t="s">
        <v>23</v>
      </c>
      <c r="F277" s="378">
        <v>20</v>
      </c>
      <c r="G277" s="378" t="s">
        <v>73</v>
      </c>
      <c r="H277" s="515"/>
      <c r="I277" s="378"/>
      <c r="J277" s="515"/>
      <c r="K277" s="674"/>
      <c r="L277" s="534"/>
      <c r="M277" s="458" t="str">
        <f t="shared" si="45"/>
        <v/>
      </c>
      <c r="N277" s="458"/>
      <c r="O277" s="458" t="str">
        <f t="shared" si="46"/>
        <v/>
      </c>
      <c r="P277" s="21"/>
      <c r="U277" s="44" t="str">
        <f t="shared" si="47"/>
        <v/>
      </c>
      <c r="V277" s="45" t="str">
        <f t="shared" si="48"/>
        <v/>
      </c>
      <c r="AE277">
        <v>0</v>
      </c>
    </row>
    <row r="278" spans="1:31" x14ac:dyDescent="0.35">
      <c r="A278" s="535" t="str">
        <f t="shared" si="44"/>
        <v/>
      </c>
      <c r="B278" s="337"/>
      <c r="C278" s="337"/>
      <c r="D278" s="326" t="s">
        <v>43</v>
      </c>
      <c r="E278" s="360" t="s">
        <v>8</v>
      </c>
      <c r="F278" s="18">
        <v>15</v>
      </c>
      <c r="G278" s="18" t="s">
        <v>73</v>
      </c>
      <c r="H278" s="18">
        <f>ROUND(($F$275)*((($F$277)*(($F$278)/($F$278+$F$279)))
/((($F$277)*(($F$278)/($F$278+$F$279)))+(($F$277)*(($F$279)/($F$278+$F$279)))
+($F$276))),2)</f>
        <v>0.09</v>
      </c>
      <c r="I278" s="18" t="s">
        <v>73</v>
      </c>
      <c r="J278" s="337"/>
      <c r="K278" s="672">
        <f>A260*H278</f>
        <v>0.72</v>
      </c>
      <c r="L278" s="534"/>
      <c r="M278" s="458" t="str">
        <f t="shared" si="45"/>
        <v/>
      </c>
      <c r="N278" s="458"/>
      <c r="O278" s="458" t="str">
        <f t="shared" si="46"/>
        <v/>
      </c>
      <c r="P278" s="21"/>
      <c r="U278" s="44" t="str">
        <f t="shared" si="47"/>
        <v/>
      </c>
      <c r="V278" s="45" t="str">
        <f t="shared" si="48"/>
        <v/>
      </c>
      <c r="AE278">
        <v>0</v>
      </c>
    </row>
    <row r="279" spans="1:31" ht="15" thickBot="1" x14ac:dyDescent="0.4">
      <c r="A279" s="535" t="str">
        <f t="shared" si="44"/>
        <v/>
      </c>
      <c r="B279" s="330"/>
      <c r="C279" s="330"/>
      <c r="D279" s="326" t="s">
        <v>42</v>
      </c>
      <c r="E279" s="366" t="s">
        <v>9</v>
      </c>
      <c r="F279" s="22">
        <v>85</v>
      </c>
      <c r="G279" s="22" t="s">
        <v>73</v>
      </c>
      <c r="H279" s="22">
        <f>ROUND(($F$275)*((($F$277)*(($F$279)/($F$278+$F$279)))
/((($F$277)*(($F$278)/($F$278+$F$279)))+(($F$277)*(($F$279)/($F$278+$F$279)))
+($F$276))),2)</f>
        <v>0.51</v>
      </c>
      <c r="I279" s="22" t="s">
        <v>73</v>
      </c>
      <c r="J279" s="330"/>
      <c r="K279" s="673">
        <f>A260*H279</f>
        <v>4.08</v>
      </c>
      <c r="L279" s="534"/>
      <c r="M279" s="458" t="str">
        <f t="shared" si="45"/>
        <v/>
      </c>
      <c r="N279" s="458"/>
      <c r="O279" s="458" t="str">
        <f t="shared" si="46"/>
        <v/>
      </c>
      <c r="P279" s="21"/>
      <c r="U279" s="44" t="str">
        <f t="shared" si="47"/>
        <v/>
      </c>
      <c r="V279" s="45" t="str">
        <f t="shared" si="48"/>
        <v/>
      </c>
      <c r="AE279">
        <v>0</v>
      </c>
    </row>
    <row r="280" spans="1:31" ht="15.5" thickTop="1" thickBot="1" x14ac:dyDescent="0.4">
      <c r="A280" s="545" t="str">
        <f t="shared" si="44"/>
        <v/>
      </c>
      <c r="B280" s="546"/>
      <c r="C280" s="546"/>
      <c r="D280" s="547"/>
      <c r="E280" s="546"/>
      <c r="F280" s="546"/>
      <c r="G280" s="546"/>
      <c r="H280" s="546"/>
      <c r="I280" s="546"/>
      <c r="J280" s="546"/>
      <c r="K280" s="676"/>
      <c r="L280" s="535"/>
      <c r="M280" s="552" t="str">
        <f t="shared" si="45"/>
        <v/>
      </c>
      <c r="N280" s="552"/>
      <c r="O280" s="552" t="str">
        <f t="shared" si="46"/>
        <v/>
      </c>
      <c r="P280" s="39"/>
      <c r="U280" s="44" t="str">
        <f t="shared" si="47"/>
        <v/>
      </c>
      <c r="V280" s="45" t="str">
        <f t="shared" si="48"/>
        <v/>
      </c>
      <c r="AE280">
        <v>0</v>
      </c>
    </row>
    <row r="281" spans="1:31" ht="15" thickTop="1" x14ac:dyDescent="0.35">
      <c r="A281" s="76">
        <f>IFERROR(INDEX($Q$17:$Q$150,MATCH(B281,$R$17:$R$150, 0)), "")</f>
        <v>68</v>
      </c>
      <c r="B281" s="529" t="s">
        <v>1349</v>
      </c>
      <c r="C281" s="107" t="s">
        <v>731</v>
      </c>
      <c r="D281" s="347" t="s">
        <v>139</v>
      </c>
      <c r="E281" s="532" t="s">
        <v>734</v>
      </c>
      <c r="F281" s="438">
        <v>70</v>
      </c>
      <c r="G281" s="438" t="s">
        <v>73</v>
      </c>
      <c r="H281" s="438">
        <v>70</v>
      </c>
      <c r="I281" s="439" t="s">
        <v>73</v>
      </c>
      <c r="J281" s="533"/>
      <c r="K281" s="679">
        <f>A281*H281</f>
        <v>4760</v>
      </c>
      <c r="L281" s="563"/>
      <c r="M281" s="564" t="str">
        <f t="shared" si="45"/>
        <v/>
      </c>
      <c r="N281" s="564"/>
      <c r="O281" s="564" t="str">
        <f t="shared" si="46"/>
        <v/>
      </c>
      <c r="P281" s="42"/>
      <c r="U281" s="44" t="str">
        <f t="shared" si="47"/>
        <v/>
      </c>
      <c r="V281" s="45" t="str">
        <f t="shared" si="48"/>
        <v/>
      </c>
      <c r="AE281">
        <v>0</v>
      </c>
    </row>
    <row r="282" spans="1:31" x14ac:dyDescent="0.35">
      <c r="A282" s="535" t="str">
        <f t="shared" si="44"/>
        <v/>
      </c>
      <c r="B282" s="337"/>
      <c r="C282" s="337"/>
      <c r="D282" s="326" t="s">
        <v>733</v>
      </c>
      <c r="E282" s="334" t="s">
        <v>732</v>
      </c>
      <c r="F282" s="18">
        <v>0.25</v>
      </c>
      <c r="G282" s="18" t="s">
        <v>1072</v>
      </c>
      <c r="H282" s="18">
        <v>0.25</v>
      </c>
      <c r="I282" s="335" t="s">
        <v>1072</v>
      </c>
      <c r="J282" s="337"/>
      <c r="K282" s="680">
        <f>A281*H282</f>
        <v>17</v>
      </c>
      <c r="L282" s="563"/>
      <c r="M282" s="564" t="str">
        <f t="shared" si="45"/>
        <v/>
      </c>
      <c r="N282" s="564"/>
      <c r="O282" s="564" t="str">
        <f t="shared" si="46"/>
        <v/>
      </c>
      <c r="P282" s="43"/>
      <c r="U282" s="44" t="str">
        <f t="shared" si="47"/>
        <v/>
      </c>
      <c r="V282" s="45" t="str">
        <f t="shared" si="48"/>
        <v/>
      </c>
      <c r="AE282">
        <v>0</v>
      </c>
    </row>
    <row r="283" spans="1:31" x14ac:dyDescent="0.35">
      <c r="A283" s="535" t="str">
        <f t="shared" si="44"/>
        <v/>
      </c>
      <c r="B283" s="330"/>
      <c r="C283" s="330"/>
      <c r="D283" s="326" t="s">
        <v>1070</v>
      </c>
      <c r="E283" s="327" t="s">
        <v>1071</v>
      </c>
      <c r="F283" s="22">
        <v>175</v>
      </c>
      <c r="G283" s="22" t="s">
        <v>73</v>
      </c>
      <c r="H283" s="22">
        <v>175</v>
      </c>
      <c r="I283" s="328" t="s">
        <v>73</v>
      </c>
      <c r="J283" s="330"/>
      <c r="K283" s="681">
        <f>A281*H283</f>
        <v>11900</v>
      </c>
      <c r="L283" s="563"/>
      <c r="M283" s="564" t="str">
        <f t="shared" si="45"/>
        <v/>
      </c>
      <c r="N283" s="564"/>
      <c r="O283" s="564" t="str">
        <f t="shared" si="46"/>
        <v/>
      </c>
      <c r="P283" s="43"/>
      <c r="U283" s="44" t="str">
        <f t="shared" si="47"/>
        <v/>
      </c>
      <c r="V283" s="45" t="str">
        <f t="shared" si="48"/>
        <v/>
      </c>
      <c r="AE283">
        <v>0</v>
      </c>
    </row>
    <row r="284" spans="1:31" ht="15" thickBot="1" x14ac:dyDescent="0.4">
      <c r="A284" s="535" t="str">
        <f t="shared" si="44"/>
        <v/>
      </c>
      <c r="B284" s="337"/>
      <c r="C284" s="337"/>
      <c r="D284" s="326" t="s">
        <v>505</v>
      </c>
      <c r="E284" s="334" t="s">
        <v>722</v>
      </c>
      <c r="F284" s="18">
        <v>0.5</v>
      </c>
      <c r="G284" s="18" t="s">
        <v>73</v>
      </c>
      <c r="H284" s="18">
        <v>0.5</v>
      </c>
      <c r="I284" s="335" t="s">
        <v>73</v>
      </c>
      <c r="J284" s="337"/>
      <c r="K284" s="680">
        <f>A281*H284</f>
        <v>34</v>
      </c>
      <c r="L284" s="563"/>
      <c r="M284" s="564" t="str">
        <f t="shared" si="45"/>
        <v/>
      </c>
      <c r="N284" s="564"/>
      <c r="O284" s="564" t="str">
        <f t="shared" si="46"/>
        <v/>
      </c>
      <c r="P284" s="43"/>
      <c r="U284" s="44" t="str">
        <f t="shared" si="47"/>
        <v/>
      </c>
      <c r="V284" s="45" t="str">
        <f t="shared" si="48"/>
        <v/>
      </c>
      <c r="AE284">
        <v>0</v>
      </c>
    </row>
    <row r="285" spans="1:31" ht="15.5" thickTop="1" thickBot="1" x14ac:dyDescent="0.4">
      <c r="A285" s="545" t="str">
        <f t="shared" si="44"/>
        <v/>
      </c>
      <c r="B285" s="546"/>
      <c r="C285" s="546"/>
      <c r="D285" s="547"/>
      <c r="E285" s="546"/>
      <c r="F285" s="546"/>
      <c r="G285" s="546"/>
      <c r="H285" s="546"/>
      <c r="I285" s="546"/>
      <c r="J285" s="546"/>
      <c r="K285" s="676"/>
      <c r="L285" s="535"/>
      <c r="M285" s="552" t="str">
        <f t="shared" si="45"/>
        <v/>
      </c>
      <c r="N285" s="552"/>
      <c r="O285" s="552" t="str">
        <f t="shared" si="46"/>
        <v/>
      </c>
      <c r="P285" s="39"/>
      <c r="U285" s="44" t="str">
        <f t="shared" si="47"/>
        <v/>
      </c>
      <c r="V285" s="45" t="str">
        <f t="shared" si="48"/>
        <v/>
      </c>
      <c r="AE285">
        <v>0</v>
      </c>
    </row>
    <row r="286" spans="1:31" ht="15" thickTop="1" x14ac:dyDescent="0.35">
      <c r="A286" s="76">
        <f>IFERROR(INDEX($Q$17:$Q$150,MATCH(B286,$R$17:$R$150, 0)), "")</f>
        <v>113</v>
      </c>
      <c r="B286" s="529" t="s">
        <v>1350</v>
      </c>
      <c r="C286" s="107" t="s">
        <v>736</v>
      </c>
      <c r="D286" s="347" t="s">
        <v>141</v>
      </c>
      <c r="E286" s="551" t="s">
        <v>142</v>
      </c>
      <c r="F286" s="6">
        <v>70</v>
      </c>
      <c r="G286" s="6" t="s">
        <v>73</v>
      </c>
      <c r="H286" s="6">
        <v>70</v>
      </c>
      <c r="I286" s="41" t="s">
        <v>73</v>
      </c>
      <c r="J286" s="5"/>
      <c r="K286" s="678">
        <f>A286*H286</f>
        <v>7910</v>
      </c>
      <c r="L286" s="534"/>
      <c r="M286" s="458" t="str">
        <f t="shared" si="45"/>
        <v/>
      </c>
      <c r="N286" s="458"/>
      <c r="O286" s="458" t="str">
        <f t="shared" si="46"/>
        <v/>
      </c>
      <c r="P286" s="40"/>
      <c r="U286" s="44" t="str">
        <f t="shared" si="47"/>
        <v/>
      </c>
      <c r="V286" s="45" t="str">
        <f t="shared" si="48"/>
        <v/>
      </c>
      <c r="AE286">
        <v>0</v>
      </c>
    </row>
    <row r="287" spans="1:31" x14ac:dyDescent="0.35">
      <c r="A287" s="535" t="str">
        <f t="shared" si="44"/>
        <v/>
      </c>
      <c r="B287" s="330"/>
      <c r="C287" s="330"/>
      <c r="D287" s="326" t="s">
        <v>733</v>
      </c>
      <c r="E287" s="327" t="s">
        <v>732</v>
      </c>
      <c r="F287" s="22">
        <v>0.25</v>
      </c>
      <c r="G287" s="22" t="s">
        <v>773</v>
      </c>
      <c r="H287" s="22">
        <v>0.25</v>
      </c>
      <c r="I287" s="328" t="s">
        <v>773</v>
      </c>
      <c r="J287" s="330"/>
      <c r="K287" s="673">
        <f>A286*H287</f>
        <v>28.25</v>
      </c>
      <c r="L287" s="534"/>
      <c r="M287" s="458" t="str">
        <f t="shared" si="45"/>
        <v/>
      </c>
      <c r="N287" s="458"/>
      <c r="O287" s="458" t="str">
        <f t="shared" si="46"/>
        <v/>
      </c>
      <c r="P287" s="21"/>
      <c r="U287" s="44" t="str">
        <f t="shared" si="47"/>
        <v/>
      </c>
      <c r="V287" s="45" t="str">
        <f t="shared" si="48"/>
        <v/>
      </c>
      <c r="AE287">
        <v>0</v>
      </c>
    </row>
    <row r="288" spans="1:31" x14ac:dyDescent="0.35">
      <c r="A288" s="535" t="str">
        <f t="shared" si="44"/>
        <v/>
      </c>
      <c r="B288" s="337"/>
      <c r="C288" s="337"/>
      <c r="D288" s="326" t="s">
        <v>1070</v>
      </c>
      <c r="E288" s="334" t="s">
        <v>1071</v>
      </c>
      <c r="F288" s="18">
        <v>175</v>
      </c>
      <c r="G288" s="18" t="s">
        <v>73</v>
      </c>
      <c r="H288" s="18">
        <v>175</v>
      </c>
      <c r="I288" s="335" t="s">
        <v>73</v>
      </c>
      <c r="J288" s="337"/>
      <c r="K288" s="672">
        <f>A286*H288</f>
        <v>19775</v>
      </c>
      <c r="L288" s="534"/>
      <c r="M288" s="458" t="str">
        <f t="shared" si="45"/>
        <v/>
      </c>
      <c r="N288" s="458"/>
      <c r="O288" s="458" t="str">
        <f t="shared" si="46"/>
        <v/>
      </c>
      <c r="P288" s="21"/>
      <c r="U288" s="44" t="str">
        <f t="shared" si="47"/>
        <v/>
      </c>
      <c r="V288" s="45" t="str">
        <f t="shared" si="48"/>
        <v/>
      </c>
      <c r="AE288">
        <v>0</v>
      </c>
    </row>
    <row r="289" spans="1:31" x14ac:dyDescent="0.35">
      <c r="A289" s="535" t="str">
        <f t="shared" si="44"/>
        <v/>
      </c>
      <c r="B289" s="330"/>
      <c r="C289" s="330"/>
      <c r="D289" s="326" t="s">
        <v>505</v>
      </c>
      <c r="E289" s="327" t="s">
        <v>722</v>
      </c>
      <c r="F289" s="22">
        <v>0.5</v>
      </c>
      <c r="G289" s="22" t="s">
        <v>73</v>
      </c>
      <c r="H289" s="22">
        <v>0.5</v>
      </c>
      <c r="I289" s="328" t="s">
        <v>73</v>
      </c>
      <c r="J289" s="330"/>
      <c r="K289" s="673">
        <f>A286*H289</f>
        <v>56.5</v>
      </c>
      <c r="L289" s="534"/>
      <c r="M289" s="458" t="str">
        <f t="shared" si="45"/>
        <v/>
      </c>
      <c r="N289" s="458"/>
      <c r="O289" s="458" t="str">
        <f t="shared" si="46"/>
        <v/>
      </c>
      <c r="P289" s="21"/>
      <c r="U289" s="44" t="str">
        <f t="shared" si="47"/>
        <v/>
      </c>
      <c r="V289" s="45" t="str">
        <f t="shared" si="48"/>
        <v/>
      </c>
      <c r="AE289">
        <v>0</v>
      </c>
    </row>
    <row r="290" spans="1:31" x14ac:dyDescent="0.35">
      <c r="A290" s="535" t="str">
        <f t="shared" si="44"/>
        <v/>
      </c>
      <c r="B290" s="337"/>
      <c r="C290" s="337"/>
      <c r="D290" s="326" t="s">
        <v>47</v>
      </c>
      <c r="E290" s="334" t="s">
        <v>740</v>
      </c>
      <c r="F290" s="18">
        <v>3</v>
      </c>
      <c r="G290" s="18" t="s">
        <v>73</v>
      </c>
      <c r="H290" s="18">
        <v>3</v>
      </c>
      <c r="I290" s="335" t="s">
        <v>73</v>
      </c>
      <c r="J290" s="337"/>
      <c r="K290" s="672">
        <f>A286*H290</f>
        <v>339</v>
      </c>
      <c r="L290" s="534"/>
      <c r="M290" s="458" t="str">
        <f t="shared" si="45"/>
        <v/>
      </c>
      <c r="N290" s="458"/>
      <c r="O290" s="458" t="str">
        <f t="shared" si="46"/>
        <v/>
      </c>
      <c r="P290" s="21"/>
      <c r="U290" s="44" t="str">
        <f t="shared" si="47"/>
        <v/>
      </c>
      <c r="V290" s="45" t="str">
        <f t="shared" si="48"/>
        <v/>
      </c>
      <c r="AE290">
        <v>0</v>
      </c>
    </row>
    <row r="291" spans="1:31" x14ac:dyDescent="0.35">
      <c r="A291" s="535" t="str">
        <f t="shared" si="44"/>
        <v/>
      </c>
      <c r="B291" s="330"/>
      <c r="C291" s="330"/>
      <c r="D291" s="326" t="s">
        <v>49</v>
      </c>
      <c r="E291" s="327" t="s">
        <v>746</v>
      </c>
      <c r="F291" s="22">
        <v>5</v>
      </c>
      <c r="G291" s="22" t="s">
        <v>73</v>
      </c>
      <c r="H291" s="22">
        <v>5</v>
      </c>
      <c r="I291" s="328" t="s">
        <v>73</v>
      </c>
      <c r="J291" s="330"/>
      <c r="K291" s="673">
        <f>A286*H291</f>
        <v>565</v>
      </c>
      <c r="L291" s="534"/>
      <c r="M291" s="458" t="str">
        <f t="shared" si="45"/>
        <v/>
      </c>
      <c r="N291" s="458"/>
      <c r="O291" s="458" t="str">
        <f t="shared" si="46"/>
        <v/>
      </c>
      <c r="P291" s="21"/>
      <c r="U291" s="44" t="str">
        <f t="shared" si="47"/>
        <v/>
      </c>
      <c r="V291" s="45" t="str">
        <f t="shared" si="48"/>
        <v/>
      </c>
      <c r="AE291">
        <v>0</v>
      </c>
    </row>
    <row r="292" spans="1:31" ht="15" thickBot="1" x14ac:dyDescent="0.4">
      <c r="A292" s="545" t="str">
        <f t="shared" si="44"/>
        <v/>
      </c>
      <c r="B292" s="546"/>
      <c r="C292" s="546"/>
      <c r="D292" s="545"/>
      <c r="E292" s="545"/>
      <c r="F292" s="546"/>
      <c r="G292" s="546"/>
      <c r="H292" s="546"/>
      <c r="I292" s="546"/>
      <c r="J292" s="546"/>
      <c r="K292" s="676"/>
      <c r="L292" s="535"/>
      <c r="M292" s="552" t="str">
        <f t="shared" si="45"/>
        <v/>
      </c>
      <c r="N292" s="552"/>
      <c r="O292" s="552" t="str">
        <f t="shared" si="46"/>
        <v/>
      </c>
      <c r="P292" s="39"/>
      <c r="U292" s="44" t="str">
        <f t="shared" si="47"/>
        <v/>
      </c>
      <c r="V292" s="45" t="str">
        <f t="shared" si="48"/>
        <v/>
      </c>
      <c r="AE292">
        <v>0</v>
      </c>
    </row>
    <row r="293" spans="1:31" ht="15" thickTop="1" x14ac:dyDescent="0.35">
      <c r="A293" s="76">
        <f>IFERROR(INDEX($Q$17:$Q$150,MATCH(B293,$R$17:$R$150, 0)), "")</f>
        <v>24</v>
      </c>
      <c r="B293" s="529" t="s">
        <v>1358</v>
      </c>
      <c r="C293" s="107" t="s">
        <v>737</v>
      </c>
      <c r="D293" s="347" t="s">
        <v>207</v>
      </c>
      <c r="E293" s="532" t="s">
        <v>739</v>
      </c>
      <c r="F293" s="438">
        <v>13</v>
      </c>
      <c r="G293" s="438" t="s">
        <v>73</v>
      </c>
      <c r="H293" s="438">
        <v>11</v>
      </c>
      <c r="I293" s="439" t="s">
        <v>73</v>
      </c>
      <c r="J293" s="533"/>
      <c r="K293" s="671">
        <f>A293*H293</f>
        <v>264</v>
      </c>
      <c r="L293" s="534"/>
      <c r="M293" s="458" t="str">
        <f t="shared" si="45"/>
        <v/>
      </c>
      <c r="N293" s="458"/>
      <c r="O293" s="458" t="str">
        <f t="shared" si="46"/>
        <v/>
      </c>
      <c r="P293" s="40"/>
      <c r="U293" s="44" t="str">
        <f t="shared" si="47"/>
        <v/>
      </c>
      <c r="V293" s="45" t="str">
        <f t="shared" si="48"/>
        <v/>
      </c>
      <c r="AE293">
        <v>0</v>
      </c>
    </row>
    <row r="294" spans="1:31" x14ac:dyDescent="0.35">
      <c r="A294" s="535" t="str">
        <f t="shared" si="44"/>
        <v/>
      </c>
      <c r="B294" s="337"/>
      <c r="C294" s="337"/>
      <c r="D294" s="326" t="s">
        <v>733</v>
      </c>
      <c r="E294" s="334" t="s">
        <v>732</v>
      </c>
      <c r="F294" s="18">
        <v>0.25</v>
      </c>
      <c r="G294" s="18" t="s">
        <v>1072</v>
      </c>
      <c r="H294" s="18">
        <v>0.25</v>
      </c>
      <c r="I294" s="335" t="s">
        <v>1072</v>
      </c>
      <c r="J294" s="337"/>
      <c r="K294" s="672">
        <f>A293*H294</f>
        <v>6</v>
      </c>
      <c r="L294" s="534"/>
      <c r="M294" s="458" t="str">
        <f t="shared" si="45"/>
        <v/>
      </c>
      <c r="N294" s="458"/>
      <c r="O294" s="458" t="str">
        <f t="shared" si="46"/>
        <v/>
      </c>
      <c r="P294" s="21"/>
      <c r="U294" s="44" t="str">
        <f t="shared" si="47"/>
        <v/>
      </c>
      <c r="V294" s="45" t="str">
        <f t="shared" si="48"/>
        <v/>
      </c>
      <c r="AE294">
        <v>0</v>
      </c>
    </row>
    <row r="295" spans="1:31" x14ac:dyDescent="0.35">
      <c r="A295" s="535" t="str">
        <f t="shared" si="44"/>
        <v/>
      </c>
      <c r="B295" s="330"/>
      <c r="C295" s="330"/>
      <c r="D295" s="326" t="s">
        <v>1070</v>
      </c>
      <c r="E295" s="327" t="s">
        <v>1071</v>
      </c>
      <c r="F295" s="22">
        <v>175</v>
      </c>
      <c r="G295" s="22" t="s">
        <v>73</v>
      </c>
      <c r="H295" s="22">
        <v>175</v>
      </c>
      <c r="I295" s="328" t="s">
        <v>73</v>
      </c>
      <c r="J295" s="330"/>
      <c r="K295" s="673">
        <f>A293*H295</f>
        <v>4200</v>
      </c>
      <c r="L295" s="534"/>
      <c r="M295" s="458" t="str">
        <f t="shared" si="45"/>
        <v/>
      </c>
      <c r="N295" s="458"/>
      <c r="O295" s="458" t="str">
        <f t="shared" si="46"/>
        <v/>
      </c>
      <c r="P295" s="21"/>
      <c r="U295" s="44" t="str">
        <f t="shared" si="47"/>
        <v/>
      </c>
      <c r="V295" s="45" t="str">
        <f t="shared" si="48"/>
        <v/>
      </c>
      <c r="AE295">
        <v>0</v>
      </c>
    </row>
    <row r="296" spans="1:31" ht="15" thickBot="1" x14ac:dyDescent="0.4">
      <c r="A296" s="545" t="str">
        <f t="shared" si="44"/>
        <v/>
      </c>
      <c r="B296" s="546"/>
      <c r="C296" s="546"/>
      <c r="D296" s="545"/>
      <c r="E296" s="545"/>
      <c r="F296" s="546"/>
      <c r="G296" s="546"/>
      <c r="H296" s="546"/>
      <c r="I296" s="546"/>
      <c r="J296" s="546"/>
      <c r="K296" s="676"/>
      <c r="L296" s="535"/>
      <c r="M296" s="552" t="str">
        <f t="shared" si="45"/>
        <v/>
      </c>
      <c r="N296" s="552"/>
      <c r="O296" s="552" t="str">
        <f t="shared" si="46"/>
        <v/>
      </c>
      <c r="P296" s="39"/>
      <c r="U296" s="44" t="str">
        <f t="shared" si="47"/>
        <v/>
      </c>
      <c r="V296" s="45" t="str">
        <f t="shared" si="48"/>
        <v/>
      </c>
      <c r="AE296">
        <v>0</v>
      </c>
    </row>
    <row r="297" spans="1:31" ht="15" thickTop="1" x14ac:dyDescent="0.35">
      <c r="A297" s="565">
        <f>IFERROR(INDEX($Q$17:$Q$150,MATCH(B297,$R$17:$R$150, 0)), "")</f>
        <v>122</v>
      </c>
      <c r="B297" s="529" t="s">
        <v>1357</v>
      </c>
      <c r="C297" s="107" t="s">
        <v>738</v>
      </c>
      <c r="D297" s="347" t="s">
        <v>733</v>
      </c>
      <c r="E297" s="532" t="s">
        <v>732</v>
      </c>
      <c r="F297" s="438">
        <v>0.25</v>
      </c>
      <c r="G297" s="438" t="s">
        <v>1072</v>
      </c>
      <c r="H297" s="438">
        <v>0.25</v>
      </c>
      <c r="I297" s="439" t="s">
        <v>1072</v>
      </c>
      <c r="J297" s="533"/>
      <c r="K297" s="671">
        <f>A297*H297</f>
        <v>30.5</v>
      </c>
      <c r="L297" s="534"/>
      <c r="M297" s="458" t="str">
        <f t="shared" si="45"/>
        <v/>
      </c>
      <c r="N297" s="458"/>
      <c r="O297" s="458" t="str">
        <f t="shared" si="46"/>
        <v/>
      </c>
      <c r="P297" s="40"/>
      <c r="U297" s="44" t="str">
        <f t="shared" si="47"/>
        <v/>
      </c>
      <c r="V297" s="45" t="str">
        <f t="shared" si="48"/>
        <v/>
      </c>
      <c r="AE297">
        <v>0</v>
      </c>
    </row>
    <row r="298" spans="1:31" x14ac:dyDescent="0.35">
      <c r="A298" s="535" t="str">
        <f t="shared" si="44"/>
        <v/>
      </c>
      <c r="B298" s="337"/>
      <c r="C298" s="337"/>
      <c r="D298" s="326" t="s">
        <v>1070</v>
      </c>
      <c r="E298" s="334" t="s">
        <v>1071</v>
      </c>
      <c r="F298" s="18">
        <v>175</v>
      </c>
      <c r="G298" s="18" t="s">
        <v>73</v>
      </c>
      <c r="H298" s="18">
        <v>175</v>
      </c>
      <c r="I298" s="335" t="s">
        <v>73</v>
      </c>
      <c r="J298" s="337"/>
      <c r="K298" s="672">
        <f>A297*H298</f>
        <v>21350</v>
      </c>
      <c r="L298" s="534"/>
      <c r="M298" s="458" t="str">
        <f t="shared" si="45"/>
        <v/>
      </c>
      <c r="N298" s="458"/>
      <c r="O298" s="458" t="str">
        <f t="shared" si="46"/>
        <v/>
      </c>
      <c r="P298" s="21"/>
      <c r="U298" s="44" t="str">
        <f t="shared" si="47"/>
        <v/>
      </c>
      <c r="V298" s="45" t="str">
        <f t="shared" si="48"/>
        <v/>
      </c>
      <c r="AE298">
        <v>0</v>
      </c>
    </row>
    <row r="299" spans="1:31" ht="15" thickBot="1" x14ac:dyDescent="0.4">
      <c r="A299" s="535" t="str">
        <f t="shared" si="44"/>
        <v/>
      </c>
      <c r="B299" s="330"/>
      <c r="C299" s="330"/>
      <c r="D299" s="326" t="s">
        <v>203</v>
      </c>
      <c r="E299" s="327" t="s">
        <v>204</v>
      </c>
      <c r="F299" s="22">
        <v>13</v>
      </c>
      <c r="G299" s="22" t="s">
        <v>73</v>
      </c>
      <c r="H299" s="22">
        <v>13</v>
      </c>
      <c r="I299" s="328" t="s">
        <v>73</v>
      </c>
      <c r="J299" s="330"/>
      <c r="K299" s="673">
        <f>A297*H299</f>
        <v>1586</v>
      </c>
      <c r="L299" s="534"/>
      <c r="M299" s="458" t="str">
        <f t="shared" si="45"/>
        <v/>
      </c>
      <c r="N299" s="458"/>
      <c r="O299" s="458" t="str">
        <f t="shared" si="46"/>
        <v/>
      </c>
      <c r="P299" s="21"/>
      <c r="U299" s="44" t="str">
        <f t="shared" si="47"/>
        <v/>
      </c>
      <c r="V299" s="45" t="str">
        <f t="shared" si="48"/>
        <v/>
      </c>
      <c r="AE299">
        <v>0</v>
      </c>
    </row>
    <row r="300" spans="1:31" ht="15.5" thickTop="1" thickBot="1" x14ac:dyDescent="0.4">
      <c r="A300" s="545" t="str">
        <f t="shared" si="44"/>
        <v/>
      </c>
      <c r="B300" s="546"/>
      <c r="C300" s="546"/>
      <c r="D300" s="547"/>
      <c r="E300" s="546"/>
      <c r="F300" s="546"/>
      <c r="G300" s="546"/>
      <c r="H300" s="546"/>
      <c r="I300" s="546"/>
      <c r="J300" s="546"/>
      <c r="K300" s="676"/>
      <c r="L300" s="535"/>
      <c r="M300" s="552" t="str">
        <f t="shared" si="45"/>
        <v/>
      </c>
      <c r="N300" s="552"/>
      <c r="O300" s="552" t="str">
        <f t="shared" si="46"/>
        <v/>
      </c>
      <c r="P300" s="39"/>
      <c r="U300" s="44" t="str">
        <f t="shared" si="47"/>
        <v/>
      </c>
      <c r="V300" s="45" t="str">
        <f t="shared" si="48"/>
        <v/>
      </c>
      <c r="AE300">
        <v>0</v>
      </c>
    </row>
    <row r="301" spans="1:31" ht="15" thickTop="1" x14ac:dyDescent="0.35">
      <c r="A301" s="565">
        <f>IFERROR(INDEX($Q$17:$Q$150,MATCH(B301,$R$17:$R$150, 0)), "")</f>
        <v>106</v>
      </c>
      <c r="B301" s="529" t="s">
        <v>1286</v>
      </c>
      <c r="C301" s="107" t="s">
        <v>747</v>
      </c>
      <c r="D301" s="347" t="s">
        <v>748</v>
      </c>
      <c r="E301" s="566" t="s">
        <v>749</v>
      </c>
      <c r="F301" s="438">
        <v>1</v>
      </c>
      <c r="G301" s="438" t="s">
        <v>1072</v>
      </c>
      <c r="H301" s="439">
        <v>1</v>
      </c>
      <c r="I301" s="439" t="s">
        <v>1072</v>
      </c>
      <c r="J301" s="533"/>
      <c r="K301" s="671">
        <f>A301*H301</f>
        <v>106</v>
      </c>
      <c r="L301" s="534"/>
      <c r="M301" s="458" t="str">
        <f t="shared" si="45"/>
        <v/>
      </c>
      <c r="N301" s="458"/>
      <c r="O301" s="458" t="str">
        <f t="shared" si="46"/>
        <v/>
      </c>
      <c r="P301" s="40"/>
    </row>
    <row r="302" spans="1:31" x14ac:dyDescent="0.35">
      <c r="A302" s="535" t="str">
        <f t="shared" si="44"/>
        <v/>
      </c>
      <c r="B302" s="337"/>
      <c r="C302" s="337"/>
      <c r="D302" s="326" t="s">
        <v>373</v>
      </c>
      <c r="E302" s="536" t="s">
        <v>772</v>
      </c>
      <c r="F302" s="18">
        <v>10</v>
      </c>
      <c r="G302" s="18" t="s">
        <v>73</v>
      </c>
      <c r="H302" s="335">
        <v>10</v>
      </c>
      <c r="I302" s="335" t="s">
        <v>73</v>
      </c>
      <c r="J302" s="337"/>
      <c r="K302" s="672">
        <f>A301*H302</f>
        <v>1060</v>
      </c>
      <c r="L302" s="534"/>
      <c r="M302" s="458" t="str">
        <f t="shared" si="45"/>
        <v/>
      </c>
      <c r="N302" s="458"/>
      <c r="O302" s="458" t="str">
        <f t="shared" si="46"/>
        <v/>
      </c>
      <c r="P302" s="21"/>
    </row>
    <row r="303" spans="1:31" x14ac:dyDescent="0.35">
      <c r="A303" s="535" t="str">
        <f t="shared" si="44"/>
        <v/>
      </c>
      <c r="B303" s="330"/>
      <c r="C303" s="330"/>
      <c r="D303" s="326" t="s">
        <v>41</v>
      </c>
      <c r="E303" s="544" t="s">
        <v>779</v>
      </c>
      <c r="F303" s="22">
        <v>2</v>
      </c>
      <c r="G303" s="22" t="s">
        <v>73</v>
      </c>
      <c r="H303" s="328">
        <v>2</v>
      </c>
      <c r="I303" s="328" t="s">
        <v>73</v>
      </c>
      <c r="J303" s="330"/>
      <c r="K303" s="673">
        <f>A301*H303</f>
        <v>212</v>
      </c>
      <c r="L303" s="534"/>
      <c r="M303" s="458" t="str">
        <f t="shared" si="45"/>
        <v/>
      </c>
      <c r="N303" s="458"/>
      <c r="O303" s="458" t="str">
        <f t="shared" si="46"/>
        <v/>
      </c>
      <c r="P303" s="21"/>
    </row>
    <row r="304" spans="1:31" x14ac:dyDescent="0.35">
      <c r="A304" s="535" t="str">
        <f t="shared" si="44"/>
        <v/>
      </c>
      <c r="B304" s="337"/>
      <c r="C304" s="337"/>
      <c r="D304" s="326" t="s">
        <v>491</v>
      </c>
      <c r="E304" s="334" t="s">
        <v>750</v>
      </c>
      <c r="F304" s="18">
        <v>1.25</v>
      </c>
      <c r="G304" s="18" t="s">
        <v>773</v>
      </c>
      <c r="H304" s="335">
        <v>1.25</v>
      </c>
      <c r="I304" s="335" t="s">
        <v>773</v>
      </c>
      <c r="J304" s="337"/>
      <c r="K304" s="672">
        <f>A301*H304</f>
        <v>132.5</v>
      </c>
      <c r="L304" s="534"/>
      <c r="M304" s="458" t="str">
        <f t="shared" si="45"/>
        <v/>
      </c>
      <c r="N304" s="458"/>
      <c r="O304" s="458" t="str">
        <f t="shared" si="46"/>
        <v/>
      </c>
      <c r="P304" s="21"/>
    </row>
    <row r="305" spans="1:16" x14ac:dyDescent="0.35">
      <c r="A305" s="535" t="str">
        <f t="shared" si="44"/>
        <v/>
      </c>
      <c r="B305" s="330"/>
      <c r="C305" s="330"/>
      <c r="D305" s="355"/>
      <c r="E305" s="549" t="s">
        <v>751</v>
      </c>
      <c r="F305" s="378">
        <v>100</v>
      </c>
      <c r="G305" s="378" t="s">
        <v>73</v>
      </c>
      <c r="H305" s="515"/>
      <c r="I305" s="515"/>
      <c r="J305" s="515"/>
      <c r="K305" s="674"/>
      <c r="L305" s="534"/>
      <c r="M305" s="458" t="str">
        <f t="shared" si="45"/>
        <v/>
      </c>
      <c r="N305" s="458"/>
      <c r="O305" s="458" t="str">
        <f t="shared" si="46"/>
        <v/>
      </c>
      <c r="P305" s="21"/>
    </row>
    <row r="306" spans="1:16" x14ac:dyDescent="0.35">
      <c r="A306" s="535" t="str">
        <f t="shared" si="44"/>
        <v/>
      </c>
      <c r="B306" s="337"/>
      <c r="C306" s="337"/>
      <c r="D306" s="355"/>
      <c r="E306" s="567" t="s">
        <v>754</v>
      </c>
      <c r="F306" s="356">
        <v>2100</v>
      </c>
      <c r="G306" s="378" t="s">
        <v>73</v>
      </c>
      <c r="H306" s="515"/>
      <c r="I306" s="515"/>
      <c r="J306" s="515"/>
      <c r="K306" s="674"/>
      <c r="L306" s="534"/>
      <c r="M306" s="458" t="str">
        <f t="shared" si="45"/>
        <v/>
      </c>
      <c r="N306" s="458"/>
      <c r="O306" s="458" t="str">
        <f t="shared" si="46"/>
        <v/>
      </c>
      <c r="P306" s="21"/>
    </row>
    <row r="307" spans="1:16" x14ac:dyDescent="0.35">
      <c r="A307" s="535" t="str">
        <f t="shared" si="44"/>
        <v/>
      </c>
      <c r="B307" s="330"/>
      <c r="C307" s="330"/>
      <c r="D307" s="342"/>
      <c r="E307" s="568" t="s">
        <v>81</v>
      </c>
      <c r="F307" s="404">
        <v>1300</v>
      </c>
      <c r="G307" s="404" t="s">
        <v>73</v>
      </c>
      <c r="H307" s="343">
        <f>ROUND(($F$305)*((($F$306)*(($F$307)/($F$307+$F$308+$F$309)))
/((($F$306)*(($F$307)/($F$307+$F$308+$F$309)))+
(($F$306)*(($F$308)/($F$307+$F$308+$F$309)))+
(($F$306)*(($F$309)/($F$307+$F$308+$F$309)))+
(($F$310)*(($F$311)/($F$311+$F$312+$F$313+$F$314)))+
(($F$310)*(($F$312)/($F$311+$F$312+$F$313+$F$314)))+
(($F$310)*(($F$313)/($F$311+$F$312+$F$313+$F$314)))+
(($F$310)*(($F$314)/($F$311+$F$312+$F$313+$F$314)))+
($F$315)+($F$316))),2)</f>
        <v>53.47</v>
      </c>
      <c r="I307" s="345"/>
      <c r="J307" s="345"/>
      <c r="K307" s="675"/>
      <c r="L307" s="534"/>
      <c r="M307" s="458" t="str">
        <f t="shared" si="45"/>
        <v/>
      </c>
      <c r="N307" s="458"/>
      <c r="O307" s="458" t="str">
        <f t="shared" si="46"/>
        <v/>
      </c>
      <c r="P307" s="21"/>
    </row>
    <row r="308" spans="1:16" x14ac:dyDescent="0.35">
      <c r="A308" s="535" t="str">
        <f t="shared" si="44"/>
        <v/>
      </c>
      <c r="B308" s="337"/>
      <c r="C308" s="337"/>
      <c r="D308" s="326" t="s">
        <v>1660</v>
      </c>
      <c r="E308" s="569" t="s">
        <v>1897</v>
      </c>
      <c r="F308" s="18">
        <v>1000</v>
      </c>
      <c r="G308" s="18" t="s">
        <v>73</v>
      </c>
      <c r="H308" s="335">
        <f>ROUND(($F$305)*((($F$306)*(($F$308)/($F$307+$F$308+$F$309)))
/((($F$306)*(($F$307)/($F$307+$F$308+$F$309)))+
(($F$306)*(($F$308)/($F$307+$F$308+$F$309)))+
(($F$306)*(($F$309)/($F$307+$F$308+$F$309)))+
(($F$310)*(($F$311)/($F$311+$F$312+$F$313+$F$314)))+
(($F$310)*(($F$312)/($F$311+$F$312+$F$313+$F$314)))+
(($F$310)*(($F$313)/($F$311+$F$312+$F$313+$F$314)))+
(($F$310)*(($F$314)/($F$311+$F$312+$F$313+$F$314)))+
($F$315)+($F$316))),2)</f>
        <v>41.13</v>
      </c>
      <c r="I308" s="335" t="s">
        <v>73</v>
      </c>
      <c r="J308" s="337"/>
      <c r="K308" s="672">
        <f>A301*H308</f>
        <v>4359.7800000000007</v>
      </c>
      <c r="L308" s="534"/>
      <c r="M308" s="458" t="str">
        <f t="shared" si="45"/>
        <v/>
      </c>
      <c r="N308" s="458"/>
      <c r="O308" s="458" t="str">
        <f t="shared" si="46"/>
        <v/>
      </c>
      <c r="P308" s="21"/>
    </row>
    <row r="309" spans="1:16" x14ac:dyDescent="0.35">
      <c r="A309" s="535" t="str">
        <f t="shared" si="44"/>
        <v/>
      </c>
      <c r="B309" s="330"/>
      <c r="C309" s="330"/>
      <c r="D309" s="326"/>
      <c r="E309" s="570" t="s">
        <v>753</v>
      </c>
      <c r="F309" s="22">
        <v>0</v>
      </c>
      <c r="G309" s="22" t="s">
        <v>73</v>
      </c>
      <c r="H309" s="328">
        <f>ROUND(($F$305)*((($F$306)*(($F$309)/($F$307+$F$308+$F$309)))
/((($F$306)*(($F$307)/($F$307+$F$308+$F$309)))+
(($F$306)*(($F$308)/($F$307+$F$308+$F$309)))+
(($F$306)*(($F$309)/($F$307+$F$308+$F$309)))+
(($F$310)*(($F$311)/($F$311+$F$312+$F$313+$F$314)))+
(($F$310)*(($F$312)/($F$311+$F$312+$F$313+$F$314)))+
(($F$310)*(($F$313)/($F$311+$F$312+$F$313+$F$314)))+
(($F$310)*(($F$314)/($F$311+$F$312+$F$313+$F$314)))+
($F$315)+($F$316))),2)</f>
        <v>0</v>
      </c>
      <c r="I309" s="328" t="s">
        <v>73</v>
      </c>
      <c r="J309" s="330"/>
      <c r="K309" s="673">
        <f>A301*H309</f>
        <v>0</v>
      </c>
      <c r="L309" s="534"/>
      <c r="M309" s="458" t="str">
        <f t="shared" si="45"/>
        <v/>
      </c>
      <c r="N309" s="458"/>
      <c r="O309" s="458" t="str">
        <f t="shared" si="46"/>
        <v/>
      </c>
      <c r="P309" s="21"/>
    </row>
    <row r="310" spans="1:16" x14ac:dyDescent="0.35">
      <c r="A310" s="535" t="str">
        <f t="shared" si="44"/>
        <v/>
      </c>
      <c r="B310" s="337"/>
      <c r="C310" s="337"/>
      <c r="D310" s="355"/>
      <c r="E310" s="567" t="s">
        <v>755</v>
      </c>
      <c r="F310" s="378">
        <v>55</v>
      </c>
      <c r="G310" s="378" t="s">
        <v>73</v>
      </c>
      <c r="H310" s="356"/>
      <c r="I310" s="356" t="s">
        <v>73</v>
      </c>
      <c r="J310" s="515"/>
      <c r="K310" s="674"/>
      <c r="L310" s="534"/>
      <c r="M310" s="458" t="str">
        <f t="shared" si="45"/>
        <v/>
      </c>
      <c r="N310" s="458"/>
      <c r="O310" s="458" t="str">
        <f t="shared" si="46"/>
        <v/>
      </c>
      <c r="P310" s="21"/>
    </row>
    <row r="311" spans="1:16" x14ac:dyDescent="0.35">
      <c r="A311" s="535" t="str">
        <f t="shared" si="44"/>
        <v/>
      </c>
      <c r="B311" s="330"/>
      <c r="C311" s="330"/>
      <c r="D311" s="326" t="s">
        <v>333</v>
      </c>
      <c r="E311" s="570" t="s">
        <v>756</v>
      </c>
      <c r="F311" s="22">
        <v>20</v>
      </c>
      <c r="G311" s="22" t="s">
        <v>73</v>
      </c>
      <c r="H311" s="328">
        <f>ROUND(($F$305)*((($F$310)*(($F$311)/($F$311+$F$312+$F$313+$F$314)))
/((($F$306)*(($F$307)/($F$307+$F$308+$F$309)))+
(($F$306)*(($F$308)/($F$307+$F$308+$F$309)))+
(($F$306)*(($F$309)/($F$307+$F$308+$F$309)))+
(($F$310)*(($F$311)/($F$311+$F$312+$F$313+$F$314)))+
(($F$310)*(($F$312)/($F$311+$F$312+$F$313+$F$314)))+
(($F$310)*(($F$313)/($F$311+$F$312+$F$313+$F$314)))+
(($F$310)*(($F$314)/($F$311+$F$312+$F$313+$F$314)))+
($F$315)+($F$316))),2)</f>
        <v>0.2</v>
      </c>
      <c r="I311" s="328" t="s">
        <v>73</v>
      </c>
      <c r="J311" s="330"/>
      <c r="K311" s="673">
        <f>A301*H311</f>
        <v>21.200000000000003</v>
      </c>
      <c r="L311" s="534"/>
      <c r="M311" s="458" t="str">
        <f t="shared" si="45"/>
        <v/>
      </c>
      <c r="N311" s="458"/>
      <c r="O311" s="458" t="str">
        <f t="shared" si="46"/>
        <v/>
      </c>
      <c r="P311" s="21"/>
    </row>
    <row r="312" spans="1:16" x14ac:dyDescent="0.35">
      <c r="A312" s="535" t="str">
        <f t="shared" si="44"/>
        <v/>
      </c>
      <c r="B312" s="337"/>
      <c r="C312" s="337"/>
      <c r="D312" s="326" t="s">
        <v>43</v>
      </c>
      <c r="E312" s="569" t="s">
        <v>105</v>
      </c>
      <c r="F312" s="18">
        <v>20</v>
      </c>
      <c r="G312" s="18" t="s">
        <v>73</v>
      </c>
      <c r="H312" s="335">
        <f>ROUND(($F$305)*((($F$310)*(($F$312)/($F$311+$F$312+$F$313+$F$314)))
/((($F$306)*(($F$307)/($F$307+$F$308+$F$309)))+
(($F$306)*(($F$308)/($F$307+$F$308+$F$309)))+
(($F$306)*(($F$309)/($F$307+$F$308+$F$309)))+
(($F$310)*(($F$311)/($F$311+$F$312+$F$313+$F$314)))+
(($F$310)*(($F$312)/($F$311+$F$312+$F$313+$F$314)))+
(($F$310)*(($F$313)/($F$311+$F$312+$F$313+$F$314)))+
(($F$310)*(($F$314)/($F$311+$F$312+$F$313+$F$314)))+
($F$315)+($F$316))),2)</f>
        <v>0.2</v>
      </c>
      <c r="I312" s="335" t="s">
        <v>73</v>
      </c>
      <c r="J312" s="337"/>
      <c r="K312" s="672">
        <f>A301*H312</f>
        <v>21.200000000000003</v>
      </c>
      <c r="L312" s="534"/>
      <c r="M312" s="458" t="str">
        <f t="shared" si="45"/>
        <v/>
      </c>
      <c r="N312" s="458"/>
      <c r="O312" s="458" t="str">
        <f t="shared" si="46"/>
        <v/>
      </c>
      <c r="P312" s="21"/>
    </row>
    <row r="313" spans="1:16" x14ac:dyDescent="0.35">
      <c r="A313" s="535" t="str">
        <f t="shared" si="44"/>
        <v/>
      </c>
      <c r="B313" s="330"/>
      <c r="C313" s="330"/>
      <c r="D313" s="326" t="s">
        <v>42</v>
      </c>
      <c r="E313" s="570" t="s">
        <v>66</v>
      </c>
      <c r="F313" s="22">
        <v>2</v>
      </c>
      <c r="G313" s="22" t="s">
        <v>73</v>
      </c>
      <c r="H313" s="328">
        <f>ROUND(($F$305)*((($F$310)*(($F$313)/($F$311+$F$312+$F$313+$F$314)))
/((($F$306)*(($F$307)/($F$307+$F$308+$F$309)))+
(($F$306)*(($F$308)/($F$307+$F$308+$F$309)))+
(($F$306)*(($F$309)/($F$307+$F$308+$F$309)))+
(($F$310)*(($F$311)/($F$311+$F$312+$F$313+$F$314)))+
(($F$310)*(($F$312)/($F$311+$F$312+$F$313+$F$314)))+
(($F$310)*(($F$313)/($F$311+$F$312+$F$313+$F$314)))+
(($F$310)*(($F$314)/($F$311+$F$312+$F$313+$F$314)))+
($F$315)+($F$316))),2)</f>
        <v>0.02</v>
      </c>
      <c r="I313" s="328" t="s">
        <v>73</v>
      </c>
      <c r="J313" s="330"/>
      <c r="K313" s="673">
        <f>A301*H313</f>
        <v>2.12</v>
      </c>
      <c r="L313" s="534"/>
      <c r="M313" s="458" t="str">
        <f t="shared" si="45"/>
        <v/>
      </c>
      <c r="N313" s="458"/>
      <c r="O313" s="458" t="str">
        <f t="shared" si="46"/>
        <v/>
      </c>
      <c r="P313" s="21"/>
    </row>
    <row r="314" spans="1:16" x14ac:dyDescent="0.35">
      <c r="A314" s="535" t="str">
        <f t="shared" si="44"/>
        <v/>
      </c>
      <c r="B314" s="337"/>
      <c r="C314" s="337"/>
      <c r="D314" s="342"/>
      <c r="E314" s="568" t="s">
        <v>81</v>
      </c>
      <c r="F314" s="404">
        <v>200</v>
      </c>
      <c r="G314" s="404" t="s">
        <v>73</v>
      </c>
      <c r="H314" s="343">
        <f>ROUND(($F$305)*((($F$310)*(($F$314)/($F$311+$F$312+$F$313+$F$314)))
/((($F$306)*(($F$307)/($F$307+$F$308+$F$309)))+
(($F$306)*(($F$308)/($F$307+$F$308+$F$309)))+
(($F$306)*(($F$309)/($F$307+$F$308+$F$309)))+
(($F$310)*(($F$311)/($F$311+$F$312+$F$313+$F$314)))+
(($F$310)*(($F$312)/($F$311+$F$312+$F$313+$F$314)))+
(($F$310)*(($F$313)/($F$311+$F$312+$F$313+$F$314)))+
(($F$310)*(($F$314)/($F$311+$F$312+$F$313+$F$314)))+
($F$315)+($F$316))),2)</f>
        <v>2.0499999999999998</v>
      </c>
      <c r="I314" s="343"/>
      <c r="J314" s="345"/>
      <c r="K314" s="675"/>
      <c r="L314" s="534"/>
      <c r="M314" s="458" t="str">
        <f t="shared" si="45"/>
        <v/>
      </c>
      <c r="N314" s="458"/>
      <c r="O314" s="458" t="str">
        <f t="shared" si="46"/>
        <v/>
      </c>
      <c r="P314" s="21"/>
    </row>
    <row r="315" spans="1:16" x14ac:dyDescent="0.35">
      <c r="A315" s="535" t="str">
        <f t="shared" si="44"/>
        <v/>
      </c>
      <c r="B315" s="330"/>
      <c r="C315" s="330"/>
      <c r="D315" s="326" t="s">
        <v>41</v>
      </c>
      <c r="E315" s="366" t="s">
        <v>757</v>
      </c>
      <c r="F315" s="22">
        <v>55</v>
      </c>
      <c r="G315" s="22" t="s">
        <v>73</v>
      </c>
      <c r="H315" s="328">
        <f>ROUND(($F$305)*((F315)/((($F$306)*(($F$307)/($F$307+$F$308+$F$309)))+
(($F$306)*(($F$308)/($F$307+$F$308+$F$309)))+
(($F$306)*(($F$309)/($F$307+$F$308+$F$309)))+
(($F$310)*(($F$311)/($F$311+$F$312+$F$313+$F$314)))+
(($F$310)*(($F$312)/($F$311+$F$312+$F$313+$F$314)))+
(($F$310)*(($F$313)/($F$311+$F$312+$F$313+$F$314)))+
(($F$310)*(($F$314)/($F$311+$F$312+$F$313+$F$314)))+
($F$315)+($F$316))),2)</f>
        <v>2.48</v>
      </c>
      <c r="I315" s="328" t="s">
        <v>73</v>
      </c>
      <c r="J315" s="330"/>
      <c r="K315" s="673">
        <f>A301*H315</f>
        <v>262.88</v>
      </c>
      <c r="L315" s="534"/>
      <c r="M315" s="458" t="str">
        <f t="shared" si="45"/>
        <v/>
      </c>
      <c r="N315" s="458"/>
      <c r="O315" s="458" t="str">
        <f t="shared" si="46"/>
        <v/>
      </c>
      <c r="P315" s="21"/>
    </row>
    <row r="316" spans="1:16" x14ac:dyDescent="0.35">
      <c r="A316" s="535" t="str">
        <f t="shared" si="44"/>
        <v/>
      </c>
      <c r="B316" s="337"/>
      <c r="C316" s="337"/>
      <c r="D316" s="326" t="s">
        <v>505</v>
      </c>
      <c r="E316" s="360" t="s">
        <v>758</v>
      </c>
      <c r="F316" s="18">
        <v>10</v>
      </c>
      <c r="G316" s="18" t="s">
        <v>73</v>
      </c>
      <c r="H316" s="335">
        <f>ROUND(($F$305)*((F316)/((($F$306)*(($F$307)/($F$307+$F$308+$F$309)))+
(($F$306)*(($F$308)/($F$307+$F$308+$F$309)))+
(($F$306)*(($F$309)/($F$307+$F$308+$F$309)))+
(($F$310)*(($F$311)/($F$311+$F$312+$F$313+$F$314)))+
(($F$310)*(($F$312)/($F$311+$F$312+$F$313+$F$314)))+
(($F$310)*(($F$313)/($F$311+$F$312+$F$313+$F$314)))+
(($F$310)*(($F$314)/($F$311+$F$312+$F$313+$F$314)))+
($F$315)+($F$316))),2)</f>
        <v>0.45</v>
      </c>
      <c r="I316" s="335" t="s">
        <v>73</v>
      </c>
      <c r="J316" s="337"/>
      <c r="K316" s="672">
        <f>A301*H316</f>
        <v>47.7</v>
      </c>
      <c r="L316" s="534"/>
      <c r="M316" s="458" t="str">
        <f t="shared" si="45"/>
        <v/>
      </c>
      <c r="N316" s="458"/>
      <c r="O316" s="458" t="str">
        <f t="shared" si="46"/>
        <v/>
      </c>
      <c r="P316" s="21"/>
    </row>
    <row r="317" spans="1:16" x14ac:dyDescent="0.35">
      <c r="A317" s="535" t="str">
        <f t="shared" si="44"/>
        <v/>
      </c>
      <c r="B317" s="330"/>
      <c r="C317" s="330"/>
      <c r="D317" s="355"/>
      <c r="E317" s="549" t="s">
        <v>759</v>
      </c>
      <c r="F317" s="378">
        <v>30</v>
      </c>
      <c r="G317" s="378" t="s">
        <v>73</v>
      </c>
      <c r="H317" s="515"/>
      <c r="I317" s="356" t="s">
        <v>73</v>
      </c>
      <c r="J317" s="515"/>
      <c r="K317" s="674"/>
      <c r="L317" s="534"/>
      <c r="M317" s="458" t="str">
        <f t="shared" si="45"/>
        <v/>
      </c>
      <c r="N317" s="458"/>
      <c r="O317" s="458" t="str">
        <f t="shared" si="46"/>
        <v/>
      </c>
      <c r="P317" s="21"/>
    </row>
    <row r="318" spans="1:16" x14ac:dyDescent="0.35">
      <c r="A318" s="535" t="str">
        <f t="shared" si="44"/>
        <v/>
      </c>
      <c r="B318" s="337"/>
      <c r="C318" s="337"/>
      <c r="D318" s="571"/>
      <c r="E318" s="572" t="s">
        <v>81</v>
      </c>
      <c r="F318" s="493">
        <v>1000</v>
      </c>
      <c r="G318" s="493" t="s">
        <v>73</v>
      </c>
      <c r="H318" s="573"/>
      <c r="I318" s="466" t="s">
        <v>73</v>
      </c>
      <c r="J318" s="573"/>
      <c r="K318" s="682"/>
      <c r="L318" s="534"/>
      <c r="M318" s="458" t="str">
        <f t="shared" si="45"/>
        <v/>
      </c>
      <c r="N318" s="458"/>
      <c r="O318" s="458" t="str">
        <f t="shared" si="46"/>
        <v/>
      </c>
      <c r="P318" s="21"/>
    </row>
    <row r="319" spans="1:16" x14ac:dyDescent="0.35">
      <c r="A319" s="535" t="str">
        <f t="shared" si="44"/>
        <v/>
      </c>
      <c r="B319" s="330"/>
      <c r="C319" s="330"/>
      <c r="D319" s="326" t="s">
        <v>43</v>
      </c>
      <c r="E319" s="366" t="s">
        <v>105</v>
      </c>
      <c r="F319" s="22">
        <v>10</v>
      </c>
      <c r="G319" s="22" t="s">
        <v>73</v>
      </c>
      <c r="H319" s="328">
        <f>ROUND((($F$317)*((F319)/($F$319+$F$320+$F$321))),2)</f>
        <v>0.28999999999999998</v>
      </c>
      <c r="I319" s="328" t="s">
        <v>73</v>
      </c>
      <c r="J319" s="330"/>
      <c r="K319" s="673">
        <f>A301*H319</f>
        <v>30.74</v>
      </c>
      <c r="L319" s="534"/>
      <c r="M319" s="458" t="str">
        <f t="shared" si="45"/>
        <v/>
      </c>
      <c r="N319" s="458"/>
      <c r="O319" s="458" t="str">
        <f t="shared" si="46"/>
        <v/>
      </c>
      <c r="P319" s="21"/>
    </row>
    <row r="320" spans="1:16" x14ac:dyDescent="0.35">
      <c r="A320" s="535" t="str">
        <f t="shared" si="44"/>
        <v/>
      </c>
      <c r="B320" s="337"/>
      <c r="C320" s="337"/>
      <c r="D320" s="326" t="s">
        <v>41</v>
      </c>
      <c r="E320" s="360" t="s">
        <v>760</v>
      </c>
      <c r="F320" s="18">
        <v>25</v>
      </c>
      <c r="G320" s="18" t="s">
        <v>73</v>
      </c>
      <c r="H320" s="335">
        <f t="shared" ref="H320:H321" si="49">ROUND((($F$317)*((F320)/($F$319+$F$320+$F$321))),2)</f>
        <v>0.72</v>
      </c>
      <c r="I320" s="335" t="s">
        <v>73</v>
      </c>
      <c r="J320" s="337"/>
      <c r="K320" s="672">
        <f>A301*H320</f>
        <v>76.319999999999993</v>
      </c>
      <c r="L320" s="534"/>
      <c r="M320" s="458" t="str">
        <f t="shared" si="45"/>
        <v/>
      </c>
      <c r="N320" s="458"/>
      <c r="O320" s="458" t="str">
        <f t="shared" si="46"/>
        <v/>
      </c>
      <c r="P320" s="21"/>
    </row>
    <row r="321" spans="1:16" x14ac:dyDescent="0.35">
      <c r="A321" s="535" t="str">
        <f t="shared" si="44"/>
        <v/>
      </c>
      <c r="B321" s="330"/>
      <c r="C321" s="330"/>
      <c r="D321" s="326" t="s">
        <v>371</v>
      </c>
      <c r="E321" s="366" t="s">
        <v>761</v>
      </c>
      <c r="F321" s="22">
        <v>1000</v>
      </c>
      <c r="G321" s="22" t="s">
        <v>73</v>
      </c>
      <c r="H321" s="328">
        <f t="shared" si="49"/>
        <v>28.99</v>
      </c>
      <c r="I321" s="328" t="s">
        <v>73</v>
      </c>
      <c r="J321" s="330"/>
      <c r="K321" s="673">
        <f>A301*H321</f>
        <v>3072.94</v>
      </c>
      <c r="L321" s="534"/>
      <c r="M321" s="458" t="str">
        <f t="shared" si="45"/>
        <v/>
      </c>
      <c r="N321" s="458"/>
      <c r="O321" s="458" t="str">
        <f t="shared" si="46"/>
        <v/>
      </c>
      <c r="P321" s="21"/>
    </row>
    <row r="322" spans="1:16" x14ac:dyDescent="0.35">
      <c r="A322" s="535" t="str">
        <f t="shared" si="44"/>
        <v/>
      </c>
      <c r="B322" s="337"/>
      <c r="C322" s="337"/>
      <c r="D322" s="355"/>
      <c r="E322" s="549" t="s">
        <v>762</v>
      </c>
      <c r="F322" s="378">
        <v>15</v>
      </c>
      <c r="G322" s="378" t="s">
        <v>73</v>
      </c>
      <c r="H322" s="515"/>
      <c r="I322" s="356"/>
      <c r="J322" s="515"/>
      <c r="K322" s="674"/>
      <c r="L322" s="534"/>
      <c r="M322" s="458" t="str">
        <f t="shared" si="45"/>
        <v/>
      </c>
      <c r="N322" s="458"/>
      <c r="O322" s="458" t="str">
        <f t="shared" si="46"/>
        <v/>
      </c>
      <c r="P322" s="21"/>
    </row>
    <row r="323" spans="1:16" x14ac:dyDescent="0.35">
      <c r="A323" s="535" t="str">
        <f t="shared" si="44"/>
        <v/>
      </c>
      <c r="B323" s="330"/>
      <c r="C323" s="330"/>
      <c r="D323" s="342"/>
      <c r="E323" s="362" t="s">
        <v>81</v>
      </c>
      <c r="F323" s="404">
        <v>500</v>
      </c>
      <c r="G323" s="404" t="s">
        <v>73</v>
      </c>
      <c r="H323" s="345"/>
      <c r="I323" s="343"/>
      <c r="J323" s="345"/>
      <c r="K323" s="675"/>
      <c r="L323" s="534"/>
      <c r="M323" s="458" t="str">
        <f t="shared" si="45"/>
        <v/>
      </c>
      <c r="N323" s="458"/>
      <c r="O323" s="458" t="str">
        <f t="shared" si="46"/>
        <v/>
      </c>
      <c r="P323" s="21"/>
    </row>
    <row r="324" spans="1:16" x14ac:dyDescent="0.35">
      <c r="A324" s="535" t="str">
        <f t="shared" si="44"/>
        <v/>
      </c>
      <c r="B324" s="337"/>
      <c r="C324" s="337"/>
      <c r="D324" s="326" t="s">
        <v>333</v>
      </c>
      <c r="E324" s="360" t="s">
        <v>756</v>
      </c>
      <c r="F324" s="18">
        <v>15</v>
      </c>
      <c r="G324" s="18" t="s">
        <v>73</v>
      </c>
      <c r="H324" s="335">
        <f>ROUND(($F$322)*((F324)/((($F$326)*(($F$327)/($F$327+$F$328)))+
(($F$326)*(($F$328)/($F$327+$F$328)))+
($F$324)+($F$325)+($F$329)+($F$330)+($F$331)+($F$332)+($F$333))),2)</f>
        <v>0.76</v>
      </c>
      <c r="I324" s="335" t="s">
        <v>73</v>
      </c>
      <c r="J324" s="337"/>
      <c r="K324" s="672">
        <f>A301*H324</f>
        <v>80.56</v>
      </c>
      <c r="L324" s="534"/>
      <c r="M324" s="458" t="str">
        <f t="shared" si="45"/>
        <v/>
      </c>
      <c r="N324" s="458"/>
      <c r="O324" s="458" t="str">
        <f t="shared" si="46"/>
        <v/>
      </c>
      <c r="P324" s="21"/>
    </row>
    <row r="325" spans="1:16" x14ac:dyDescent="0.35">
      <c r="A325" s="535" t="str">
        <f t="shared" si="44"/>
        <v/>
      </c>
      <c r="B325" s="330"/>
      <c r="C325" s="330"/>
      <c r="D325" s="326" t="s">
        <v>46</v>
      </c>
      <c r="E325" s="366" t="s">
        <v>763</v>
      </c>
      <c r="F325" s="22">
        <v>20</v>
      </c>
      <c r="G325" s="22" t="s">
        <v>73</v>
      </c>
      <c r="H325" s="328">
        <f>ROUND(($F$322)*((F325)/((($F$326)*(($F$327)/($F$327+$F$328)))+
(($F$326)*(($F$328)/($F$327+$F$328)))+
($F$324)+($F$325)+($F$329)+($F$330)+($F$331)+($F$332)+($F$333))),2)</f>
        <v>1.01</v>
      </c>
      <c r="I325" s="328" t="s">
        <v>73</v>
      </c>
      <c r="J325" s="330"/>
      <c r="K325" s="673">
        <f>A301*H325</f>
        <v>107.06</v>
      </c>
      <c r="L325" s="534"/>
      <c r="M325" s="458" t="str">
        <f t="shared" si="45"/>
        <v/>
      </c>
      <c r="N325" s="458"/>
      <c r="O325" s="458" t="str">
        <f t="shared" si="46"/>
        <v/>
      </c>
      <c r="P325" s="21"/>
    </row>
    <row r="326" spans="1:16" x14ac:dyDescent="0.35">
      <c r="A326" s="535" t="str">
        <f t="shared" si="44"/>
        <v/>
      </c>
      <c r="B326" s="337"/>
      <c r="C326" s="337"/>
      <c r="D326" s="355"/>
      <c r="E326" s="567" t="s">
        <v>114</v>
      </c>
      <c r="F326" s="378">
        <v>3</v>
      </c>
      <c r="G326" s="378" t="s">
        <v>73</v>
      </c>
      <c r="H326" s="356"/>
      <c r="I326" s="356" t="s">
        <v>73</v>
      </c>
      <c r="J326" s="515"/>
      <c r="K326" s="674"/>
      <c r="L326" s="534"/>
      <c r="M326" s="458" t="str">
        <f t="shared" si="45"/>
        <v/>
      </c>
      <c r="N326" s="458"/>
      <c r="O326" s="458" t="str">
        <f t="shared" si="46"/>
        <v/>
      </c>
      <c r="P326" s="21"/>
    </row>
    <row r="327" spans="1:16" x14ac:dyDescent="0.35">
      <c r="A327" s="535" t="str">
        <f t="shared" si="44"/>
        <v/>
      </c>
      <c r="B327" s="330"/>
      <c r="C327" s="330"/>
      <c r="D327" s="326" t="s">
        <v>43</v>
      </c>
      <c r="E327" s="456" t="s">
        <v>768</v>
      </c>
      <c r="F327" s="22">
        <v>15</v>
      </c>
      <c r="G327" s="22" t="s">
        <v>73</v>
      </c>
      <c r="H327" s="328">
        <f>ROUND(($F$322)*((($F$326)*(($F$327)/($F$327+$F$328)))
/((($F$326)*(($F$327)/($F$327+$F$328)))+
(($F$326)*(($F$328)/($F$327+$F$328)))+
($F$324)+($F$325)+($F$329)+($F$330)+($F$331)+($F$332)+($F$333))),2)</f>
        <v>0.02</v>
      </c>
      <c r="I327" s="328" t="s">
        <v>73</v>
      </c>
      <c r="J327" s="330"/>
      <c r="K327" s="673">
        <f>A301*H327</f>
        <v>2.12</v>
      </c>
      <c r="L327" s="534"/>
      <c r="M327" s="458" t="str">
        <f t="shared" si="45"/>
        <v/>
      </c>
      <c r="N327" s="458"/>
      <c r="O327" s="458" t="str">
        <f t="shared" si="46"/>
        <v/>
      </c>
      <c r="P327" s="21"/>
    </row>
    <row r="328" spans="1:16" x14ac:dyDescent="0.35">
      <c r="A328" s="535" t="str">
        <f t="shared" si="44"/>
        <v/>
      </c>
      <c r="B328" s="337"/>
      <c r="C328" s="337"/>
      <c r="D328" s="326" t="s">
        <v>42</v>
      </c>
      <c r="E328" s="474" t="s">
        <v>95</v>
      </c>
      <c r="F328" s="18">
        <v>85</v>
      </c>
      <c r="G328" s="18" t="s">
        <v>73</v>
      </c>
      <c r="H328" s="335">
        <f>ROUND(($F$322)*((($F$326)*(($F$328)/($F$327+$F$328)))
/((($F$326)*(($F$327)/($F$327+$F$328)))+
(($F$326)*(($F$328)/($F$327+$F$328)))+
($F$324)+($F$325)+($F$329)+($F$330)+($F$331)+($F$332)+($F$333))),2)</f>
        <v>0.13</v>
      </c>
      <c r="I328" s="335" t="s">
        <v>73</v>
      </c>
      <c r="J328" s="337"/>
      <c r="K328" s="672">
        <f>A301*H328</f>
        <v>13.780000000000001</v>
      </c>
      <c r="L328" s="534"/>
      <c r="M328" s="458" t="str">
        <f t="shared" si="45"/>
        <v/>
      </c>
      <c r="N328" s="458"/>
      <c r="O328" s="458" t="str">
        <f t="shared" si="46"/>
        <v/>
      </c>
      <c r="P328" s="21"/>
    </row>
    <row r="329" spans="1:16" x14ac:dyDescent="0.35">
      <c r="A329" s="535" t="str">
        <f t="shared" si="44"/>
        <v/>
      </c>
      <c r="B329" s="330"/>
      <c r="C329" s="330"/>
      <c r="D329" s="326" t="s">
        <v>341</v>
      </c>
      <c r="E329" s="366" t="s">
        <v>764</v>
      </c>
      <c r="F329" s="22">
        <v>3</v>
      </c>
      <c r="G329" s="22" t="s">
        <v>73</v>
      </c>
      <c r="H329" s="328">
        <f>ROUND(($F$322)*((F329)/((($F$326)*(($F$327)/($F$327+$F$328)))+
(($F$326)*(($F$328)/($F$327+$F$328)))+
($F$324)+($F$325)+($F$329)+($F$330)+($F$331)+($F$332)+($F$333))),2)</f>
        <v>0.15</v>
      </c>
      <c r="I329" s="328" t="s">
        <v>73</v>
      </c>
      <c r="J329" s="330"/>
      <c r="K329" s="673">
        <f>A301*H329</f>
        <v>15.899999999999999</v>
      </c>
      <c r="L329" s="534"/>
      <c r="M329" s="458" t="str">
        <f t="shared" si="45"/>
        <v/>
      </c>
      <c r="N329" s="458"/>
      <c r="O329" s="458" t="str">
        <f t="shared" si="46"/>
        <v/>
      </c>
      <c r="P329" s="21"/>
    </row>
    <row r="330" spans="1:16" x14ac:dyDescent="0.35">
      <c r="A330" s="535" t="str">
        <f t="shared" si="44"/>
        <v/>
      </c>
      <c r="B330" s="337"/>
      <c r="C330" s="337"/>
      <c r="D330" s="326" t="s">
        <v>41</v>
      </c>
      <c r="E330" s="360" t="s">
        <v>779</v>
      </c>
      <c r="F330" s="18">
        <v>5</v>
      </c>
      <c r="G330" s="18" t="s">
        <v>73</v>
      </c>
      <c r="H330" s="335">
        <f t="shared" ref="H330:H333" si="50">ROUND(($F$322)*((F330)/((($F$326)*(($F$327)/($F$327+$F$328)))+
(($F$326)*(($F$328)/($F$327+$F$328)))+
($F$324)+($F$325)+($F$329)+($F$330)+($F$331)+($F$332)+($F$333))),2)</f>
        <v>0.25</v>
      </c>
      <c r="I330" s="335" t="s">
        <v>73</v>
      </c>
      <c r="J330" s="337"/>
      <c r="K330" s="672">
        <f>A301*H330</f>
        <v>26.5</v>
      </c>
      <c r="L330" s="534"/>
      <c r="M330" s="458" t="str">
        <f t="shared" si="45"/>
        <v/>
      </c>
      <c r="N330" s="458"/>
      <c r="O330" s="458" t="str">
        <f t="shared" si="46"/>
        <v/>
      </c>
      <c r="P330" s="21"/>
    </row>
    <row r="331" spans="1:16" x14ac:dyDescent="0.35">
      <c r="A331" s="535" t="str">
        <f t="shared" si="44"/>
        <v/>
      </c>
      <c r="B331" s="330"/>
      <c r="C331" s="330"/>
      <c r="D331" s="326" t="s">
        <v>325</v>
      </c>
      <c r="E331" s="366" t="s">
        <v>765</v>
      </c>
      <c r="F331" s="22">
        <v>20</v>
      </c>
      <c r="G331" s="22" t="s">
        <v>73</v>
      </c>
      <c r="H331" s="328">
        <f t="shared" si="50"/>
        <v>1.01</v>
      </c>
      <c r="I331" s="328" t="s">
        <v>73</v>
      </c>
      <c r="J331" s="330"/>
      <c r="K331" s="673">
        <f>A301*H331</f>
        <v>107.06</v>
      </c>
      <c r="L331" s="534"/>
      <c r="M331" s="458" t="str">
        <f t="shared" si="45"/>
        <v/>
      </c>
      <c r="N331" s="458"/>
      <c r="O331" s="458" t="str">
        <f t="shared" si="46"/>
        <v/>
      </c>
      <c r="P331" s="21"/>
    </row>
    <row r="332" spans="1:16" x14ac:dyDescent="0.35">
      <c r="A332" s="535" t="str">
        <f t="shared" si="44"/>
        <v/>
      </c>
      <c r="B332" s="337"/>
      <c r="C332" s="337"/>
      <c r="D332" s="326" t="s">
        <v>307</v>
      </c>
      <c r="E332" s="360" t="s">
        <v>766</v>
      </c>
      <c r="F332" s="18">
        <v>30</v>
      </c>
      <c r="G332" s="18" t="s">
        <v>73</v>
      </c>
      <c r="H332" s="335">
        <f t="shared" si="50"/>
        <v>1.52</v>
      </c>
      <c r="I332" s="335" t="s">
        <v>73</v>
      </c>
      <c r="J332" s="337"/>
      <c r="K332" s="672">
        <f>A301*H332</f>
        <v>161.12</v>
      </c>
      <c r="L332" s="534"/>
      <c r="M332" s="458" t="str">
        <f t="shared" si="45"/>
        <v/>
      </c>
      <c r="N332" s="458"/>
      <c r="O332" s="458" t="str">
        <f t="shared" si="46"/>
        <v/>
      </c>
      <c r="P332" s="21"/>
    </row>
    <row r="333" spans="1:16" x14ac:dyDescent="0.35">
      <c r="A333" s="535" t="str">
        <f t="shared" si="44"/>
        <v/>
      </c>
      <c r="B333" s="330"/>
      <c r="C333" s="330"/>
      <c r="D333" s="326" t="s">
        <v>381</v>
      </c>
      <c r="E333" s="366" t="s">
        <v>767</v>
      </c>
      <c r="F333" s="22">
        <v>200</v>
      </c>
      <c r="G333" s="22" t="s">
        <v>73</v>
      </c>
      <c r="H333" s="328">
        <f t="shared" si="50"/>
        <v>10.14</v>
      </c>
      <c r="I333" s="328" t="s">
        <v>73</v>
      </c>
      <c r="J333" s="330"/>
      <c r="K333" s="673">
        <f>A301*H333</f>
        <v>1074.8400000000001</v>
      </c>
      <c r="L333" s="534"/>
      <c r="M333" s="458" t="str">
        <f t="shared" si="45"/>
        <v/>
      </c>
      <c r="N333" s="458"/>
      <c r="O333" s="458" t="str">
        <f t="shared" si="46"/>
        <v/>
      </c>
      <c r="P333" s="21"/>
    </row>
    <row r="334" spans="1:16" x14ac:dyDescent="0.35">
      <c r="A334" s="535" t="str">
        <f t="shared" si="44"/>
        <v/>
      </c>
      <c r="B334" s="337"/>
      <c r="C334" s="337"/>
      <c r="D334" s="355"/>
      <c r="E334" s="549" t="s">
        <v>769</v>
      </c>
      <c r="F334" s="378">
        <v>40</v>
      </c>
      <c r="G334" s="378" t="s">
        <v>73</v>
      </c>
      <c r="H334" s="356"/>
      <c r="I334" s="356"/>
      <c r="J334" s="515"/>
      <c r="K334" s="674"/>
      <c r="L334" s="534"/>
      <c r="M334" s="458" t="str">
        <f t="shared" si="45"/>
        <v/>
      </c>
      <c r="N334" s="458"/>
      <c r="O334" s="458" t="str">
        <f t="shared" si="46"/>
        <v/>
      </c>
      <c r="P334" s="21"/>
    </row>
    <row r="335" spans="1:16" x14ac:dyDescent="0.35">
      <c r="A335" s="535" t="str">
        <f t="shared" si="44"/>
        <v/>
      </c>
      <c r="B335" s="330"/>
      <c r="C335" s="330"/>
      <c r="D335" s="326" t="s">
        <v>521</v>
      </c>
      <c r="E335" s="366" t="s">
        <v>906</v>
      </c>
      <c r="F335" s="22">
        <v>200</v>
      </c>
      <c r="G335" s="22" t="s">
        <v>73</v>
      </c>
      <c r="H335" s="328">
        <f>ROUND(($F$334)*(($F$335)/((($F$336)*(($F$337)/($F$337+$F$338)))+
(($F$336)*(($F$338)/($F$337+$F$338)))+
(($F$339)*(($F$340)/($F$340+$F$341)))+
(($F$339)*(($F$341)/($F$340+$F$341)))+
($F$335)+($F$342)+($F$343))),2)</f>
        <v>33.200000000000003</v>
      </c>
      <c r="I335" s="328" t="s">
        <v>73</v>
      </c>
      <c r="J335" s="330"/>
      <c r="K335" s="673">
        <f>A301*H335</f>
        <v>3519.2000000000003</v>
      </c>
      <c r="L335" s="534"/>
      <c r="M335" s="458" t="str">
        <f t="shared" si="45"/>
        <v/>
      </c>
      <c r="N335" s="458"/>
      <c r="O335" s="458" t="str">
        <f t="shared" si="46"/>
        <v/>
      </c>
      <c r="P335" s="21"/>
    </row>
    <row r="336" spans="1:16" x14ac:dyDescent="0.35">
      <c r="A336" s="535" t="str">
        <f t="shared" si="44"/>
        <v/>
      </c>
      <c r="B336" s="337"/>
      <c r="C336" s="337"/>
      <c r="D336" s="355"/>
      <c r="E336" s="567" t="s">
        <v>770</v>
      </c>
      <c r="F336" s="378">
        <v>30</v>
      </c>
      <c r="G336" s="378" t="s">
        <v>73</v>
      </c>
      <c r="H336" s="356"/>
      <c r="I336" s="356"/>
      <c r="J336" s="515"/>
      <c r="K336" s="674"/>
      <c r="L336" s="534"/>
      <c r="M336" s="458" t="str">
        <f t="shared" si="45"/>
        <v/>
      </c>
      <c r="N336" s="458"/>
      <c r="O336" s="458" t="str">
        <f t="shared" si="46"/>
        <v/>
      </c>
      <c r="P336" s="21"/>
    </row>
    <row r="337" spans="1:16" x14ac:dyDescent="0.35">
      <c r="A337" s="535" t="str">
        <f t="shared" ref="A337:A358" si="51">IFERROR(INDEX($Q$17:$Q$41,MATCH(B337,$R$17:$R$41, 0)), "")</f>
        <v/>
      </c>
      <c r="B337" s="330"/>
      <c r="C337" s="330"/>
      <c r="D337" s="326" t="s">
        <v>537</v>
      </c>
      <c r="E337" s="495" t="s">
        <v>771</v>
      </c>
      <c r="F337" s="22">
        <v>1</v>
      </c>
      <c r="G337" s="22" t="s">
        <v>73</v>
      </c>
      <c r="H337" s="328">
        <f>ROUND(($F$334)*((($F$336)*(($F$337)/($F$337+$F$338)))
/((($F$336)*(($F$337)/($F$337+$F$338)))+
(($F$336)*(($F$338)/($F$337+$F$338)))+
(($F$339)*(($F$340)/($F$340+$F$341)))+
(($F$339)*(($F$341)/($F$340+$F$341)))+
($F$335)+($F$342)+($F$343))),2)</f>
        <v>0.05</v>
      </c>
      <c r="I337" s="328" t="s">
        <v>73</v>
      </c>
      <c r="J337" s="330"/>
      <c r="K337" s="673">
        <f>A301*H337</f>
        <v>5.3000000000000007</v>
      </c>
      <c r="L337" s="534"/>
      <c r="M337" s="458" t="str">
        <f t="shared" ref="M337:M400" si="52">IF(Q336&gt;0, Q336, "")</f>
        <v/>
      </c>
      <c r="N337" s="458"/>
      <c r="O337" s="458" t="str">
        <f t="shared" ref="O337:O400" si="53">IF(V337&gt;0, V337, "")</f>
        <v/>
      </c>
      <c r="P337" s="21"/>
    </row>
    <row r="338" spans="1:16" x14ac:dyDescent="0.35">
      <c r="A338" s="535" t="str">
        <f t="shared" si="51"/>
        <v/>
      </c>
      <c r="B338" s="337"/>
      <c r="C338" s="337"/>
      <c r="D338" s="342"/>
      <c r="E338" s="561" t="s">
        <v>81</v>
      </c>
      <c r="F338" s="404">
        <v>100</v>
      </c>
      <c r="G338" s="404" t="s">
        <v>73</v>
      </c>
      <c r="H338" s="343">
        <f>ROUND(($F$334)*((($F$336)*(($F$338)/($F$337+$F$338)))
/((($F$336)*(($F$337)/($F$337+$F$338)))+
(($F$336)*(($F$338)/($F$337+$F$338)))+
(($F$339)*(($F$340)/($F$340+$F$341)))+
(($F$339)*(($F$341)/($F$340+$F$341)))+
($F$335)+($F$342)+($F$343))),2)</f>
        <v>4.93</v>
      </c>
      <c r="I338" s="343"/>
      <c r="J338" s="345"/>
      <c r="K338" s="675"/>
      <c r="L338" s="534"/>
      <c r="M338" s="458" t="str">
        <f t="shared" si="52"/>
        <v/>
      </c>
      <c r="N338" s="458"/>
      <c r="O338" s="458" t="str">
        <f t="shared" si="53"/>
        <v/>
      </c>
      <c r="P338" s="21"/>
    </row>
    <row r="339" spans="1:16" x14ac:dyDescent="0.35">
      <c r="A339" s="535" t="str">
        <f t="shared" si="51"/>
        <v/>
      </c>
      <c r="B339" s="330"/>
      <c r="C339" s="330"/>
      <c r="D339" s="355"/>
      <c r="E339" s="567" t="s">
        <v>726</v>
      </c>
      <c r="F339" s="378">
        <v>2</v>
      </c>
      <c r="G339" s="378" t="s">
        <v>73</v>
      </c>
      <c r="H339" s="356"/>
      <c r="I339" s="356"/>
      <c r="J339" s="515"/>
      <c r="K339" s="674"/>
      <c r="L339" s="534"/>
      <c r="M339" s="458" t="str">
        <f t="shared" si="52"/>
        <v/>
      </c>
      <c r="N339" s="458"/>
      <c r="O339" s="458" t="str">
        <f t="shared" si="53"/>
        <v/>
      </c>
      <c r="P339" s="21"/>
    </row>
    <row r="340" spans="1:16" x14ac:dyDescent="0.35">
      <c r="A340" s="535" t="str">
        <f t="shared" si="51"/>
        <v/>
      </c>
      <c r="B340" s="337"/>
      <c r="C340" s="337"/>
      <c r="D340" s="326" t="s">
        <v>43</v>
      </c>
      <c r="E340" s="560" t="s">
        <v>105</v>
      </c>
      <c r="F340" s="18">
        <v>15</v>
      </c>
      <c r="G340" s="18" t="s">
        <v>73</v>
      </c>
      <c r="H340" s="335">
        <f>ROUND(($F$334)*((($F$339)*(($F$340)/($F$340+$F$341)))
/((($F$336)*(($F$337)/($F$337+$F$338)))+
(($F$336)*(($F$338)/($F$337+$F$338)))+
(($F$339)*(($F$340)/($F$340+$F$341)))+
(($F$339)*(($F$341)/($F$340+$F$341)))+
($F$335)+($F$342)+($F$343))),2)</f>
        <v>0.05</v>
      </c>
      <c r="I340" s="335" t="s">
        <v>73</v>
      </c>
      <c r="J340" s="337"/>
      <c r="K340" s="672">
        <f>A301*H340</f>
        <v>5.3000000000000007</v>
      </c>
      <c r="L340" s="534"/>
      <c r="M340" s="458" t="str">
        <f t="shared" si="52"/>
        <v/>
      </c>
      <c r="N340" s="458"/>
      <c r="O340" s="458" t="str">
        <f t="shared" si="53"/>
        <v/>
      </c>
      <c r="P340" s="21"/>
    </row>
    <row r="341" spans="1:16" x14ac:dyDescent="0.35">
      <c r="A341" s="535" t="str">
        <f t="shared" si="51"/>
        <v/>
      </c>
      <c r="B341" s="330"/>
      <c r="C341" s="330"/>
      <c r="D341" s="326" t="s">
        <v>42</v>
      </c>
      <c r="E341" s="495" t="s">
        <v>95</v>
      </c>
      <c r="F341" s="22">
        <v>85</v>
      </c>
      <c r="G341" s="22" t="s">
        <v>73</v>
      </c>
      <c r="H341" s="328">
        <f>ROUND(($F$334)*((($F$339)*(($F$341)/($F$340+$F$341)))
/((($F$336)*(($F$337)/($F$337+$F$338)))+
(($F$336)*(($F$338)/($F$337+$F$338)))+
(($F$339)*(($F$340)/($F$340+$F$341)))+
(($F$339)*(($F$341)/($F$340+$F$341)))+
($F$335)+($F$342)+($F$343))),2)</f>
        <v>0.28000000000000003</v>
      </c>
      <c r="I341" s="328" t="s">
        <v>73</v>
      </c>
      <c r="J341" s="330"/>
      <c r="K341" s="673">
        <f>A301*H341</f>
        <v>29.680000000000003</v>
      </c>
      <c r="L341" s="534"/>
      <c r="M341" s="458" t="str">
        <f t="shared" si="52"/>
        <v/>
      </c>
      <c r="N341" s="458"/>
      <c r="O341" s="458" t="str">
        <f t="shared" si="53"/>
        <v/>
      </c>
      <c r="P341" s="21"/>
    </row>
    <row r="342" spans="1:16" x14ac:dyDescent="0.35">
      <c r="A342" s="535" t="str">
        <f t="shared" si="51"/>
        <v/>
      </c>
      <c r="B342" s="337"/>
      <c r="C342" s="337"/>
      <c r="D342" s="326" t="s">
        <v>517</v>
      </c>
      <c r="E342" s="360" t="s">
        <v>724</v>
      </c>
      <c r="F342" s="18">
        <v>8</v>
      </c>
      <c r="G342" s="18" t="s">
        <v>73</v>
      </c>
      <c r="H342" s="335">
        <f>ROUND(($F$334)*((F342)/((($F$336)*(($F$337)/($F$337+$F$338)))+
(($F$336)*(($F$338)/($F$337+$F$338)))+
(($F$339)*(($F$340)/($F$340+$F$341)))+
(($F$339)*(($F$341)/($F$340+$F$341)))+
($F$335)+($F$342)+($F$343))),2)</f>
        <v>1.33</v>
      </c>
      <c r="I342" s="335" t="s">
        <v>73</v>
      </c>
      <c r="J342" s="337"/>
      <c r="K342" s="672">
        <f>A301*H342</f>
        <v>140.98000000000002</v>
      </c>
      <c r="L342" s="534"/>
      <c r="M342" s="458" t="str">
        <f t="shared" si="52"/>
        <v/>
      </c>
      <c r="N342" s="458"/>
      <c r="O342" s="458" t="str">
        <f t="shared" si="53"/>
        <v/>
      </c>
      <c r="P342" s="21"/>
    </row>
    <row r="343" spans="1:16" x14ac:dyDescent="0.35">
      <c r="A343" s="535" t="str">
        <f t="shared" si="51"/>
        <v/>
      </c>
      <c r="B343" s="330"/>
      <c r="C343" s="330"/>
      <c r="D343" s="326" t="s">
        <v>45</v>
      </c>
      <c r="E343" s="366" t="s">
        <v>101</v>
      </c>
      <c r="F343" s="22">
        <v>1</v>
      </c>
      <c r="G343" s="22" t="s">
        <v>73</v>
      </c>
      <c r="H343" s="328">
        <f>ROUND(($F$334)*((F343)/((($F$336)*(($F$337)/($F$337+$F$338)))+
(($F$336)*(($F$338)/($F$337+$F$338)))+
(($F$339)*(($F$340)/($F$340+$F$341)))+
(($F$339)*(($F$341)/($F$340+$F$341)))+
($F$335)+($F$342)+($F$343))),2)</f>
        <v>0.17</v>
      </c>
      <c r="I343" s="328" t="s">
        <v>73</v>
      </c>
      <c r="J343" s="330"/>
      <c r="K343" s="673">
        <f>A301*H343</f>
        <v>18.02</v>
      </c>
      <c r="L343" s="534"/>
      <c r="M343" s="458" t="str">
        <f t="shared" si="52"/>
        <v/>
      </c>
      <c r="N343" s="458"/>
      <c r="O343" s="458" t="str">
        <f t="shared" si="53"/>
        <v/>
      </c>
      <c r="P343" s="21"/>
    </row>
    <row r="344" spans="1:16" x14ac:dyDescent="0.35">
      <c r="A344" s="535" t="str">
        <f t="shared" si="51"/>
        <v/>
      </c>
      <c r="B344" s="337"/>
      <c r="C344" s="337"/>
      <c r="D344" s="355"/>
      <c r="E344" s="549" t="s">
        <v>774</v>
      </c>
      <c r="F344" s="378">
        <v>10</v>
      </c>
      <c r="G344" s="378" t="s">
        <v>73</v>
      </c>
      <c r="H344" s="515"/>
      <c r="I344" s="356"/>
      <c r="J344" s="515"/>
      <c r="K344" s="674"/>
      <c r="L344" s="534"/>
      <c r="M344" s="458" t="str">
        <f t="shared" si="52"/>
        <v/>
      </c>
      <c r="N344" s="458"/>
      <c r="O344" s="458" t="str">
        <f t="shared" si="53"/>
        <v/>
      </c>
      <c r="P344" s="21"/>
    </row>
    <row r="345" spans="1:16" x14ac:dyDescent="0.35">
      <c r="A345" s="535" t="str">
        <f t="shared" si="51"/>
        <v/>
      </c>
      <c r="B345" s="330"/>
      <c r="C345" s="330"/>
      <c r="D345" s="342"/>
      <c r="E345" s="362" t="s">
        <v>81</v>
      </c>
      <c r="F345" s="404">
        <v>600</v>
      </c>
      <c r="G345" s="404" t="s">
        <v>73</v>
      </c>
      <c r="H345" s="345"/>
      <c r="I345" s="343"/>
      <c r="J345" s="345"/>
      <c r="K345" s="675"/>
      <c r="L345" s="534"/>
      <c r="M345" s="458" t="str">
        <f t="shared" si="52"/>
        <v/>
      </c>
      <c r="N345" s="458"/>
      <c r="O345" s="458" t="str">
        <f t="shared" si="53"/>
        <v/>
      </c>
      <c r="P345" s="21"/>
    </row>
    <row r="346" spans="1:16" x14ac:dyDescent="0.35">
      <c r="A346" s="535" t="str">
        <f t="shared" si="51"/>
        <v/>
      </c>
      <c r="B346" s="337"/>
      <c r="C346" s="337"/>
      <c r="D346" s="326" t="s">
        <v>529</v>
      </c>
      <c r="E346" s="360" t="s">
        <v>775</v>
      </c>
      <c r="F346" s="18">
        <v>16</v>
      </c>
      <c r="G346" s="18" t="s">
        <v>73</v>
      </c>
      <c r="H346" s="335">
        <f>ROUND(($F$344)*((F346)/(($F$348)*(($F$349)/($F$349+$F$350))+
($F$348)*(($F$350)/($F$349+$F$350))+
($F$346)+($F$347)+($F$351))),2)</f>
        <v>0.51</v>
      </c>
      <c r="I346" s="335" t="s">
        <v>73</v>
      </c>
      <c r="J346" s="337"/>
      <c r="K346" s="672">
        <f>A301*H346</f>
        <v>54.06</v>
      </c>
      <c r="L346" s="534"/>
      <c r="M346" s="458" t="str">
        <f t="shared" si="52"/>
        <v/>
      </c>
      <c r="N346" s="458"/>
      <c r="O346" s="458" t="str">
        <f t="shared" si="53"/>
        <v/>
      </c>
      <c r="P346" s="21"/>
    </row>
    <row r="347" spans="1:16" x14ac:dyDescent="0.35">
      <c r="A347" s="535" t="str">
        <f t="shared" si="51"/>
        <v/>
      </c>
      <c r="B347" s="330"/>
      <c r="C347" s="330"/>
      <c r="D347" s="326" t="s">
        <v>333</v>
      </c>
      <c r="E347" s="366" t="s">
        <v>756</v>
      </c>
      <c r="F347" s="22">
        <v>70</v>
      </c>
      <c r="G347" s="22" t="s">
        <v>73</v>
      </c>
      <c r="H347" s="328">
        <f>ROUND(($F$344)*((F347)/(($F$348)*(($F$349)/($F$349+$F$350))+
($F$348)*(($F$350)/($F$349+$F$350))+
($F$346)+($F$347)+($F$351))),2)</f>
        <v>2.2200000000000002</v>
      </c>
      <c r="I347" s="328" t="s">
        <v>73</v>
      </c>
      <c r="J347" s="330"/>
      <c r="K347" s="673">
        <f>A301*H347</f>
        <v>235.32000000000002</v>
      </c>
      <c r="L347" s="534"/>
      <c r="M347" s="458" t="str">
        <f t="shared" si="52"/>
        <v/>
      </c>
      <c r="N347" s="458"/>
      <c r="O347" s="458" t="str">
        <f t="shared" si="53"/>
        <v/>
      </c>
      <c r="P347" s="21"/>
    </row>
    <row r="348" spans="1:16" x14ac:dyDescent="0.35">
      <c r="A348" s="535" t="str">
        <f t="shared" si="51"/>
        <v/>
      </c>
      <c r="B348" s="337"/>
      <c r="C348" s="337"/>
      <c r="D348" s="355"/>
      <c r="E348" s="567" t="s">
        <v>776</v>
      </c>
      <c r="F348" s="378">
        <v>200</v>
      </c>
      <c r="G348" s="378" t="s">
        <v>73</v>
      </c>
      <c r="H348" s="356"/>
      <c r="I348" s="356"/>
      <c r="J348" s="515"/>
      <c r="K348" s="674"/>
      <c r="L348" s="534"/>
      <c r="M348" s="458" t="str">
        <f t="shared" si="52"/>
        <v/>
      </c>
      <c r="N348" s="458"/>
      <c r="O348" s="458" t="str">
        <f t="shared" si="53"/>
        <v/>
      </c>
      <c r="P348" s="21"/>
    </row>
    <row r="349" spans="1:16" x14ac:dyDescent="0.35">
      <c r="A349" s="535" t="str">
        <f t="shared" si="51"/>
        <v/>
      </c>
      <c r="B349" s="330"/>
      <c r="C349" s="330"/>
      <c r="D349" s="326" t="s">
        <v>377</v>
      </c>
      <c r="E349" s="495" t="s">
        <v>777</v>
      </c>
      <c r="F349" s="22">
        <v>500</v>
      </c>
      <c r="G349" s="22" t="s">
        <v>73</v>
      </c>
      <c r="H349" s="328">
        <f>ROUND(($F$344)*(($F$348)*(($F$349)/($F$349+$F$350))
/(($F$348)*(($F$349)/($F$349+$F$350))+
($F$348)*(($F$350)/($F$349+$F$350))+
($F$346)+($F$347)+($F$351))),2)</f>
        <v>6.21</v>
      </c>
      <c r="I349" s="328" t="s">
        <v>73</v>
      </c>
      <c r="J349" s="330"/>
      <c r="K349" s="673">
        <f>A301*H349</f>
        <v>658.26</v>
      </c>
      <c r="L349" s="534"/>
      <c r="M349" s="458" t="str">
        <f t="shared" si="52"/>
        <v/>
      </c>
      <c r="N349" s="458"/>
      <c r="O349" s="458" t="str">
        <f t="shared" si="53"/>
        <v/>
      </c>
      <c r="P349" s="21"/>
    </row>
    <row r="350" spans="1:16" x14ac:dyDescent="0.35">
      <c r="A350" s="535" t="str">
        <f t="shared" si="51"/>
        <v/>
      </c>
      <c r="B350" s="337"/>
      <c r="C350" s="337"/>
      <c r="D350" s="326" t="s">
        <v>43</v>
      </c>
      <c r="E350" s="560" t="s">
        <v>105</v>
      </c>
      <c r="F350" s="18">
        <v>10</v>
      </c>
      <c r="G350" s="18" t="s">
        <v>73</v>
      </c>
      <c r="H350" s="335">
        <f>ROUND(($F$344)*(($F$348)*(($F$350)/($F$349+$F$350))
/(($F$348)*(($F$349)/($F$349+$F$350))+
($F$348)*(($F$350)/($F$349+$F$350))+
($F$346)+($F$347)+($F$351))),2)</f>
        <v>0.12</v>
      </c>
      <c r="I350" s="335" t="s">
        <v>73</v>
      </c>
      <c r="J350" s="337"/>
      <c r="K350" s="672">
        <f>A301*H350</f>
        <v>12.719999999999999</v>
      </c>
      <c r="L350" s="534"/>
      <c r="M350" s="458" t="str">
        <f t="shared" si="52"/>
        <v/>
      </c>
      <c r="N350" s="458"/>
      <c r="O350" s="458" t="str">
        <f t="shared" si="53"/>
        <v/>
      </c>
      <c r="P350" s="21"/>
    </row>
    <row r="351" spans="1:16" x14ac:dyDescent="0.35">
      <c r="A351" s="535" t="str">
        <f t="shared" si="51"/>
        <v/>
      </c>
      <c r="B351" s="330"/>
      <c r="C351" s="330"/>
      <c r="D351" s="326" t="s">
        <v>389</v>
      </c>
      <c r="E351" s="366" t="s">
        <v>778</v>
      </c>
      <c r="F351" s="22">
        <v>30</v>
      </c>
      <c r="G351" s="22" t="s">
        <v>73</v>
      </c>
      <c r="H351" s="328">
        <f>ROUND(($F$344)*(($F$351)/(($F$348)*(($F$349)/($F$349+$F$350))+
($F$348)*(($F$350)/($F$349+$F$350))+
($F$346)+($F$347)+($F$351))),2)</f>
        <v>0.95</v>
      </c>
      <c r="I351" s="328" t="s">
        <v>73</v>
      </c>
      <c r="J351" s="330"/>
      <c r="K351" s="673">
        <f>A301*H351</f>
        <v>100.69999999999999</v>
      </c>
      <c r="L351" s="534"/>
      <c r="M351" s="458" t="str">
        <f t="shared" si="52"/>
        <v/>
      </c>
      <c r="N351" s="458"/>
      <c r="O351" s="458" t="str">
        <f t="shared" si="53"/>
        <v/>
      </c>
      <c r="P351" s="21"/>
    </row>
    <row r="352" spans="1:16" x14ac:dyDescent="0.35">
      <c r="A352" s="535" t="str">
        <f t="shared" si="51"/>
        <v/>
      </c>
      <c r="B352" s="337"/>
      <c r="C352" s="337"/>
      <c r="D352" s="355"/>
      <c r="E352" s="549" t="s">
        <v>780</v>
      </c>
      <c r="F352" s="378">
        <v>20</v>
      </c>
      <c r="G352" s="378" t="s">
        <v>73</v>
      </c>
      <c r="H352" s="515"/>
      <c r="I352" s="356"/>
      <c r="J352" s="515"/>
      <c r="K352" s="674"/>
      <c r="L352" s="534"/>
      <c r="M352" s="458" t="str">
        <f t="shared" si="52"/>
        <v/>
      </c>
      <c r="N352" s="458"/>
      <c r="O352" s="458" t="str">
        <f t="shared" si="53"/>
        <v/>
      </c>
      <c r="P352" s="21"/>
    </row>
    <row r="353" spans="1:16" x14ac:dyDescent="0.35">
      <c r="A353" s="535" t="str">
        <f t="shared" si="51"/>
        <v/>
      </c>
      <c r="B353" s="330"/>
      <c r="C353" s="330"/>
      <c r="D353" s="326" t="s">
        <v>1068</v>
      </c>
      <c r="E353" s="366" t="s">
        <v>1069</v>
      </c>
      <c r="F353" s="22">
        <v>60</v>
      </c>
      <c r="G353" s="22" t="s">
        <v>73</v>
      </c>
      <c r="H353" s="328">
        <f>ROUND(($F$352)*((F353)/($F$353+$F$354)),2)</f>
        <v>8</v>
      </c>
      <c r="I353" s="328" t="s">
        <v>73</v>
      </c>
      <c r="J353" s="330"/>
      <c r="K353" s="673">
        <f>A301*H353</f>
        <v>848</v>
      </c>
      <c r="L353" s="534"/>
      <c r="M353" s="458" t="str">
        <f t="shared" si="52"/>
        <v/>
      </c>
      <c r="N353" s="458"/>
      <c r="O353" s="458" t="str">
        <f t="shared" si="53"/>
        <v/>
      </c>
      <c r="P353" s="21"/>
    </row>
    <row r="354" spans="1:16" x14ac:dyDescent="0.35">
      <c r="A354" s="535" t="str">
        <f t="shared" si="51"/>
        <v/>
      </c>
      <c r="B354" s="337"/>
      <c r="C354" s="337"/>
      <c r="D354" s="342"/>
      <c r="E354" s="362" t="s">
        <v>81</v>
      </c>
      <c r="F354" s="404">
        <v>90</v>
      </c>
      <c r="G354" s="404" t="s">
        <v>73</v>
      </c>
      <c r="H354" s="343">
        <f>ROUND(($F$352)*((F354)/($F$353+$F$354)),2)</f>
        <v>12</v>
      </c>
      <c r="I354" s="343"/>
      <c r="J354" s="345"/>
      <c r="K354" s="675"/>
      <c r="L354" s="534"/>
      <c r="M354" s="458" t="str">
        <f t="shared" si="52"/>
        <v/>
      </c>
      <c r="N354" s="458"/>
      <c r="O354" s="458" t="str">
        <f t="shared" si="53"/>
        <v/>
      </c>
      <c r="P354" s="21"/>
    </row>
    <row r="355" spans="1:16" x14ac:dyDescent="0.35">
      <c r="A355" s="535" t="str">
        <f t="shared" si="51"/>
        <v/>
      </c>
      <c r="B355" s="330"/>
      <c r="C355" s="330"/>
      <c r="D355" s="355"/>
      <c r="E355" s="549" t="s">
        <v>781</v>
      </c>
      <c r="F355" s="378">
        <v>35</v>
      </c>
      <c r="G355" s="378" t="s">
        <v>73</v>
      </c>
      <c r="H355" s="515"/>
      <c r="I355" s="356"/>
      <c r="J355" s="515"/>
      <c r="K355" s="674"/>
      <c r="L355" s="534"/>
      <c r="M355" s="458" t="str">
        <f t="shared" si="52"/>
        <v/>
      </c>
      <c r="N355" s="458"/>
      <c r="O355" s="458" t="str">
        <f t="shared" si="53"/>
        <v/>
      </c>
      <c r="P355" s="21"/>
    </row>
    <row r="356" spans="1:16" x14ac:dyDescent="0.35">
      <c r="A356" s="535" t="str">
        <f t="shared" si="51"/>
        <v/>
      </c>
      <c r="B356" s="337"/>
      <c r="C356" s="337"/>
      <c r="D356" s="326" t="s">
        <v>262</v>
      </c>
      <c r="E356" s="360" t="s">
        <v>782</v>
      </c>
      <c r="F356" s="18">
        <v>100</v>
      </c>
      <c r="G356" s="18" t="s">
        <v>73</v>
      </c>
      <c r="H356" s="335">
        <f>ROUND(($F$355)*((F356)/($F$356+$F$357)),2)</f>
        <v>17.5</v>
      </c>
      <c r="I356" s="335" t="s">
        <v>73</v>
      </c>
      <c r="J356" s="337"/>
      <c r="K356" s="672">
        <f>A301*H356</f>
        <v>1855</v>
      </c>
      <c r="L356" s="534"/>
      <c r="M356" s="458" t="str">
        <f t="shared" si="52"/>
        <v/>
      </c>
      <c r="N356" s="458"/>
      <c r="O356" s="458" t="str">
        <f t="shared" si="53"/>
        <v/>
      </c>
      <c r="P356" s="21"/>
    </row>
    <row r="357" spans="1:16" ht="15" thickBot="1" x14ac:dyDescent="0.4">
      <c r="A357" s="535" t="str">
        <f t="shared" si="51"/>
        <v/>
      </c>
      <c r="B357" s="330"/>
      <c r="C357" s="330"/>
      <c r="D357" s="326" t="s">
        <v>676</v>
      </c>
      <c r="E357" s="366" t="s">
        <v>727</v>
      </c>
      <c r="F357" s="22">
        <v>100</v>
      </c>
      <c r="G357" s="22" t="s">
        <v>73</v>
      </c>
      <c r="H357" s="328">
        <f>ROUND(($F$355)*((F357)/($F$356+$F$357)),2)</f>
        <v>17.5</v>
      </c>
      <c r="I357" s="328" t="s">
        <v>73</v>
      </c>
      <c r="J357" s="330"/>
      <c r="K357" s="673">
        <f>A301*H357</f>
        <v>1855</v>
      </c>
      <c r="L357" s="534"/>
      <c r="M357" s="458" t="str">
        <f t="shared" si="52"/>
        <v/>
      </c>
      <c r="N357" s="458"/>
      <c r="O357" s="458" t="str">
        <f t="shared" si="53"/>
        <v/>
      </c>
      <c r="P357" s="21"/>
    </row>
    <row r="358" spans="1:16" ht="15.5" thickTop="1" thickBot="1" x14ac:dyDescent="0.4">
      <c r="A358" s="545" t="str">
        <f t="shared" si="51"/>
        <v/>
      </c>
      <c r="B358" s="574"/>
      <c r="C358" s="574"/>
      <c r="D358" s="575"/>
      <c r="E358" s="576"/>
      <c r="F358" s="577"/>
      <c r="G358" s="577"/>
      <c r="H358" s="574"/>
      <c r="I358" s="574"/>
      <c r="J358" s="574"/>
      <c r="K358" s="683"/>
      <c r="L358" s="535"/>
      <c r="M358" s="552" t="str">
        <f t="shared" si="52"/>
        <v/>
      </c>
      <c r="N358" s="552"/>
      <c r="O358" s="552" t="str">
        <f t="shared" si="53"/>
        <v/>
      </c>
      <c r="P358" s="39"/>
    </row>
    <row r="359" spans="1:16" ht="15" thickTop="1" x14ac:dyDescent="0.35">
      <c r="A359" s="565">
        <f>IFERROR(INDEX($Q$17:$Q$150,MATCH(B359,$R$17:$R$150, 0)), "")</f>
        <v>33</v>
      </c>
      <c r="B359" s="382" t="s">
        <v>1287</v>
      </c>
      <c r="C359" s="107" t="s">
        <v>783</v>
      </c>
      <c r="D359" s="347" t="s">
        <v>748</v>
      </c>
      <c r="E359" s="566" t="s">
        <v>749</v>
      </c>
      <c r="F359" s="438">
        <v>1</v>
      </c>
      <c r="G359" s="438" t="s">
        <v>1072</v>
      </c>
      <c r="H359" s="439">
        <v>1</v>
      </c>
      <c r="I359" s="439" t="s">
        <v>1072</v>
      </c>
      <c r="J359" s="533"/>
      <c r="K359" s="679">
        <f>A359*H359</f>
        <v>33</v>
      </c>
      <c r="L359" s="563"/>
      <c r="M359" s="564" t="str">
        <f t="shared" si="52"/>
        <v/>
      </c>
      <c r="N359" s="564"/>
      <c r="O359" s="564" t="str">
        <f t="shared" si="53"/>
        <v/>
      </c>
      <c r="P359" s="42"/>
    </row>
    <row r="360" spans="1:16" x14ac:dyDescent="0.35">
      <c r="A360" s="535"/>
      <c r="B360" s="337"/>
      <c r="C360" s="337"/>
      <c r="D360" s="326" t="s">
        <v>373</v>
      </c>
      <c r="E360" s="536" t="s">
        <v>772</v>
      </c>
      <c r="F360" s="18">
        <v>20</v>
      </c>
      <c r="G360" s="18" t="s">
        <v>73</v>
      </c>
      <c r="H360" s="335">
        <v>20</v>
      </c>
      <c r="I360" s="335" t="s">
        <v>73</v>
      </c>
      <c r="J360" s="337"/>
      <c r="K360" s="680">
        <f>A359*H360</f>
        <v>660</v>
      </c>
      <c r="L360" s="563"/>
      <c r="M360" s="564" t="str">
        <f t="shared" si="52"/>
        <v/>
      </c>
      <c r="N360" s="564"/>
      <c r="O360" s="564" t="str">
        <f t="shared" si="53"/>
        <v/>
      </c>
      <c r="P360" s="43"/>
    </row>
    <row r="361" spans="1:16" x14ac:dyDescent="0.35">
      <c r="A361" s="535"/>
      <c r="B361" s="330"/>
      <c r="C361" s="330"/>
      <c r="D361" s="326" t="s">
        <v>398</v>
      </c>
      <c r="E361" s="544" t="s">
        <v>784</v>
      </c>
      <c r="F361" s="22">
        <v>12</v>
      </c>
      <c r="G361" s="22" t="s">
        <v>73</v>
      </c>
      <c r="H361" s="328">
        <v>12</v>
      </c>
      <c r="I361" s="328" t="s">
        <v>73</v>
      </c>
      <c r="J361" s="330"/>
      <c r="K361" s="681">
        <f>A359*H361</f>
        <v>396</v>
      </c>
      <c r="L361" s="563"/>
      <c r="M361" s="564" t="str">
        <f t="shared" si="52"/>
        <v/>
      </c>
      <c r="N361" s="564"/>
      <c r="O361" s="564" t="str">
        <f t="shared" si="53"/>
        <v/>
      </c>
      <c r="P361" s="43"/>
    </row>
    <row r="362" spans="1:16" x14ac:dyDescent="0.35">
      <c r="A362" s="535"/>
      <c r="B362" s="337"/>
      <c r="C362" s="337"/>
      <c r="D362" s="326" t="s">
        <v>41</v>
      </c>
      <c r="E362" s="536" t="s">
        <v>779</v>
      </c>
      <c r="F362" s="18">
        <v>2</v>
      </c>
      <c r="G362" s="18" t="s">
        <v>73</v>
      </c>
      <c r="H362" s="335">
        <v>2</v>
      </c>
      <c r="I362" s="335" t="s">
        <v>73</v>
      </c>
      <c r="J362" s="337"/>
      <c r="K362" s="680">
        <f>A359*H362</f>
        <v>66</v>
      </c>
      <c r="L362" s="563"/>
      <c r="M362" s="564" t="str">
        <f t="shared" si="52"/>
        <v/>
      </c>
      <c r="N362" s="564"/>
      <c r="O362" s="564" t="str">
        <f t="shared" si="53"/>
        <v/>
      </c>
      <c r="P362" s="43"/>
    </row>
    <row r="363" spans="1:16" x14ac:dyDescent="0.35">
      <c r="A363" s="535"/>
      <c r="B363" s="330"/>
      <c r="C363" s="330"/>
      <c r="D363" s="326" t="s">
        <v>491</v>
      </c>
      <c r="E363" s="327" t="s">
        <v>750</v>
      </c>
      <c r="F363" s="22">
        <v>1.25</v>
      </c>
      <c r="G363" s="22" t="s">
        <v>1072</v>
      </c>
      <c r="H363" s="328">
        <v>1.25</v>
      </c>
      <c r="I363" s="328" t="s">
        <v>1072</v>
      </c>
      <c r="J363" s="330"/>
      <c r="K363" s="681">
        <f>A359*H363</f>
        <v>41.25</v>
      </c>
      <c r="L363" s="563"/>
      <c r="M363" s="564" t="str">
        <f t="shared" si="52"/>
        <v/>
      </c>
      <c r="N363" s="564"/>
      <c r="O363" s="564" t="str">
        <f t="shared" si="53"/>
        <v/>
      </c>
      <c r="P363" s="43"/>
    </row>
    <row r="364" spans="1:16" x14ac:dyDescent="0.35">
      <c r="A364" s="535"/>
      <c r="B364" s="337"/>
      <c r="C364" s="337"/>
      <c r="D364" s="355"/>
      <c r="E364" s="549" t="s">
        <v>751</v>
      </c>
      <c r="F364" s="378">
        <v>100</v>
      </c>
      <c r="G364" s="378" t="s">
        <v>73</v>
      </c>
      <c r="H364" s="356"/>
      <c r="I364" s="515"/>
      <c r="J364" s="515"/>
      <c r="K364" s="684"/>
      <c r="L364" s="563"/>
      <c r="M364" s="564" t="str">
        <f t="shared" si="52"/>
        <v/>
      </c>
      <c r="N364" s="564"/>
      <c r="O364" s="564" t="str">
        <f t="shared" si="53"/>
        <v/>
      </c>
      <c r="P364" s="43"/>
    </row>
    <row r="365" spans="1:16" x14ac:dyDescent="0.35">
      <c r="A365" s="535"/>
      <c r="B365" s="330"/>
      <c r="C365" s="330"/>
      <c r="D365" s="355"/>
      <c r="E365" s="567" t="s">
        <v>754</v>
      </c>
      <c r="F365" s="356">
        <v>2100</v>
      </c>
      <c r="G365" s="378" t="s">
        <v>73</v>
      </c>
      <c r="H365" s="356"/>
      <c r="I365" s="515"/>
      <c r="J365" s="515"/>
      <c r="K365" s="684"/>
      <c r="L365" s="563"/>
      <c r="M365" s="564" t="str">
        <f t="shared" si="52"/>
        <v/>
      </c>
      <c r="N365" s="564"/>
      <c r="O365" s="564" t="str">
        <f t="shared" si="53"/>
        <v/>
      </c>
      <c r="P365" s="43"/>
    </row>
    <row r="366" spans="1:16" x14ac:dyDescent="0.35">
      <c r="A366" s="535"/>
      <c r="B366" s="337"/>
      <c r="C366" s="337"/>
      <c r="D366" s="342"/>
      <c r="E366" s="561" t="s">
        <v>81</v>
      </c>
      <c r="F366" s="404">
        <v>1300</v>
      </c>
      <c r="G366" s="404" t="s">
        <v>73</v>
      </c>
      <c r="H366" s="343">
        <f>ROUND(($F$364)*((($F$365)*(($F$366)/($F$366+$F$367+$F$368)))
/((($F$365)*(($F$366)/($F$366+$F$367+$F$368)))+
(($F$365)*(($F$367)/($F$366+$F$367+$F$368)))+
(($F$365)*(($F$368)/($F$366+$F$367+$F$368)))+
(($F$369)*(($F$370)/($F$370+$F$371+$F$372+$F$373)))+
(($F$369)*(($F$371)/($F$370+$F$371+$F$372+$F$373)))+
(($F$369)*(($F$372)/($F$370+$F$371+$F$372+$F$373)))+
(($F$369)*(($F$373)/($F$370+$F$371+$F$372+$F$373)))+
($F$374)+($F$375))),2)</f>
        <v>53.47</v>
      </c>
      <c r="I366" s="345"/>
      <c r="J366" s="345"/>
      <c r="K366" s="685"/>
      <c r="L366" s="563"/>
      <c r="M366" s="564" t="str">
        <f t="shared" si="52"/>
        <v/>
      </c>
      <c r="N366" s="564"/>
      <c r="O366" s="564" t="str">
        <f t="shared" si="53"/>
        <v/>
      </c>
      <c r="P366" s="43"/>
    </row>
    <row r="367" spans="1:16" x14ac:dyDescent="0.35">
      <c r="A367" s="535"/>
      <c r="B367" s="330"/>
      <c r="C367" s="330"/>
      <c r="D367" s="326" t="s">
        <v>1660</v>
      </c>
      <c r="E367" s="495" t="s">
        <v>1897</v>
      </c>
      <c r="F367" s="22">
        <v>1000</v>
      </c>
      <c r="G367" s="22" t="s">
        <v>73</v>
      </c>
      <c r="H367" s="328">
        <f>ROUND(($F$364)*((($F$365)*(($F$367)/($F$366+$F$367+$F$368)))
/((($F$365)*(($F$366)/($F$366+$F$367+$F$368)))+
(($F$365)*(($F$367)/($F$366+$F$367+$F$368)))+
(($F$365)*(($F$368)/($F$366+$F$367+$F$368)))+
(($F$369)*(($F$370)/($F$370+$F$371+$F$372+$F$373)))+
(($F$369)*(($F$371)/($F$370+$F$371+$F$372+$F$373)))+
(($F$369)*(($F$372)/($F$370+$F$371+$F$372+$F$373)))+
(($F$369)*(($F$373)/($F$370+$F$371+$F$372+$F$373)))+
($F$374)+($F$375))),2)</f>
        <v>41.13</v>
      </c>
      <c r="I367" s="328" t="s">
        <v>73</v>
      </c>
      <c r="J367" s="330"/>
      <c r="K367" s="681">
        <f>A359*H367</f>
        <v>1357.2900000000002</v>
      </c>
      <c r="L367" s="563"/>
      <c r="M367" s="564" t="str">
        <f t="shared" si="52"/>
        <v/>
      </c>
      <c r="N367" s="564"/>
      <c r="O367" s="564" t="str">
        <f t="shared" si="53"/>
        <v/>
      </c>
      <c r="P367" s="43"/>
    </row>
    <row r="368" spans="1:16" x14ac:dyDescent="0.35">
      <c r="A368" s="535"/>
      <c r="B368" s="337"/>
      <c r="C368" s="337"/>
      <c r="D368" s="326"/>
      <c r="E368" s="560" t="s">
        <v>753</v>
      </c>
      <c r="F368" s="18">
        <v>0</v>
      </c>
      <c r="G368" s="18" t="s">
        <v>73</v>
      </c>
      <c r="H368" s="335">
        <f>ROUND(($F$364)*((($F$365)*(($F$368)/($F$366+$F$367+$F$368)))
/((($F$365)*(($F$366)/($F$366+$F$367+$F$368)))+
(($F$365)*(($F$367)/($F$366+$F$367+$F$368)))+
(($F$365)*(($F$368)/($F$366+$F$367+$F$368)))+
(($F$369)*(($F$370)/($F$370+$F$371+$F$372+$F$373)))+
(($F$369)*(($F$371)/($F$370+$F$371+$F$372+$F$373)))+
(($F$369)*(($F$372)/($F$370+$F$371+$F$372+$F$373)))+
(($F$369)*(($F$373)/($F$370+$F$371+$F$372+$F$373)))+
($F$374)+($F$375))),2)</f>
        <v>0</v>
      </c>
      <c r="I368" s="335" t="s">
        <v>73</v>
      </c>
      <c r="J368" s="337"/>
      <c r="K368" s="680">
        <f>A359*H368</f>
        <v>0</v>
      </c>
      <c r="L368" s="563"/>
      <c r="M368" s="564" t="str">
        <f t="shared" si="52"/>
        <v/>
      </c>
      <c r="N368" s="564"/>
      <c r="O368" s="564" t="str">
        <f t="shared" si="53"/>
        <v/>
      </c>
      <c r="P368" s="43"/>
    </row>
    <row r="369" spans="1:16" x14ac:dyDescent="0.35">
      <c r="A369" s="535"/>
      <c r="B369" s="330"/>
      <c r="C369" s="330"/>
      <c r="D369" s="355"/>
      <c r="E369" s="567" t="s">
        <v>755</v>
      </c>
      <c r="F369" s="378">
        <v>55</v>
      </c>
      <c r="G369" s="378" t="s">
        <v>73</v>
      </c>
      <c r="H369" s="356"/>
      <c r="I369" s="356"/>
      <c r="J369" s="515"/>
      <c r="K369" s="684"/>
      <c r="L369" s="563"/>
      <c r="M369" s="564" t="str">
        <f t="shared" si="52"/>
        <v/>
      </c>
      <c r="N369" s="564"/>
      <c r="O369" s="564" t="str">
        <f t="shared" si="53"/>
        <v/>
      </c>
      <c r="P369" s="43"/>
    </row>
    <row r="370" spans="1:16" x14ac:dyDescent="0.35">
      <c r="A370" s="535"/>
      <c r="B370" s="337"/>
      <c r="C370" s="337"/>
      <c r="D370" s="326" t="s">
        <v>333</v>
      </c>
      <c r="E370" s="560" t="s">
        <v>756</v>
      </c>
      <c r="F370" s="18">
        <v>20</v>
      </c>
      <c r="G370" s="18" t="s">
        <v>73</v>
      </c>
      <c r="H370" s="335">
        <f>ROUND(($F$364)*((($F$369)*(($F$370)/($F$370+$F$371+$F$372+$F$373)))
/((($F$365)*(($F$366)/($F$366+$F$367+$F$368)))+
(($F$365)*(($F$367)/($F$366+$F$367+$F$368)))+
(($F$365)*(($F$368)/($F$366+$F$367+$F$368)))+
(($F$369)*(($F$370)/($F$370+$F$371+$F$372+$F$373)))+
(($F$369)*(($F$371)/($F$370+$F$371+$F$372+$F$373)))+
(($F$369)*(($F$372)/($F$370+$F$371+$F$372+$F$373)))+
(($F$369)*(($F$373)/($F$370+$F$371+$F$372+$F$373)))+
($F$374)+($F$375))),2)</f>
        <v>0.2</v>
      </c>
      <c r="I370" s="335" t="s">
        <v>73</v>
      </c>
      <c r="J370" s="337"/>
      <c r="K370" s="680">
        <f>A359*H370</f>
        <v>6.6000000000000005</v>
      </c>
      <c r="L370" s="563"/>
      <c r="M370" s="564" t="str">
        <f t="shared" si="52"/>
        <v/>
      </c>
      <c r="N370" s="564"/>
      <c r="O370" s="564" t="str">
        <f t="shared" si="53"/>
        <v/>
      </c>
      <c r="P370" s="43"/>
    </row>
    <row r="371" spans="1:16" x14ac:dyDescent="0.35">
      <c r="A371" s="535"/>
      <c r="B371" s="330"/>
      <c r="C371" s="330"/>
      <c r="D371" s="326" t="s">
        <v>43</v>
      </c>
      <c r="E371" s="495" t="s">
        <v>105</v>
      </c>
      <c r="F371" s="22">
        <v>20</v>
      </c>
      <c r="G371" s="22" t="s">
        <v>73</v>
      </c>
      <c r="H371" s="328">
        <f>ROUND(($F$364)*((($F$369)*(($F$371)/($F$370+$F$371+$F$372+$F$373)))
/((($F$365)*(($F$366)/($F$366+$F$367+$F$368)))+
(($F$365)*(($F$367)/($F$366+$F$367+$F$368)))+
(($F$365)*(($F$368)/($F$366+$F$367+$F$368)))+
(($F$369)*(($F$370)/($F$370+$F$371+$F$372+$F$373)))+
(($F$369)*(($F$371)/($F$370+$F$371+$F$372+$F$373)))+
(($F$369)*(($F$372)/($F$370+$F$371+$F$372+$F$373)))+
(($F$369)*(($F$373)/($F$370+$F$371+$F$372+$F$373)))+
($F$374)+($F$375))),2)</f>
        <v>0.2</v>
      </c>
      <c r="I371" s="328" t="s">
        <v>73</v>
      </c>
      <c r="J371" s="330"/>
      <c r="K371" s="681">
        <f>A359*H371</f>
        <v>6.6000000000000005</v>
      </c>
      <c r="L371" s="563"/>
      <c r="M371" s="564" t="str">
        <f t="shared" si="52"/>
        <v/>
      </c>
      <c r="N371" s="564"/>
      <c r="O371" s="564" t="str">
        <f t="shared" si="53"/>
        <v/>
      </c>
      <c r="P371" s="43"/>
    </row>
    <row r="372" spans="1:16" x14ac:dyDescent="0.35">
      <c r="A372" s="535"/>
      <c r="B372" s="337"/>
      <c r="C372" s="337"/>
      <c r="D372" s="326" t="s">
        <v>42</v>
      </c>
      <c r="E372" s="560" t="s">
        <v>66</v>
      </c>
      <c r="F372" s="18">
        <v>2</v>
      </c>
      <c r="G372" s="18" t="s">
        <v>73</v>
      </c>
      <c r="H372" s="335">
        <f>ROUND(($F$364)*((($F$369)*(($F$372)/($F$370+$F$371+$F$372+$F$373)))
/((($F$365)*(($F$366)/($F$366+$F$367+$F$368)))+
(($F$365)*(($F$367)/($F$366+$F$367+$F$368)))+
(($F$365)*(($F$368)/($F$366+$F$367+$F$368)))+
(($F$369)*(($F$370)/($F$370+$F$371+$F$372+$F$373)))+
(($F$369)*(($F$371)/($F$370+$F$371+$F$372+$F$373)))+
(($F$369)*(($F$372)/($F$370+$F$371+$F$372+$F$373)))+
(($F$369)*(($F$373)/($F$370+$F$371+$F$372+$F$373)))+
($F$374)+($F$375))),2)</f>
        <v>0.02</v>
      </c>
      <c r="I372" s="335" t="s">
        <v>73</v>
      </c>
      <c r="J372" s="337"/>
      <c r="K372" s="680">
        <f>A359*H372</f>
        <v>0.66</v>
      </c>
      <c r="L372" s="563"/>
      <c r="M372" s="564" t="str">
        <f t="shared" si="52"/>
        <v/>
      </c>
      <c r="N372" s="564"/>
      <c r="O372" s="564" t="str">
        <f t="shared" si="53"/>
        <v/>
      </c>
      <c r="P372" s="43"/>
    </row>
    <row r="373" spans="1:16" x14ac:dyDescent="0.35">
      <c r="A373" s="535"/>
      <c r="B373" s="330"/>
      <c r="C373" s="330"/>
      <c r="D373" s="342"/>
      <c r="E373" s="561" t="s">
        <v>81</v>
      </c>
      <c r="F373" s="404">
        <v>200</v>
      </c>
      <c r="G373" s="404" t="s">
        <v>73</v>
      </c>
      <c r="H373" s="343">
        <f>ROUND(($F$364)*((($F$369)*(($F$373)/($F$370+$F$371+$F$372+$F$373)))
/((($F$365)*(($F$366)/($F$366+$F$367+$F$368)))+
(($F$365)*(($F$367)/($F$366+$F$367+$F$368)))+
(($F$365)*(($F$368)/($F$366+$F$367+$F$368)))+
(($F$369)*(($F$370)/($F$370+$F$371+$F$372+$F$373)))+
(($F$369)*(($F$371)/($F$370+$F$371+$F$372+$F$373)))+
(($F$369)*(($F$372)/($F$370+$F$371+$F$372+$F$373)))+
(($F$369)*(($F$373)/($F$370+$F$371+$F$372+$F$373)))+
($F$374)+($F$375))),2)</f>
        <v>2.0499999999999998</v>
      </c>
      <c r="I373" s="343"/>
      <c r="J373" s="345"/>
      <c r="K373" s="685"/>
      <c r="L373" s="563"/>
      <c r="M373" s="564" t="str">
        <f t="shared" si="52"/>
        <v/>
      </c>
      <c r="N373" s="564"/>
      <c r="O373" s="564" t="str">
        <f t="shared" si="53"/>
        <v/>
      </c>
      <c r="P373" s="43"/>
    </row>
    <row r="374" spans="1:16" x14ac:dyDescent="0.35">
      <c r="A374" s="535"/>
      <c r="B374" s="337"/>
      <c r="C374" s="337"/>
      <c r="D374" s="326" t="s">
        <v>41</v>
      </c>
      <c r="E374" s="360" t="s">
        <v>757</v>
      </c>
      <c r="F374" s="18">
        <v>55</v>
      </c>
      <c r="G374" s="18" t="s">
        <v>73</v>
      </c>
      <c r="H374" s="335">
        <f>ROUND(($F$364)*((F374)/((($F$365)*(($F$366)/($F$366+$F$367+$F$368)))+
(($F$365)*(($F$367)/($F$366+$F$367+$F$368)))+
(($F$365)*(($F$368)/($F$366+$F$367+$F$368)))+
(($F$369)*(($F$370)/($F$370+$F$371+$F$372+$F$373)))+
(($F$369)*(($F$371)/($F$370+$F$371+$F$372+$F$373)))+
(($F$369)*(($F$372)/($F$370+$F$371+$F$372+$F$373)))+
(($F$369)*(($F$373)/($F$370+$F$371+$F$372+$F$373)))+
($F$374)+($F$375))),2)</f>
        <v>2.48</v>
      </c>
      <c r="I374" s="335" t="s">
        <v>73</v>
      </c>
      <c r="J374" s="337"/>
      <c r="K374" s="680">
        <f>A359*H374</f>
        <v>81.84</v>
      </c>
      <c r="L374" s="563"/>
      <c r="M374" s="564" t="str">
        <f t="shared" si="52"/>
        <v/>
      </c>
      <c r="N374" s="564"/>
      <c r="O374" s="564" t="str">
        <f t="shared" si="53"/>
        <v/>
      </c>
      <c r="P374" s="43"/>
    </row>
    <row r="375" spans="1:16" x14ac:dyDescent="0.35">
      <c r="A375" s="535"/>
      <c r="B375" s="330"/>
      <c r="C375" s="330"/>
      <c r="D375" s="326" t="s">
        <v>505</v>
      </c>
      <c r="E375" s="366" t="s">
        <v>758</v>
      </c>
      <c r="F375" s="22">
        <v>10</v>
      </c>
      <c r="G375" s="22" t="s">
        <v>73</v>
      </c>
      <c r="H375" s="328">
        <f>ROUND(($F$364)*((F375)/((($F$365)*(($F$366)/($F$366+$F$367+$F$368)))+
(($F$365)*(($F$367)/($F$366+$F$367+$F$368)))+
(($F$365)*(($F$368)/($F$366+$F$367+$F$368)))+
(($F$369)*(($F$370)/($F$370+$F$371+$F$372+$F$373)))+
(($F$369)*(($F$371)/($F$370+$F$371+$F$372+$F$373)))+
(($F$369)*(($F$372)/($F$370+$F$371+$F$372+$F$373)))+
(($F$369)*(($F$373)/($F$370+$F$371+$F$372+$F$373)))+
($F$374)+($F$375))),2)</f>
        <v>0.45</v>
      </c>
      <c r="I375" s="328" t="s">
        <v>73</v>
      </c>
      <c r="J375" s="330"/>
      <c r="K375" s="681">
        <f>A359*H375</f>
        <v>14.85</v>
      </c>
      <c r="L375" s="563"/>
      <c r="M375" s="564" t="str">
        <f t="shared" si="52"/>
        <v/>
      </c>
      <c r="N375" s="564"/>
      <c r="O375" s="564" t="str">
        <f t="shared" si="53"/>
        <v/>
      </c>
      <c r="P375" s="43"/>
    </row>
    <row r="376" spans="1:16" x14ac:dyDescent="0.35">
      <c r="A376" s="535"/>
      <c r="B376" s="337"/>
      <c r="C376" s="337"/>
      <c r="D376" s="355"/>
      <c r="E376" s="549" t="s">
        <v>759</v>
      </c>
      <c r="F376" s="378">
        <v>30</v>
      </c>
      <c r="G376" s="378" t="s">
        <v>73</v>
      </c>
      <c r="H376" s="515"/>
      <c r="I376" s="356"/>
      <c r="J376" s="515"/>
      <c r="K376" s="684"/>
      <c r="L376" s="563"/>
      <c r="M376" s="564" t="str">
        <f t="shared" si="52"/>
        <v/>
      </c>
      <c r="N376" s="564"/>
      <c r="O376" s="564" t="str">
        <f t="shared" si="53"/>
        <v/>
      </c>
      <c r="P376" s="43"/>
    </row>
    <row r="377" spans="1:16" x14ac:dyDescent="0.35">
      <c r="A377" s="535"/>
      <c r="B377" s="330"/>
      <c r="C377" s="330"/>
      <c r="D377" s="342"/>
      <c r="E377" s="362" t="s">
        <v>81</v>
      </c>
      <c r="F377" s="404">
        <v>1000</v>
      </c>
      <c r="G377" s="404" t="s">
        <v>73</v>
      </c>
      <c r="H377" s="345"/>
      <c r="I377" s="343"/>
      <c r="J377" s="345"/>
      <c r="K377" s="685"/>
      <c r="L377" s="563"/>
      <c r="M377" s="564" t="str">
        <f t="shared" si="52"/>
        <v/>
      </c>
      <c r="N377" s="564"/>
      <c r="O377" s="564" t="str">
        <f t="shared" si="53"/>
        <v/>
      </c>
      <c r="P377" s="43"/>
    </row>
    <row r="378" spans="1:16" x14ac:dyDescent="0.35">
      <c r="A378" s="535"/>
      <c r="B378" s="337"/>
      <c r="C378" s="337"/>
      <c r="D378" s="326" t="s">
        <v>43</v>
      </c>
      <c r="E378" s="360" t="s">
        <v>105</v>
      </c>
      <c r="F378" s="18">
        <v>10</v>
      </c>
      <c r="G378" s="18" t="s">
        <v>73</v>
      </c>
      <c r="H378" s="335">
        <f>ROUND((($F$376)*((F378)/($F$378+$F$379+$F$380))),2)</f>
        <v>0.28999999999999998</v>
      </c>
      <c r="I378" s="335" t="s">
        <v>73</v>
      </c>
      <c r="J378" s="337"/>
      <c r="K378" s="680">
        <f>A359*H378</f>
        <v>9.5699999999999985</v>
      </c>
      <c r="L378" s="563"/>
      <c r="M378" s="564" t="str">
        <f t="shared" si="52"/>
        <v/>
      </c>
      <c r="N378" s="564"/>
      <c r="O378" s="564" t="str">
        <f t="shared" si="53"/>
        <v/>
      </c>
      <c r="P378" s="43"/>
    </row>
    <row r="379" spans="1:16" x14ac:dyDescent="0.35">
      <c r="A379" s="535"/>
      <c r="B379" s="330"/>
      <c r="C379" s="330"/>
      <c r="D379" s="326" t="s">
        <v>41</v>
      </c>
      <c r="E379" s="366" t="s">
        <v>760</v>
      </c>
      <c r="F379" s="22">
        <v>25</v>
      </c>
      <c r="G379" s="22" t="s">
        <v>73</v>
      </c>
      <c r="H379" s="328">
        <f t="shared" ref="H379:H380" si="54">ROUND((($F$376)*((F379)/($F$378+$F$379+$F$380))),2)</f>
        <v>0.72</v>
      </c>
      <c r="I379" s="328" t="s">
        <v>73</v>
      </c>
      <c r="J379" s="330"/>
      <c r="K379" s="681">
        <f>A359*H379</f>
        <v>23.759999999999998</v>
      </c>
      <c r="L379" s="563"/>
      <c r="M379" s="564" t="str">
        <f t="shared" si="52"/>
        <v/>
      </c>
      <c r="N379" s="564"/>
      <c r="O379" s="564" t="str">
        <f t="shared" si="53"/>
        <v/>
      </c>
      <c r="P379" s="43"/>
    </row>
    <row r="380" spans="1:16" x14ac:dyDescent="0.35">
      <c r="A380" s="535"/>
      <c r="B380" s="337"/>
      <c r="C380" s="337"/>
      <c r="D380" s="326" t="s">
        <v>371</v>
      </c>
      <c r="E380" s="360" t="s">
        <v>761</v>
      </c>
      <c r="F380" s="18">
        <v>1000</v>
      </c>
      <c r="G380" s="18" t="s">
        <v>73</v>
      </c>
      <c r="H380" s="335">
        <f t="shared" si="54"/>
        <v>28.99</v>
      </c>
      <c r="I380" s="335" t="s">
        <v>73</v>
      </c>
      <c r="J380" s="337"/>
      <c r="K380" s="680">
        <f>A359*H380</f>
        <v>956.67</v>
      </c>
      <c r="L380" s="563"/>
      <c r="M380" s="564" t="str">
        <f t="shared" si="52"/>
        <v/>
      </c>
      <c r="N380" s="564"/>
      <c r="O380" s="564" t="str">
        <f t="shared" si="53"/>
        <v/>
      </c>
      <c r="P380" s="43"/>
    </row>
    <row r="381" spans="1:16" x14ac:dyDescent="0.35">
      <c r="A381" s="535"/>
      <c r="B381" s="330"/>
      <c r="C381" s="330"/>
      <c r="D381" s="355"/>
      <c r="E381" s="549" t="s">
        <v>762</v>
      </c>
      <c r="F381" s="378">
        <v>15</v>
      </c>
      <c r="G381" s="378" t="s">
        <v>73</v>
      </c>
      <c r="H381" s="515"/>
      <c r="I381" s="356"/>
      <c r="J381" s="515"/>
      <c r="K381" s="684"/>
      <c r="L381" s="563"/>
      <c r="M381" s="564" t="str">
        <f t="shared" si="52"/>
        <v/>
      </c>
      <c r="N381" s="564"/>
      <c r="O381" s="564" t="str">
        <f t="shared" si="53"/>
        <v/>
      </c>
      <c r="P381" s="43"/>
    </row>
    <row r="382" spans="1:16" x14ac:dyDescent="0.35">
      <c r="A382" s="535"/>
      <c r="B382" s="337"/>
      <c r="C382" s="337"/>
      <c r="D382" s="342"/>
      <c r="E382" s="362" t="s">
        <v>81</v>
      </c>
      <c r="F382" s="404">
        <v>500</v>
      </c>
      <c r="G382" s="404" t="s">
        <v>73</v>
      </c>
      <c r="H382" s="343"/>
      <c r="I382" s="343"/>
      <c r="J382" s="345"/>
      <c r="K382" s="685"/>
      <c r="L382" s="563"/>
      <c r="M382" s="564" t="str">
        <f t="shared" si="52"/>
        <v/>
      </c>
      <c r="N382" s="564"/>
      <c r="O382" s="564" t="str">
        <f t="shared" si="53"/>
        <v/>
      </c>
      <c r="P382" s="43"/>
    </row>
    <row r="383" spans="1:16" x14ac:dyDescent="0.35">
      <c r="A383" s="535"/>
      <c r="B383" s="330"/>
      <c r="C383" s="330"/>
      <c r="D383" s="326" t="s">
        <v>333</v>
      </c>
      <c r="E383" s="366" t="s">
        <v>756</v>
      </c>
      <c r="F383" s="22">
        <v>15</v>
      </c>
      <c r="G383" s="22" t="s">
        <v>73</v>
      </c>
      <c r="H383" s="328">
        <f>ROUND(($F$381)*((F383)/((($F$385)*(($F$386)/($F$386+$F$387)))+
(($F$385)*(($F$387)/($F$386+$F$387)))+
($F$383)+($F$384)+($F$388)+($F$389)+($F$390)+($F$391)+($F$392))),2)</f>
        <v>0.76</v>
      </c>
      <c r="I383" s="328" t="s">
        <v>73</v>
      </c>
      <c r="J383" s="330"/>
      <c r="K383" s="681">
        <f>A359*H383</f>
        <v>25.080000000000002</v>
      </c>
      <c r="L383" s="563"/>
      <c r="M383" s="564" t="str">
        <f t="shared" si="52"/>
        <v/>
      </c>
      <c r="N383" s="564"/>
      <c r="O383" s="564" t="str">
        <f t="shared" si="53"/>
        <v/>
      </c>
      <c r="P383" s="43"/>
    </row>
    <row r="384" spans="1:16" x14ac:dyDescent="0.35">
      <c r="A384" s="535"/>
      <c r="B384" s="337"/>
      <c r="C384" s="337"/>
      <c r="D384" s="326" t="s">
        <v>46</v>
      </c>
      <c r="E384" s="360" t="s">
        <v>763</v>
      </c>
      <c r="F384" s="18">
        <v>20</v>
      </c>
      <c r="G384" s="18" t="s">
        <v>73</v>
      </c>
      <c r="H384" s="335">
        <f>ROUND(($F$381)*((F384)/((($F$385)*(($F$386)/($F$386+$F$387)))+
(($F$385)*(($F$387)/($F$386+$F$387)))+
($F$383)+($F$384)+($F$388)+($F$389)+($F$390)+($F$391)+($F$392))),2)</f>
        <v>1.01</v>
      </c>
      <c r="I384" s="335" t="s">
        <v>73</v>
      </c>
      <c r="J384" s="337"/>
      <c r="K384" s="680">
        <f>A359*H384</f>
        <v>33.33</v>
      </c>
      <c r="L384" s="563"/>
      <c r="M384" s="564" t="str">
        <f t="shared" si="52"/>
        <v/>
      </c>
      <c r="N384" s="564"/>
      <c r="O384" s="564" t="str">
        <f t="shared" si="53"/>
        <v/>
      </c>
      <c r="P384" s="43"/>
    </row>
    <row r="385" spans="1:16" x14ac:dyDescent="0.35">
      <c r="A385" s="535"/>
      <c r="B385" s="330"/>
      <c r="C385" s="330"/>
      <c r="D385" s="355"/>
      <c r="E385" s="567" t="s">
        <v>114</v>
      </c>
      <c r="F385" s="378">
        <v>3</v>
      </c>
      <c r="G385" s="378" t="s">
        <v>73</v>
      </c>
      <c r="H385" s="356"/>
      <c r="I385" s="356"/>
      <c r="J385" s="515"/>
      <c r="K385" s="684"/>
      <c r="L385" s="563"/>
      <c r="M385" s="564" t="str">
        <f t="shared" si="52"/>
        <v/>
      </c>
      <c r="N385" s="564"/>
      <c r="O385" s="564" t="str">
        <f t="shared" si="53"/>
        <v/>
      </c>
      <c r="P385" s="43"/>
    </row>
    <row r="386" spans="1:16" x14ac:dyDescent="0.35">
      <c r="A386" s="535"/>
      <c r="B386" s="337"/>
      <c r="C386" s="337"/>
      <c r="D386" s="326" t="s">
        <v>43</v>
      </c>
      <c r="E386" s="560" t="s">
        <v>768</v>
      </c>
      <c r="F386" s="18">
        <v>15</v>
      </c>
      <c r="G386" s="18" t="s">
        <v>73</v>
      </c>
      <c r="H386" s="335">
        <f>ROUND(($F$381)*((($F$385)*(($F$386)/($F$386+$F$387)))
/((($F$385)*(($F$386)/($F$386+$F$387)))+
(($F$385)*(($F$387)/($F$386+$F$387)))+
($F$383)+($F$384)+($F$388)+($F$389)+($F$390)+($F$391)+($F$392))),2)</f>
        <v>0.02</v>
      </c>
      <c r="I386" s="335" t="s">
        <v>73</v>
      </c>
      <c r="J386" s="337"/>
      <c r="K386" s="680">
        <f>A359*H386</f>
        <v>0.66</v>
      </c>
      <c r="L386" s="563"/>
      <c r="M386" s="564" t="str">
        <f t="shared" si="52"/>
        <v/>
      </c>
      <c r="N386" s="564"/>
      <c r="O386" s="564" t="str">
        <f t="shared" si="53"/>
        <v/>
      </c>
      <c r="P386" s="43"/>
    </row>
    <row r="387" spans="1:16" x14ac:dyDescent="0.35">
      <c r="A387" s="535"/>
      <c r="B387" s="330"/>
      <c r="C387" s="330"/>
      <c r="D387" s="326" t="s">
        <v>42</v>
      </c>
      <c r="E387" s="495" t="s">
        <v>95</v>
      </c>
      <c r="F387" s="22">
        <v>85</v>
      </c>
      <c r="G387" s="22" t="s">
        <v>73</v>
      </c>
      <c r="H387" s="328">
        <f>ROUND(($F$381)*((($F$385)*(($F$387)/($F$386+$F$387)))
/((($F$385)*(($F$386)/($F$386+$F$387)))+
(($F$385)*(($F$387)/($F$386+$F$387)))+
($F$383)+($F$384)+($F$388)+($F$389)+($F$390)+($F$391)+($F$392))),2)</f>
        <v>0.13</v>
      </c>
      <c r="I387" s="328" t="s">
        <v>73</v>
      </c>
      <c r="J387" s="330"/>
      <c r="K387" s="681">
        <f>A359*H387</f>
        <v>4.29</v>
      </c>
      <c r="L387" s="563"/>
      <c r="M387" s="564" t="str">
        <f t="shared" si="52"/>
        <v/>
      </c>
      <c r="N387" s="564"/>
      <c r="O387" s="564" t="str">
        <f t="shared" si="53"/>
        <v/>
      </c>
      <c r="P387" s="43"/>
    </row>
    <row r="388" spans="1:16" x14ac:dyDescent="0.35">
      <c r="A388" s="535"/>
      <c r="B388" s="337"/>
      <c r="C388" s="337"/>
      <c r="D388" s="326" t="s">
        <v>341</v>
      </c>
      <c r="E388" s="360" t="s">
        <v>764</v>
      </c>
      <c r="F388" s="18">
        <v>3</v>
      </c>
      <c r="G388" s="18" t="s">
        <v>73</v>
      </c>
      <c r="H388" s="335">
        <f>ROUND(($F$381)*((F388)/((($F$385)*(($F$386)/($F$386+$F$387)))+
(($F$385)*(($F$387)/($F$386+$F$387)))+
($F$383)+($F$384)+($F$388)+($F$389)+($F$390)+($F$391)+($F$392))),2)</f>
        <v>0.15</v>
      </c>
      <c r="I388" s="335" t="s">
        <v>73</v>
      </c>
      <c r="J388" s="337"/>
      <c r="K388" s="680">
        <f>A359*H388</f>
        <v>4.95</v>
      </c>
      <c r="L388" s="563"/>
      <c r="M388" s="564" t="str">
        <f t="shared" si="52"/>
        <v/>
      </c>
      <c r="N388" s="564"/>
      <c r="O388" s="564" t="str">
        <f t="shared" si="53"/>
        <v/>
      </c>
      <c r="P388" s="43"/>
    </row>
    <row r="389" spans="1:16" x14ac:dyDescent="0.35">
      <c r="A389" s="535"/>
      <c r="B389" s="330"/>
      <c r="C389" s="330"/>
      <c r="D389" s="326" t="s">
        <v>41</v>
      </c>
      <c r="E389" s="366" t="s">
        <v>779</v>
      </c>
      <c r="F389" s="22">
        <v>5</v>
      </c>
      <c r="G389" s="22" t="s">
        <v>73</v>
      </c>
      <c r="H389" s="328">
        <f t="shared" ref="H389:H392" si="55">ROUND(($F$381)*((F389)/((($F$385)*(($F$386)/($F$386+$F$387)))+
(($F$385)*(($F$387)/($F$386+$F$387)))+
($F$383)+($F$384)+($F$388)+($F$389)+($F$390)+($F$391)+($F$392))),2)</f>
        <v>0.25</v>
      </c>
      <c r="I389" s="328" t="s">
        <v>73</v>
      </c>
      <c r="J389" s="330"/>
      <c r="K389" s="681">
        <f>A359*H389</f>
        <v>8.25</v>
      </c>
      <c r="L389" s="563"/>
      <c r="M389" s="564" t="str">
        <f t="shared" si="52"/>
        <v/>
      </c>
      <c r="N389" s="564"/>
      <c r="O389" s="564" t="str">
        <f t="shared" si="53"/>
        <v/>
      </c>
      <c r="P389" s="43"/>
    </row>
    <row r="390" spans="1:16" x14ac:dyDescent="0.35">
      <c r="A390" s="535"/>
      <c r="B390" s="337"/>
      <c r="C390" s="337"/>
      <c r="D390" s="326" t="s">
        <v>325</v>
      </c>
      <c r="E390" s="360" t="s">
        <v>765</v>
      </c>
      <c r="F390" s="18">
        <v>20</v>
      </c>
      <c r="G390" s="18" t="s">
        <v>73</v>
      </c>
      <c r="H390" s="335">
        <f t="shared" si="55"/>
        <v>1.01</v>
      </c>
      <c r="I390" s="335" t="s">
        <v>73</v>
      </c>
      <c r="J390" s="337"/>
      <c r="K390" s="680">
        <f>A359*H390</f>
        <v>33.33</v>
      </c>
      <c r="L390" s="563"/>
      <c r="M390" s="564" t="str">
        <f t="shared" si="52"/>
        <v/>
      </c>
      <c r="N390" s="564"/>
      <c r="O390" s="564" t="str">
        <f t="shared" si="53"/>
        <v/>
      </c>
      <c r="P390" s="43"/>
    </row>
    <row r="391" spans="1:16" x14ac:dyDescent="0.35">
      <c r="A391" s="535"/>
      <c r="B391" s="330"/>
      <c r="C391" s="330"/>
      <c r="D391" s="326" t="s">
        <v>307</v>
      </c>
      <c r="E391" s="366" t="s">
        <v>766</v>
      </c>
      <c r="F391" s="22">
        <v>30</v>
      </c>
      <c r="G391" s="22" t="s">
        <v>73</v>
      </c>
      <c r="H391" s="328">
        <f t="shared" si="55"/>
        <v>1.52</v>
      </c>
      <c r="I391" s="328" t="s">
        <v>73</v>
      </c>
      <c r="J391" s="330"/>
      <c r="K391" s="681">
        <f>A359*H391</f>
        <v>50.160000000000004</v>
      </c>
      <c r="L391" s="563"/>
      <c r="M391" s="564" t="str">
        <f t="shared" si="52"/>
        <v/>
      </c>
      <c r="N391" s="564"/>
      <c r="O391" s="564" t="str">
        <f t="shared" si="53"/>
        <v/>
      </c>
      <c r="P391" s="43"/>
    </row>
    <row r="392" spans="1:16" x14ac:dyDescent="0.35">
      <c r="A392" s="535"/>
      <c r="B392" s="337"/>
      <c r="C392" s="337"/>
      <c r="D392" s="326" t="s">
        <v>381</v>
      </c>
      <c r="E392" s="360" t="s">
        <v>767</v>
      </c>
      <c r="F392" s="18">
        <v>200</v>
      </c>
      <c r="G392" s="18" t="s">
        <v>73</v>
      </c>
      <c r="H392" s="335">
        <f t="shared" si="55"/>
        <v>10.14</v>
      </c>
      <c r="I392" s="335" t="s">
        <v>73</v>
      </c>
      <c r="J392" s="337"/>
      <c r="K392" s="680">
        <f>A359*H392</f>
        <v>334.62</v>
      </c>
      <c r="L392" s="563"/>
      <c r="M392" s="564" t="str">
        <f t="shared" si="52"/>
        <v/>
      </c>
      <c r="N392" s="564"/>
      <c r="O392" s="564" t="str">
        <f t="shared" si="53"/>
        <v/>
      </c>
      <c r="P392" s="43"/>
    </row>
    <row r="393" spans="1:16" x14ac:dyDescent="0.35">
      <c r="A393" s="535"/>
      <c r="B393" s="330"/>
      <c r="C393" s="330"/>
      <c r="D393" s="355"/>
      <c r="E393" s="549" t="s">
        <v>769</v>
      </c>
      <c r="F393" s="378">
        <v>40</v>
      </c>
      <c r="G393" s="378" t="s">
        <v>73</v>
      </c>
      <c r="H393" s="515"/>
      <c r="I393" s="356"/>
      <c r="J393" s="515"/>
      <c r="K393" s="684"/>
      <c r="L393" s="563"/>
      <c r="M393" s="564" t="str">
        <f t="shared" si="52"/>
        <v/>
      </c>
      <c r="N393" s="564"/>
      <c r="O393" s="564" t="str">
        <f t="shared" si="53"/>
        <v/>
      </c>
      <c r="P393" s="43"/>
    </row>
    <row r="394" spans="1:16" x14ac:dyDescent="0.35">
      <c r="A394" s="535"/>
      <c r="B394" s="337"/>
      <c r="C394" s="337"/>
      <c r="D394" s="326" t="s">
        <v>521</v>
      </c>
      <c r="E394" s="360" t="s">
        <v>906</v>
      </c>
      <c r="F394" s="18">
        <v>200</v>
      </c>
      <c r="G394" s="18" t="s">
        <v>73</v>
      </c>
      <c r="H394" s="335">
        <f>ROUND(($F$393)*(($F$394)/((($F$395)*(($F$396)/($F$396+$F$397)))+
(($F$395)*(($F$397)/($F$396+$F$397)))+
(($F$398)*(($F$399)/($F$399+$F$400)))+
(($F$398)*(($F$400)/($F$399+$F$400)))+
($F$394)+($F$401)+($F$402))),2)</f>
        <v>33.200000000000003</v>
      </c>
      <c r="I394" s="335" t="s">
        <v>73</v>
      </c>
      <c r="J394" s="337"/>
      <c r="K394" s="680">
        <f>A359*H394</f>
        <v>1095.6000000000001</v>
      </c>
      <c r="L394" s="563"/>
      <c r="M394" s="564" t="str">
        <f t="shared" si="52"/>
        <v/>
      </c>
      <c r="N394" s="564"/>
      <c r="O394" s="564" t="str">
        <f t="shared" si="53"/>
        <v/>
      </c>
      <c r="P394" s="43"/>
    </row>
    <row r="395" spans="1:16" x14ac:dyDescent="0.35">
      <c r="A395" s="535"/>
      <c r="B395" s="330"/>
      <c r="C395" s="330"/>
      <c r="D395" s="355"/>
      <c r="E395" s="567" t="s">
        <v>770</v>
      </c>
      <c r="F395" s="378">
        <v>30</v>
      </c>
      <c r="G395" s="378" t="s">
        <v>73</v>
      </c>
      <c r="H395" s="356"/>
      <c r="I395" s="356"/>
      <c r="J395" s="515"/>
      <c r="K395" s="684"/>
      <c r="L395" s="563"/>
      <c r="M395" s="564" t="str">
        <f t="shared" si="52"/>
        <v/>
      </c>
      <c r="N395" s="564"/>
      <c r="O395" s="564" t="str">
        <f t="shared" si="53"/>
        <v/>
      </c>
      <c r="P395" s="43"/>
    </row>
    <row r="396" spans="1:16" x14ac:dyDescent="0.35">
      <c r="A396" s="535"/>
      <c r="B396" s="337"/>
      <c r="C396" s="337"/>
      <c r="D396" s="326" t="s">
        <v>537</v>
      </c>
      <c r="E396" s="560" t="s">
        <v>771</v>
      </c>
      <c r="F396" s="18">
        <v>1</v>
      </c>
      <c r="G396" s="18" t="s">
        <v>73</v>
      </c>
      <c r="H396" s="335">
        <f>ROUND(($F$393)*((($F$395)*(($F$396)/($F$396+$F$397)))
/((($F$395)*(($F$396)/($F$396+$F$397)))+
(($F$395)*(($F$397)/($F$396+$F$397)))+
(($F$398)*(($F$399)/($F$399+$F$400)))+
(($F$398)*(($F$400)/($F$399+$F$400)))+
($F$394)+($F$401)+($F$402))),2)</f>
        <v>0.05</v>
      </c>
      <c r="I396" s="335" t="s">
        <v>73</v>
      </c>
      <c r="J396" s="337"/>
      <c r="K396" s="680">
        <f>A359*H396</f>
        <v>1.6500000000000001</v>
      </c>
      <c r="L396" s="563"/>
      <c r="M396" s="564" t="str">
        <f t="shared" si="52"/>
        <v/>
      </c>
      <c r="N396" s="564"/>
      <c r="O396" s="564" t="str">
        <f t="shared" si="53"/>
        <v/>
      </c>
      <c r="P396" s="43"/>
    </row>
    <row r="397" spans="1:16" x14ac:dyDescent="0.35">
      <c r="A397" s="535"/>
      <c r="B397" s="330"/>
      <c r="C397" s="330"/>
      <c r="D397" s="342"/>
      <c r="E397" s="561" t="s">
        <v>81</v>
      </c>
      <c r="F397" s="404">
        <v>100</v>
      </c>
      <c r="G397" s="404" t="s">
        <v>73</v>
      </c>
      <c r="H397" s="343">
        <f>ROUND(($F$393)*((($F$395)*(($F$397)/($F$396+$F$397)))
/((($F$395)*(($F$396)/($F$396+$F$397)))+
(($F$395)*(($F$397)/($F$396+$F$397)))+
(($F$398)*(($F$399)/($F$399+$F$400)))+
(($F$398)*(($F$400)/($F$399+$F$400)))+
($F$394)+($F$401)+($F$402))),2)</f>
        <v>4.93</v>
      </c>
      <c r="I397" s="343"/>
      <c r="J397" s="345"/>
      <c r="K397" s="685"/>
      <c r="L397" s="563"/>
      <c r="M397" s="564" t="str">
        <f t="shared" si="52"/>
        <v/>
      </c>
      <c r="N397" s="564"/>
      <c r="O397" s="564" t="str">
        <f t="shared" si="53"/>
        <v/>
      </c>
      <c r="P397" s="43"/>
    </row>
    <row r="398" spans="1:16" x14ac:dyDescent="0.35">
      <c r="A398" s="535"/>
      <c r="B398" s="337"/>
      <c r="C398" s="337"/>
      <c r="D398" s="355"/>
      <c r="E398" s="567" t="s">
        <v>726</v>
      </c>
      <c r="F398" s="378">
        <v>2</v>
      </c>
      <c r="G398" s="378" t="s">
        <v>73</v>
      </c>
      <c r="H398" s="356"/>
      <c r="I398" s="356"/>
      <c r="J398" s="515"/>
      <c r="K398" s="684"/>
      <c r="L398" s="563"/>
      <c r="M398" s="564" t="str">
        <f t="shared" si="52"/>
        <v/>
      </c>
      <c r="N398" s="564"/>
      <c r="O398" s="564" t="str">
        <f t="shared" si="53"/>
        <v/>
      </c>
      <c r="P398" s="43"/>
    </row>
    <row r="399" spans="1:16" x14ac:dyDescent="0.35">
      <c r="A399" s="535"/>
      <c r="B399" s="330"/>
      <c r="C399" s="330"/>
      <c r="D399" s="326" t="s">
        <v>43</v>
      </c>
      <c r="E399" s="495" t="s">
        <v>105</v>
      </c>
      <c r="F399" s="22">
        <v>15</v>
      </c>
      <c r="G399" s="22" t="s">
        <v>73</v>
      </c>
      <c r="H399" s="328">
        <f>ROUND(($F$393)*((($F$398)*(($F$399)/($F$399+$F$400)))
/((($F$395)*(($F$396)/($F$396+$F$397)))+
(($F$395)*(($F$397)/($F$396+$F$397)))+
(($F$398)*(($F$399)/($F$399+$F$400)))+
(($F$398)*(($F$400)/($F$399+$F$400)))+
($F$394)+($F$401)+($F$402))),2)</f>
        <v>0.05</v>
      </c>
      <c r="I399" s="328" t="s">
        <v>73</v>
      </c>
      <c r="J399" s="330"/>
      <c r="K399" s="681">
        <f>A359*H399</f>
        <v>1.6500000000000001</v>
      </c>
      <c r="L399" s="563"/>
      <c r="M399" s="564" t="str">
        <f t="shared" si="52"/>
        <v/>
      </c>
      <c r="N399" s="564"/>
      <c r="O399" s="564" t="str">
        <f t="shared" si="53"/>
        <v/>
      </c>
      <c r="P399" s="43"/>
    </row>
    <row r="400" spans="1:16" x14ac:dyDescent="0.35">
      <c r="A400" s="535"/>
      <c r="B400" s="337"/>
      <c r="C400" s="337"/>
      <c r="D400" s="326" t="s">
        <v>42</v>
      </c>
      <c r="E400" s="560" t="s">
        <v>95</v>
      </c>
      <c r="F400" s="18">
        <v>85</v>
      </c>
      <c r="G400" s="18" t="s">
        <v>73</v>
      </c>
      <c r="H400" s="335">
        <f>ROUND(($F$393)*((($F$398)*(($F$400)/($F$399+$F$400)))
/((($F$395)*(($F$396)/($F$396+$F$397)))+
(($F$395)*(($F$397)/($F$396+$F$397)))+
(($F$398)*(($F$399)/($F$399+$F$400)))+
(($F$398)*(($F$400)/($F$399+$F$400)))+
($F$394)+($F$401)+($F$402))),2)</f>
        <v>0.28000000000000003</v>
      </c>
      <c r="I400" s="335" t="s">
        <v>73</v>
      </c>
      <c r="J400" s="337"/>
      <c r="K400" s="680">
        <f>A359*H400</f>
        <v>9.24</v>
      </c>
      <c r="L400" s="563"/>
      <c r="M400" s="564" t="str">
        <f t="shared" si="52"/>
        <v/>
      </c>
      <c r="N400" s="564"/>
      <c r="O400" s="564" t="str">
        <f t="shared" si="53"/>
        <v/>
      </c>
      <c r="P400" s="43"/>
    </row>
    <row r="401" spans="1:16" x14ac:dyDescent="0.35">
      <c r="A401" s="535"/>
      <c r="B401" s="330"/>
      <c r="C401" s="330"/>
      <c r="D401" s="326" t="s">
        <v>517</v>
      </c>
      <c r="E401" s="366" t="s">
        <v>724</v>
      </c>
      <c r="F401" s="22">
        <v>8</v>
      </c>
      <c r="G401" s="22" t="s">
        <v>73</v>
      </c>
      <c r="H401" s="328">
        <f>ROUND(($F$393)*((F401)/((($F$395)*(($F$396)/($F$396+$F$397)))+
(($F$395)*(($F$397)/($F$396+$F$397)))+
(($F$398)*(($F$399)/($F$399+$F$400)))+
(($F$398)*(($F$400)/($F$399+$F$400)))+
($F$394)+($F$401)+($F$402))),2)</f>
        <v>1.33</v>
      </c>
      <c r="I401" s="328" t="s">
        <v>73</v>
      </c>
      <c r="J401" s="330"/>
      <c r="K401" s="681">
        <f>A359*H401</f>
        <v>43.89</v>
      </c>
      <c r="L401" s="563"/>
      <c r="M401" s="564" t="str">
        <f t="shared" ref="M401:M464" si="56">IF(Q400&gt;0, Q400, "")</f>
        <v/>
      </c>
      <c r="N401" s="564"/>
      <c r="O401" s="564" t="str">
        <f t="shared" ref="O401:O464" si="57">IF(V401&gt;0, V401, "")</f>
        <v/>
      </c>
      <c r="P401" s="43"/>
    </row>
    <row r="402" spans="1:16" x14ac:dyDescent="0.35">
      <c r="A402" s="535"/>
      <c r="B402" s="337"/>
      <c r="C402" s="337"/>
      <c r="D402" s="326" t="s">
        <v>45</v>
      </c>
      <c r="E402" s="360" t="s">
        <v>101</v>
      </c>
      <c r="F402" s="18">
        <v>1</v>
      </c>
      <c r="G402" s="18" t="s">
        <v>73</v>
      </c>
      <c r="H402" s="335">
        <f>ROUND(($F$393)*((F402)/((($F$395)*(($F$396)/($F$396+$F$397)))+
(($F$395)*(($F$397)/($F$396+$F$397)))+
(($F$398)*(($F$399)/($F$399+$F$400)))+
(($F$398)*(($F$400)/($F$399+$F$400)))+
($F$394)+($F$401)+($F$402))),2)</f>
        <v>0.17</v>
      </c>
      <c r="I402" s="335" t="s">
        <v>73</v>
      </c>
      <c r="J402" s="337"/>
      <c r="K402" s="680">
        <f>A359*H402</f>
        <v>5.61</v>
      </c>
      <c r="L402" s="563"/>
      <c r="M402" s="564" t="str">
        <f t="shared" si="56"/>
        <v/>
      </c>
      <c r="N402" s="564"/>
      <c r="O402" s="564" t="str">
        <f t="shared" si="57"/>
        <v/>
      </c>
      <c r="P402" s="43"/>
    </row>
    <row r="403" spans="1:16" x14ac:dyDescent="0.35">
      <c r="A403" s="535"/>
      <c r="B403" s="330"/>
      <c r="C403" s="330"/>
      <c r="D403" s="355"/>
      <c r="E403" s="549" t="s">
        <v>774</v>
      </c>
      <c r="F403" s="378">
        <v>10</v>
      </c>
      <c r="G403" s="378" t="s">
        <v>73</v>
      </c>
      <c r="H403" s="515"/>
      <c r="I403" s="356"/>
      <c r="J403" s="515"/>
      <c r="K403" s="684"/>
      <c r="L403" s="563"/>
      <c r="M403" s="564" t="str">
        <f t="shared" si="56"/>
        <v/>
      </c>
      <c r="N403" s="564"/>
      <c r="O403" s="564" t="str">
        <f t="shared" si="57"/>
        <v/>
      </c>
      <c r="P403" s="43"/>
    </row>
    <row r="404" spans="1:16" x14ac:dyDescent="0.35">
      <c r="A404" s="535"/>
      <c r="B404" s="337"/>
      <c r="C404" s="337"/>
      <c r="D404" s="342"/>
      <c r="E404" s="362" t="s">
        <v>81</v>
      </c>
      <c r="F404" s="404">
        <v>600</v>
      </c>
      <c r="G404" s="404" t="s">
        <v>73</v>
      </c>
      <c r="H404" s="345"/>
      <c r="I404" s="343"/>
      <c r="J404" s="345"/>
      <c r="K404" s="685"/>
      <c r="L404" s="563"/>
      <c r="M404" s="564" t="str">
        <f t="shared" si="56"/>
        <v/>
      </c>
      <c r="N404" s="564"/>
      <c r="O404" s="564" t="str">
        <f t="shared" si="57"/>
        <v/>
      </c>
      <c r="P404" s="43"/>
    </row>
    <row r="405" spans="1:16" x14ac:dyDescent="0.35">
      <c r="A405" s="535"/>
      <c r="B405" s="330"/>
      <c r="C405" s="330"/>
      <c r="D405" s="326" t="s">
        <v>529</v>
      </c>
      <c r="E405" s="366" t="s">
        <v>775</v>
      </c>
      <c r="F405" s="22">
        <v>16</v>
      </c>
      <c r="G405" s="22" t="s">
        <v>73</v>
      </c>
      <c r="H405" s="328">
        <f>ROUND(($F$403)*((F405)/(($F$407)*(($F$408)/($F$408+$F$409))+
($F$407)*(($F$409)/($F$408+$F$409))+
($F$405)+($F$406)+($F$410))),2)</f>
        <v>0.51</v>
      </c>
      <c r="I405" s="328" t="s">
        <v>73</v>
      </c>
      <c r="J405" s="330"/>
      <c r="K405" s="681">
        <f>A359*H405</f>
        <v>16.830000000000002</v>
      </c>
      <c r="L405" s="563"/>
      <c r="M405" s="564" t="str">
        <f t="shared" si="56"/>
        <v/>
      </c>
      <c r="N405" s="564"/>
      <c r="O405" s="564" t="str">
        <f t="shared" si="57"/>
        <v/>
      </c>
      <c r="P405" s="43"/>
    </row>
    <row r="406" spans="1:16" x14ac:dyDescent="0.35">
      <c r="A406" s="535"/>
      <c r="B406" s="337"/>
      <c r="C406" s="337"/>
      <c r="D406" s="326" t="s">
        <v>333</v>
      </c>
      <c r="E406" s="360" t="s">
        <v>756</v>
      </c>
      <c r="F406" s="18">
        <v>70</v>
      </c>
      <c r="G406" s="18" t="s">
        <v>73</v>
      </c>
      <c r="H406" s="335">
        <f>ROUND(($F$403)*((F406)/(($F$407)*(($F$408)/($F$408+$F$409))+
($F$407)*(($F$409)/($F$408+$F$409))+
($F$405)+($F$406)+($F$410))),2)</f>
        <v>2.2200000000000002</v>
      </c>
      <c r="I406" s="335" t="s">
        <v>73</v>
      </c>
      <c r="J406" s="337"/>
      <c r="K406" s="680">
        <f>A359*H406</f>
        <v>73.260000000000005</v>
      </c>
      <c r="L406" s="563"/>
      <c r="M406" s="564" t="str">
        <f t="shared" si="56"/>
        <v/>
      </c>
      <c r="N406" s="564"/>
      <c r="O406" s="564" t="str">
        <f t="shared" si="57"/>
        <v/>
      </c>
      <c r="P406" s="43"/>
    </row>
    <row r="407" spans="1:16" x14ac:dyDescent="0.35">
      <c r="A407" s="535"/>
      <c r="B407" s="330"/>
      <c r="C407" s="330"/>
      <c r="D407" s="355"/>
      <c r="E407" s="567" t="s">
        <v>776</v>
      </c>
      <c r="F407" s="378">
        <v>200</v>
      </c>
      <c r="G407" s="378" t="s">
        <v>73</v>
      </c>
      <c r="H407" s="356"/>
      <c r="I407" s="356"/>
      <c r="J407" s="515"/>
      <c r="K407" s="684"/>
      <c r="L407" s="563"/>
      <c r="M407" s="564" t="str">
        <f t="shared" si="56"/>
        <v/>
      </c>
      <c r="N407" s="564"/>
      <c r="O407" s="564" t="str">
        <f t="shared" si="57"/>
        <v/>
      </c>
      <c r="P407" s="43"/>
    </row>
    <row r="408" spans="1:16" x14ac:dyDescent="0.35">
      <c r="A408" s="535"/>
      <c r="B408" s="337"/>
      <c r="C408" s="337"/>
      <c r="D408" s="326" t="s">
        <v>377</v>
      </c>
      <c r="E408" s="560" t="s">
        <v>777</v>
      </c>
      <c r="F408" s="18">
        <v>500</v>
      </c>
      <c r="G408" s="18" t="s">
        <v>73</v>
      </c>
      <c r="H408" s="335">
        <f>ROUND(($F$403)*(($F$407)*(($F$408)/($F$408+$F$409))
/(($F$407)*(($F$408)/($F$408+$F$409))+
($F$407)*(($F$409)/($F$408+$F$409))+
($F$405)+($F$406)+($F$410))),2)</f>
        <v>6.21</v>
      </c>
      <c r="I408" s="335" t="s">
        <v>73</v>
      </c>
      <c r="J408" s="337"/>
      <c r="K408" s="680">
        <f>A359*H408</f>
        <v>204.93</v>
      </c>
      <c r="L408" s="563"/>
      <c r="M408" s="564" t="str">
        <f t="shared" si="56"/>
        <v/>
      </c>
      <c r="N408" s="564"/>
      <c r="O408" s="564" t="str">
        <f t="shared" si="57"/>
        <v/>
      </c>
      <c r="P408" s="43"/>
    </row>
    <row r="409" spans="1:16" x14ac:dyDescent="0.35">
      <c r="A409" s="535"/>
      <c r="B409" s="330"/>
      <c r="C409" s="330"/>
      <c r="D409" s="326" t="s">
        <v>43</v>
      </c>
      <c r="E409" s="495" t="s">
        <v>105</v>
      </c>
      <c r="F409" s="22">
        <v>10</v>
      </c>
      <c r="G409" s="22" t="s">
        <v>73</v>
      </c>
      <c r="H409" s="328">
        <f>ROUND(($F$403)*(($F$407)*(($F$409)/($F$408+$F$409))
/(($F$407)*(($F$408)/($F$408+$F$409))+
($F$407)*(($F$409)/($F$408+$F$409))+
($F$405)+($F$406)+($F$410))),2)</f>
        <v>0.12</v>
      </c>
      <c r="I409" s="328" t="s">
        <v>73</v>
      </c>
      <c r="J409" s="330"/>
      <c r="K409" s="681">
        <f>A359*H409</f>
        <v>3.96</v>
      </c>
      <c r="L409" s="563"/>
      <c r="M409" s="564" t="str">
        <f t="shared" si="56"/>
        <v/>
      </c>
      <c r="N409" s="564"/>
      <c r="O409" s="564" t="str">
        <f t="shared" si="57"/>
        <v/>
      </c>
      <c r="P409" s="43"/>
    </row>
    <row r="410" spans="1:16" x14ac:dyDescent="0.35">
      <c r="A410" s="535"/>
      <c r="B410" s="337"/>
      <c r="C410" s="337"/>
      <c r="D410" s="326" t="s">
        <v>389</v>
      </c>
      <c r="E410" s="360" t="s">
        <v>778</v>
      </c>
      <c r="F410" s="18">
        <v>30</v>
      </c>
      <c r="G410" s="18" t="s">
        <v>73</v>
      </c>
      <c r="H410" s="335">
        <f>ROUND(($F$403)*(($F$410)/(($F$407)*(($F$408)/($F$408+$F$409))+
($F$407)*(($F$409)/($F$408+$F$409))+
($F$405)+($F$406)+($F$410))),2)</f>
        <v>0.95</v>
      </c>
      <c r="I410" s="335" t="s">
        <v>73</v>
      </c>
      <c r="J410" s="337"/>
      <c r="K410" s="680">
        <f>A359*H410</f>
        <v>31.349999999999998</v>
      </c>
      <c r="L410" s="563"/>
      <c r="M410" s="564" t="str">
        <f t="shared" si="56"/>
        <v/>
      </c>
      <c r="N410" s="564"/>
      <c r="O410" s="564" t="str">
        <f t="shared" si="57"/>
        <v/>
      </c>
      <c r="P410" s="43"/>
    </row>
    <row r="411" spans="1:16" x14ac:dyDescent="0.35">
      <c r="A411" s="535"/>
      <c r="B411" s="330"/>
      <c r="C411" s="330"/>
      <c r="D411" s="355"/>
      <c r="E411" s="549" t="s">
        <v>785</v>
      </c>
      <c r="F411" s="378">
        <v>20</v>
      </c>
      <c r="G411" s="378"/>
      <c r="H411" s="515"/>
      <c r="I411" s="356"/>
      <c r="J411" s="515"/>
      <c r="K411" s="684"/>
      <c r="L411" s="563"/>
      <c r="M411" s="564" t="str">
        <f t="shared" si="56"/>
        <v/>
      </c>
      <c r="N411" s="564"/>
      <c r="O411" s="564" t="str">
        <f t="shared" si="57"/>
        <v/>
      </c>
      <c r="P411" s="43"/>
    </row>
    <row r="412" spans="1:16" x14ac:dyDescent="0.35">
      <c r="A412" s="535"/>
      <c r="B412" s="337"/>
      <c r="C412" s="337"/>
      <c r="D412" s="355"/>
      <c r="E412" s="549" t="s">
        <v>780</v>
      </c>
      <c r="F412" s="378">
        <v>250</v>
      </c>
      <c r="G412" s="378" t="s">
        <v>73</v>
      </c>
      <c r="H412" s="515"/>
      <c r="I412" s="356"/>
      <c r="J412" s="515"/>
      <c r="K412" s="684"/>
      <c r="L412" s="563"/>
      <c r="M412" s="564" t="str">
        <f t="shared" si="56"/>
        <v/>
      </c>
      <c r="N412" s="564"/>
      <c r="O412" s="564" t="str">
        <f t="shared" si="57"/>
        <v/>
      </c>
      <c r="P412" s="43"/>
    </row>
    <row r="413" spans="1:16" x14ac:dyDescent="0.35">
      <c r="A413" s="535"/>
      <c r="B413" s="330"/>
      <c r="C413" s="330"/>
      <c r="D413" s="326" t="s">
        <v>1068</v>
      </c>
      <c r="E413" s="366" t="s">
        <v>1069</v>
      </c>
      <c r="F413" s="22">
        <v>60</v>
      </c>
      <c r="G413" s="22" t="s">
        <v>73</v>
      </c>
      <c r="H413" s="328">
        <f>ROUND(($F$411)*((($F$412)*(($F$413)/($F$413+$F$414)))
/((($F$412)*(($F$413)/($F$413+$F$414)))+
(($F$412)*(($F$414)/($F$413+$F$414)))+
($F$415))),2)</f>
        <v>7.84</v>
      </c>
      <c r="I413" s="328" t="s">
        <v>73</v>
      </c>
      <c r="J413" s="330"/>
      <c r="K413" s="681">
        <f>A359*H413</f>
        <v>258.71999999999997</v>
      </c>
      <c r="L413" s="563"/>
      <c r="M413" s="564" t="str">
        <f t="shared" si="56"/>
        <v/>
      </c>
      <c r="N413" s="564"/>
      <c r="O413" s="564" t="str">
        <f t="shared" si="57"/>
        <v/>
      </c>
      <c r="P413" s="43"/>
    </row>
    <row r="414" spans="1:16" x14ac:dyDescent="0.35">
      <c r="A414" s="535"/>
      <c r="B414" s="337"/>
      <c r="C414" s="337"/>
      <c r="D414" s="342"/>
      <c r="E414" s="362" t="s">
        <v>81</v>
      </c>
      <c r="F414" s="404">
        <v>90</v>
      </c>
      <c r="G414" s="404" t="s">
        <v>73</v>
      </c>
      <c r="H414" s="343">
        <f>ROUND(($F$411)*((($F$412)*(($F$414)/($F$413+$F$414)))
/((($F$412)*(($F$413)/($F$413+$F$414)))+
(($F$412)*(($F$414)/($F$413+$F$414)))+
($F$415))),2)</f>
        <v>11.76</v>
      </c>
      <c r="I414" s="343"/>
      <c r="J414" s="345"/>
      <c r="K414" s="685"/>
      <c r="L414" s="563"/>
      <c r="M414" s="564" t="str">
        <f t="shared" si="56"/>
        <v/>
      </c>
      <c r="N414" s="564"/>
      <c r="O414" s="564" t="str">
        <f t="shared" si="57"/>
        <v/>
      </c>
      <c r="P414" s="43"/>
    </row>
    <row r="415" spans="1:16" ht="15" thickBot="1" x14ac:dyDescent="0.4">
      <c r="A415" s="535"/>
      <c r="B415" s="330"/>
      <c r="C415" s="330"/>
      <c r="D415" s="326" t="s">
        <v>40</v>
      </c>
      <c r="E415" s="578" t="s">
        <v>104</v>
      </c>
      <c r="F415" s="458">
        <v>5</v>
      </c>
      <c r="G415" s="458" t="s">
        <v>73</v>
      </c>
      <c r="H415" s="328">
        <f>ROUND(($F$411)*(($F$415)/((($F$412)*(($F$413)/($F$413+$F$414)))+
(($F$412)*(($F$414)/($F$413+$F$414)))+
($F$415))),2)</f>
        <v>0.39</v>
      </c>
      <c r="I415" s="328" t="s">
        <v>73</v>
      </c>
      <c r="J415" s="330"/>
      <c r="K415" s="681">
        <f>A359*H415</f>
        <v>12.870000000000001</v>
      </c>
      <c r="L415" s="563"/>
      <c r="M415" s="564" t="str">
        <f t="shared" si="56"/>
        <v/>
      </c>
      <c r="N415" s="564"/>
      <c r="O415" s="564" t="str">
        <f t="shared" si="57"/>
        <v/>
      </c>
      <c r="P415" s="43"/>
    </row>
    <row r="416" spans="1:16" ht="15.5" thickTop="1" thickBot="1" x14ac:dyDescent="0.4">
      <c r="A416" s="545" t="str">
        <f t="shared" ref="A416:A464" si="58">IFERROR(INDEX($Q$17:$Q$41,MATCH(B416,$R$17:$R$41, 0)), "")</f>
        <v/>
      </c>
      <c r="B416" s="546"/>
      <c r="C416" s="546"/>
      <c r="D416" s="547"/>
      <c r="E416" s="562"/>
      <c r="F416" s="550"/>
      <c r="G416" s="550"/>
      <c r="H416" s="546"/>
      <c r="I416" s="546"/>
      <c r="J416" s="546"/>
      <c r="K416" s="686"/>
      <c r="L416" s="563"/>
      <c r="M416" s="564" t="str">
        <f t="shared" si="56"/>
        <v/>
      </c>
      <c r="N416" s="564"/>
      <c r="O416" s="564" t="str">
        <f t="shared" si="57"/>
        <v/>
      </c>
      <c r="P416" s="43"/>
    </row>
    <row r="417" spans="1:16" ht="15" thickTop="1" x14ac:dyDescent="0.35">
      <c r="A417" s="565">
        <f>IFERROR(INDEX($Q$17:$Q$150,MATCH(B417,$R$17:$R$150, 0)), "")</f>
        <v>153</v>
      </c>
      <c r="B417" s="382" t="s">
        <v>1288</v>
      </c>
      <c r="C417" s="107" t="s">
        <v>786</v>
      </c>
      <c r="D417" s="347" t="s">
        <v>748</v>
      </c>
      <c r="E417" s="566" t="s">
        <v>749</v>
      </c>
      <c r="F417" s="438">
        <v>1</v>
      </c>
      <c r="G417" s="438" t="s">
        <v>1072</v>
      </c>
      <c r="H417" s="439">
        <v>1</v>
      </c>
      <c r="I417" s="439" t="s">
        <v>1072</v>
      </c>
      <c r="J417" s="533"/>
      <c r="K417" s="679">
        <f>(A417*H417)</f>
        <v>153</v>
      </c>
      <c r="L417" s="563"/>
      <c r="M417" s="564" t="str">
        <f t="shared" si="56"/>
        <v/>
      </c>
      <c r="N417" s="564"/>
      <c r="O417" s="564" t="str">
        <f t="shared" si="57"/>
        <v/>
      </c>
      <c r="P417" s="42"/>
    </row>
    <row r="418" spans="1:16" x14ac:dyDescent="0.35">
      <c r="A418" s="535" t="str">
        <f t="shared" si="58"/>
        <v/>
      </c>
      <c r="B418" s="337"/>
      <c r="C418" s="337"/>
      <c r="D418" s="326" t="s">
        <v>373</v>
      </c>
      <c r="E418" s="536" t="s">
        <v>772</v>
      </c>
      <c r="F418" s="18">
        <v>20</v>
      </c>
      <c r="G418" s="18" t="s">
        <v>73</v>
      </c>
      <c r="H418" s="335">
        <v>20</v>
      </c>
      <c r="I418" s="335" t="s">
        <v>73</v>
      </c>
      <c r="J418" s="337"/>
      <c r="K418" s="680">
        <f>(A417*H418)</f>
        <v>3060</v>
      </c>
      <c r="L418" s="563"/>
      <c r="M418" s="564" t="str">
        <f t="shared" si="56"/>
        <v/>
      </c>
      <c r="N418" s="564"/>
      <c r="O418" s="564" t="str">
        <f t="shared" si="57"/>
        <v/>
      </c>
      <c r="P418" s="43"/>
    </row>
    <row r="419" spans="1:16" x14ac:dyDescent="0.35">
      <c r="A419" s="535" t="str">
        <f t="shared" si="58"/>
        <v/>
      </c>
      <c r="B419" s="330"/>
      <c r="C419" s="330"/>
      <c r="D419" s="326" t="s">
        <v>398</v>
      </c>
      <c r="E419" s="544" t="s">
        <v>784</v>
      </c>
      <c r="F419" s="22">
        <v>12</v>
      </c>
      <c r="G419" s="22" t="s">
        <v>73</v>
      </c>
      <c r="H419" s="328">
        <v>12</v>
      </c>
      <c r="I419" s="328" t="s">
        <v>73</v>
      </c>
      <c r="J419" s="330"/>
      <c r="K419" s="681">
        <f>(A417*H419)</f>
        <v>1836</v>
      </c>
      <c r="L419" s="563"/>
      <c r="M419" s="564" t="str">
        <f t="shared" si="56"/>
        <v/>
      </c>
      <c r="N419" s="564"/>
      <c r="O419" s="564" t="str">
        <f t="shared" si="57"/>
        <v/>
      </c>
      <c r="P419" s="43"/>
    </row>
    <row r="420" spans="1:16" x14ac:dyDescent="0.35">
      <c r="A420" s="535" t="str">
        <f t="shared" si="58"/>
        <v/>
      </c>
      <c r="B420" s="337"/>
      <c r="C420" s="337"/>
      <c r="D420" s="326" t="s">
        <v>41</v>
      </c>
      <c r="E420" s="536" t="s">
        <v>779</v>
      </c>
      <c r="F420" s="18">
        <v>2</v>
      </c>
      <c r="G420" s="18" t="s">
        <v>73</v>
      </c>
      <c r="H420" s="335">
        <v>2</v>
      </c>
      <c r="I420" s="335" t="s">
        <v>73</v>
      </c>
      <c r="J420" s="337"/>
      <c r="K420" s="680">
        <f>(A417*H420)</f>
        <v>306</v>
      </c>
      <c r="L420" s="563"/>
      <c r="M420" s="564" t="str">
        <f t="shared" si="56"/>
        <v/>
      </c>
      <c r="N420" s="564"/>
      <c r="O420" s="564" t="str">
        <f t="shared" si="57"/>
        <v/>
      </c>
      <c r="P420" s="43"/>
    </row>
    <row r="421" spans="1:16" x14ac:dyDescent="0.35">
      <c r="A421" s="535" t="str">
        <f t="shared" si="58"/>
        <v/>
      </c>
      <c r="B421" s="330"/>
      <c r="C421" s="330"/>
      <c r="D421" s="326" t="s">
        <v>491</v>
      </c>
      <c r="E421" s="327" t="s">
        <v>750</v>
      </c>
      <c r="F421" s="22">
        <v>1.25</v>
      </c>
      <c r="G421" s="22" t="s">
        <v>1072</v>
      </c>
      <c r="H421" s="328">
        <v>1.25</v>
      </c>
      <c r="I421" s="328" t="s">
        <v>1072</v>
      </c>
      <c r="J421" s="330"/>
      <c r="K421" s="681">
        <f>(A417*H421)</f>
        <v>191.25</v>
      </c>
      <c r="L421" s="563"/>
      <c r="M421" s="564" t="str">
        <f t="shared" si="56"/>
        <v/>
      </c>
      <c r="N421" s="564"/>
      <c r="O421" s="564" t="str">
        <f t="shared" si="57"/>
        <v/>
      </c>
      <c r="P421" s="43"/>
    </row>
    <row r="422" spans="1:16" x14ac:dyDescent="0.35">
      <c r="A422" s="535" t="str">
        <f t="shared" si="58"/>
        <v/>
      </c>
      <c r="B422" s="337"/>
      <c r="C422" s="337"/>
      <c r="D422" s="355"/>
      <c r="E422" s="549" t="s">
        <v>751</v>
      </c>
      <c r="F422" s="378">
        <v>100</v>
      </c>
      <c r="G422" s="378" t="s">
        <v>73</v>
      </c>
      <c r="H422" s="515"/>
      <c r="I422" s="515"/>
      <c r="J422" s="515"/>
      <c r="K422" s="684"/>
      <c r="L422" s="563"/>
      <c r="M422" s="564" t="str">
        <f t="shared" si="56"/>
        <v/>
      </c>
      <c r="N422" s="564"/>
      <c r="O422" s="564" t="str">
        <f t="shared" si="57"/>
        <v/>
      </c>
      <c r="P422" s="43"/>
    </row>
    <row r="423" spans="1:16" x14ac:dyDescent="0.35">
      <c r="A423" s="535" t="str">
        <f t="shared" si="58"/>
        <v/>
      </c>
      <c r="B423" s="330"/>
      <c r="C423" s="330"/>
      <c r="D423" s="355"/>
      <c r="E423" s="567" t="s">
        <v>754</v>
      </c>
      <c r="F423" s="356">
        <v>2100</v>
      </c>
      <c r="G423" s="378" t="s">
        <v>73</v>
      </c>
      <c r="H423" s="515"/>
      <c r="I423" s="515"/>
      <c r="J423" s="515"/>
      <c r="K423" s="684"/>
      <c r="L423" s="563"/>
      <c r="M423" s="564" t="str">
        <f t="shared" si="56"/>
        <v/>
      </c>
      <c r="N423" s="564"/>
      <c r="O423" s="564" t="str">
        <f t="shared" si="57"/>
        <v/>
      </c>
      <c r="P423" s="43"/>
    </row>
    <row r="424" spans="1:16" x14ac:dyDescent="0.35">
      <c r="A424" s="535" t="str">
        <f t="shared" si="58"/>
        <v/>
      </c>
      <c r="B424" s="337"/>
      <c r="C424" s="337"/>
      <c r="D424" s="342"/>
      <c r="E424" s="561" t="s">
        <v>81</v>
      </c>
      <c r="F424" s="404">
        <v>1300</v>
      </c>
      <c r="G424" s="404" t="s">
        <v>73</v>
      </c>
      <c r="H424" s="343">
        <f>ROUND(($F$364)*((($F$423)*(($F$424)/($F$424+$F$425+$F$426)))
/((($F$423)*(($F$424)/($F$424+$F$425+$F$426)))+
(($F$423)*(($F$425)/($F$424+$F$425+$F$426)))+
(($F$423)*(($F$426)/($F$424+$F$425+$F$426)))+
(($F$427)*(($F$428)/($F$428+$F$429+$F$430+$F$431)))+
(($F$427)*(($F$429)/($F$428+$F$429+$F$430+$F$431)))+
(($F$427)*(($F$430)/($F$428+$F$429+$F$430+$F$431)))+
(($F$427)*(($F$431)/($F$428+$F$429+$F$430+$F$431)))+
($F$432)+($F$433))),2)</f>
        <v>53.47</v>
      </c>
      <c r="I424" s="345"/>
      <c r="J424" s="345"/>
      <c r="K424" s="685"/>
      <c r="L424" s="563"/>
      <c r="M424" s="564" t="str">
        <f t="shared" si="56"/>
        <v/>
      </c>
      <c r="N424" s="564"/>
      <c r="O424" s="564" t="str">
        <f t="shared" si="57"/>
        <v/>
      </c>
      <c r="P424" s="43"/>
    </row>
    <row r="425" spans="1:16" x14ac:dyDescent="0.35">
      <c r="A425" s="535" t="str">
        <f t="shared" si="58"/>
        <v/>
      </c>
      <c r="B425" s="330"/>
      <c r="C425" s="330"/>
      <c r="D425" s="326" t="s">
        <v>1660</v>
      </c>
      <c r="E425" s="495" t="s">
        <v>1897</v>
      </c>
      <c r="F425" s="22">
        <v>1000</v>
      </c>
      <c r="G425" s="22" t="s">
        <v>73</v>
      </c>
      <c r="H425" s="328">
        <f>ROUND(($F$364)*((($F$423)*(($F$425)/($F$424+$F$425+$F$426)))
/((($F$423)*(($F$424)/($F$424+$F$425+$F$426)))+
(($F$423)*(($F$425)/($F$424+$F$425+$F$426)))+
(($F$423)*(($F$426)/($F$424+$F$425+$F$426)))+
(($F$427)*(($F$428)/($F$428+$F$429+$F$430+$F$431)))+
(($F$427)*(($F$429)/($F$428+$F$429+$F$430+$F$431)))+
(($F$427)*(($F$430)/($F$428+$F$429+$F$430+$F$431)))+
(($F$427)*(($F$431)/($F$428+$F$429+$F$430+$F$431)))+
($F$432)+($F$433))),2)</f>
        <v>41.13</v>
      </c>
      <c r="I425" s="328" t="s">
        <v>73</v>
      </c>
      <c r="J425" s="330"/>
      <c r="K425" s="681">
        <f>(A417*H425)</f>
        <v>6292.89</v>
      </c>
      <c r="L425" s="563"/>
      <c r="M425" s="564" t="str">
        <f t="shared" si="56"/>
        <v/>
      </c>
      <c r="N425" s="564"/>
      <c r="O425" s="564" t="str">
        <f t="shared" si="57"/>
        <v/>
      </c>
      <c r="P425" s="43"/>
    </row>
    <row r="426" spans="1:16" x14ac:dyDescent="0.35">
      <c r="A426" s="535" t="str">
        <f t="shared" si="58"/>
        <v/>
      </c>
      <c r="B426" s="337"/>
      <c r="C426" s="337"/>
      <c r="D426" s="326"/>
      <c r="E426" s="560" t="s">
        <v>753</v>
      </c>
      <c r="F426" s="18">
        <v>0</v>
      </c>
      <c r="G426" s="18" t="s">
        <v>73</v>
      </c>
      <c r="H426" s="335">
        <f>ROUND(($F$364)*((($F$423)*(($F$426)/($F$424+$F$425+$F$426)))
/((($F$423)*(($F$424)/($F$424+$F$425+$F$426)))+
(($F$423)*(($F$425)/($F$424+$F$425+$F$426)))+
(($F$423)*(($F$426)/($F$424+$F$425+$F$426)))+
(($F$427)*(($F$428)/($F$428+$F$429+$F$430+$F$431)))+
(($F$427)*(($F$429)/($F$428+$F$429+$F$430+$F$431)))+
(($F$427)*(($F$430)/($F$428+$F$429+$F$430+$F$431)))+
(($F$427)*(($F$431)/($F$428+$F$429+$F$430+$F$431)))+
($F$432)+($F$433))),2)</f>
        <v>0</v>
      </c>
      <c r="I426" s="335" t="s">
        <v>73</v>
      </c>
      <c r="J426" s="337"/>
      <c r="K426" s="680">
        <f>(A417*H426)</f>
        <v>0</v>
      </c>
      <c r="L426" s="563"/>
      <c r="M426" s="564" t="str">
        <f t="shared" si="56"/>
        <v/>
      </c>
      <c r="N426" s="564"/>
      <c r="O426" s="564" t="str">
        <f t="shared" si="57"/>
        <v/>
      </c>
      <c r="P426" s="43"/>
    </row>
    <row r="427" spans="1:16" x14ac:dyDescent="0.35">
      <c r="A427" s="535" t="str">
        <f t="shared" si="58"/>
        <v/>
      </c>
      <c r="B427" s="330"/>
      <c r="C427" s="330"/>
      <c r="D427" s="355"/>
      <c r="E427" s="567" t="s">
        <v>755</v>
      </c>
      <c r="F427" s="378">
        <v>55</v>
      </c>
      <c r="G427" s="378" t="s">
        <v>73</v>
      </c>
      <c r="H427" s="356"/>
      <c r="I427" s="356"/>
      <c r="J427" s="515"/>
      <c r="K427" s="684"/>
      <c r="L427" s="563"/>
      <c r="M427" s="564" t="str">
        <f t="shared" si="56"/>
        <v/>
      </c>
      <c r="N427" s="564"/>
      <c r="O427" s="564" t="str">
        <f t="shared" si="57"/>
        <v/>
      </c>
      <c r="P427" s="43"/>
    </row>
    <row r="428" spans="1:16" x14ac:dyDescent="0.35">
      <c r="A428" s="535" t="str">
        <f t="shared" si="58"/>
        <v/>
      </c>
      <c r="B428" s="337"/>
      <c r="C428" s="337"/>
      <c r="D428" s="326" t="s">
        <v>333</v>
      </c>
      <c r="E428" s="560" t="s">
        <v>756</v>
      </c>
      <c r="F428" s="18">
        <v>20</v>
      </c>
      <c r="G428" s="18" t="s">
        <v>73</v>
      </c>
      <c r="H428" s="335">
        <f>ROUND(($F$364)*((($F$427)*(($F$428)/($F$428+$F$429+$F$430+$F$431)))
/((($F$423)*(($F$424)/($F$424+$F$425+$F$426)))+
(($F$423)*(($F$425)/($F$424+$F$425+$F$426)))+
(($F$423)*(($F$426)/($F$424+$F$425+$F$426)))+
(($F$427)*(($F$428)/($F$428+$F$429+$F$430+$F$431)))+
(($F$427)*(($F$429)/($F$428+$F$429+$F$430+$F$431)))+
(($F$427)*(($F$430)/($F$428+$F$429+$F$430+$F$431)))+
(($F$427)*(($F$431)/($F$428+$F$429+$F$430+$F$431)))+
($F$432)+($F$433))),2)</f>
        <v>0.2</v>
      </c>
      <c r="I428" s="335" t="s">
        <v>73</v>
      </c>
      <c r="J428" s="337"/>
      <c r="K428" s="680">
        <f>(A417*H428)</f>
        <v>30.6</v>
      </c>
      <c r="L428" s="563"/>
      <c r="M428" s="564" t="str">
        <f t="shared" si="56"/>
        <v/>
      </c>
      <c r="N428" s="564"/>
      <c r="O428" s="564" t="str">
        <f t="shared" si="57"/>
        <v/>
      </c>
      <c r="P428" s="43"/>
    </row>
    <row r="429" spans="1:16" x14ac:dyDescent="0.35">
      <c r="A429" s="535" t="str">
        <f t="shared" si="58"/>
        <v/>
      </c>
      <c r="B429" s="330"/>
      <c r="C429" s="330"/>
      <c r="D429" s="326" t="s">
        <v>43</v>
      </c>
      <c r="E429" s="495" t="s">
        <v>105</v>
      </c>
      <c r="F429" s="22">
        <v>20</v>
      </c>
      <c r="G429" s="22" t="s">
        <v>73</v>
      </c>
      <c r="H429" s="328">
        <f>ROUND(($F$364)*((($F$427)*(($F$429)/($F$428+$F$429+$F$430+$F$431)))
/((($F$423)*(($F$424)/($F$424+$F$425+$F$426)))+
(($F$423)*(($F$425)/($F$424+$F$425+$F$426)))+
(($F$423)*(($F$426)/($F$424+$F$425+$F$426)))+
(($F$427)*(($F$428)/($F$428+$F$429+$F$430+$F$431)))+
(($F$427)*(($F$429)/($F$428+$F$429+$F$430+$F$431)))+
(($F$427)*(($F$430)/($F$428+$F$429+$F$430+$F$431)))+
(($F$427)*(($F$431)/($F$428+$F$429+$F$430+$F$431)))+
($F$432)+($F$433))),2)</f>
        <v>0.2</v>
      </c>
      <c r="I429" s="328" t="s">
        <v>73</v>
      </c>
      <c r="J429" s="330"/>
      <c r="K429" s="681">
        <f>(A417*H429)</f>
        <v>30.6</v>
      </c>
      <c r="L429" s="563"/>
      <c r="M429" s="564" t="str">
        <f t="shared" si="56"/>
        <v/>
      </c>
      <c r="N429" s="564"/>
      <c r="O429" s="564" t="str">
        <f t="shared" si="57"/>
        <v/>
      </c>
      <c r="P429" s="43"/>
    </row>
    <row r="430" spans="1:16" x14ac:dyDescent="0.35">
      <c r="A430" s="535" t="str">
        <f t="shared" si="58"/>
        <v/>
      </c>
      <c r="B430" s="337"/>
      <c r="C430" s="337"/>
      <c r="D430" s="326" t="s">
        <v>42</v>
      </c>
      <c r="E430" s="560" t="s">
        <v>66</v>
      </c>
      <c r="F430" s="18">
        <v>2</v>
      </c>
      <c r="G430" s="18" t="s">
        <v>73</v>
      </c>
      <c r="H430" s="335">
        <f>ROUND(($F$364)*((($F$427)*(($F$430)/($F$428+$F$429+$F$430+$F$431)))
/((($F$423)*(($F$424)/($F$424+$F$425+$F$426)))+
(($F$423)*(($F$425)/($F$424+$F$425+$F$426)))+
(($F$423)*(($F$426)/($F$424+$F$425+$F$426)))+
(($F$427)*(($F$428)/($F$428+$F$429+$F$430+$F$431)))+
(($F$427)*(($F$429)/($F$428+$F$429+$F$430+$F$431)))+
(($F$427)*(($F$430)/($F$428+$F$429+$F$430+$F$431)))+
(($F$427)*(($F$431)/($F$428+$F$429+$F$430+$F$431)))+
($F$432)+($F$433))),2)</f>
        <v>0.02</v>
      </c>
      <c r="I430" s="335" t="s">
        <v>73</v>
      </c>
      <c r="J430" s="337"/>
      <c r="K430" s="680">
        <f>(A417*H430)</f>
        <v>3.06</v>
      </c>
      <c r="L430" s="563"/>
      <c r="M430" s="564" t="str">
        <f t="shared" si="56"/>
        <v/>
      </c>
      <c r="N430" s="564"/>
      <c r="O430" s="564" t="str">
        <f t="shared" si="57"/>
        <v/>
      </c>
      <c r="P430" s="43"/>
    </row>
    <row r="431" spans="1:16" x14ac:dyDescent="0.35">
      <c r="A431" s="535" t="str">
        <f t="shared" si="58"/>
        <v/>
      </c>
      <c r="B431" s="330"/>
      <c r="C431" s="330"/>
      <c r="D431" s="342"/>
      <c r="E431" s="561" t="s">
        <v>81</v>
      </c>
      <c r="F431" s="404">
        <v>200</v>
      </c>
      <c r="G431" s="404" t="s">
        <v>73</v>
      </c>
      <c r="H431" s="343">
        <f>ROUND(($F$364)*((($F$427)*(($F$431)/($F$428+$F$429+$F$430+$F$431)))
/((($F$423)*(($F$424)/($F$424+$F$425+$F$426)))+
(($F$423)*(($F$425)/($F$424+$F$425+$F$426)))+
(($F$423)*(($F$426)/($F$424+$F$425+$F$426)))+
(($F$427)*(($F$428)/($F$428+$F$429+$F$430+$F$431)))+
(($F$427)*(($F$429)/($F$428+$F$429+$F$430+$F$431)))+
(($F$427)*(($F$430)/($F$428+$F$429+$F$430+$F$431)))+
(($F$427)*(($F$431)/($F$428+$F$429+$F$430+$F$431)))+
($F$432)+($F$433))),2)</f>
        <v>2.0499999999999998</v>
      </c>
      <c r="I431" s="343"/>
      <c r="J431" s="345"/>
      <c r="K431" s="685"/>
      <c r="L431" s="563"/>
      <c r="M431" s="564" t="str">
        <f t="shared" si="56"/>
        <v/>
      </c>
      <c r="N431" s="564"/>
      <c r="O431" s="564" t="str">
        <f t="shared" si="57"/>
        <v/>
      </c>
      <c r="P431" s="43"/>
    </row>
    <row r="432" spans="1:16" x14ac:dyDescent="0.35">
      <c r="A432" s="535" t="str">
        <f t="shared" si="58"/>
        <v/>
      </c>
      <c r="B432" s="337"/>
      <c r="C432" s="337"/>
      <c r="D432" s="326" t="s">
        <v>41</v>
      </c>
      <c r="E432" s="360" t="s">
        <v>757</v>
      </c>
      <c r="F432" s="18">
        <v>55</v>
      </c>
      <c r="G432" s="18" t="s">
        <v>73</v>
      </c>
      <c r="H432" s="335">
        <f>ROUND(($F$364)*((F432)/((($F$423)*(($F$424)/($F$424+$F$425+$F$426)))+
(($F$423)*(($F$425)/($F$424+$F$425+$F$426)))+
(($F$423)*(($F$426)/($F$424+$F$425+$F$426)))+
(($F$427)*(($F$428)/($F$428+$F$429+$F$430+$F$431)))+
(($F$427)*(($F$429)/($F$428+$F$429+$F$430+$F$431)))+
(($F$427)*(($F$430)/($F$428+$F$429+$F$430+$F$431)))+
(($F$427)*(($F$431)/($F$428+$F$429+$F$430+$F$431)))+
($F$432)+($F$433))),2)</f>
        <v>2.48</v>
      </c>
      <c r="I432" s="335" t="s">
        <v>73</v>
      </c>
      <c r="J432" s="337"/>
      <c r="K432" s="680">
        <f>(A417*H432)</f>
        <v>379.44</v>
      </c>
      <c r="L432" s="563"/>
      <c r="M432" s="564" t="str">
        <f t="shared" si="56"/>
        <v/>
      </c>
      <c r="N432" s="564"/>
      <c r="O432" s="564" t="str">
        <f t="shared" si="57"/>
        <v/>
      </c>
      <c r="P432" s="43"/>
    </row>
    <row r="433" spans="1:16" x14ac:dyDescent="0.35">
      <c r="A433" s="535" t="str">
        <f t="shared" si="58"/>
        <v/>
      </c>
      <c r="B433" s="330"/>
      <c r="C433" s="330"/>
      <c r="D433" s="326" t="s">
        <v>505</v>
      </c>
      <c r="E433" s="366" t="s">
        <v>758</v>
      </c>
      <c r="F433" s="22">
        <v>10</v>
      </c>
      <c r="G433" s="22" t="s">
        <v>73</v>
      </c>
      <c r="H433" s="328">
        <f>ROUND(($F$364)*((F433)/((($F$423)*(($F$424)/($F$424+$F$425+$F$426)))+
(($F$423)*(($F$425)/($F$424+$F$425+$F$426)))+
(($F$423)*(($F$426)/($F$424+$F$425+$F$426)))+
(($F$427)*(($F$428)/($F$428+$F$429+$F$430+$F$431)))+
(($F$427)*(($F$429)/($F$428+$F$429+$F$430+$F$431)))+
(($F$427)*(($F$430)/($F$428+$F$429+$F$430+$F$431)))+
(($F$427)*(($F$431)/($F$428+$F$429+$F$430+$F$431)))+
($F$432)+($F$433))),2)</f>
        <v>0.45</v>
      </c>
      <c r="I433" s="328" t="s">
        <v>73</v>
      </c>
      <c r="J433" s="330"/>
      <c r="K433" s="681">
        <f>(A417*H433)</f>
        <v>68.850000000000009</v>
      </c>
      <c r="L433" s="563"/>
      <c r="M433" s="564" t="str">
        <f t="shared" si="56"/>
        <v/>
      </c>
      <c r="N433" s="564"/>
      <c r="O433" s="564" t="str">
        <f t="shared" si="57"/>
        <v/>
      </c>
      <c r="P433" s="43"/>
    </row>
    <row r="434" spans="1:16" x14ac:dyDescent="0.35">
      <c r="A434" s="535" t="str">
        <f t="shared" si="58"/>
        <v/>
      </c>
      <c r="B434" s="337"/>
      <c r="C434" s="337"/>
      <c r="D434" s="355"/>
      <c r="E434" s="549" t="s">
        <v>759</v>
      </c>
      <c r="F434" s="378">
        <v>30</v>
      </c>
      <c r="G434" s="378" t="s">
        <v>73</v>
      </c>
      <c r="H434" s="515"/>
      <c r="I434" s="356"/>
      <c r="J434" s="515"/>
      <c r="K434" s="684"/>
      <c r="L434" s="563"/>
      <c r="M434" s="564" t="str">
        <f t="shared" si="56"/>
        <v/>
      </c>
      <c r="N434" s="564"/>
      <c r="O434" s="564" t="str">
        <f t="shared" si="57"/>
        <v/>
      </c>
      <c r="P434" s="43"/>
    </row>
    <row r="435" spans="1:16" x14ac:dyDescent="0.35">
      <c r="A435" s="535" t="str">
        <f t="shared" si="58"/>
        <v/>
      </c>
      <c r="B435" s="330"/>
      <c r="C435" s="330"/>
      <c r="D435" s="342"/>
      <c r="E435" s="362" t="s">
        <v>81</v>
      </c>
      <c r="F435" s="404">
        <v>1000</v>
      </c>
      <c r="G435" s="404" t="s">
        <v>73</v>
      </c>
      <c r="H435" s="345"/>
      <c r="I435" s="343"/>
      <c r="J435" s="345"/>
      <c r="K435" s="685"/>
      <c r="L435" s="563"/>
      <c r="M435" s="564" t="str">
        <f t="shared" si="56"/>
        <v/>
      </c>
      <c r="N435" s="564"/>
      <c r="O435" s="564" t="str">
        <f t="shared" si="57"/>
        <v/>
      </c>
      <c r="P435" s="43"/>
    </row>
    <row r="436" spans="1:16" x14ac:dyDescent="0.35">
      <c r="A436" s="535" t="str">
        <f t="shared" si="58"/>
        <v/>
      </c>
      <c r="B436" s="337"/>
      <c r="C436" s="337"/>
      <c r="D436" s="326" t="s">
        <v>43</v>
      </c>
      <c r="E436" s="360" t="s">
        <v>105</v>
      </c>
      <c r="F436" s="18">
        <v>10</v>
      </c>
      <c r="G436" s="18" t="s">
        <v>73</v>
      </c>
      <c r="H436" s="335">
        <f>ROUND((($F$434)*((F436)/($F$436+$F$437+$F$438))),2)</f>
        <v>0.28999999999999998</v>
      </c>
      <c r="I436" s="335" t="s">
        <v>73</v>
      </c>
      <c r="J436" s="337"/>
      <c r="K436" s="680">
        <f>(A417*H436)</f>
        <v>44.37</v>
      </c>
      <c r="L436" s="563"/>
      <c r="M436" s="564" t="str">
        <f t="shared" si="56"/>
        <v/>
      </c>
      <c r="N436" s="564"/>
      <c r="O436" s="564" t="str">
        <f t="shared" si="57"/>
        <v/>
      </c>
      <c r="P436" s="43"/>
    </row>
    <row r="437" spans="1:16" x14ac:dyDescent="0.35">
      <c r="A437" s="535" t="str">
        <f t="shared" si="58"/>
        <v/>
      </c>
      <c r="B437" s="330"/>
      <c r="C437" s="330"/>
      <c r="D437" s="326" t="s">
        <v>41</v>
      </c>
      <c r="E437" s="366" t="s">
        <v>760</v>
      </c>
      <c r="F437" s="22">
        <v>25</v>
      </c>
      <c r="G437" s="22" t="s">
        <v>73</v>
      </c>
      <c r="H437" s="328">
        <f t="shared" ref="H437:H438" si="59">ROUND((($F$434)*((F437)/($F$436+$F$437+$F$438))),2)</f>
        <v>0.72</v>
      </c>
      <c r="I437" s="328" t="s">
        <v>73</v>
      </c>
      <c r="J437" s="330"/>
      <c r="K437" s="681">
        <f>(A417*H437)</f>
        <v>110.16</v>
      </c>
      <c r="L437" s="563"/>
      <c r="M437" s="564" t="str">
        <f t="shared" si="56"/>
        <v/>
      </c>
      <c r="N437" s="564"/>
      <c r="O437" s="564" t="str">
        <f t="shared" si="57"/>
        <v/>
      </c>
      <c r="P437" s="43"/>
    </row>
    <row r="438" spans="1:16" x14ac:dyDescent="0.35">
      <c r="A438" s="535" t="str">
        <f t="shared" si="58"/>
        <v/>
      </c>
      <c r="B438" s="337"/>
      <c r="C438" s="337"/>
      <c r="D438" s="326" t="s">
        <v>371</v>
      </c>
      <c r="E438" s="360" t="s">
        <v>761</v>
      </c>
      <c r="F438" s="18">
        <v>1000</v>
      </c>
      <c r="G438" s="18" t="s">
        <v>73</v>
      </c>
      <c r="H438" s="335">
        <f t="shared" si="59"/>
        <v>28.99</v>
      </c>
      <c r="I438" s="335" t="s">
        <v>73</v>
      </c>
      <c r="J438" s="337"/>
      <c r="K438" s="680">
        <f>(A417*H438)</f>
        <v>4435.4699999999993</v>
      </c>
      <c r="L438" s="563"/>
      <c r="M438" s="564" t="str">
        <f t="shared" si="56"/>
        <v/>
      </c>
      <c r="N438" s="564"/>
      <c r="O438" s="564" t="str">
        <f t="shared" si="57"/>
        <v/>
      </c>
      <c r="P438" s="43"/>
    </row>
    <row r="439" spans="1:16" x14ac:dyDescent="0.35">
      <c r="A439" s="535" t="str">
        <f t="shared" si="58"/>
        <v/>
      </c>
      <c r="B439" s="330"/>
      <c r="C439" s="330"/>
      <c r="D439" s="355"/>
      <c r="E439" s="549" t="s">
        <v>769</v>
      </c>
      <c r="F439" s="378">
        <v>40</v>
      </c>
      <c r="G439" s="378" t="s">
        <v>73</v>
      </c>
      <c r="H439" s="515"/>
      <c r="I439" s="356"/>
      <c r="J439" s="515"/>
      <c r="K439" s="684"/>
      <c r="L439" s="563"/>
      <c r="M439" s="564" t="str">
        <f t="shared" si="56"/>
        <v/>
      </c>
      <c r="N439" s="564"/>
      <c r="O439" s="564" t="str">
        <f t="shared" si="57"/>
        <v/>
      </c>
      <c r="P439" s="43"/>
    </row>
    <row r="440" spans="1:16" x14ac:dyDescent="0.35">
      <c r="A440" s="535" t="str">
        <f t="shared" si="58"/>
        <v/>
      </c>
      <c r="B440" s="337"/>
      <c r="C440" s="337"/>
      <c r="D440" s="326" t="s">
        <v>521</v>
      </c>
      <c r="E440" s="360" t="s">
        <v>906</v>
      </c>
      <c r="F440" s="18">
        <v>200</v>
      </c>
      <c r="G440" s="18" t="s">
        <v>73</v>
      </c>
      <c r="H440" s="335">
        <f>ROUND(($F$439)*(($F$440)/((($F$441)*(($F$442)/($F$442+$F$443)))+
(($F$441)*(($F$443)/($F$442+$F$443)))+
(($F$444)*(($F$445)/($F$445+$F$446)))+
(($F$444)*(($F$446)/($F$445+$F$446)))+
($F$440)+($F$447)+($F$448))),2)</f>
        <v>33.200000000000003</v>
      </c>
      <c r="I440" s="335" t="s">
        <v>73</v>
      </c>
      <c r="J440" s="337"/>
      <c r="K440" s="680">
        <f>(A417*H440)</f>
        <v>5079.6000000000004</v>
      </c>
      <c r="L440" s="563"/>
      <c r="M440" s="564" t="str">
        <f t="shared" si="56"/>
        <v/>
      </c>
      <c r="N440" s="564"/>
      <c r="O440" s="564" t="str">
        <f t="shared" si="57"/>
        <v/>
      </c>
      <c r="P440" s="43"/>
    </row>
    <row r="441" spans="1:16" x14ac:dyDescent="0.35">
      <c r="A441" s="535" t="str">
        <f t="shared" si="58"/>
        <v/>
      </c>
      <c r="B441" s="330"/>
      <c r="C441" s="330"/>
      <c r="D441" s="355"/>
      <c r="E441" s="567" t="s">
        <v>770</v>
      </c>
      <c r="F441" s="378">
        <v>30</v>
      </c>
      <c r="G441" s="378" t="s">
        <v>73</v>
      </c>
      <c r="H441" s="356"/>
      <c r="I441" s="356"/>
      <c r="J441" s="515"/>
      <c r="K441" s="684"/>
      <c r="L441" s="563"/>
      <c r="M441" s="564" t="str">
        <f t="shared" si="56"/>
        <v/>
      </c>
      <c r="N441" s="564"/>
      <c r="O441" s="564" t="str">
        <f t="shared" si="57"/>
        <v/>
      </c>
      <c r="P441" s="43"/>
    </row>
    <row r="442" spans="1:16" x14ac:dyDescent="0.35">
      <c r="A442" s="535" t="str">
        <f t="shared" si="58"/>
        <v/>
      </c>
      <c r="B442" s="337"/>
      <c r="C442" s="337"/>
      <c r="D442" s="326" t="s">
        <v>537</v>
      </c>
      <c r="E442" s="560" t="s">
        <v>771</v>
      </c>
      <c r="F442" s="18">
        <v>1</v>
      </c>
      <c r="G442" s="18" t="s">
        <v>73</v>
      </c>
      <c r="H442" s="335">
        <f>ROUND(($F$439)*((($F$441)*(($F$442)/($F$442+$F$443)))
/((($F$441)*(($F$442)/($F$442+$F$443)))+
(($F$441)*(($F$443)/($F$442+$F$443)))+
(($F$444)*(($F$445)/($F$445+$F$446)))+
(($F$444)*(($F$446)/($F$445+$F$446)))+
($F$440)+($F$447)+($F$448))),2)</f>
        <v>0.05</v>
      </c>
      <c r="I442" s="335" t="s">
        <v>73</v>
      </c>
      <c r="J442" s="337"/>
      <c r="K442" s="680">
        <f>(A417*H442)</f>
        <v>7.65</v>
      </c>
      <c r="L442" s="563"/>
      <c r="M442" s="564" t="str">
        <f t="shared" si="56"/>
        <v/>
      </c>
      <c r="N442" s="564"/>
      <c r="O442" s="564" t="str">
        <f t="shared" si="57"/>
        <v/>
      </c>
      <c r="P442" s="43"/>
    </row>
    <row r="443" spans="1:16" x14ac:dyDescent="0.35">
      <c r="A443" s="535" t="str">
        <f t="shared" si="58"/>
        <v/>
      </c>
      <c r="B443" s="330"/>
      <c r="C443" s="330"/>
      <c r="D443" s="342"/>
      <c r="E443" s="561" t="s">
        <v>81</v>
      </c>
      <c r="F443" s="404">
        <v>100</v>
      </c>
      <c r="G443" s="404" t="s">
        <v>73</v>
      </c>
      <c r="H443" s="343">
        <f>ROUND(($F$439)*((($F$441)*(($F$443)/($F$442+$F$443)))
/((($F$441)*(($F$442)/($F$442+$F$443)))+
(($F$441)*(($F$443)/($F$442+$F$443)))+
(($F$444)*(($F$445)/($F$445+$F$446)))+
(($F$444)*(($F$446)/($F$445+$F$446)))+
($F$440)+($F$447)+($F$448))),2)</f>
        <v>4.93</v>
      </c>
      <c r="I443" s="343"/>
      <c r="J443" s="345"/>
      <c r="K443" s="685"/>
      <c r="L443" s="563"/>
      <c r="M443" s="564" t="str">
        <f t="shared" si="56"/>
        <v/>
      </c>
      <c r="N443" s="564"/>
      <c r="O443" s="564" t="str">
        <f t="shared" si="57"/>
        <v/>
      </c>
      <c r="P443" s="43"/>
    </row>
    <row r="444" spans="1:16" x14ac:dyDescent="0.35">
      <c r="A444" s="535" t="str">
        <f t="shared" si="58"/>
        <v/>
      </c>
      <c r="B444" s="337"/>
      <c r="C444" s="337"/>
      <c r="D444" s="355"/>
      <c r="E444" s="567" t="s">
        <v>726</v>
      </c>
      <c r="F444" s="378">
        <v>2</v>
      </c>
      <c r="G444" s="378" t="s">
        <v>73</v>
      </c>
      <c r="H444" s="356"/>
      <c r="I444" s="356"/>
      <c r="J444" s="515"/>
      <c r="K444" s="684"/>
      <c r="L444" s="563"/>
      <c r="M444" s="564" t="str">
        <f t="shared" si="56"/>
        <v/>
      </c>
      <c r="N444" s="564"/>
      <c r="O444" s="564" t="str">
        <f t="shared" si="57"/>
        <v/>
      </c>
      <c r="P444" s="43"/>
    </row>
    <row r="445" spans="1:16" x14ac:dyDescent="0.35">
      <c r="A445" s="535" t="str">
        <f t="shared" si="58"/>
        <v/>
      </c>
      <c r="B445" s="330"/>
      <c r="C445" s="330"/>
      <c r="D445" s="326" t="s">
        <v>43</v>
      </c>
      <c r="E445" s="495" t="s">
        <v>105</v>
      </c>
      <c r="F445" s="22">
        <v>15</v>
      </c>
      <c r="G445" s="22" t="s">
        <v>73</v>
      </c>
      <c r="H445" s="328">
        <f>ROUND(($F$439)*((($F$444)*(($F$445)/($F$445+$F$446)))
/((($F$441)*(($F$442)/($F$442+$F$443)))+
(($F$441)*(($F$443)/($F$442+$F$443)))+
(($F$444)*(($F$445)/($F$445+$F$446)))+
(($F$444)*(($F$446)/($F$445+$F$446)))+
($F$440)+($F$447)+($F$448))),2)</f>
        <v>0.05</v>
      </c>
      <c r="I445" s="328" t="s">
        <v>73</v>
      </c>
      <c r="J445" s="330"/>
      <c r="K445" s="681">
        <f>(A417*H445)</f>
        <v>7.65</v>
      </c>
      <c r="L445" s="563"/>
      <c r="M445" s="564" t="str">
        <f t="shared" si="56"/>
        <v/>
      </c>
      <c r="N445" s="564"/>
      <c r="O445" s="564" t="str">
        <f t="shared" si="57"/>
        <v/>
      </c>
      <c r="P445" s="43"/>
    </row>
    <row r="446" spans="1:16" x14ac:dyDescent="0.35">
      <c r="A446" s="535" t="str">
        <f t="shared" si="58"/>
        <v/>
      </c>
      <c r="B446" s="337"/>
      <c r="C446" s="337"/>
      <c r="D446" s="326" t="s">
        <v>42</v>
      </c>
      <c r="E446" s="560" t="s">
        <v>95</v>
      </c>
      <c r="F446" s="18">
        <v>85</v>
      </c>
      <c r="G446" s="18" t="s">
        <v>73</v>
      </c>
      <c r="H446" s="335">
        <f>ROUND(($F$439)*((($F$444)*(($F$446)/($F$445+$F$446)))
/((($F$441)*(($F$442)/($F$442+$F$443)))+
(($F$441)*(($F$443)/($F$442+$F$443)))+
(($F$444)*(($F$445)/($F$445+$F$446)))+
(($F$444)*(($F$446)/($F$445+$F$446)))+
($F$440)+($F$447)+($F$448))),2)</f>
        <v>0.28000000000000003</v>
      </c>
      <c r="I446" s="335" t="s">
        <v>73</v>
      </c>
      <c r="J446" s="337"/>
      <c r="K446" s="680">
        <f>(A417*H446)</f>
        <v>42.84</v>
      </c>
      <c r="L446" s="563"/>
      <c r="M446" s="564" t="str">
        <f t="shared" si="56"/>
        <v/>
      </c>
      <c r="N446" s="564"/>
      <c r="O446" s="564" t="str">
        <f t="shared" si="57"/>
        <v/>
      </c>
      <c r="P446" s="43"/>
    </row>
    <row r="447" spans="1:16" x14ac:dyDescent="0.35">
      <c r="A447" s="535" t="str">
        <f t="shared" si="58"/>
        <v/>
      </c>
      <c r="B447" s="330"/>
      <c r="C447" s="330"/>
      <c r="D447" s="326" t="s">
        <v>517</v>
      </c>
      <c r="E447" s="366" t="s">
        <v>724</v>
      </c>
      <c r="F447" s="22">
        <v>8</v>
      </c>
      <c r="G447" s="22" t="s">
        <v>73</v>
      </c>
      <c r="H447" s="328">
        <f>ROUND(($F$439)*((F447)/((($F$441)*(($F$442)/($F$442+$F$443)))+
(($F$441)*(($F$443)/($F$442+$F$443)))+
(($F$444)*(($F$445)/($F$445+$F$446)))+
(($F$444)*(($F$446)/($F$445+$F$446)))+
($F$440)+($F$447)+($F$448))),2)</f>
        <v>1.33</v>
      </c>
      <c r="I447" s="328" t="s">
        <v>73</v>
      </c>
      <c r="J447" s="330"/>
      <c r="K447" s="681">
        <f>(A417*H447)</f>
        <v>203.49</v>
      </c>
      <c r="L447" s="563"/>
      <c r="M447" s="564" t="str">
        <f t="shared" si="56"/>
        <v/>
      </c>
      <c r="N447" s="564"/>
      <c r="O447" s="564" t="str">
        <f t="shared" si="57"/>
        <v/>
      </c>
      <c r="P447" s="43"/>
    </row>
    <row r="448" spans="1:16" x14ac:dyDescent="0.35">
      <c r="A448" s="535" t="str">
        <f t="shared" si="58"/>
        <v/>
      </c>
      <c r="B448" s="337"/>
      <c r="C448" s="337"/>
      <c r="D448" s="326" t="s">
        <v>45</v>
      </c>
      <c r="E448" s="360" t="s">
        <v>101</v>
      </c>
      <c r="F448" s="18">
        <v>1</v>
      </c>
      <c r="G448" s="18" t="s">
        <v>73</v>
      </c>
      <c r="H448" s="335">
        <f>ROUND(($F$439)*((F448)/((($F$441)*(($F$442)/($F$442+$F$443)))+
(($F$441)*(($F$443)/($F$442+$F$443)))+
(($F$444)*(($F$445)/($F$445+$F$446)))+
(($F$444)*(($F$446)/($F$445+$F$446)))+
($F$440)+($F$447)+($F$448))),2)</f>
        <v>0.17</v>
      </c>
      <c r="I448" s="335" t="s">
        <v>73</v>
      </c>
      <c r="J448" s="337"/>
      <c r="K448" s="680">
        <f>(A417*H448)</f>
        <v>26.01</v>
      </c>
      <c r="L448" s="563"/>
      <c r="M448" s="564" t="str">
        <f t="shared" si="56"/>
        <v/>
      </c>
      <c r="N448" s="564"/>
      <c r="O448" s="564" t="str">
        <f t="shared" si="57"/>
        <v/>
      </c>
      <c r="P448" s="43"/>
    </row>
    <row r="449" spans="1:16" x14ac:dyDescent="0.35">
      <c r="A449" s="535" t="str">
        <f t="shared" si="58"/>
        <v/>
      </c>
      <c r="B449" s="330"/>
      <c r="C449" s="330"/>
      <c r="D449" s="355"/>
      <c r="E449" s="549" t="s">
        <v>774</v>
      </c>
      <c r="F449" s="378">
        <v>10</v>
      </c>
      <c r="G449" s="378" t="s">
        <v>73</v>
      </c>
      <c r="H449" s="515"/>
      <c r="I449" s="356"/>
      <c r="J449" s="515"/>
      <c r="K449" s="684"/>
      <c r="L449" s="563"/>
      <c r="M449" s="564" t="str">
        <f t="shared" si="56"/>
        <v/>
      </c>
      <c r="N449" s="564"/>
      <c r="O449" s="564" t="str">
        <f t="shared" si="57"/>
        <v/>
      </c>
      <c r="P449" s="43"/>
    </row>
    <row r="450" spans="1:16" x14ac:dyDescent="0.35">
      <c r="A450" s="535" t="str">
        <f t="shared" si="58"/>
        <v/>
      </c>
      <c r="B450" s="337"/>
      <c r="C450" s="337"/>
      <c r="D450" s="342"/>
      <c r="E450" s="362" t="s">
        <v>81</v>
      </c>
      <c r="F450" s="404">
        <v>600</v>
      </c>
      <c r="G450" s="404" t="s">
        <v>73</v>
      </c>
      <c r="H450" s="345"/>
      <c r="I450" s="343"/>
      <c r="J450" s="345"/>
      <c r="K450" s="685"/>
      <c r="L450" s="563"/>
      <c r="M450" s="564" t="str">
        <f t="shared" si="56"/>
        <v/>
      </c>
      <c r="N450" s="564"/>
      <c r="O450" s="564" t="str">
        <f t="shared" si="57"/>
        <v/>
      </c>
      <c r="P450" s="43"/>
    </row>
    <row r="451" spans="1:16" x14ac:dyDescent="0.35">
      <c r="A451" s="535" t="str">
        <f t="shared" si="58"/>
        <v/>
      </c>
      <c r="B451" s="330"/>
      <c r="C451" s="330"/>
      <c r="D451" s="326" t="s">
        <v>529</v>
      </c>
      <c r="E451" s="366" t="s">
        <v>775</v>
      </c>
      <c r="F451" s="22">
        <v>16</v>
      </c>
      <c r="G451" s="22" t="s">
        <v>73</v>
      </c>
      <c r="H451" s="328">
        <f>ROUND(($F$449)*((F451)/(($F$453)*(($F$454)/($F$454+$F$455))+
($F$453)*(($F$455)/($F$454+$F$455))+
($F$451)+($F$452)+($F$456))),2)</f>
        <v>0.51</v>
      </c>
      <c r="I451" s="328" t="s">
        <v>73</v>
      </c>
      <c r="J451" s="330"/>
      <c r="K451" s="681">
        <f>(A417*H451)</f>
        <v>78.03</v>
      </c>
      <c r="L451" s="563"/>
      <c r="M451" s="564" t="str">
        <f t="shared" si="56"/>
        <v/>
      </c>
      <c r="N451" s="564"/>
      <c r="O451" s="564" t="str">
        <f t="shared" si="57"/>
        <v/>
      </c>
      <c r="P451" s="43"/>
    </row>
    <row r="452" spans="1:16" x14ac:dyDescent="0.35">
      <c r="A452" s="535" t="str">
        <f t="shared" si="58"/>
        <v/>
      </c>
      <c r="B452" s="337"/>
      <c r="C452" s="337"/>
      <c r="D452" s="326" t="s">
        <v>333</v>
      </c>
      <c r="E452" s="360" t="s">
        <v>756</v>
      </c>
      <c r="F452" s="18">
        <v>70</v>
      </c>
      <c r="G452" s="18" t="s">
        <v>73</v>
      </c>
      <c r="H452" s="335">
        <f>ROUND(($F$449)*((F452)/(($F$453)*(($F$454)/($F$454+$F$455))+
($F$453)*(($F$455)/($F$454+$F$455))+
($F$451)+($F$452)+($F$456))),2)</f>
        <v>2.2200000000000002</v>
      </c>
      <c r="I452" s="335" t="s">
        <v>73</v>
      </c>
      <c r="J452" s="337"/>
      <c r="K452" s="680">
        <f>(A417*H452)</f>
        <v>339.66</v>
      </c>
      <c r="L452" s="563"/>
      <c r="M452" s="564" t="str">
        <f t="shared" si="56"/>
        <v/>
      </c>
      <c r="N452" s="564"/>
      <c r="O452" s="564" t="str">
        <f t="shared" si="57"/>
        <v/>
      </c>
      <c r="P452" s="43"/>
    </row>
    <row r="453" spans="1:16" x14ac:dyDescent="0.35">
      <c r="A453" s="535" t="str">
        <f t="shared" si="58"/>
        <v/>
      </c>
      <c r="B453" s="330"/>
      <c r="C453" s="330"/>
      <c r="D453" s="355"/>
      <c r="E453" s="567" t="s">
        <v>776</v>
      </c>
      <c r="F453" s="378">
        <v>200</v>
      </c>
      <c r="G453" s="378" t="s">
        <v>73</v>
      </c>
      <c r="H453" s="356"/>
      <c r="I453" s="356"/>
      <c r="J453" s="515"/>
      <c r="K453" s="684"/>
      <c r="L453" s="563"/>
      <c r="M453" s="564" t="str">
        <f t="shared" si="56"/>
        <v/>
      </c>
      <c r="N453" s="564"/>
      <c r="O453" s="564" t="str">
        <f t="shared" si="57"/>
        <v/>
      </c>
      <c r="P453" s="43"/>
    </row>
    <row r="454" spans="1:16" x14ac:dyDescent="0.35">
      <c r="A454" s="535" t="str">
        <f t="shared" si="58"/>
        <v/>
      </c>
      <c r="B454" s="337"/>
      <c r="C454" s="337"/>
      <c r="D454" s="326" t="s">
        <v>377</v>
      </c>
      <c r="E454" s="560" t="s">
        <v>777</v>
      </c>
      <c r="F454" s="18">
        <v>500</v>
      </c>
      <c r="G454" s="18" t="s">
        <v>73</v>
      </c>
      <c r="H454" s="335">
        <f>ROUND(($F$449)*(($F$453)*(($F$454)/($F$454+$F$455))
/(($F$453)*(($F$454)/($F$454+$F$455))+
($F$453)*(($F$455)/($F$454+$F$455))+
($F$451)+($F$452)+($F$456))),2)</f>
        <v>6.21</v>
      </c>
      <c r="I454" s="335" t="s">
        <v>73</v>
      </c>
      <c r="J454" s="337"/>
      <c r="K454" s="680">
        <f>(A417*H454)</f>
        <v>950.13</v>
      </c>
      <c r="L454" s="563"/>
      <c r="M454" s="564" t="str">
        <f t="shared" si="56"/>
        <v/>
      </c>
      <c r="N454" s="564"/>
      <c r="O454" s="564" t="str">
        <f t="shared" si="57"/>
        <v/>
      </c>
      <c r="P454" s="43"/>
    </row>
    <row r="455" spans="1:16" x14ac:dyDescent="0.35">
      <c r="A455" s="535" t="str">
        <f t="shared" si="58"/>
        <v/>
      </c>
      <c r="B455" s="330"/>
      <c r="C455" s="330"/>
      <c r="D455" s="326" t="s">
        <v>43</v>
      </c>
      <c r="E455" s="495" t="s">
        <v>105</v>
      </c>
      <c r="F455" s="22">
        <v>10</v>
      </c>
      <c r="G455" s="22" t="s">
        <v>73</v>
      </c>
      <c r="H455" s="328">
        <f>ROUND(($F$449)*(($F$453)*(($F$455)/($F$454+$F$455))
/(($F$453)*(($F$454)/($F$454+$F$455))+
($F$453)*(($F$455)/($F$454+$F$455))+
($F$451)+($F$452)+($F$456))),2)</f>
        <v>0.12</v>
      </c>
      <c r="I455" s="328" t="s">
        <v>73</v>
      </c>
      <c r="J455" s="330"/>
      <c r="K455" s="681">
        <f>(A417*H455)</f>
        <v>18.36</v>
      </c>
      <c r="L455" s="563"/>
      <c r="M455" s="564" t="str">
        <f t="shared" si="56"/>
        <v/>
      </c>
      <c r="N455" s="564"/>
      <c r="O455" s="564" t="str">
        <f t="shared" si="57"/>
        <v/>
      </c>
      <c r="P455" s="43"/>
    </row>
    <row r="456" spans="1:16" x14ac:dyDescent="0.35">
      <c r="A456" s="535" t="str">
        <f t="shared" si="58"/>
        <v/>
      </c>
      <c r="B456" s="337"/>
      <c r="C456" s="337"/>
      <c r="D456" s="326" t="s">
        <v>389</v>
      </c>
      <c r="E456" s="360" t="s">
        <v>778</v>
      </c>
      <c r="F456" s="18">
        <v>30</v>
      </c>
      <c r="G456" s="18" t="s">
        <v>73</v>
      </c>
      <c r="H456" s="335">
        <f>ROUND(($F$449)*(($F$456)/(($F$453)*(($F$454)/($F$454+$F$455))+
($F$453)*(($F$455)/($F$454+$F$455))+
($F$451)+($F$452)+($F$456))),2)</f>
        <v>0.95</v>
      </c>
      <c r="I456" s="335" t="s">
        <v>73</v>
      </c>
      <c r="J456" s="337"/>
      <c r="K456" s="680">
        <f>(A417*H456)</f>
        <v>145.35</v>
      </c>
      <c r="L456" s="563"/>
      <c r="M456" s="564" t="str">
        <f t="shared" si="56"/>
        <v/>
      </c>
      <c r="N456" s="564"/>
      <c r="O456" s="564" t="str">
        <f t="shared" si="57"/>
        <v/>
      </c>
      <c r="P456" s="43"/>
    </row>
    <row r="457" spans="1:16" x14ac:dyDescent="0.35">
      <c r="A457" s="535" t="str">
        <f t="shared" si="58"/>
        <v/>
      </c>
      <c r="B457" s="330"/>
      <c r="C457" s="330"/>
      <c r="D457" s="355"/>
      <c r="E457" s="549" t="s">
        <v>785</v>
      </c>
      <c r="F457" s="378">
        <v>20</v>
      </c>
      <c r="G457" s="378"/>
      <c r="H457" s="515"/>
      <c r="I457" s="356"/>
      <c r="J457" s="515"/>
      <c r="K457" s="684"/>
      <c r="L457" s="563"/>
      <c r="M457" s="564" t="str">
        <f t="shared" si="56"/>
        <v/>
      </c>
      <c r="N457" s="564"/>
      <c r="O457" s="564" t="str">
        <f t="shared" si="57"/>
        <v/>
      </c>
      <c r="P457" s="43"/>
    </row>
    <row r="458" spans="1:16" x14ac:dyDescent="0.35">
      <c r="A458" s="535" t="str">
        <f t="shared" si="58"/>
        <v/>
      </c>
      <c r="B458" s="337"/>
      <c r="C458" s="337"/>
      <c r="D458" s="355"/>
      <c r="E458" s="549" t="s">
        <v>780</v>
      </c>
      <c r="F458" s="378">
        <v>250</v>
      </c>
      <c r="G458" s="378" t="s">
        <v>73</v>
      </c>
      <c r="H458" s="515"/>
      <c r="I458" s="356"/>
      <c r="J458" s="515"/>
      <c r="K458" s="684"/>
      <c r="L458" s="563"/>
      <c r="M458" s="564" t="str">
        <f t="shared" si="56"/>
        <v/>
      </c>
      <c r="N458" s="564"/>
      <c r="O458" s="564" t="str">
        <f t="shared" si="57"/>
        <v/>
      </c>
      <c r="P458" s="43"/>
    </row>
    <row r="459" spans="1:16" x14ac:dyDescent="0.35">
      <c r="A459" s="535" t="str">
        <f t="shared" si="58"/>
        <v/>
      </c>
      <c r="B459" s="330"/>
      <c r="C459" s="330"/>
      <c r="D459" s="326" t="s">
        <v>1068</v>
      </c>
      <c r="E459" s="366" t="s">
        <v>1069</v>
      </c>
      <c r="F459" s="22">
        <v>60</v>
      </c>
      <c r="G459" s="22" t="s">
        <v>73</v>
      </c>
      <c r="H459" s="328">
        <f>ROUND(($F$457)*((($F$458)*(($F$459)/($F$459+$F$460)))
/((($F$458)*(($F$459)/($F$459+$F$460)))+
(($F$458)*(($F$460)/($F$459+$F$460)))+
($F$461))),2)</f>
        <v>7.84</v>
      </c>
      <c r="I459" s="328" t="s">
        <v>73</v>
      </c>
      <c r="J459" s="330"/>
      <c r="K459" s="681">
        <f>(A417*H459)</f>
        <v>1199.52</v>
      </c>
      <c r="L459" s="563"/>
      <c r="M459" s="564" t="str">
        <f t="shared" si="56"/>
        <v/>
      </c>
      <c r="N459" s="564"/>
      <c r="O459" s="564" t="str">
        <f t="shared" si="57"/>
        <v/>
      </c>
      <c r="P459" s="43"/>
    </row>
    <row r="460" spans="1:16" x14ac:dyDescent="0.35">
      <c r="A460" s="535" t="str">
        <f t="shared" si="58"/>
        <v/>
      </c>
      <c r="B460" s="337"/>
      <c r="C460" s="337"/>
      <c r="D460" s="342"/>
      <c r="E460" s="362" t="s">
        <v>81</v>
      </c>
      <c r="F460" s="404">
        <v>90</v>
      </c>
      <c r="G460" s="404" t="s">
        <v>73</v>
      </c>
      <c r="H460" s="343">
        <f>ROUND(($F$457)*((($F$458)*(($F$460)/($F$459+$F$460)))
/((($F$458)*(($F$459)/($F$459+$F$460)))+
(($F$458)*(($F$460)/($F$459+$F$460)))+
($F$461))),2)</f>
        <v>11.76</v>
      </c>
      <c r="I460" s="343"/>
      <c r="J460" s="345"/>
      <c r="K460" s="685"/>
      <c r="L460" s="563"/>
      <c r="M460" s="564" t="str">
        <f t="shared" si="56"/>
        <v/>
      </c>
      <c r="N460" s="564"/>
      <c r="O460" s="564" t="str">
        <f t="shared" si="57"/>
        <v/>
      </c>
      <c r="P460" s="43"/>
    </row>
    <row r="461" spans="1:16" x14ac:dyDescent="0.35">
      <c r="A461" s="535" t="str">
        <f t="shared" si="58"/>
        <v/>
      </c>
      <c r="B461" s="330"/>
      <c r="C461" s="330"/>
      <c r="D461" s="326" t="s">
        <v>40</v>
      </c>
      <c r="E461" s="544" t="s">
        <v>104</v>
      </c>
      <c r="F461" s="22">
        <v>5</v>
      </c>
      <c r="G461" s="22" t="s">
        <v>73</v>
      </c>
      <c r="H461" s="328">
        <f>ROUND(($F$457)*(($F$461)/((($F$458)*(($F$459)/($F$459+$F$460)))+
(($F$458)*(($F$460)/($F$459+$F$460)))+
($F$461))),2)</f>
        <v>0.39</v>
      </c>
      <c r="I461" s="328" t="s">
        <v>73</v>
      </c>
      <c r="J461" s="330"/>
      <c r="K461" s="681">
        <f>(A417*H461)</f>
        <v>59.67</v>
      </c>
      <c r="L461" s="563"/>
      <c r="M461" s="564" t="str">
        <f t="shared" si="56"/>
        <v/>
      </c>
      <c r="N461" s="564"/>
      <c r="O461" s="564" t="str">
        <f t="shared" si="57"/>
        <v/>
      </c>
      <c r="P461" s="43"/>
    </row>
    <row r="462" spans="1:16" x14ac:dyDescent="0.35">
      <c r="A462" s="535" t="str">
        <f t="shared" si="58"/>
        <v/>
      </c>
      <c r="B462" s="337"/>
      <c r="C462" s="337"/>
      <c r="D462" s="355"/>
      <c r="E462" s="355" t="s">
        <v>787</v>
      </c>
      <c r="F462" s="378">
        <v>40</v>
      </c>
      <c r="G462" s="378" t="s">
        <v>73</v>
      </c>
      <c r="H462" s="515"/>
      <c r="I462" s="356"/>
      <c r="J462" s="515"/>
      <c r="K462" s="684"/>
      <c r="L462" s="563"/>
      <c r="M462" s="564" t="str">
        <f t="shared" si="56"/>
        <v/>
      </c>
      <c r="N462" s="564"/>
      <c r="O462" s="564" t="str">
        <f t="shared" si="57"/>
        <v/>
      </c>
      <c r="P462" s="43"/>
    </row>
    <row r="463" spans="1:16" x14ac:dyDescent="0.35">
      <c r="A463" s="535" t="str">
        <f t="shared" si="58"/>
        <v/>
      </c>
      <c r="B463" s="330"/>
      <c r="C463" s="330"/>
      <c r="D463" s="326" t="s">
        <v>63</v>
      </c>
      <c r="E463" s="366" t="s">
        <v>788</v>
      </c>
      <c r="F463" s="22">
        <v>100</v>
      </c>
      <c r="G463" s="22" t="s">
        <v>73</v>
      </c>
      <c r="H463" s="328">
        <f>ROUND(($F$462)*((F463)/($F$463+$F$464+$F$465)),2)</f>
        <v>26.14</v>
      </c>
      <c r="I463" s="328" t="s">
        <v>73</v>
      </c>
      <c r="J463" s="22"/>
      <c r="K463" s="681">
        <f>(A417*((H463)+(H463*0.2)))</f>
        <v>4799.3040000000001</v>
      </c>
      <c r="L463" s="563"/>
      <c r="M463" s="564" t="str">
        <f t="shared" si="56"/>
        <v/>
      </c>
      <c r="N463" s="564"/>
      <c r="O463" s="564" t="str">
        <f t="shared" si="57"/>
        <v/>
      </c>
      <c r="P463" s="43"/>
    </row>
    <row r="464" spans="1:16" x14ac:dyDescent="0.35">
      <c r="A464" s="535" t="str">
        <f t="shared" si="58"/>
        <v/>
      </c>
      <c r="B464" s="337"/>
      <c r="C464" s="337"/>
      <c r="D464" s="326" t="s">
        <v>129</v>
      </c>
      <c r="E464" s="360" t="s">
        <v>789</v>
      </c>
      <c r="F464" s="18">
        <v>50</v>
      </c>
      <c r="G464" s="18" t="s">
        <v>73</v>
      </c>
      <c r="H464" s="335">
        <f t="shared" ref="H464:H465" si="60">ROUND(($F$462)*((F464)/($F$463+$F$464+$F$465)),2)</f>
        <v>13.07</v>
      </c>
      <c r="I464" s="335" t="s">
        <v>73</v>
      </c>
      <c r="J464" s="18"/>
      <c r="K464" s="680">
        <f>(A417*H464)</f>
        <v>1999.71</v>
      </c>
      <c r="L464" s="563"/>
      <c r="M464" s="564" t="str">
        <f t="shared" si="56"/>
        <v/>
      </c>
      <c r="N464" s="564"/>
      <c r="O464" s="564" t="str">
        <f t="shared" si="57"/>
        <v/>
      </c>
      <c r="P464" s="43"/>
    </row>
    <row r="465" spans="1:16" ht="15" thickBot="1" x14ac:dyDescent="0.4">
      <c r="A465" s="535" t="str">
        <f t="shared" ref="A465:A528" si="61">IFERROR(INDEX($Q$17:$Q$41,MATCH(B465,$R$17:$R$41, 0)), "")</f>
        <v/>
      </c>
      <c r="B465" s="330"/>
      <c r="C465" s="330"/>
      <c r="D465" s="326" t="s">
        <v>517</v>
      </c>
      <c r="E465" s="366" t="s">
        <v>724</v>
      </c>
      <c r="F465" s="22">
        <v>3</v>
      </c>
      <c r="G465" s="22" t="s">
        <v>73</v>
      </c>
      <c r="H465" s="328">
        <f t="shared" si="60"/>
        <v>0.78</v>
      </c>
      <c r="I465" s="328" t="s">
        <v>73</v>
      </c>
      <c r="J465" s="22"/>
      <c r="K465" s="681">
        <f>(A417*H465)</f>
        <v>119.34</v>
      </c>
      <c r="L465" s="563"/>
      <c r="M465" s="564" t="str">
        <f t="shared" ref="M465:M528" si="62">IF(Q464&gt;0, Q464, "")</f>
        <v/>
      </c>
      <c r="N465" s="564"/>
      <c r="O465" s="564" t="str">
        <f t="shared" ref="O465:O528" si="63">IF(V465&gt;0, V465, "")</f>
        <v/>
      </c>
      <c r="P465" s="43"/>
    </row>
    <row r="466" spans="1:16" ht="15.5" thickTop="1" thickBot="1" x14ac:dyDescent="0.4">
      <c r="A466" s="545" t="str">
        <f t="shared" si="61"/>
        <v/>
      </c>
      <c r="B466" s="546"/>
      <c r="C466" s="546"/>
      <c r="D466" s="547"/>
      <c r="E466" s="546"/>
      <c r="F466" s="546"/>
      <c r="G466" s="546"/>
      <c r="H466" s="546"/>
      <c r="I466" s="546"/>
      <c r="J466" s="550"/>
      <c r="K466" s="676"/>
      <c r="L466" s="535"/>
      <c r="M466" s="552" t="str">
        <f t="shared" si="62"/>
        <v/>
      </c>
      <c r="N466" s="552"/>
      <c r="O466" s="552" t="str">
        <f t="shared" si="63"/>
        <v/>
      </c>
      <c r="P466" s="39"/>
    </row>
    <row r="467" spans="1:16" ht="15" thickTop="1" x14ac:dyDescent="0.35">
      <c r="A467" s="565">
        <f>IFERROR(INDEX($Q$17:$Q$150,MATCH(B467,$R$17:$R$150, 0)), "")</f>
        <v>55</v>
      </c>
      <c r="B467" s="382" t="s">
        <v>1289</v>
      </c>
      <c r="C467" s="580" t="s">
        <v>790</v>
      </c>
      <c r="D467" s="347" t="s">
        <v>748</v>
      </c>
      <c r="E467" s="566" t="s">
        <v>749</v>
      </c>
      <c r="F467" s="438">
        <v>1</v>
      </c>
      <c r="G467" s="438" t="s">
        <v>1072</v>
      </c>
      <c r="H467" s="439">
        <v>1</v>
      </c>
      <c r="I467" s="439" t="s">
        <v>1072</v>
      </c>
      <c r="J467" s="533"/>
      <c r="K467" s="679">
        <f>(A467*H467)</f>
        <v>55</v>
      </c>
      <c r="L467" s="581"/>
      <c r="M467" s="582" t="str">
        <f t="shared" si="62"/>
        <v/>
      </c>
      <c r="N467" s="582"/>
      <c r="O467" s="582" t="str">
        <f t="shared" si="63"/>
        <v/>
      </c>
      <c r="P467" s="46"/>
    </row>
    <row r="468" spans="1:16" x14ac:dyDescent="0.35">
      <c r="A468" s="535" t="str">
        <f t="shared" si="61"/>
        <v/>
      </c>
      <c r="B468" s="337"/>
      <c r="C468" s="337"/>
      <c r="D468" s="326" t="s">
        <v>373</v>
      </c>
      <c r="E468" s="536" t="s">
        <v>772</v>
      </c>
      <c r="F468" s="18">
        <v>20</v>
      </c>
      <c r="G468" s="18" t="s">
        <v>73</v>
      </c>
      <c r="H468" s="335">
        <v>20</v>
      </c>
      <c r="I468" s="335" t="s">
        <v>73</v>
      </c>
      <c r="J468" s="337"/>
      <c r="K468" s="680">
        <f>(A467*H468)</f>
        <v>1100</v>
      </c>
      <c r="L468" s="563"/>
      <c r="M468" s="564" t="str">
        <f t="shared" si="62"/>
        <v/>
      </c>
      <c r="N468" s="564"/>
      <c r="O468" s="564" t="str">
        <f t="shared" si="63"/>
        <v/>
      </c>
      <c r="P468" s="42"/>
    </row>
    <row r="469" spans="1:16" x14ac:dyDescent="0.35">
      <c r="A469" s="535" t="str">
        <f t="shared" si="61"/>
        <v/>
      </c>
      <c r="B469" s="330"/>
      <c r="C469" s="330"/>
      <c r="D469" s="326" t="s">
        <v>398</v>
      </c>
      <c r="E469" s="544" t="s">
        <v>784</v>
      </c>
      <c r="F469" s="22">
        <v>12</v>
      </c>
      <c r="G469" s="22" t="s">
        <v>73</v>
      </c>
      <c r="H469" s="328">
        <v>12</v>
      </c>
      <c r="I469" s="328" t="s">
        <v>73</v>
      </c>
      <c r="J469" s="330"/>
      <c r="K469" s="681">
        <f>(A467*H469)</f>
        <v>660</v>
      </c>
      <c r="L469" s="563"/>
      <c r="M469" s="564" t="str">
        <f t="shared" si="62"/>
        <v/>
      </c>
      <c r="N469" s="564"/>
      <c r="O469" s="564" t="str">
        <f t="shared" si="63"/>
        <v/>
      </c>
      <c r="P469" s="42"/>
    </row>
    <row r="470" spans="1:16" x14ac:dyDescent="0.35">
      <c r="A470" s="535" t="str">
        <f t="shared" si="61"/>
        <v/>
      </c>
      <c r="B470" s="337"/>
      <c r="C470" s="337"/>
      <c r="D470" s="326" t="s">
        <v>41</v>
      </c>
      <c r="E470" s="536" t="s">
        <v>779</v>
      </c>
      <c r="F470" s="18">
        <v>2</v>
      </c>
      <c r="G470" s="18" t="s">
        <v>73</v>
      </c>
      <c r="H470" s="335">
        <v>2</v>
      </c>
      <c r="I470" s="335" t="s">
        <v>73</v>
      </c>
      <c r="J470" s="337"/>
      <c r="K470" s="680">
        <f>(A467*H470)</f>
        <v>110</v>
      </c>
      <c r="L470" s="563"/>
      <c r="M470" s="564" t="str">
        <f t="shared" si="62"/>
        <v/>
      </c>
      <c r="N470" s="564"/>
      <c r="O470" s="564" t="str">
        <f t="shared" si="63"/>
        <v/>
      </c>
      <c r="P470" s="42"/>
    </row>
    <row r="471" spans="1:16" x14ac:dyDescent="0.35">
      <c r="A471" s="535" t="str">
        <f t="shared" si="61"/>
        <v/>
      </c>
      <c r="B471" s="330"/>
      <c r="C471" s="330"/>
      <c r="D471" s="326" t="s">
        <v>491</v>
      </c>
      <c r="E471" s="327" t="s">
        <v>750</v>
      </c>
      <c r="F471" s="22">
        <v>1.25</v>
      </c>
      <c r="G471" s="22" t="s">
        <v>773</v>
      </c>
      <c r="H471" s="328">
        <v>1.25</v>
      </c>
      <c r="I471" s="328" t="s">
        <v>773</v>
      </c>
      <c r="J471" s="330"/>
      <c r="K471" s="681">
        <f>(A467*H471)</f>
        <v>68.75</v>
      </c>
      <c r="L471" s="563"/>
      <c r="M471" s="564" t="str">
        <f t="shared" si="62"/>
        <v/>
      </c>
      <c r="N471" s="564"/>
      <c r="O471" s="564" t="str">
        <f t="shared" si="63"/>
        <v/>
      </c>
      <c r="P471" s="42"/>
    </row>
    <row r="472" spans="1:16" x14ac:dyDescent="0.35">
      <c r="A472" s="535" t="str">
        <f t="shared" si="61"/>
        <v/>
      </c>
      <c r="B472" s="337"/>
      <c r="C472" s="337"/>
      <c r="D472" s="355"/>
      <c r="E472" s="549" t="s">
        <v>751</v>
      </c>
      <c r="F472" s="378">
        <v>100</v>
      </c>
      <c r="G472" s="378" t="s">
        <v>73</v>
      </c>
      <c r="H472" s="515"/>
      <c r="I472" s="515"/>
      <c r="J472" s="515"/>
      <c r="K472" s="684"/>
      <c r="L472" s="563"/>
      <c r="M472" s="564" t="str">
        <f t="shared" si="62"/>
        <v/>
      </c>
      <c r="N472" s="564"/>
      <c r="O472" s="564" t="str">
        <f t="shared" si="63"/>
        <v/>
      </c>
      <c r="P472" s="42"/>
    </row>
    <row r="473" spans="1:16" x14ac:dyDescent="0.35">
      <c r="A473" s="535" t="str">
        <f t="shared" si="61"/>
        <v/>
      </c>
      <c r="B473" s="330"/>
      <c r="C473" s="330"/>
      <c r="D473" s="355"/>
      <c r="E473" s="567" t="s">
        <v>754</v>
      </c>
      <c r="F473" s="356">
        <v>2100</v>
      </c>
      <c r="G473" s="378" t="s">
        <v>73</v>
      </c>
      <c r="H473" s="513"/>
      <c r="I473" s="513"/>
      <c r="J473" s="513"/>
      <c r="K473" s="684"/>
      <c r="L473" s="563"/>
      <c r="M473" s="564" t="str">
        <f t="shared" si="62"/>
        <v/>
      </c>
      <c r="N473" s="564"/>
      <c r="O473" s="564" t="str">
        <f t="shared" si="63"/>
        <v/>
      </c>
      <c r="P473" s="42"/>
    </row>
    <row r="474" spans="1:16" x14ac:dyDescent="0.35">
      <c r="A474" s="535" t="str">
        <f t="shared" si="61"/>
        <v/>
      </c>
      <c r="B474" s="337"/>
      <c r="C474" s="337"/>
      <c r="D474" s="342"/>
      <c r="E474" s="561" t="s">
        <v>81</v>
      </c>
      <c r="F474" s="404">
        <v>1300</v>
      </c>
      <c r="G474" s="404" t="s">
        <v>73</v>
      </c>
      <c r="H474" s="343">
        <f>ROUND(($F$364)*((($F$473)*(($F$474)/($F$474+$F$475+$F$476)))
/((($F$473)*(($F$474)/($F$474+$F$475+$F$476)))+
(($F$473)*(($F$475)/($F$474+$F$475+$F$476)))+
(($F$473)*(($F$476)/($F$474+$F$475+$F$476)))+
(($F$477)*(($F$478)/($F$478+$F$479+$F$480+$F$481)))+
(($F$477)*(($F$479)/($F$478+$F$479+$F$480+$F$481)))+
(($F$477)*(($F$480)/($F$478+$F$479+$F$480+$F$481)))+
(($F$477)*(($F$481)/($F$478+$F$479+$F$480+$F$481)))+
($F$482)+($F$483))),2)</f>
        <v>53.47</v>
      </c>
      <c r="I474" s="345"/>
      <c r="J474" s="345"/>
      <c r="K474" s="685"/>
      <c r="L474" s="563"/>
      <c r="M474" s="564" t="str">
        <f t="shared" si="62"/>
        <v/>
      </c>
      <c r="N474" s="564"/>
      <c r="O474" s="564" t="str">
        <f t="shared" si="63"/>
        <v/>
      </c>
      <c r="P474" s="42"/>
    </row>
    <row r="475" spans="1:16" x14ac:dyDescent="0.35">
      <c r="A475" s="535" t="str">
        <f t="shared" si="61"/>
        <v/>
      </c>
      <c r="B475" s="330"/>
      <c r="C475" s="330"/>
      <c r="D475" s="326" t="s">
        <v>1660</v>
      </c>
      <c r="E475" s="495" t="s">
        <v>1897</v>
      </c>
      <c r="F475" s="22">
        <v>1000</v>
      </c>
      <c r="G475" s="22" t="s">
        <v>73</v>
      </c>
      <c r="H475" s="328">
        <f>ROUND(($F$364)*((($F$473)*(($F$475)/($F$474+$F$475+$F$476)))
/((($F$473)*(($F$474)/($F$474+$F$475+$F$476)))+
(($F$473)*(($F$475)/($F$474+$F$475+$F$476)))+
(($F$473)*(($F$476)/($F$474+$F$475+$F$476)))+
(($F$477)*(($F$478)/($F$478+$F$479+$F$480+$F$481)))+
(($F$477)*(($F$479)/($F$478+$F$479+$F$480+$F$481)))+
(($F$477)*(($F$480)/($F$478+$F$479+$F$480+$F$481)))+
(($F$477)*(($F$481)/($F$478+$F$479+$F$480+$F$481)))+
($F$482)+($F$483))),2)</f>
        <v>41.13</v>
      </c>
      <c r="I475" s="328" t="s">
        <v>73</v>
      </c>
      <c r="J475" s="330"/>
      <c r="K475" s="681">
        <f>(A467*H475)</f>
        <v>2262.15</v>
      </c>
      <c r="L475" s="563"/>
      <c r="M475" s="564" t="str">
        <f t="shared" si="62"/>
        <v/>
      </c>
      <c r="N475" s="564"/>
      <c r="O475" s="564" t="str">
        <f t="shared" si="63"/>
        <v/>
      </c>
      <c r="P475" s="42"/>
    </row>
    <row r="476" spans="1:16" x14ac:dyDescent="0.35">
      <c r="A476" s="535" t="str">
        <f t="shared" si="61"/>
        <v/>
      </c>
      <c r="B476" s="337"/>
      <c r="C476" s="337"/>
      <c r="D476" s="326"/>
      <c r="E476" s="560" t="s">
        <v>753</v>
      </c>
      <c r="F476" s="18">
        <v>0</v>
      </c>
      <c r="G476" s="18" t="s">
        <v>73</v>
      </c>
      <c r="H476" s="335">
        <f>ROUND(($F$364)*((($F$473)*(($F$476)/($F$474+$F$475+$F$476)))
/((($F$473)*(($F$474)/($F$474+$F$475+$F$476)))+
(($F$473)*(($F$475)/($F$474+$F$475+$F$476)))+
(($F$473)*(($F$476)/($F$474+$F$475+$F$476)))+
(($F$477)*(($F$478)/($F$478+$F$479+$F$480+$F$481)))+
(($F$477)*(($F$479)/($F$478+$F$479+$F$480+$F$481)))+
(($F$477)*(($F$480)/($F$478+$F$479+$F$480+$F$481)))+
(($F$477)*(($F$481)/($F$478+$F$479+$F$480+$F$481)))+
($F$482)+($F$483))),2)</f>
        <v>0</v>
      </c>
      <c r="I476" s="335" t="s">
        <v>73</v>
      </c>
      <c r="J476" s="337"/>
      <c r="K476" s="680">
        <f>(A467*H476)</f>
        <v>0</v>
      </c>
      <c r="L476" s="563"/>
      <c r="M476" s="564" t="str">
        <f t="shared" si="62"/>
        <v/>
      </c>
      <c r="N476" s="564"/>
      <c r="O476" s="564" t="str">
        <f t="shared" si="63"/>
        <v/>
      </c>
      <c r="P476" s="42"/>
    </row>
    <row r="477" spans="1:16" x14ac:dyDescent="0.35">
      <c r="A477" s="535" t="str">
        <f t="shared" si="61"/>
        <v/>
      </c>
      <c r="B477" s="330"/>
      <c r="C477" s="330"/>
      <c r="D477" s="355"/>
      <c r="E477" s="567" t="s">
        <v>755</v>
      </c>
      <c r="F477" s="378">
        <v>55</v>
      </c>
      <c r="G477" s="378" t="s">
        <v>73</v>
      </c>
      <c r="H477" s="494"/>
      <c r="I477" s="356"/>
      <c r="J477" s="513"/>
      <c r="K477" s="684"/>
      <c r="L477" s="563"/>
      <c r="M477" s="564" t="str">
        <f t="shared" si="62"/>
        <v/>
      </c>
      <c r="N477" s="564"/>
      <c r="O477" s="564" t="str">
        <f t="shared" si="63"/>
        <v/>
      </c>
      <c r="P477" s="42"/>
    </row>
    <row r="478" spans="1:16" x14ac:dyDescent="0.35">
      <c r="A478" s="535" t="str">
        <f t="shared" si="61"/>
        <v/>
      </c>
      <c r="B478" s="337"/>
      <c r="C478" s="337"/>
      <c r="D478" s="326" t="s">
        <v>333</v>
      </c>
      <c r="E478" s="560" t="s">
        <v>756</v>
      </c>
      <c r="F478" s="18">
        <v>20</v>
      </c>
      <c r="G478" s="18" t="s">
        <v>73</v>
      </c>
      <c r="H478" s="335">
        <f>ROUND(($F$364)*((($F$477)*(($F$478)/($F$478+$F$479+$F$480+$F$481)))
/((($F$473)*(($F$474)/($F$474+$F$475+$F$476)))+
(($F$473)*(($F$475)/($F$474+$F$475+$F$476)))+
(($F$473)*(($F$476)/($F$474+$F$475+$F$476)))+
(($F$477)*(($F$478)/($F$478+$F$479+$F$480+$F$481)))+
(($F$477)*(($F$479)/($F$478+$F$479+$F$480+$F$481)))+
(($F$477)*(($F$480)/($F$478+$F$479+$F$480+$F$481)))+
(($F$477)*(($F$481)/($F$478+$F$479+$F$480+$F$481)))+
($F$482)+($F$483))),2)</f>
        <v>0.2</v>
      </c>
      <c r="I478" s="335" t="s">
        <v>73</v>
      </c>
      <c r="J478" s="337"/>
      <c r="K478" s="680">
        <f>(A467*H478)</f>
        <v>11</v>
      </c>
      <c r="L478" s="563"/>
      <c r="M478" s="564" t="str">
        <f t="shared" si="62"/>
        <v/>
      </c>
      <c r="N478" s="564"/>
      <c r="O478" s="564" t="str">
        <f t="shared" si="63"/>
        <v/>
      </c>
      <c r="P478" s="42"/>
    </row>
    <row r="479" spans="1:16" x14ac:dyDescent="0.35">
      <c r="A479" s="535" t="str">
        <f t="shared" si="61"/>
        <v/>
      </c>
      <c r="B479" s="330"/>
      <c r="C479" s="330"/>
      <c r="D479" s="326" t="s">
        <v>43</v>
      </c>
      <c r="E479" s="495" t="s">
        <v>105</v>
      </c>
      <c r="F479" s="22">
        <v>20</v>
      </c>
      <c r="G479" s="22" t="s">
        <v>73</v>
      </c>
      <c r="H479" s="328">
        <f>ROUND(($F$364)*((($F$477)*(($F$479)/($F$478+$F$479+$F$480+$F$481)))
/((($F$473)*(($F$474)/($F$474+$F$475+$F$476)))+
(($F$473)*(($F$475)/($F$474+$F$475+$F$476)))+
(($F$473)*(($F$476)/($F$474+$F$475+$F$476)))+
(($F$477)*(($F$478)/($F$478+$F$479+$F$480+$F$481)))+
(($F$477)*(($F$479)/($F$478+$F$479+$F$480+$F$481)))+
(($F$477)*(($F$480)/($F$478+$F$479+$F$480+$F$481)))+
(($F$477)*(($F$481)/($F$478+$F$479+$F$480+$F$481)))+
($F$482)+($F$483))),2)</f>
        <v>0.2</v>
      </c>
      <c r="I479" s="328" t="s">
        <v>73</v>
      </c>
      <c r="J479" s="330"/>
      <c r="K479" s="681">
        <f>(A467*H479)</f>
        <v>11</v>
      </c>
      <c r="L479" s="563"/>
      <c r="M479" s="564" t="str">
        <f t="shared" si="62"/>
        <v/>
      </c>
      <c r="N479" s="564"/>
      <c r="O479" s="564" t="str">
        <f t="shared" si="63"/>
        <v/>
      </c>
      <c r="P479" s="42"/>
    </row>
    <row r="480" spans="1:16" x14ac:dyDescent="0.35">
      <c r="A480" s="535" t="str">
        <f t="shared" si="61"/>
        <v/>
      </c>
      <c r="B480" s="337"/>
      <c r="C480" s="337"/>
      <c r="D480" s="326" t="s">
        <v>42</v>
      </c>
      <c r="E480" s="560" t="s">
        <v>66</v>
      </c>
      <c r="F480" s="18">
        <v>2</v>
      </c>
      <c r="G480" s="18" t="s">
        <v>73</v>
      </c>
      <c r="H480" s="335">
        <f>ROUND(($F$364)*((($F$477)*(($F$480)/($F$478+$F$479+$F$480+$F$481)))
/((($F$473)*(($F$474)/($F$474+$F$475+$F$476)))+
(($F$473)*(($F$475)/($F$474+$F$475+$F$476)))+
(($F$473)*(($F$476)/($F$474+$F$475+$F$476)))+
(($F$477)*(($F$478)/($F$478+$F$479+$F$480+$F$481)))+
(($F$477)*(($F$479)/($F$478+$F$479+$F$480+$F$481)))+
(($F$477)*(($F$480)/($F$478+$F$479+$F$480+$F$481)))+
(($F$477)*(($F$481)/($F$478+$F$479+$F$480+$F$481)))+
($F$482)+($F$483))),2)</f>
        <v>0.02</v>
      </c>
      <c r="I480" s="335" t="s">
        <v>73</v>
      </c>
      <c r="J480" s="337"/>
      <c r="K480" s="680">
        <f>(A467*H480)</f>
        <v>1.1000000000000001</v>
      </c>
      <c r="L480" s="563"/>
      <c r="M480" s="564" t="str">
        <f t="shared" si="62"/>
        <v/>
      </c>
      <c r="N480" s="564"/>
      <c r="O480" s="564" t="str">
        <f t="shared" si="63"/>
        <v/>
      </c>
      <c r="P480" s="42"/>
    </row>
    <row r="481" spans="1:16" x14ac:dyDescent="0.35">
      <c r="A481" s="535" t="str">
        <f t="shared" si="61"/>
        <v/>
      </c>
      <c r="B481" s="330"/>
      <c r="C481" s="330"/>
      <c r="D481" s="342"/>
      <c r="E481" s="561" t="s">
        <v>81</v>
      </c>
      <c r="F481" s="404">
        <v>200</v>
      </c>
      <c r="G481" s="404" t="s">
        <v>73</v>
      </c>
      <c r="H481" s="583">
        <f>ROUND(($F$364)*((($F$477)*(($F$481)/($F$478+$F$479+$F$480+$F$481)))
/((($F$473)*(($F$474)/($F$474+$F$475+$F$476)))+
(($F$473)*(($F$475)/($F$474+$F$475+$F$476)))+
(($F$473)*(($F$476)/($F$474+$F$475+$F$476)))+
(($F$477)*(($F$478)/($F$478+$F$479+$F$480+$F$481)))+
(($F$477)*(($F$479)/($F$478+$F$479+$F$480+$F$481)))+
(($F$477)*(($F$480)/($F$478+$F$479+$F$480+$F$481)))+
(($F$477)*(($F$481)/($F$478+$F$479+$F$480+$F$481)))+
($F$482)+($F$483))),2)</f>
        <v>2.0499999999999998</v>
      </c>
      <c r="I481" s="343"/>
      <c r="J481" s="584"/>
      <c r="K481" s="685"/>
      <c r="L481" s="563"/>
      <c r="M481" s="564" t="str">
        <f t="shared" si="62"/>
        <v/>
      </c>
      <c r="N481" s="564"/>
      <c r="O481" s="564" t="str">
        <f t="shared" si="63"/>
        <v/>
      </c>
      <c r="P481" s="42"/>
    </row>
    <row r="482" spans="1:16" x14ac:dyDescent="0.35">
      <c r="A482" s="535" t="str">
        <f t="shared" si="61"/>
        <v/>
      </c>
      <c r="B482" s="337"/>
      <c r="C482" s="337"/>
      <c r="D482" s="326" t="s">
        <v>41</v>
      </c>
      <c r="E482" s="360" t="s">
        <v>757</v>
      </c>
      <c r="F482" s="18">
        <v>55</v>
      </c>
      <c r="G482" s="18" t="s">
        <v>73</v>
      </c>
      <c r="H482" s="335">
        <f>ROUND(($F$364)*((F482)/((($F$473)*(($F$474)/($F$474+$F$475+$F$476)))+
(($F$473)*(($F$475)/($F$474+$F$475+$F$476)))+
(($F$473)*(($F$476)/($F$474+$F$475+$F$476)))+
(($F$477)*(($F$478)/($F$478+$F$479+$F$480+$F$481)))+
(($F$477)*(($F$479)/($F$478+$F$479+$F$480+$F$481)))+
(($F$477)*(($F$480)/($F$478+$F$479+$F$480+$F$481)))+
(($F$477)*(($F$481)/($F$478+$F$479+$F$480+$F$481)))+
($F$482)+($F$483))),2)</f>
        <v>2.48</v>
      </c>
      <c r="I482" s="335" t="s">
        <v>73</v>
      </c>
      <c r="J482" s="337"/>
      <c r="K482" s="680">
        <f>(A467*H482)</f>
        <v>136.4</v>
      </c>
      <c r="L482" s="563"/>
      <c r="M482" s="564" t="str">
        <f t="shared" si="62"/>
        <v/>
      </c>
      <c r="N482" s="564"/>
      <c r="O482" s="564" t="str">
        <f t="shared" si="63"/>
        <v/>
      </c>
      <c r="P482" s="42"/>
    </row>
    <row r="483" spans="1:16" x14ac:dyDescent="0.35">
      <c r="A483" s="535" t="str">
        <f t="shared" si="61"/>
        <v/>
      </c>
      <c r="B483" s="330"/>
      <c r="C483" s="330"/>
      <c r="D483" s="326" t="s">
        <v>505</v>
      </c>
      <c r="E483" s="366" t="s">
        <v>758</v>
      </c>
      <c r="F483" s="22">
        <v>10</v>
      </c>
      <c r="G483" s="22" t="s">
        <v>73</v>
      </c>
      <c r="H483" s="328">
        <f>ROUND(($F$364)*((F483)/((($F$473)*(($F$474)/($F$474+$F$475+$F$476)))+
(($F$473)*(($F$475)/($F$474+$F$475+$F$476)))+
(($F$473)*(($F$476)/($F$474+$F$475+$F$476)))+
(($F$477)*(($F$478)/($F$478+$F$479+$F$480+$F$481)))+
(($F$477)*(($F$479)/($F$478+$F$479+$F$480+$F$481)))+
(($F$477)*(($F$480)/($F$478+$F$479+$F$480+$F$481)))+
(($F$477)*(($F$481)/($F$478+$F$479+$F$480+$F$481)))+
($F$482)+($F$483))),2)</f>
        <v>0.45</v>
      </c>
      <c r="I483" s="328" t="s">
        <v>73</v>
      </c>
      <c r="J483" s="330"/>
      <c r="K483" s="681">
        <f>(A467*H483)</f>
        <v>24.75</v>
      </c>
      <c r="L483" s="563"/>
      <c r="M483" s="564" t="str">
        <f t="shared" si="62"/>
        <v/>
      </c>
      <c r="N483" s="564"/>
      <c r="O483" s="564" t="str">
        <f t="shared" si="63"/>
        <v/>
      </c>
      <c r="P483" s="42"/>
    </row>
    <row r="484" spans="1:16" x14ac:dyDescent="0.35">
      <c r="A484" s="535" t="str">
        <f t="shared" si="61"/>
        <v/>
      </c>
      <c r="B484" s="337"/>
      <c r="C484" s="337"/>
      <c r="D484" s="355"/>
      <c r="E484" s="549" t="s">
        <v>759</v>
      </c>
      <c r="F484" s="378">
        <v>30</v>
      </c>
      <c r="G484" s="378" t="s">
        <v>73</v>
      </c>
      <c r="H484" s="515"/>
      <c r="I484" s="356"/>
      <c r="J484" s="515"/>
      <c r="K484" s="684"/>
      <c r="L484" s="563"/>
      <c r="M484" s="564" t="str">
        <f t="shared" si="62"/>
        <v/>
      </c>
      <c r="N484" s="564"/>
      <c r="O484" s="564" t="str">
        <f t="shared" si="63"/>
        <v/>
      </c>
      <c r="P484" s="42"/>
    </row>
    <row r="485" spans="1:16" x14ac:dyDescent="0.35">
      <c r="A485" s="535" t="str">
        <f t="shared" si="61"/>
        <v/>
      </c>
      <c r="B485" s="330"/>
      <c r="C485" s="330"/>
      <c r="D485" s="342"/>
      <c r="E485" s="362" t="s">
        <v>81</v>
      </c>
      <c r="F485" s="404">
        <v>1000</v>
      </c>
      <c r="G485" s="404" t="s">
        <v>73</v>
      </c>
      <c r="H485" s="584"/>
      <c r="I485" s="343"/>
      <c r="J485" s="584"/>
      <c r="K485" s="685"/>
      <c r="L485" s="563"/>
      <c r="M485" s="564" t="str">
        <f t="shared" si="62"/>
        <v/>
      </c>
      <c r="N485" s="564"/>
      <c r="O485" s="564" t="str">
        <f t="shared" si="63"/>
        <v/>
      </c>
      <c r="P485" s="42"/>
    </row>
    <row r="486" spans="1:16" x14ac:dyDescent="0.35">
      <c r="A486" s="535" t="str">
        <f t="shared" si="61"/>
        <v/>
      </c>
      <c r="B486" s="337"/>
      <c r="C486" s="337"/>
      <c r="D486" s="326" t="s">
        <v>43</v>
      </c>
      <c r="E486" s="360" t="s">
        <v>105</v>
      </c>
      <c r="F486" s="18">
        <v>10</v>
      </c>
      <c r="G486" s="18" t="s">
        <v>73</v>
      </c>
      <c r="H486" s="335">
        <f>ROUND((($F$484)*((F486)/($F$486+$F$487+$F$488))),2)</f>
        <v>0.28999999999999998</v>
      </c>
      <c r="I486" s="335" t="s">
        <v>73</v>
      </c>
      <c r="J486" s="337"/>
      <c r="K486" s="680">
        <f>(A467*H486)</f>
        <v>15.95</v>
      </c>
      <c r="L486" s="563"/>
      <c r="M486" s="564" t="str">
        <f t="shared" si="62"/>
        <v/>
      </c>
      <c r="N486" s="564"/>
      <c r="O486" s="564" t="str">
        <f t="shared" si="63"/>
        <v/>
      </c>
      <c r="P486" s="42"/>
    </row>
    <row r="487" spans="1:16" x14ac:dyDescent="0.35">
      <c r="A487" s="535" t="str">
        <f t="shared" si="61"/>
        <v/>
      </c>
      <c r="B487" s="330"/>
      <c r="C487" s="330"/>
      <c r="D487" s="326" t="s">
        <v>41</v>
      </c>
      <c r="E487" s="366" t="s">
        <v>760</v>
      </c>
      <c r="F487" s="22">
        <v>25</v>
      </c>
      <c r="G487" s="22" t="s">
        <v>73</v>
      </c>
      <c r="H487" s="328">
        <f t="shared" ref="H487:H488" si="64">ROUND((($F$484)*((F487)/($F$486+$F$487+$F$488))),2)</f>
        <v>0.72</v>
      </c>
      <c r="I487" s="328" t="s">
        <v>73</v>
      </c>
      <c r="J487" s="330"/>
      <c r="K487" s="681">
        <f>(A467*H487)</f>
        <v>39.6</v>
      </c>
      <c r="L487" s="563"/>
      <c r="M487" s="564" t="str">
        <f t="shared" si="62"/>
        <v/>
      </c>
      <c r="N487" s="564"/>
      <c r="O487" s="564" t="str">
        <f t="shared" si="63"/>
        <v/>
      </c>
      <c r="P487" s="42"/>
    </row>
    <row r="488" spans="1:16" x14ac:dyDescent="0.35">
      <c r="A488" s="535" t="str">
        <f t="shared" si="61"/>
        <v/>
      </c>
      <c r="B488" s="337"/>
      <c r="C488" s="337"/>
      <c r="D488" s="326" t="s">
        <v>371</v>
      </c>
      <c r="E488" s="360" t="s">
        <v>761</v>
      </c>
      <c r="F488" s="18">
        <v>1000</v>
      </c>
      <c r="G488" s="18" t="s">
        <v>73</v>
      </c>
      <c r="H488" s="335">
        <f t="shared" si="64"/>
        <v>28.99</v>
      </c>
      <c r="I488" s="335" t="s">
        <v>73</v>
      </c>
      <c r="J488" s="337"/>
      <c r="K488" s="680">
        <f>(A467*H488)</f>
        <v>1594.4499999999998</v>
      </c>
      <c r="L488" s="563"/>
      <c r="M488" s="564" t="str">
        <f t="shared" si="62"/>
        <v/>
      </c>
      <c r="N488" s="564"/>
      <c r="O488" s="564" t="str">
        <f t="shared" si="63"/>
        <v/>
      </c>
      <c r="P488" s="42"/>
    </row>
    <row r="489" spans="1:16" x14ac:dyDescent="0.35">
      <c r="A489" s="535" t="str">
        <f t="shared" si="61"/>
        <v/>
      </c>
      <c r="B489" s="330"/>
      <c r="C489" s="330"/>
      <c r="D489" s="355"/>
      <c r="E489" s="549" t="s">
        <v>762</v>
      </c>
      <c r="F489" s="378">
        <v>15</v>
      </c>
      <c r="G489" s="378" t="s">
        <v>73</v>
      </c>
      <c r="H489" s="513"/>
      <c r="I489" s="356"/>
      <c r="J489" s="513"/>
      <c r="K489" s="684"/>
      <c r="L489" s="563"/>
      <c r="M489" s="564" t="str">
        <f t="shared" si="62"/>
        <v/>
      </c>
      <c r="N489" s="564"/>
      <c r="O489" s="564" t="str">
        <f t="shared" si="63"/>
        <v/>
      </c>
      <c r="P489" s="42"/>
    </row>
    <row r="490" spans="1:16" x14ac:dyDescent="0.35">
      <c r="A490" s="535" t="str">
        <f t="shared" si="61"/>
        <v/>
      </c>
      <c r="B490" s="337"/>
      <c r="C490" s="337"/>
      <c r="D490" s="342"/>
      <c r="E490" s="362" t="s">
        <v>81</v>
      </c>
      <c r="F490" s="404">
        <v>500</v>
      </c>
      <c r="G490" s="404" t="s">
        <v>73</v>
      </c>
      <c r="H490" s="345"/>
      <c r="I490" s="343"/>
      <c r="J490" s="345"/>
      <c r="K490" s="685"/>
      <c r="L490" s="563"/>
      <c r="M490" s="564" t="str">
        <f t="shared" si="62"/>
        <v/>
      </c>
      <c r="N490" s="564"/>
      <c r="O490" s="564" t="str">
        <f t="shared" si="63"/>
        <v/>
      </c>
      <c r="P490" s="42"/>
    </row>
    <row r="491" spans="1:16" x14ac:dyDescent="0.35">
      <c r="A491" s="535" t="str">
        <f t="shared" si="61"/>
        <v/>
      </c>
      <c r="B491" s="330"/>
      <c r="C491" s="330"/>
      <c r="D491" s="326" t="s">
        <v>333</v>
      </c>
      <c r="E491" s="366" t="s">
        <v>756</v>
      </c>
      <c r="F491" s="22">
        <v>15</v>
      </c>
      <c r="G491" s="22" t="s">
        <v>73</v>
      </c>
      <c r="H491" s="328">
        <f>ROUND(($F$489)*((F491)/((($F$493)*(($F$494)/($F$494+$F$495)))+
(($F$493)*(($F$495)/($F$494+$F$495)))+
($F$491)+($F$492)+($F$496)+($F$497)+($F$498)+($F$499)+($F$500))),2)</f>
        <v>0.76</v>
      </c>
      <c r="I491" s="328" t="s">
        <v>73</v>
      </c>
      <c r="J491" s="330"/>
      <c r="K491" s="681">
        <f>(A467*H491)</f>
        <v>41.8</v>
      </c>
      <c r="L491" s="563"/>
      <c r="M491" s="564" t="str">
        <f t="shared" si="62"/>
        <v/>
      </c>
      <c r="N491" s="564"/>
      <c r="O491" s="564" t="str">
        <f t="shared" si="63"/>
        <v/>
      </c>
      <c r="P491" s="42"/>
    </row>
    <row r="492" spans="1:16" x14ac:dyDescent="0.35">
      <c r="A492" s="535" t="str">
        <f t="shared" si="61"/>
        <v/>
      </c>
      <c r="B492" s="337"/>
      <c r="C492" s="337"/>
      <c r="D492" s="326" t="s">
        <v>46</v>
      </c>
      <c r="E492" s="360" t="s">
        <v>763</v>
      </c>
      <c r="F492" s="18">
        <v>20</v>
      </c>
      <c r="G492" s="18" t="s">
        <v>73</v>
      </c>
      <c r="H492" s="335">
        <f>ROUND(($F$489)*((F492)/((($F$493)*(($F$494)/($F$494+$F$495)))+
(($F$493)*(($F$495)/($F$494+$F$495)))+
($F$491)+($F$492)+($F$496)+($F$497)+($F$498)+($F$499)+($F$500))),2)</f>
        <v>1.01</v>
      </c>
      <c r="I492" s="335" t="s">
        <v>73</v>
      </c>
      <c r="J492" s="337"/>
      <c r="K492" s="680">
        <f>(A467*H492)</f>
        <v>55.55</v>
      </c>
      <c r="L492" s="563"/>
      <c r="M492" s="564" t="str">
        <f t="shared" si="62"/>
        <v/>
      </c>
      <c r="N492" s="564"/>
      <c r="O492" s="564" t="str">
        <f t="shared" si="63"/>
        <v/>
      </c>
      <c r="P492" s="42"/>
    </row>
    <row r="493" spans="1:16" x14ac:dyDescent="0.35">
      <c r="A493" s="535" t="str">
        <f t="shared" si="61"/>
        <v/>
      </c>
      <c r="B493" s="330"/>
      <c r="C493" s="330"/>
      <c r="D493" s="355"/>
      <c r="E493" s="567" t="s">
        <v>114</v>
      </c>
      <c r="F493" s="378">
        <v>3</v>
      </c>
      <c r="G493" s="378" t="s">
        <v>73</v>
      </c>
      <c r="H493" s="494"/>
      <c r="I493" s="356"/>
      <c r="J493" s="513"/>
      <c r="K493" s="684"/>
      <c r="L493" s="563"/>
      <c r="M493" s="564" t="str">
        <f t="shared" si="62"/>
        <v/>
      </c>
      <c r="N493" s="564"/>
      <c r="O493" s="564" t="str">
        <f t="shared" si="63"/>
        <v/>
      </c>
      <c r="P493" s="42"/>
    </row>
    <row r="494" spans="1:16" x14ac:dyDescent="0.35">
      <c r="A494" s="535" t="str">
        <f t="shared" si="61"/>
        <v/>
      </c>
      <c r="B494" s="337"/>
      <c r="C494" s="337"/>
      <c r="D494" s="326" t="s">
        <v>43</v>
      </c>
      <c r="E494" s="560" t="s">
        <v>768</v>
      </c>
      <c r="F494" s="18">
        <v>15</v>
      </c>
      <c r="G494" s="18" t="s">
        <v>73</v>
      </c>
      <c r="H494" s="335">
        <f>ROUND(($F$489)*((($F$493)*(($F$494)/($F$494+$F$495)))
/((($F$493)*(($F$494)/($F$494+$F$495)))+
(($F$493)*(($F$495)/($F$494+$F$495)))+
($F$491)+($F$492)+($F$496)+($F$497)+($F$498)+($F$499)+($F$500))),2)</f>
        <v>0.02</v>
      </c>
      <c r="I494" s="335" t="s">
        <v>73</v>
      </c>
      <c r="J494" s="337"/>
      <c r="K494" s="680">
        <f>(A467*H494)</f>
        <v>1.1000000000000001</v>
      </c>
      <c r="L494" s="563"/>
      <c r="M494" s="564" t="str">
        <f t="shared" si="62"/>
        <v/>
      </c>
      <c r="N494" s="564"/>
      <c r="O494" s="564" t="str">
        <f t="shared" si="63"/>
        <v/>
      </c>
      <c r="P494" s="42"/>
    </row>
    <row r="495" spans="1:16" x14ac:dyDescent="0.35">
      <c r="A495" s="535" t="str">
        <f t="shared" si="61"/>
        <v/>
      </c>
      <c r="B495" s="330"/>
      <c r="C495" s="330"/>
      <c r="D495" s="326" t="s">
        <v>42</v>
      </c>
      <c r="E495" s="495" t="s">
        <v>95</v>
      </c>
      <c r="F495" s="22">
        <v>85</v>
      </c>
      <c r="G495" s="22" t="s">
        <v>73</v>
      </c>
      <c r="H495" s="328">
        <f>ROUND(($F$489)*((($F$493)*(($F$495)/($F$494+$F$495)))
/((($F$493)*(($F$494)/($F$494+$F$495)))+
(($F$493)*(($F$495)/($F$494+$F$495)))+
($F$491)+($F$492)+($F$496)+($F$497)+($F$498)+($F$499)+($F$500))),2)</f>
        <v>0.13</v>
      </c>
      <c r="I495" s="328" t="s">
        <v>73</v>
      </c>
      <c r="J495" s="330"/>
      <c r="K495" s="681">
        <f>(A467*H495)</f>
        <v>7.15</v>
      </c>
      <c r="L495" s="563"/>
      <c r="M495" s="564" t="str">
        <f t="shared" si="62"/>
        <v/>
      </c>
      <c r="N495" s="564"/>
      <c r="O495" s="564" t="str">
        <f t="shared" si="63"/>
        <v/>
      </c>
      <c r="P495" s="42"/>
    </row>
    <row r="496" spans="1:16" x14ac:dyDescent="0.35">
      <c r="A496" s="535" t="str">
        <f t="shared" si="61"/>
        <v/>
      </c>
      <c r="B496" s="337"/>
      <c r="C496" s="337"/>
      <c r="D496" s="326" t="s">
        <v>341</v>
      </c>
      <c r="E496" s="360" t="s">
        <v>764</v>
      </c>
      <c r="F496" s="18">
        <v>3</v>
      </c>
      <c r="G496" s="18" t="s">
        <v>73</v>
      </c>
      <c r="H496" s="335">
        <f>ROUND(($F$489)*((F496)/((($F$493)*(($F$494)/($F$494+$F$495)))+
(($F$493)*(($F$495)/($F$494+$F$495)))+
($F$491)+($F$492)+($F$496)+($F$497)+($F$498)+($F$499)+($F$500))),2)</f>
        <v>0.15</v>
      </c>
      <c r="I496" s="335" t="s">
        <v>73</v>
      </c>
      <c r="J496" s="337"/>
      <c r="K496" s="680">
        <f>(A467*H496)</f>
        <v>8.25</v>
      </c>
      <c r="L496" s="563"/>
      <c r="M496" s="564" t="str">
        <f t="shared" si="62"/>
        <v/>
      </c>
      <c r="N496" s="564"/>
      <c r="O496" s="564" t="str">
        <f t="shared" si="63"/>
        <v/>
      </c>
      <c r="P496" s="42"/>
    </row>
    <row r="497" spans="1:16" x14ac:dyDescent="0.35">
      <c r="A497" s="535" t="str">
        <f t="shared" si="61"/>
        <v/>
      </c>
      <c r="B497" s="330"/>
      <c r="C497" s="330"/>
      <c r="D497" s="326" t="s">
        <v>41</v>
      </c>
      <c r="E497" s="366" t="s">
        <v>779</v>
      </c>
      <c r="F497" s="22">
        <v>5</v>
      </c>
      <c r="G497" s="22" t="s">
        <v>73</v>
      </c>
      <c r="H497" s="328">
        <f t="shared" ref="H497:H500" si="65">ROUND(($F$489)*((F497)/((($F$493)*(($F$494)/($F$494+$F$495)))+
(($F$493)*(($F$495)/($F$494+$F$495)))+
($F$491)+($F$492)+($F$496)+($F$497)+($F$498)+($F$499)+($F$500))),2)</f>
        <v>0.25</v>
      </c>
      <c r="I497" s="328" t="s">
        <v>73</v>
      </c>
      <c r="J497" s="330"/>
      <c r="K497" s="681">
        <f>(A467*H497)</f>
        <v>13.75</v>
      </c>
      <c r="L497" s="563"/>
      <c r="M497" s="564" t="str">
        <f t="shared" si="62"/>
        <v/>
      </c>
      <c r="N497" s="564"/>
      <c r="O497" s="564" t="str">
        <f t="shared" si="63"/>
        <v/>
      </c>
      <c r="P497" s="42"/>
    </row>
    <row r="498" spans="1:16" x14ac:dyDescent="0.35">
      <c r="A498" s="535" t="str">
        <f t="shared" si="61"/>
        <v/>
      </c>
      <c r="B498" s="337"/>
      <c r="C498" s="337"/>
      <c r="D498" s="326" t="s">
        <v>325</v>
      </c>
      <c r="E498" s="360" t="s">
        <v>765</v>
      </c>
      <c r="F498" s="18">
        <v>20</v>
      </c>
      <c r="G498" s="18" t="s">
        <v>73</v>
      </c>
      <c r="H498" s="335">
        <f t="shared" si="65"/>
        <v>1.01</v>
      </c>
      <c r="I498" s="335" t="s">
        <v>73</v>
      </c>
      <c r="J498" s="337"/>
      <c r="K498" s="680">
        <f>(A467*H498)</f>
        <v>55.55</v>
      </c>
      <c r="L498" s="563"/>
      <c r="M498" s="564" t="str">
        <f t="shared" si="62"/>
        <v/>
      </c>
      <c r="N498" s="564"/>
      <c r="O498" s="564" t="str">
        <f t="shared" si="63"/>
        <v/>
      </c>
      <c r="P498" s="42"/>
    </row>
    <row r="499" spans="1:16" x14ac:dyDescent="0.35">
      <c r="A499" s="535" t="str">
        <f t="shared" si="61"/>
        <v/>
      </c>
      <c r="B499" s="330"/>
      <c r="C499" s="330"/>
      <c r="D499" s="326" t="s">
        <v>307</v>
      </c>
      <c r="E499" s="366" t="s">
        <v>766</v>
      </c>
      <c r="F499" s="22">
        <v>30</v>
      </c>
      <c r="G499" s="22" t="s">
        <v>73</v>
      </c>
      <c r="H499" s="328">
        <f t="shared" si="65"/>
        <v>1.52</v>
      </c>
      <c r="I499" s="328" t="s">
        <v>73</v>
      </c>
      <c r="J499" s="330"/>
      <c r="K499" s="681">
        <f>(A467*H499)</f>
        <v>83.6</v>
      </c>
      <c r="L499" s="563"/>
      <c r="M499" s="564" t="str">
        <f t="shared" si="62"/>
        <v/>
      </c>
      <c r="N499" s="564"/>
      <c r="O499" s="564" t="str">
        <f t="shared" si="63"/>
        <v/>
      </c>
      <c r="P499" s="42"/>
    </row>
    <row r="500" spans="1:16" x14ac:dyDescent="0.35">
      <c r="A500" s="535" t="str">
        <f t="shared" si="61"/>
        <v/>
      </c>
      <c r="B500" s="337"/>
      <c r="C500" s="337"/>
      <c r="D500" s="326" t="s">
        <v>381</v>
      </c>
      <c r="E500" s="360" t="s">
        <v>767</v>
      </c>
      <c r="F500" s="18">
        <v>200</v>
      </c>
      <c r="G500" s="18" t="s">
        <v>73</v>
      </c>
      <c r="H500" s="335">
        <f t="shared" si="65"/>
        <v>10.14</v>
      </c>
      <c r="I500" s="335" t="s">
        <v>73</v>
      </c>
      <c r="J500" s="337"/>
      <c r="K500" s="680">
        <f>(A467*H500)</f>
        <v>557.70000000000005</v>
      </c>
      <c r="L500" s="563"/>
      <c r="M500" s="564" t="str">
        <f t="shared" si="62"/>
        <v/>
      </c>
      <c r="N500" s="564"/>
      <c r="O500" s="564" t="str">
        <f t="shared" si="63"/>
        <v/>
      </c>
      <c r="P500" s="42"/>
    </row>
    <row r="501" spans="1:16" x14ac:dyDescent="0.35">
      <c r="A501" s="535" t="str">
        <f t="shared" si="61"/>
        <v/>
      </c>
      <c r="B501" s="330"/>
      <c r="C501" s="330"/>
      <c r="D501" s="355"/>
      <c r="E501" s="549" t="s">
        <v>769</v>
      </c>
      <c r="F501" s="378">
        <v>40</v>
      </c>
      <c r="G501" s="378" t="s">
        <v>73</v>
      </c>
      <c r="H501" s="494"/>
      <c r="I501" s="356"/>
      <c r="J501" s="513"/>
      <c r="K501" s="684"/>
      <c r="L501" s="563"/>
      <c r="M501" s="564" t="str">
        <f t="shared" si="62"/>
        <v/>
      </c>
      <c r="N501" s="564"/>
      <c r="O501" s="564" t="str">
        <f t="shared" si="63"/>
        <v/>
      </c>
      <c r="P501" s="42"/>
    </row>
    <row r="502" spans="1:16" x14ac:dyDescent="0.35">
      <c r="A502" s="535" t="str">
        <f t="shared" si="61"/>
        <v/>
      </c>
      <c r="B502" s="337"/>
      <c r="C502" s="337"/>
      <c r="D502" s="326" t="s">
        <v>521</v>
      </c>
      <c r="E502" s="360" t="s">
        <v>906</v>
      </c>
      <c r="F502" s="18">
        <v>200</v>
      </c>
      <c r="G502" s="18" t="s">
        <v>73</v>
      </c>
      <c r="H502" s="335">
        <f>ROUND(($F$501)*(($F$502)/((($F$503)*(($F$504)/($F$504+$F$505)))+
(($F$503)*(($F$505)/($F$504+$F$505)))+
(($F$506)*(($F$507)/($F$507+$F$508)))+
(($F$506)*(($F$508)/($F$507+$F$508)))+
($F$502)+($F$509)+($F$510))),2)</f>
        <v>33.200000000000003</v>
      </c>
      <c r="I502" s="335" t="s">
        <v>73</v>
      </c>
      <c r="J502" s="337"/>
      <c r="K502" s="680">
        <f>(A467*H502)</f>
        <v>1826.0000000000002</v>
      </c>
      <c r="L502" s="563"/>
      <c r="M502" s="564" t="str">
        <f t="shared" si="62"/>
        <v/>
      </c>
      <c r="N502" s="564"/>
      <c r="O502" s="564" t="str">
        <f t="shared" si="63"/>
        <v/>
      </c>
      <c r="P502" s="42"/>
    </row>
    <row r="503" spans="1:16" x14ac:dyDescent="0.35">
      <c r="A503" s="535" t="str">
        <f t="shared" si="61"/>
        <v/>
      </c>
      <c r="B503" s="330"/>
      <c r="C503" s="330"/>
      <c r="D503" s="355"/>
      <c r="E503" s="567" t="s">
        <v>770</v>
      </c>
      <c r="F503" s="378">
        <v>30</v>
      </c>
      <c r="G503" s="378" t="s">
        <v>73</v>
      </c>
      <c r="H503" s="494"/>
      <c r="I503" s="356"/>
      <c r="J503" s="513"/>
      <c r="K503" s="684"/>
      <c r="L503" s="563"/>
      <c r="M503" s="564" t="str">
        <f t="shared" si="62"/>
        <v/>
      </c>
      <c r="N503" s="564"/>
      <c r="O503" s="564" t="str">
        <f t="shared" si="63"/>
        <v/>
      </c>
      <c r="P503" s="42"/>
    </row>
    <row r="504" spans="1:16" x14ac:dyDescent="0.35">
      <c r="A504" s="535" t="str">
        <f t="shared" si="61"/>
        <v/>
      </c>
      <c r="B504" s="337"/>
      <c r="C504" s="337"/>
      <c r="D504" s="326" t="s">
        <v>537</v>
      </c>
      <c r="E504" s="560" t="s">
        <v>771</v>
      </c>
      <c r="F504" s="18">
        <v>1</v>
      </c>
      <c r="G504" s="18" t="s">
        <v>73</v>
      </c>
      <c r="H504" s="335">
        <f>ROUND(($F$501)*((($F$503)*(($F$504)/($F$504+$F$505)))
/((($F$503)*(($F$504)/($F$504+$F$505)))+
(($F$503)*(($F$505)/($F$504+$F$505)))+
(($F$506)*(($F$507)/($F$507+$F$508)))+
(($F$506)*(($F$508)/($F$507+$F$508)))+
($F$502)+($F$509)+($F$510))),2)</f>
        <v>0.05</v>
      </c>
      <c r="I504" s="335" t="s">
        <v>73</v>
      </c>
      <c r="J504" s="337"/>
      <c r="K504" s="680">
        <f>(A467*H504)</f>
        <v>2.75</v>
      </c>
      <c r="L504" s="563"/>
      <c r="M504" s="564" t="str">
        <f t="shared" si="62"/>
        <v/>
      </c>
      <c r="N504" s="564"/>
      <c r="O504" s="564" t="str">
        <f t="shared" si="63"/>
        <v/>
      </c>
      <c r="P504" s="42"/>
    </row>
    <row r="505" spans="1:16" x14ac:dyDescent="0.35">
      <c r="A505" s="535" t="str">
        <f t="shared" si="61"/>
        <v/>
      </c>
      <c r="B505" s="330"/>
      <c r="C505" s="330"/>
      <c r="D505" s="342"/>
      <c r="E505" s="561" t="s">
        <v>81</v>
      </c>
      <c r="F505" s="404">
        <v>100</v>
      </c>
      <c r="G505" s="404" t="s">
        <v>73</v>
      </c>
      <c r="H505" s="583">
        <f>ROUND(($F$501)*((($F$503)*(($F$505)/($F$504+$F$505)))
/((($F$503)*(($F$504)/($F$504+$F$505)))+
(($F$503)*(($F$505)/($F$504+$F$505)))+
(($F$506)*(($F$507)/($F$507+$F$508)))+
(($F$506)*(($F$508)/($F$507+$F$508)))+
($F$502)+($F$509)+($F$510))),2)</f>
        <v>4.93</v>
      </c>
      <c r="I505" s="343"/>
      <c r="J505" s="584"/>
      <c r="K505" s="685"/>
      <c r="L505" s="563"/>
      <c r="M505" s="564" t="str">
        <f t="shared" si="62"/>
        <v/>
      </c>
      <c r="N505" s="564"/>
      <c r="O505" s="564" t="str">
        <f t="shared" si="63"/>
        <v/>
      </c>
      <c r="P505" s="42"/>
    </row>
    <row r="506" spans="1:16" x14ac:dyDescent="0.35">
      <c r="A506" s="535" t="str">
        <f t="shared" si="61"/>
        <v/>
      </c>
      <c r="B506" s="337"/>
      <c r="C506" s="337"/>
      <c r="D506" s="355"/>
      <c r="E506" s="567" t="s">
        <v>726</v>
      </c>
      <c r="F506" s="378">
        <v>2</v>
      </c>
      <c r="G506" s="378" t="s">
        <v>73</v>
      </c>
      <c r="H506" s="356"/>
      <c r="I506" s="356"/>
      <c r="J506" s="515"/>
      <c r="K506" s="684"/>
      <c r="L506" s="563"/>
      <c r="M506" s="564" t="str">
        <f t="shared" si="62"/>
        <v/>
      </c>
      <c r="N506" s="564"/>
      <c r="O506" s="564" t="str">
        <f t="shared" si="63"/>
        <v/>
      </c>
      <c r="P506" s="42"/>
    </row>
    <row r="507" spans="1:16" x14ac:dyDescent="0.35">
      <c r="A507" s="535" t="str">
        <f t="shared" si="61"/>
        <v/>
      </c>
      <c r="B507" s="330"/>
      <c r="C507" s="330"/>
      <c r="D507" s="326" t="s">
        <v>43</v>
      </c>
      <c r="E507" s="495" t="s">
        <v>105</v>
      </c>
      <c r="F507" s="22">
        <v>15</v>
      </c>
      <c r="G507" s="22" t="s">
        <v>73</v>
      </c>
      <c r="H507" s="328">
        <f>ROUND(($F$501)*((($F$506)*(($F$507)/($F$507+$F$508)))
/((($F$503)*(($F$504)/($F$504+$F$505)))+
(($F$503)*(($F$505)/($F$504+$F$505)))+
(($F$506)*(($F$507)/($F$507+$F$508)))+
(($F$506)*(($F$508)/($F$507+$F$508)))+
($F$502)+($F$509)+($F$510))),2)</f>
        <v>0.05</v>
      </c>
      <c r="I507" s="328" t="s">
        <v>73</v>
      </c>
      <c r="J507" s="330"/>
      <c r="K507" s="681">
        <f>(A467*H507)</f>
        <v>2.75</v>
      </c>
      <c r="L507" s="563"/>
      <c r="M507" s="564" t="str">
        <f t="shared" si="62"/>
        <v/>
      </c>
      <c r="N507" s="564"/>
      <c r="O507" s="564" t="str">
        <f t="shared" si="63"/>
        <v/>
      </c>
      <c r="P507" s="42"/>
    </row>
    <row r="508" spans="1:16" x14ac:dyDescent="0.35">
      <c r="A508" s="535" t="str">
        <f t="shared" si="61"/>
        <v/>
      </c>
      <c r="B508" s="337"/>
      <c r="C508" s="337"/>
      <c r="D508" s="326" t="s">
        <v>42</v>
      </c>
      <c r="E508" s="560" t="s">
        <v>95</v>
      </c>
      <c r="F508" s="18">
        <v>85</v>
      </c>
      <c r="G508" s="18" t="s">
        <v>73</v>
      </c>
      <c r="H508" s="335">
        <f>ROUND(($F$501)*((($F$506)*(($F$508)/($F$507+$F$508)))
/((($F$503)*(($F$504)/($F$504+$F$505)))+
(($F$503)*(($F$505)/($F$504+$F$505)))+
(($F$506)*(($F$507)/($F$507+$F$508)))+
(($F$506)*(($F$508)/($F$507+$F$508)))+
($F$502)+($F$509)+($F$510))),2)</f>
        <v>0.28000000000000003</v>
      </c>
      <c r="I508" s="335" t="s">
        <v>73</v>
      </c>
      <c r="J508" s="337"/>
      <c r="K508" s="680">
        <f>(A467*H508)</f>
        <v>15.400000000000002</v>
      </c>
      <c r="L508" s="563"/>
      <c r="M508" s="564" t="str">
        <f t="shared" si="62"/>
        <v/>
      </c>
      <c r="N508" s="564"/>
      <c r="O508" s="564" t="str">
        <f t="shared" si="63"/>
        <v/>
      </c>
      <c r="P508" s="42"/>
    </row>
    <row r="509" spans="1:16" x14ac:dyDescent="0.35">
      <c r="A509" s="535" t="str">
        <f t="shared" si="61"/>
        <v/>
      </c>
      <c r="B509" s="330"/>
      <c r="C509" s="330"/>
      <c r="D509" s="326" t="s">
        <v>517</v>
      </c>
      <c r="E509" s="366" t="s">
        <v>724</v>
      </c>
      <c r="F509" s="22">
        <v>8</v>
      </c>
      <c r="G509" s="22" t="s">
        <v>73</v>
      </c>
      <c r="H509" s="328">
        <f>ROUND(($F$501)*((F509)/((($F$503)*(($F$504)/($F$504+$F$505)))+
(($F$503)*(($F$505)/($F$504+$F$505)))+
(($F$506)*(($F$507)/($F$507+$F$508)))+
(($F$506)*(($F$508)/($F$507+$F$508)))+
($F$502)+($F$509)+($F$510))),2)</f>
        <v>1.33</v>
      </c>
      <c r="I509" s="328" t="s">
        <v>73</v>
      </c>
      <c r="J509" s="330"/>
      <c r="K509" s="681">
        <f>(A467*H509)</f>
        <v>73.150000000000006</v>
      </c>
      <c r="L509" s="563"/>
      <c r="M509" s="564" t="str">
        <f t="shared" si="62"/>
        <v/>
      </c>
      <c r="N509" s="564"/>
      <c r="O509" s="564" t="str">
        <f t="shared" si="63"/>
        <v/>
      </c>
      <c r="P509" s="42"/>
    </row>
    <row r="510" spans="1:16" x14ac:dyDescent="0.35">
      <c r="A510" s="535" t="str">
        <f t="shared" si="61"/>
        <v/>
      </c>
      <c r="B510" s="337"/>
      <c r="C510" s="337"/>
      <c r="D510" s="326" t="s">
        <v>45</v>
      </c>
      <c r="E510" s="360" t="s">
        <v>101</v>
      </c>
      <c r="F510" s="18">
        <v>1</v>
      </c>
      <c r="G510" s="18" t="s">
        <v>73</v>
      </c>
      <c r="H510" s="328">
        <f>ROUND(($F$501)*((F510)/((($F$503)*(($F$504)/($F$504+$F$505)))+
(($F$503)*(($F$505)/($F$504+$F$505)))+
(($F$506)*(($F$507)/($F$507+$F$508)))+
(($F$506)*(($F$508)/($F$507+$F$508)))+
($F$502)+($F$509)+($F$510))),2)</f>
        <v>0.17</v>
      </c>
      <c r="I510" s="335" t="s">
        <v>73</v>
      </c>
      <c r="J510" s="337"/>
      <c r="K510" s="680">
        <f>(A467*H510)</f>
        <v>9.3500000000000014</v>
      </c>
      <c r="L510" s="563"/>
      <c r="M510" s="564" t="str">
        <f t="shared" si="62"/>
        <v/>
      </c>
      <c r="N510" s="564"/>
      <c r="O510" s="564" t="str">
        <f t="shared" si="63"/>
        <v/>
      </c>
      <c r="P510" s="42"/>
    </row>
    <row r="511" spans="1:16" x14ac:dyDescent="0.35">
      <c r="A511" s="535" t="str">
        <f t="shared" si="61"/>
        <v/>
      </c>
      <c r="B511" s="330"/>
      <c r="C511" s="330"/>
      <c r="D511" s="355"/>
      <c r="E511" s="549" t="s">
        <v>774</v>
      </c>
      <c r="F511" s="378">
        <v>10</v>
      </c>
      <c r="G511" s="378" t="s">
        <v>73</v>
      </c>
      <c r="H511" s="513"/>
      <c r="I511" s="356"/>
      <c r="J511" s="513"/>
      <c r="K511" s="684"/>
      <c r="L511" s="563"/>
      <c r="M511" s="564" t="str">
        <f t="shared" si="62"/>
        <v/>
      </c>
      <c r="N511" s="564"/>
      <c r="O511" s="564" t="str">
        <f t="shared" si="63"/>
        <v/>
      </c>
      <c r="P511" s="42"/>
    </row>
    <row r="512" spans="1:16" x14ac:dyDescent="0.35">
      <c r="A512" s="535" t="str">
        <f t="shared" si="61"/>
        <v/>
      </c>
      <c r="B512" s="337"/>
      <c r="C512" s="337"/>
      <c r="D512" s="342"/>
      <c r="E512" s="362" t="s">
        <v>81</v>
      </c>
      <c r="F512" s="404">
        <v>600</v>
      </c>
      <c r="G512" s="404" t="s">
        <v>73</v>
      </c>
      <c r="H512" s="345"/>
      <c r="I512" s="343"/>
      <c r="J512" s="345"/>
      <c r="K512" s="685"/>
      <c r="L512" s="563"/>
      <c r="M512" s="564" t="str">
        <f t="shared" si="62"/>
        <v/>
      </c>
      <c r="N512" s="564"/>
      <c r="O512" s="564" t="str">
        <f t="shared" si="63"/>
        <v/>
      </c>
      <c r="P512" s="42"/>
    </row>
    <row r="513" spans="1:16" x14ac:dyDescent="0.35">
      <c r="A513" s="535" t="str">
        <f t="shared" si="61"/>
        <v/>
      </c>
      <c r="B513" s="330"/>
      <c r="C513" s="330"/>
      <c r="D513" s="326" t="s">
        <v>529</v>
      </c>
      <c r="E513" s="366" t="s">
        <v>775</v>
      </c>
      <c r="F513" s="22">
        <v>16</v>
      </c>
      <c r="G513" s="22" t="s">
        <v>73</v>
      </c>
      <c r="H513" s="328">
        <f>ROUND(($F$511)*((F513)/(($F$515)*(($F$516)/($F$516+$F$517))+
($F$515)*(($F$517)/($F$516+$F$517))+
($F$513)+($F$514)+($F$518))),2)</f>
        <v>0.51</v>
      </c>
      <c r="I513" s="328" t="s">
        <v>73</v>
      </c>
      <c r="J513" s="330"/>
      <c r="K513" s="681">
        <f>(A467*H513)</f>
        <v>28.05</v>
      </c>
      <c r="L513" s="563"/>
      <c r="M513" s="564" t="str">
        <f t="shared" si="62"/>
        <v/>
      </c>
      <c r="N513" s="564"/>
      <c r="O513" s="564" t="str">
        <f t="shared" si="63"/>
        <v/>
      </c>
      <c r="P513" s="42"/>
    </row>
    <row r="514" spans="1:16" x14ac:dyDescent="0.35">
      <c r="A514" s="535" t="str">
        <f t="shared" si="61"/>
        <v/>
      </c>
      <c r="B514" s="337"/>
      <c r="C514" s="337"/>
      <c r="D514" s="326" t="s">
        <v>333</v>
      </c>
      <c r="E514" s="360" t="s">
        <v>756</v>
      </c>
      <c r="F514" s="18">
        <v>70</v>
      </c>
      <c r="G514" s="18" t="s">
        <v>73</v>
      </c>
      <c r="H514" s="335">
        <f>ROUND(($F$511)*((F514)/(($F$515)*(($F$516)/($F$516+$F$517))+
($F$515)*(($F$517)/($F$516+$F$517))+
($F$513)+($F$514)+($F$518))),2)</f>
        <v>2.2200000000000002</v>
      </c>
      <c r="I514" s="335" t="s">
        <v>73</v>
      </c>
      <c r="J514" s="337"/>
      <c r="K514" s="680">
        <f>(A467*H514)</f>
        <v>122.10000000000001</v>
      </c>
      <c r="L514" s="563"/>
      <c r="M514" s="564" t="str">
        <f t="shared" si="62"/>
        <v/>
      </c>
      <c r="N514" s="564"/>
      <c r="O514" s="564" t="str">
        <f t="shared" si="63"/>
        <v/>
      </c>
      <c r="P514" s="42"/>
    </row>
    <row r="515" spans="1:16" x14ac:dyDescent="0.35">
      <c r="A515" s="535" t="str">
        <f t="shared" si="61"/>
        <v/>
      </c>
      <c r="B515" s="330"/>
      <c r="C515" s="330"/>
      <c r="D515" s="355"/>
      <c r="E515" s="567" t="s">
        <v>776</v>
      </c>
      <c r="F515" s="378">
        <v>200</v>
      </c>
      <c r="G515" s="378" t="s">
        <v>73</v>
      </c>
      <c r="H515" s="356"/>
      <c r="I515" s="356"/>
      <c r="J515" s="513"/>
      <c r="K515" s="684"/>
      <c r="L515" s="563"/>
      <c r="M515" s="564" t="str">
        <f t="shared" si="62"/>
        <v/>
      </c>
      <c r="N515" s="564"/>
      <c r="O515" s="564" t="str">
        <f t="shared" si="63"/>
        <v/>
      </c>
      <c r="P515" s="42"/>
    </row>
    <row r="516" spans="1:16" x14ac:dyDescent="0.35">
      <c r="A516" s="535" t="str">
        <f t="shared" si="61"/>
        <v/>
      </c>
      <c r="B516" s="337"/>
      <c r="C516" s="337"/>
      <c r="D516" s="326" t="s">
        <v>377</v>
      </c>
      <c r="E516" s="560" t="s">
        <v>777</v>
      </c>
      <c r="F516" s="18">
        <v>500</v>
      </c>
      <c r="G516" s="18" t="s">
        <v>73</v>
      </c>
      <c r="H516" s="335">
        <f>ROUND(($F$511)*(($F$515)*(($F$516)/($F$516+$F$517))
/(($F$515)*(($F$516)/($F$516+$F$517))+
($F$515)*(($F$517)/($F$516+$F$517))+
($F$513)+($F$514)+($F$518))),2)</f>
        <v>6.21</v>
      </c>
      <c r="I516" s="335" t="s">
        <v>73</v>
      </c>
      <c r="J516" s="337"/>
      <c r="K516" s="680">
        <f>(A467*H516)</f>
        <v>341.55</v>
      </c>
      <c r="L516" s="563"/>
      <c r="M516" s="564" t="str">
        <f t="shared" si="62"/>
        <v/>
      </c>
      <c r="N516" s="564"/>
      <c r="O516" s="564" t="str">
        <f t="shared" si="63"/>
        <v/>
      </c>
      <c r="P516" s="42"/>
    </row>
    <row r="517" spans="1:16" x14ac:dyDescent="0.35">
      <c r="A517" s="535" t="str">
        <f t="shared" si="61"/>
        <v/>
      </c>
      <c r="B517" s="330"/>
      <c r="C517" s="330"/>
      <c r="D517" s="326" t="s">
        <v>43</v>
      </c>
      <c r="E517" s="495" t="s">
        <v>105</v>
      </c>
      <c r="F517" s="22">
        <v>10</v>
      </c>
      <c r="G517" s="22" t="s">
        <v>73</v>
      </c>
      <c r="H517" s="328">
        <f>ROUND(($F$511)*(($F$515)*(($F$517)/($F$516+$F$517))
/(($F$515)*(($F$516)/($F$516+$F$517))+
($F$515)*(($F$517)/($F$516+$F$517))+
($F$513)+($F$514)+($F$518))),2)</f>
        <v>0.12</v>
      </c>
      <c r="I517" s="328" t="s">
        <v>73</v>
      </c>
      <c r="J517" s="330"/>
      <c r="K517" s="681">
        <f>(A467*H517)</f>
        <v>6.6</v>
      </c>
      <c r="L517" s="563"/>
      <c r="M517" s="564" t="str">
        <f t="shared" si="62"/>
        <v/>
      </c>
      <c r="N517" s="564"/>
      <c r="O517" s="564" t="str">
        <f t="shared" si="63"/>
        <v/>
      </c>
      <c r="P517" s="42"/>
    </row>
    <row r="518" spans="1:16" x14ac:dyDescent="0.35">
      <c r="A518" s="535" t="str">
        <f t="shared" si="61"/>
        <v/>
      </c>
      <c r="B518" s="337"/>
      <c r="C518" s="337"/>
      <c r="D518" s="326" t="s">
        <v>389</v>
      </c>
      <c r="E518" s="360" t="s">
        <v>778</v>
      </c>
      <c r="F518" s="18">
        <v>30</v>
      </c>
      <c r="G518" s="18" t="s">
        <v>73</v>
      </c>
      <c r="H518" s="335">
        <f>ROUND(($F$511)*(($F$518)/(($F$515)*(($F$516)/($F$516+$F$517))+
($F$515)*(($F$517)/($F$516+$F$517))+
($F$513)+($F$514)+($F$518))),2)</f>
        <v>0.95</v>
      </c>
      <c r="I518" s="335" t="s">
        <v>73</v>
      </c>
      <c r="J518" s="337"/>
      <c r="K518" s="680">
        <f>(A467*H518)</f>
        <v>52.25</v>
      </c>
      <c r="L518" s="563"/>
      <c r="M518" s="564" t="str">
        <f t="shared" si="62"/>
        <v/>
      </c>
      <c r="N518" s="564"/>
      <c r="O518" s="564" t="str">
        <f t="shared" si="63"/>
        <v/>
      </c>
      <c r="P518" s="42"/>
    </row>
    <row r="519" spans="1:16" x14ac:dyDescent="0.35">
      <c r="A519" s="535" t="str">
        <f t="shared" si="61"/>
        <v/>
      </c>
      <c r="B519" s="330"/>
      <c r="C519" s="330"/>
      <c r="D519" s="355"/>
      <c r="E519" s="549" t="s">
        <v>785</v>
      </c>
      <c r="F519" s="378">
        <v>20</v>
      </c>
      <c r="G519" s="378"/>
      <c r="H519" s="515"/>
      <c r="I519" s="356"/>
      <c r="J519" s="515"/>
      <c r="K519" s="684"/>
      <c r="L519" s="563"/>
      <c r="M519" s="564" t="str">
        <f t="shared" si="62"/>
        <v/>
      </c>
      <c r="N519" s="564"/>
      <c r="O519" s="564" t="str">
        <f t="shared" si="63"/>
        <v/>
      </c>
      <c r="P519" s="42"/>
    </row>
    <row r="520" spans="1:16" x14ac:dyDescent="0.35">
      <c r="A520" s="535" t="str">
        <f t="shared" si="61"/>
        <v/>
      </c>
      <c r="B520" s="337"/>
      <c r="C520" s="337"/>
      <c r="D520" s="355"/>
      <c r="E520" s="549" t="s">
        <v>780</v>
      </c>
      <c r="F520" s="378">
        <v>250</v>
      </c>
      <c r="G520" s="378" t="s">
        <v>73</v>
      </c>
      <c r="H520" s="515"/>
      <c r="I520" s="356"/>
      <c r="J520" s="515"/>
      <c r="K520" s="684"/>
      <c r="L520" s="563"/>
      <c r="M520" s="564" t="str">
        <f t="shared" si="62"/>
        <v/>
      </c>
      <c r="N520" s="564"/>
      <c r="O520" s="564" t="str">
        <f t="shared" si="63"/>
        <v/>
      </c>
      <c r="P520" s="42"/>
    </row>
    <row r="521" spans="1:16" x14ac:dyDescent="0.35">
      <c r="A521" s="535" t="str">
        <f t="shared" si="61"/>
        <v/>
      </c>
      <c r="B521" s="330"/>
      <c r="C521" s="330"/>
      <c r="D521" s="326" t="s">
        <v>1068</v>
      </c>
      <c r="E521" s="366" t="s">
        <v>1069</v>
      </c>
      <c r="F521" s="22">
        <v>60</v>
      </c>
      <c r="G521" s="22" t="s">
        <v>73</v>
      </c>
      <c r="H521" s="328">
        <f>ROUND(($F$519)*((($F$520)*(($F$521)/($F$521+$F$522)))
/((($F$520)*(($F$521)/($F$521+$F$522)))+
(($F$520)*(($F$522)/($F$521+$F$522)))+
($F$523))),2)</f>
        <v>7.84</v>
      </c>
      <c r="I521" s="328" t="s">
        <v>73</v>
      </c>
      <c r="J521" s="330"/>
      <c r="K521" s="681">
        <f>(A467*H521)</f>
        <v>431.2</v>
      </c>
      <c r="L521" s="563"/>
      <c r="M521" s="564" t="str">
        <f t="shared" si="62"/>
        <v/>
      </c>
      <c r="N521" s="564"/>
      <c r="O521" s="564" t="str">
        <f t="shared" si="63"/>
        <v/>
      </c>
      <c r="P521" s="42"/>
    </row>
    <row r="522" spans="1:16" x14ac:dyDescent="0.35">
      <c r="A522" s="535" t="str">
        <f t="shared" si="61"/>
        <v/>
      </c>
      <c r="B522" s="337"/>
      <c r="C522" s="337"/>
      <c r="D522" s="342"/>
      <c r="E522" s="362" t="s">
        <v>81</v>
      </c>
      <c r="F522" s="404">
        <v>90</v>
      </c>
      <c r="G522" s="404" t="s">
        <v>73</v>
      </c>
      <c r="H522" s="343">
        <f>ROUND(($F$519)*((($F$520)*(($F$522)/($F$521+$F$522)))
/((($F$520)*(($F$521)/($F$521+$F$522)))+
(($F$520)*(($F$522)/($F$521+$F$522)))+
($F$523))),2)</f>
        <v>11.76</v>
      </c>
      <c r="I522" s="343"/>
      <c r="J522" s="345"/>
      <c r="K522" s="685"/>
      <c r="L522" s="563"/>
      <c r="M522" s="564" t="str">
        <f t="shared" si="62"/>
        <v/>
      </c>
      <c r="N522" s="564"/>
      <c r="O522" s="564" t="str">
        <f t="shared" si="63"/>
        <v/>
      </c>
      <c r="P522" s="42"/>
    </row>
    <row r="523" spans="1:16" x14ac:dyDescent="0.35">
      <c r="A523" s="535" t="str">
        <f t="shared" si="61"/>
        <v/>
      </c>
      <c r="B523" s="330"/>
      <c r="C523" s="330"/>
      <c r="D523" s="326" t="s">
        <v>40</v>
      </c>
      <c r="E523" s="578" t="s">
        <v>104</v>
      </c>
      <c r="F523" s="458">
        <v>5</v>
      </c>
      <c r="G523" s="22" t="s">
        <v>73</v>
      </c>
      <c r="H523" s="328">
        <f>ROUND(($F$519)*(($F$523)/((($F$520)*(($F$521)/($F$521+$F$522)))+
(($F$520)*(($F$522)/($F$521+$F$522)))+
($F$523))),2)</f>
        <v>0.39</v>
      </c>
      <c r="I523" s="328" t="s">
        <v>73</v>
      </c>
      <c r="J523" s="330"/>
      <c r="K523" s="681">
        <f>(A467*H523)</f>
        <v>21.45</v>
      </c>
      <c r="L523" s="563"/>
      <c r="M523" s="564" t="str">
        <f t="shared" si="62"/>
        <v/>
      </c>
      <c r="N523" s="564"/>
      <c r="O523" s="564" t="str">
        <f t="shared" si="63"/>
        <v/>
      </c>
      <c r="P523" s="42"/>
    </row>
    <row r="524" spans="1:16" x14ac:dyDescent="0.35">
      <c r="A524" s="535" t="str">
        <f t="shared" si="61"/>
        <v/>
      </c>
      <c r="B524" s="337"/>
      <c r="C524" s="337"/>
      <c r="D524" s="355"/>
      <c r="E524" s="355" t="s">
        <v>730</v>
      </c>
      <c r="F524" s="378">
        <v>40</v>
      </c>
      <c r="G524" s="378" t="s">
        <v>73</v>
      </c>
      <c r="H524" s="356"/>
      <c r="I524" s="356"/>
      <c r="J524" s="515"/>
      <c r="K524" s="684"/>
      <c r="L524" s="563"/>
      <c r="M524" s="564" t="str">
        <f t="shared" si="62"/>
        <v/>
      </c>
      <c r="N524" s="564"/>
      <c r="O524" s="564" t="str">
        <f t="shared" si="63"/>
        <v/>
      </c>
      <c r="P524" s="42"/>
    </row>
    <row r="525" spans="1:16" x14ac:dyDescent="0.35">
      <c r="A525" s="535" t="str">
        <f t="shared" si="61"/>
        <v/>
      </c>
      <c r="B525" s="330"/>
      <c r="C525" s="330"/>
      <c r="D525" s="326" t="s">
        <v>497</v>
      </c>
      <c r="E525" s="366" t="s">
        <v>791</v>
      </c>
      <c r="F525" s="22">
        <v>30</v>
      </c>
      <c r="G525" s="22" t="s">
        <v>73</v>
      </c>
      <c r="H525" s="328">
        <f>ROUND(($F$524)*((F525)/((($F$529)*(($F$531)/($F$530+$F$531)))+
(($F$529)*(($F$530)/($F$530+$F$531)))+
($F$525)+($F$526)+($F$527)+($F$528))),2)</f>
        <v>23.9</v>
      </c>
      <c r="I525" s="328" t="s">
        <v>73</v>
      </c>
      <c r="J525" s="330"/>
      <c r="K525" s="681">
        <f>(A467*H525)</f>
        <v>1314.5</v>
      </c>
      <c r="L525" s="563"/>
      <c r="M525" s="564" t="str">
        <f t="shared" si="62"/>
        <v/>
      </c>
      <c r="N525" s="564"/>
      <c r="O525" s="564" t="str">
        <f t="shared" si="63"/>
        <v/>
      </c>
      <c r="P525" s="42"/>
    </row>
    <row r="526" spans="1:16" x14ac:dyDescent="0.35">
      <c r="A526" s="535" t="str">
        <f t="shared" si="61"/>
        <v/>
      </c>
      <c r="B526" s="337"/>
      <c r="C526" s="337"/>
      <c r="D526" s="326" t="s">
        <v>676</v>
      </c>
      <c r="E526" s="360" t="s">
        <v>727</v>
      </c>
      <c r="F526" s="18">
        <v>15</v>
      </c>
      <c r="G526" s="18" t="s">
        <v>73</v>
      </c>
      <c r="H526" s="335">
        <f t="shared" ref="H526:H528" si="66">ROUND(($F$524)*((F526)/((($F$529)*(($F$531)/($F$530+$F$531)))+
(($F$529)*(($F$530)/($F$530+$F$531)))+
($F$525)+($F$526)+($F$527)+($F$528))),2)</f>
        <v>11.95</v>
      </c>
      <c r="I526" s="335" t="s">
        <v>73</v>
      </c>
      <c r="J526" s="337"/>
      <c r="K526" s="680">
        <f>(A467*H526)</f>
        <v>657.25</v>
      </c>
      <c r="L526" s="563"/>
      <c r="M526" s="564" t="str">
        <f t="shared" si="62"/>
        <v/>
      </c>
      <c r="N526" s="564"/>
      <c r="O526" s="564" t="str">
        <f t="shared" si="63"/>
        <v/>
      </c>
      <c r="P526" s="42"/>
    </row>
    <row r="527" spans="1:16" x14ac:dyDescent="0.35">
      <c r="A527" s="535" t="str">
        <f t="shared" si="61"/>
        <v/>
      </c>
      <c r="B527" s="330"/>
      <c r="C527" s="330"/>
      <c r="D527" s="326" t="s">
        <v>50</v>
      </c>
      <c r="E527" s="366" t="s">
        <v>729</v>
      </c>
      <c r="F527" s="22">
        <v>5</v>
      </c>
      <c r="G527" s="22" t="s">
        <v>73</v>
      </c>
      <c r="H527" s="328">
        <f t="shared" si="66"/>
        <v>3.98</v>
      </c>
      <c r="I527" s="328" t="s">
        <v>73</v>
      </c>
      <c r="J527" s="330"/>
      <c r="K527" s="681">
        <f>(A467*H527)</f>
        <v>218.9</v>
      </c>
      <c r="L527" s="563"/>
      <c r="M527" s="564" t="str">
        <f t="shared" si="62"/>
        <v/>
      </c>
      <c r="N527" s="564"/>
      <c r="O527" s="564" t="str">
        <f t="shared" si="63"/>
        <v/>
      </c>
      <c r="P527" s="42"/>
    </row>
    <row r="528" spans="1:16" x14ac:dyDescent="0.35">
      <c r="A528" s="535" t="str">
        <f t="shared" si="61"/>
        <v/>
      </c>
      <c r="B528" s="337"/>
      <c r="C528" s="337"/>
      <c r="D528" s="326" t="s">
        <v>55</v>
      </c>
      <c r="E528" s="360" t="s">
        <v>110</v>
      </c>
      <c r="F528" s="18">
        <v>0.1</v>
      </c>
      <c r="G528" s="18" t="s">
        <v>73</v>
      </c>
      <c r="H528" s="335">
        <f t="shared" si="66"/>
        <v>0.08</v>
      </c>
      <c r="I528" s="335" t="s">
        <v>73</v>
      </c>
      <c r="J528" s="337"/>
      <c r="K528" s="680">
        <f>(A467*H528)</f>
        <v>4.4000000000000004</v>
      </c>
      <c r="L528" s="563"/>
      <c r="M528" s="564" t="str">
        <f t="shared" si="62"/>
        <v/>
      </c>
      <c r="N528" s="564"/>
      <c r="O528" s="564" t="str">
        <f t="shared" si="63"/>
        <v/>
      </c>
      <c r="P528" s="42"/>
    </row>
    <row r="529" spans="1:16" x14ac:dyDescent="0.35">
      <c r="A529" s="535" t="str">
        <f t="shared" ref="A529:A592" si="67">IFERROR(INDEX($Q$17:$Q$41,MATCH(B529,$R$17:$R$41, 0)), "")</f>
        <v/>
      </c>
      <c r="B529" s="330"/>
      <c r="C529" s="330"/>
      <c r="D529" s="355"/>
      <c r="E529" s="567" t="s">
        <v>728</v>
      </c>
      <c r="F529" s="378">
        <v>0.1</v>
      </c>
      <c r="G529" s="378" t="s">
        <v>73</v>
      </c>
      <c r="H529" s="356"/>
      <c r="I529" s="356"/>
      <c r="J529" s="515"/>
      <c r="K529" s="684"/>
      <c r="L529" s="563"/>
      <c r="M529" s="564" t="str">
        <f t="shared" ref="M529:M592" si="68">IF(Q528&gt;0, Q528, "")</f>
        <v/>
      </c>
      <c r="N529" s="564"/>
      <c r="O529" s="564" t="str">
        <f t="shared" ref="O529:O592" si="69">IF(V529&gt;0, V529, "")</f>
        <v/>
      </c>
      <c r="P529" s="42"/>
    </row>
    <row r="530" spans="1:16" x14ac:dyDescent="0.35">
      <c r="A530" s="535" t="str">
        <f t="shared" si="67"/>
        <v/>
      </c>
      <c r="B530" s="337"/>
      <c r="C530" s="337"/>
      <c r="D530" s="326" t="s">
        <v>43</v>
      </c>
      <c r="E530" s="560" t="s">
        <v>105</v>
      </c>
      <c r="F530" s="18">
        <v>15</v>
      </c>
      <c r="G530" s="458" t="s">
        <v>73</v>
      </c>
      <c r="H530" s="335">
        <f>ROUND(($F$524)*(((($F$529)*(($F$530)/($F$530+$F$531)))
/((($F$529)*(($F$531)/($F$530+$F$531)))+
(($F$529)*(($F$530)/($F$530+$F$531)))+
($F$525)+($F$526)+($F$527)+($F$528)))),2)</f>
        <v>0.01</v>
      </c>
      <c r="I530" s="335" t="s">
        <v>73</v>
      </c>
      <c r="J530" s="337"/>
      <c r="K530" s="680">
        <f>(A467*H530)</f>
        <v>0.55000000000000004</v>
      </c>
      <c r="L530" s="563"/>
      <c r="M530" s="564" t="str">
        <f t="shared" si="68"/>
        <v/>
      </c>
      <c r="N530" s="564"/>
      <c r="O530" s="564" t="str">
        <f t="shared" si="69"/>
        <v/>
      </c>
      <c r="P530" s="42"/>
    </row>
    <row r="531" spans="1:16" ht="15" thickBot="1" x14ac:dyDescent="0.4">
      <c r="A531" s="535" t="str">
        <f t="shared" si="67"/>
        <v/>
      </c>
      <c r="B531" s="330"/>
      <c r="C531" s="330"/>
      <c r="D531" s="326" t="s">
        <v>42</v>
      </c>
      <c r="E531" s="495" t="s">
        <v>95</v>
      </c>
      <c r="F531" s="22">
        <v>85</v>
      </c>
      <c r="G531" s="22" t="s">
        <v>73</v>
      </c>
      <c r="H531" s="328">
        <f>ROUND(($F$524)*(((($F$529)*(($F$531)/($F$530+$F$531)))
/((($F$529)*(($F$531)/($F$530+$F$531)))+
(($F$529)*(($F$530)/($F$530+$F$531)))+
($F$525)+($F$526)+($F$527)+($F$528)))),2)</f>
        <v>7.0000000000000007E-2</v>
      </c>
      <c r="I531" s="328" t="s">
        <v>73</v>
      </c>
      <c r="J531" s="330"/>
      <c r="K531" s="681">
        <f>(A467*H531)</f>
        <v>3.8500000000000005</v>
      </c>
      <c r="L531" s="563"/>
      <c r="M531" s="564" t="str">
        <f t="shared" si="68"/>
        <v/>
      </c>
      <c r="N531" s="564"/>
      <c r="O531" s="564" t="str">
        <f t="shared" si="69"/>
        <v/>
      </c>
      <c r="P531" s="42"/>
    </row>
    <row r="532" spans="1:16" ht="15.5" thickTop="1" thickBot="1" x14ac:dyDescent="0.4">
      <c r="A532" s="585" t="str">
        <f t="shared" si="67"/>
        <v/>
      </c>
      <c r="B532" s="546"/>
      <c r="C532" s="546"/>
      <c r="D532" s="547"/>
      <c r="E532" s="546"/>
      <c r="F532" s="546"/>
      <c r="G532" s="546"/>
      <c r="H532" s="546"/>
      <c r="I532" s="546"/>
      <c r="J532" s="550"/>
      <c r="K532" s="676"/>
      <c r="L532" s="535"/>
      <c r="M532" s="552" t="str">
        <f t="shared" si="68"/>
        <v/>
      </c>
      <c r="N532" s="552"/>
      <c r="O532" s="552" t="str">
        <f t="shared" si="69"/>
        <v/>
      </c>
      <c r="P532" s="39"/>
    </row>
    <row r="533" spans="1:16" ht="15" thickTop="1" x14ac:dyDescent="0.35">
      <c r="A533" s="565">
        <f>IFERROR(INDEX($Q$17:$Q$150,MATCH(B533,$R$17:$R$150, 0)), "")</f>
        <v>25</v>
      </c>
      <c r="B533" s="382" t="s">
        <v>1290</v>
      </c>
      <c r="C533" s="580" t="s">
        <v>792</v>
      </c>
      <c r="D533" s="347" t="s">
        <v>748</v>
      </c>
      <c r="E533" s="566" t="s">
        <v>749</v>
      </c>
      <c r="F533" s="438">
        <v>1</v>
      </c>
      <c r="G533" s="438" t="s">
        <v>1072</v>
      </c>
      <c r="H533" s="439">
        <v>1</v>
      </c>
      <c r="I533" s="439" t="s">
        <v>1072</v>
      </c>
      <c r="J533" s="533"/>
      <c r="K533" s="679">
        <f>(A533*H533)</f>
        <v>25</v>
      </c>
      <c r="L533" s="586"/>
      <c r="M533" s="587" t="str">
        <f t="shared" si="68"/>
        <v/>
      </c>
      <c r="N533" s="587"/>
      <c r="O533" s="587" t="str">
        <f t="shared" si="69"/>
        <v/>
      </c>
      <c r="P533" s="47"/>
    </row>
    <row r="534" spans="1:16" x14ac:dyDescent="0.35">
      <c r="A534" s="535" t="str">
        <f t="shared" si="67"/>
        <v/>
      </c>
      <c r="B534" s="337"/>
      <c r="C534" s="337"/>
      <c r="D534" s="326" t="s">
        <v>373</v>
      </c>
      <c r="E534" s="536" t="s">
        <v>772</v>
      </c>
      <c r="F534" s="18">
        <v>20</v>
      </c>
      <c r="G534" s="18" t="s">
        <v>73</v>
      </c>
      <c r="H534" s="335">
        <v>20</v>
      </c>
      <c r="I534" s="335" t="s">
        <v>73</v>
      </c>
      <c r="J534" s="337"/>
      <c r="K534" s="680">
        <f>(A533*H534)</f>
        <v>500</v>
      </c>
      <c r="L534" s="535"/>
      <c r="M534" s="552" t="str">
        <f t="shared" si="68"/>
        <v/>
      </c>
      <c r="N534" s="552"/>
      <c r="O534" s="552" t="str">
        <f t="shared" si="69"/>
        <v/>
      </c>
      <c r="P534" s="48"/>
    </row>
    <row r="535" spans="1:16" x14ac:dyDescent="0.35">
      <c r="A535" s="535" t="str">
        <f t="shared" si="67"/>
        <v/>
      </c>
      <c r="B535" s="330"/>
      <c r="C535" s="330"/>
      <c r="D535" s="326" t="s">
        <v>398</v>
      </c>
      <c r="E535" s="544" t="s">
        <v>784</v>
      </c>
      <c r="F535" s="22">
        <v>12</v>
      </c>
      <c r="G535" s="22" t="s">
        <v>73</v>
      </c>
      <c r="H535" s="328">
        <v>12</v>
      </c>
      <c r="I535" s="328" t="s">
        <v>73</v>
      </c>
      <c r="J535" s="330"/>
      <c r="K535" s="681">
        <f>(A533*H535)</f>
        <v>300</v>
      </c>
      <c r="L535" s="586"/>
      <c r="M535" s="587" t="str">
        <f t="shared" si="68"/>
        <v/>
      </c>
      <c r="N535" s="587"/>
      <c r="O535" s="587" t="str">
        <f t="shared" si="69"/>
        <v/>
      </c>
      <c r="P535" s="47"/>
    </row>
    <row r="536" spans="1:16" x14ac:dyDescent="0.35">
      <c r="A536" s="535" t="str">
        <f t="shared" si="67"/>
        <v/>
      </c>
      <c r="B536" s="337"/>
      <c r="C536" s="337"/>
      <c r="D536" s="326" t="s">
        <v>41</v>
      </c>
      <c r="E536" s="536" t="s">
        <v>779</v>
      </c>
      <c r="F536" s="18">
        <v>2</v>
      </c>
      <c r="G536" s="18" t="s">
        <v>73</v>
      </c>
      <c r="H536" s="335">
        <v>2</v>
      </c>
      <c r="I536" s="335" t="s">
        <v>73</v>
      </c>
      <c r="J536" s="337"/>
      <c r="K536" s="680">
        <f>(A533*H536)</f>
        <v>50</v>
      </c>
      <c r="L536" s="535"/>
      <c r="M536" s="552" t="str">
        <f t="shared" si="68"/>
        <v/>
      </c>
      <c r="N536" s="552"/>
      <c r="O536" s="552" t="str">
        <f t="shared" si="69"/>
        <v/>
      </c>
      <c r="P536" s="48"/>
    </row>
    <row r="537" spans="1:16" x14ac:dyDescent="0.35">
      <c r="A537" s="535" t="str">
        <f t="shared" si="67"/>
        <v/>
      </c>
      <c r="B537" s="330"/>
      <c r="C537" s="330"/>
      <c r="D537" s="326" t="s">
        <v>491</v>
      </c>
      <c r="E537" s="327" t="s">
        <v>750</v>
      </c>
      <c r="F537" s="22">
        <v>1.25</v>
      </c>
      <c r="G537" s="22" t="s">
        <v>773</v>
      </c>
      <c r="H537" s="328">
        <v>1.25</v>
      </c>
      <c r="I537" s="328" t="s">
        <v>1072</v>
      </c>
      <c r="J537" s="330"/>
      <c r="K537" s="681">
        <f>(A533*H537)</f>
        <v>31.25</v>
      </c>
      <c r="L537" s="586"/>
      <c r="M537" s="587" t="str">
        <f t="shared" si="68"/>
        <v/>
      </c>
      <c r="N537" s="587"/>
      <c r="O537" s="587" t="str">
        <f t="shared" si="69"/>
        <v/>
      </c>
      <c r="P537" s="47"/>
    </row>
    <row r="538" spans="1:16" x14ac:dyDescent="0.35">
      <c r="A538" s="535" t="str">
        <f t="shared" si="67"/>
        <v/>
      </c>
      <c r="B538" s="337"/>
      <c r="C538" s="337"/>
      <c r="D538" s="355"/>
      <c r="E538" s="549" t="s">
        <v>751</v>
      </c>
      <c r="F538" s="378">
        <v>100</v>
      </c>
      <c r="G538" s="378" t="s">
        <v>73</v>
      </c>
      <c r="H538" s="515"/>
      <c r="I538" s="515"/>
      <c r="J538" s="515"/>
      <c r="K538" s="684"/>
      <c r="L538" s="535"/>
      <c r="M538" s="552" t="str">
        <f t="shared" si="68"/>
        <v/>
      </c>
      <c r="N538" s="552"/>
      <c r="O538" s="552" t="str">
        <f t="shared" si="69"/>
        <v/>
      </c>
      <c r="P538" s="48"/>
    </row>
    <row r="539" spans="1:16" x14ac:dyDescent="0.35">
      <c r="A539" s="535" t="str">
        <f t="shared" si="67"/>
        <v/>
      </c>
      <c r="B539" s="330"/>
      <c r="C539" s="330"/>
      <c r="D539" s="355"/>
      <c r="E539" s="567" t="s">
        <v>754</v>
      </c>
      <c r="F539" s="356">
        <v>2100</v>
      </c>
      <c r="G539" s="378" t="s">
        <v>73</v>
      </c>
      <c r="H539" s="513"/>
      <c r="I539" s="513"/>
      <c r="J539" s="513"/>
      <c r="K539" s="684"/>
      <c r="L539" s="586"/>
      <c r="M539" s="587" t="str">
        <f t="shared" si="68"/>
        <v/>
      </c>
      <c r="N539" s="587"/>
      <c r="O539" s="587" t="str">
        <f t="shared" si="69"/>
        <v/>
      </c>
      <c r="P539" s="47"/>
    </row>
    <row r="540" spans="1:16" x14ac:dyDescent="0.35">
      <c r="A540" s="535" t="str">
        <f t="shared" si="67"/>
        <v/>
      </c>
      <c r="B540" s="337"/>
      <c r="C540" s="337"/>
      <c r="D540" s="342"/>
      <c r="E540" s="561" t="s">
        <v>81</v>
      </c>
      <c r="F540" s="404">
        <v>1300</v>
      </c>
      <c r="G540" s="404" t="s">
        <v>73</v>
      </c>
      <c r="H540" s="343">
        <f>ROUND(($F$538)*((($F$539)*(($F$540)/($F$540+$F$541+$F$542)))
/((($F$539)*(($F$540)/($F$540+$F$541+$F$542)))+
(($F$539)*(($F$541)/($F$540+$F$541+$F$542)))+
(($F$539)*(($F$542)/($F$540+$F$541+$F$542)))+
(($F$543)*(($F$544)/($F$544+$F$545+$F$546+$F$547)))+
(($F$543)*(($F$545)/($F$544+$F$545+$F$546+$F$547)))+
(($F$543)*(($F$546)/($F$544+$F$545+$F$546+$F$547)))+
(($F$543)*(($F$547)/($F$544+$F$545+$F$546+$F$547)))+
($F$548)+($F$549))),2)</f>
        <v>53.47</v>
      </c>
      <c r="I540" s="345"/>
      <c r="J540" s="345"/>
      <c r="K540" s="685"/>
      <c r="L540" s="535"/>
      <c r="M540" s="552" t="str">
        <f t="shared" si="68"/>
        <v/>
      </c>
      <c r="N540" s="552"/>
      <c r="O540" s="552" t="str">
        <f t="shared" si="69"/>
        <v/>
      </c>
      <c r="P540" s="48"/>
    </row>
    <row r="541" spans="1:16" x14ac:dyDescent="0.35">
      <c r="A541" s="535" t="str">
        <f t="shared" si="67"/>
        <v/>
      </c>
      <c r="B541" s="330"/>
      <c r="C541" s="330"/>
      <c r="D541" s="326" t="s">
        <v>1660</v>
      </c>
      <c r="E541" s="495" t="s">
        <v>1897</v>
      </c>
      <c r="F541" s="22">
        <v>1000</v>
      </c>
      <c r="G541" s="22" t="s">
        <v>73</v>
      </c>
      <c r="H541" s="328">
        <f>ROUND(($F$538)*((($F$539)*(($F$541)/($F$540+$F$541+$F$542)))
/((($F$539)*(($F$540)/($F$540+$F$541+$F$542)))+
(($F$539)*(($F$541)/($F$540+$F$541+$F$542)))+
(($F$539)*(($F$542)/($F$540+$F$541+$F$542)))+
(($F$543)*(($F$544)/($F$544+$F$545+$F$546+$F$547)))+
(($F$543)*(($F$545)/($F$544+$F$545+$F$546+$F$547)))+
(($F$543)*(($F$546)/($F$544+$F$545+$F$546+$F$547)))+
(($F$543)*(($F$547)/($F$544+$F$545+$F$546+$F$547)))+
($F$548)+($F$549))),2)</f>
        <v>41.13</v>
      </c>
      <c r="I541" s="328" t="s">
        <v>73</v>
      </c>
      <c r="J541" s="330"/>
      <c r="K541" s="681">
        <f>(A533*H541)</f>
        <v>1028.25</v>
      </c>
      <c r="L541" s="586"/>
      <c r="M541" s="587" t="str">
        <f t="shared" si="68"/>
        <v/>
      </c>
      <c r="N541" s="587"/>
      <c r="O541" s="587" t="str">
        <f t="shared" si="69"/>
        <v/>
      </c>
      <c r="P541" s="47"/>
    </row>
    <row r="542" spans="1:16" x14ac:dyDescent="0.35">
      <c r="A542" s="535" t="str">
        <f t="shared" si="67"/>
        <v/>
      </c>
      <c r="B542" s="337"/>
      <c r="C542" s="337"/>
      <c r="D542" s="326"/>
      <c r="E542" s="560" t="s">
        <v>753</v>
      </c>
      <c r="F542" s="18">
        <v>0</v>
      </c>
      <c r="G542" s="18" t="s">
        <v>73</v>
      </c>
      <c r="H542" s="335">
        <f>ROUND(($F$538)*((($F$539)*(($F$542)/($F$540+$F$541+$F$542)))
/((($F$539)*(($F$540)/($F$540+$F$541+$F$542)))+
(($F$539)*(($F$541)/($F$540+$F$541+$F$542)))+
(($F$539)*(($F$542)/($F$540+$F$541+$F$542)))+
(($F$543)*(($F$544)/($F$544+$F$545+$F$546+$F$547)))+
(($F$543)*(($F$545)/($F$544+$F$545+$F$546+$F$547)))+
(($F$543)*(($F$546)/($F$544+$F$545+$F$546+$F$547)))+
(($F$543)*(($F$547)/($F$544+$F$545+$F$546+$F$547)))+
($F$548)+($F$549))),2)</f>
        <v>0</v>
      </c>
      <c r="I542" s="335" t="s">
        <v>73</v>
      </c>
      <c r="J542" s="337"/>
      <c r="K542" s="680">
        <f>(A533*H542)</f>
        <v>0</v>
      </c>
      <c r="L542" s="535"/>
      <c r="M542" s="552" t="str">
        <f t="shared" si="68"/>
        <v/>
      </c>
      <c r="N542" s="552"/>
      <c r="O542" s="552" t="str">
        <f t="shared" si="69"/>
        <v/>
      </c>
      <c r="P542" s="48"/>
    </row>
    <row r="543" spans="1:16" x14ac:dyDescent="0.35">
      <c r="A543" s="535" t="str">
        <f t="shared" si="67"/>
        <v/>
      </c>
      <c r="B543" s="330"/>
      <c r="C543" s="330"/>
      <c r="D543" s="355"/>
      <c r="E543" s="567" t="s">
        <v>755</v>
      </c>
      <c r="F543" s="378">
        <v>55</v>
      </c>
      <c r="G543" s="378" t="s">
        <v>73</v>
      </c>
      <c r="H543" s="494"/>
      <c r="I543" s="356"/>
      <c r="J543" s="513"/>
      <c r="K543" s="684"/>
      <c r="L543" s="586"/>
      <c r="M543" s="587" t="str">
        <f t="shared" si="68"/>
        <v/>
      </c>
      <c r="N543" s="587"/>
      <c r="O543" s="587" t="str">
        <f t="shared" si="69"/>
        <v/>
      </c>
      <c r="P543" s="47"/>
    </row>
    <row r="544" spans="1:16" x14ac:dyDescent="0.35">
      <c r="A544" s="535" t="str">
        <f t="shared" si="67"/>
        <v/>
      </c>
      <c r="B544" s="337"/>
      <c r="C544" s="337"/>
      <c r="D544" s="326" t="s">
        <v>333</v>
      </c>
      <c r="E544" s="560" t="s">
        <v>756</v>
      </c>
      <c r="F544" s="18">
        <v>20</v>
      </c>
      <c r="G544" s="18" t="s">
        <v>73</v>
      </c>
      <c r="H544" s="335">
        <f>ROUND(($F$538)*((($F$543)*(($F$544)/($F$544+$F$545+$F$546+$F$547)))
/((($F$539)*(($F$540)/($F$540+$F$541+$F$542)))+
(($F$539)*(($F$541)/($F$540+$F$541+$F$542)))+
(($F$539)*(($F$542)/($F$540+$F$541+$F$542)))+
(($F$543)*(($F$544)/($F$544+$F$545+$F$546+$F$547)))+
(($F$543)*(($F$545)/($F$544+$F$545+$F$546+$F$547)))+
(($F$543)*(($F$546)/($F$544+$F$545+$F$546+$F$547)))+
(($F$543)*(($F$547)/($F$544+$F$545+$F$546+$F$547)))+
($F$548)+($F$549))),2)</f>
        <v>0.2</v>
      </c>
      <c r="I544" s="335" t="s">
        <v>73</v>
      </c>
      <c r="J544" s="337"/>
      <c r="K544" s="680">
        <f>(A533*H544)</f>
        <v>5</v>
      </c>
      <c r="L544" s="535"/>
      <c r="M544" s="552" t="str">
        <f t="shared" si="68"/>
        <v/>
      </c>
      <c r="N544" s="552"/>
      <c r="O544" s="552" t="str">
        <f t="shared" si="69"/>
        <v/>
      </c>
      <c r="P544" s="48"/>
    </row>
    <row r="545" spans="1:16" x14ac:dyDescent="0.35">
      <c r="A545" s="535" t="str">
        <f t="shared" si="67"/>
        <v/>
      </c>
      <c r="B545" s="330"/>
      <c r="C545" s="330"/>
      <c r="D545" s="326" t="s">
        <v>43</v>
      </c>
      <c r="E545" s="495" t="s">
        <v>105</v>
      </c>
      <c r="F545" s="22">
        <v>20</v>
      </c>
      <c r="G545" s="22" t="s">
        <v>73</v>
      </c>
      <c r="H545" s="328">
        <f>ROUND(($F$538)*((($F$543)*(($F$545)/($F$544+$F$545+$F$546+$F$547)))
/((($F$539)*(($F$540)/($F$540+$F$541+$F$542)))+
(($F$539)*(($F$541)/($F$540+$F$541+$F$542)))+
(($F$539)*(($F$542)/($F$540+$F$541+$F$542)))+
(($F$543)*(($F$544)/($F$544+$F$545+$F$546+$F$547)))+
(($F$543)*(($F$545)/($F$544+$F$545+$F$546+$F$547)))+
(($F$543)*(($F$546)/($F$544+$F$545+$F$546+$F$547)))+
(($F$543)*(($F$547)/($F$544+$F$545+$F$546+$F$547)))+
($F$548)+($F$549))),2)</f>
        <v>0.2</v>
      </c>
      <c r="I545" s="328" t="s">
        <v>73</v>
      </c>
      <c r="J545" s="330"/>
      <c r="K545" s="681">
        <f>(A533*H545)</f>
        <v>5</v>
      </c>
      <c r="L545" s="586"/>
      <c r="M545" s="587" t="str">
        <f t="shared" si="68"/>
        <v/>
      </c>
      <c r="N545" s="587"/>
      <c r="O545" s="587" t="str">
        <f t="shared" si="69"/>
        <v/>
      </c>
      <c r="P545" s="47"/>
    </row>
    <row r="546" spans="1:16" x14ac:dyDescent="0.35">
      <c r="A546" s="535" t="str">
        <f t="shared" si="67"/>
        <v/>
      </c>
      <c r="B546" s="337"/>
      <c r="C546" s="337"/>
      <c r="D546" s="326" t="s">
        <v>42</v>
      </c>
      <c r="E546" s="560" t="s">
        <v>66</v>
      </c>
      <c r="F546" s="18">
        <v>2</v>
      </c>
      <c r="G546" s="18" t="s">
        <v>73</v>
      </c>
      <c r="H546" s="335">
        <f>ROUND(($F$538)*((($F$543)*(($F$546)/($F$544+$F$545+$F$546+$F$547)))
/((($F$539)*(($F$540)/($F$540+$F$541+$F$542)))+
(($F$539)*(($F$541)/($F$540+$F$541+$F$542)))+
(($F$539)*(($F$542)/($F$540+$F$541+$F$542)))+
(($F$543)*(($F$544)/($F$544+$F$545+$F$546+$F$547)))+
(($F$543)*(($F$545)/($F$544+$F$545+$F$546+$F$547)))+
(($F$543)*(($F$546)/($F$544+$F$545+$F$546+$F$547)))+
(($F$543)*(($F$547)/($F$544+$F$545+$F$546+$F$547)))+
($F$548)+($F$549))),2)</f>
        <v>0.02</v>
      </c>
      <c r="I546" s="335" t="s">
        <v>73</v>
      </c>
      <c r="J546" s="337"/>
      <c r="K546" s="680">
        <f>(A533*H546)</f>
        <v>0.5</v>
      </c>
      <c r="L546" s="535"/>
      <c r="M546" s="552" t="str">
        <f t="shared" si="68"/>
        <v/>
      </c>
      <c r="N546" s="552"/>
      <c r="O546" s="552" t="str">
        <f t="shared" si="69"/>
        <v/>
      </c>
      <c r="P546" s="48"/>
    </row>
    <row r="547" spans="1:16" x14ac:dyDescent="0.35">
      <c r="A547" s="535" t="str">
        <f t="shared" si="67"/>
        <v/>
      </c>
      <c r="B547" s="330"/>
      <c r="C547" s="330"/>
      <c r="D547" s="342"/>
      <c r="E547" s="561" t="s">
        <v>81</v>
      </c>
      <c r="F547" s="404">
        <v>200</v>
      </c>
      <c r="G547" s="404" t="s">
        <v>73</v>
      </c>
      <c r="H547" s="583">
        <f>ROUND(($F$538)*((($F$543)*(($F$547)/($F$544+$F$545+$F$546+$F$547)))
/((($F$539)*(($F$540)/($F$540+$F$541+$F$542)))+
(($F$539)*(($F$541)/($F$540+$F$541+$F$542)))+
(($F$539)*(($F$542)/($F$540+$F$541+$F$542)))+
(($F$543)*(($F$544)/($F$544+$F$545+$F$546+$F$547)))+
(($F$543)*(($F$545)/($F$544+$F$545+$F$546+$F$547)))+
(($F$543)*(($F$546)/($F$544+$F$545+$F$546+$F$547)))+
(($F$543)*(($F$547)/($F$544+$F$545+$F$546+$F$547)))+
($F$548)+($F$549))),2)</f>
        <v>2.0499999999999998</v>
      </c>
      <c r="I547" s="343"/>
      <c r="J547" s="584"/>
      <c r="K547" s="685"/>
      <c r="L547" s="586"/>
      <c r="M547" s="587" t="str">
        <f t="shared" si="68"/>
        <v/>
      </c>
      <c r="N547" s="587"/>
      <c r="O547" s="587" t="str">
        <f t="shared" si="69"/>
        <v/>
      </c>
      <c r="P547" s="47"/>
    </row>
    <row r="548" spans="1:16" x14ac:dyDescent="0.35">
      <c r="A548" s="535" t="str">
        <f t="shared" si="67"/>
        <v/>
      </c>
      <c r="B548" s="337"/>
      <c r="C548" s="337"/>
      <c r="D548" s="326" t="s">
        <v>41</v>
      </c>
      <c r="E548" s="360" t="s">
        <v>757</v>
      </c>
      <c r="F548" s="18">
        <v>55</v>
      </c>
      <c r="G548" s="18" t="s">
        <v>73</v>
      </c>
      <c r="H548" s="335">
        <f>ROUND(($F$538)*((F548)/((($F$539)*(($F$540)/($F$540+$F$541+$F$542)))+
(($F$539)*(($F$541)/($F$540+$F$541+$F$542)))+
(($F$539)*(($F$542)/($F$540+$F$541+$F$542)))+
(($F$543)*(($F$544)/($F$544+$F$545+$F$546+$F$547)))+
(($F$543)*(($F$545)/($F$544+$F$545+$F$546+$F$547)))+
(($F$543)*(($F$546)/($F$544+$F$545+$F$546+$F$547)))+
(($F$543)*(($F$547)/($F$544+$F$545+$F$546+$F$547)))+
($F$548)+($F$549))),2)</f>
        <v>2.48</v>
      </c>
      <c r="I548" s="335" t="s">
        <v>73</v>
      </c>
      <c r="J548" s="337"/>
      <c r="K548" s="680">
        <f>(A533*H548)</f>
        <v>62</v>
      </c>
      <c r="L548" s="535"/>
      <c r="M548" s="552" t="str">
        <f t="shared" si="68"/>
        <v/>
      </c>
      <c r="N548" s="552"/>
      <c r="O548" s="552" t="str">
        <f t="shared" si="69"/>
        <v/>
      </c>
      <c r="P548" s="48"/>
    </row>
    <row r="549" spans="1:16" x14ac:dyDescent="0.35">
      <c r="A549" s="535" t="str">
        <f t="shared" si="67"/>
        <v/>
      </c>
      <c r="B549" s="330"/>
      <c r="C549" s="330"/>
      <c r="D549" s="326" t="s">
        <v>505</v>
      </c>
      <c r="E549" s="366" t="s">
        <v>758</v>
      </c>
      <c r="F549" s="22">
        <v>10</v>
      </c>
      <c r="G549" s="22" t="s">
        <v>73</v>
      </c>
      <c r="H549" s="328">
        <f>ROUND(($F$538)*((F549)/((($F$539)*(($F$540)/($F$540+$F$541+$F$542)))+
(($F$539)*(($F$541)/($F$540+$F$541+$F$542)))+
(($F$539)*(($F$542)/($F$540+$F$541+$F$542)))+
(($F$543)*(($F$544)/($F$544+$F$545+$F$546+$F$547)))+
(($F$543)*(($F$545)/($F$544+$F$545+$F$546+$F$547)))+
(($F$543)*(($F$546)/($F$544+$F$545+$F$546+$F$547)))+
(($F$543)*(($F$547)/($F$544+$F$545+$F$546+$F$547)))+
($F$548)+($F$549))),2)</f>
        <v>0.45</v>
      </c>
      <c r="I549" s="328" t="s">
        <v>73</v>
      </c>
      <c r="J549" s="330"/>
      <c r="K549" s="681">
        <f>(A533*H549)</f>
        <v>11.25</v>
      </c>
      <c r="L549" s="586"/>
      <c r="M549" s="587" t="str">
        <f t="shared" si="68"/>
        <v/>
      </c>
      <c r="N549" s="587"/>
      <c r="O549" s="587" t="str">
        <f t="shared" si="69"/>
        <v/>
      </c>
      <c r="P549" s="47"/>
    </row>
    <row r="550" spans="1:16" x14ac:dyDescent="0.35">
      <c r="A550" s="535" t="str">
        <f t="shared" si="67"/>
        <v/>
      </c>
      <c r="B550" s="337"/>
      <c r="C550" s="337"/>
      <c r="D550" s="355"/>
      <c r="E550" s="549" t="s">
        <v>759</v>
      </c>
      <c r="F550" s="378">
        <v>30</v>
      </c>
      <c r="G550" s="378" t="s">
        <v>73</v>
      </c>
      <c r="H550" s="515"/>
      <c r="I550" s="356"/>
      <c r="J550" s="515"/>
      <c r="K550" s="684"/>
      <c r="L550" s="535"/>
      <c r="M550" s="552" t="str">
        <f t="shared" si="68"/>
        <v/>
      </c>
      <c r="N550" s="552"/>
      <c r="O550" s="552" t="str">
        <f t="shared" si="69"/>
        <v/>
      </c>
      <c r="P550" s="48"/>
    </row>
    <row r="551" spans="1:16" x14ac:dyDescent="0.35">
      <c r="A551" s="535" t="str">
        <f t="shared" si="67"/>
        <v/>
      </c>
      <c r="B551" s="330"/>
      <c r="C551" s="330"/>
      <c r="D551" s="342"/>
      <c r="E551" s="362" t="s">
        <v>81</v>
      </c>
      <c r="F551" s="404">
        <v>1000</v>
      </c>
      <c r="G551" s="404" t="s">
        <v>73</v>
      </c>
      <c r="H551" s="584"/>
      <c r="I551" s="343"/>
      <c r="J551" s="584"/>
      <c r="K551" s="685"/>
      <c r="L551" s="586"/>
      <c r="M551" s="587" t="str">
        <f t="shared" si="68"/>
        <v/>
      </c>
      <c r="N551" s="587"/>
      <c r="O551" s="587" t="str">
        <f t="shared" si="69"/>
        <v/>
      </c>
      <c r="P551" s="47"/>
    </row>
    <row r="552" spans="1:16" x14ac:dyDescent="0.35">
      <c r="A552" s="535" t="str">
        <f t="shared" si="67"/>
        <v/>
      </c>
      <c r="B552" s="337"/>
      <c r="C552" s="337"/>
      <c r="D552" s="326" t="s">
        <v>43</v>
      </c>
      <c r="E552" s="360" t="s">
        <v>105</v>
      </c>
      <c r="F552" s="18">
        <v>10</v>
      </c>
      <c r="G552" s="18" t="s">
        <v>73</v>
      </c>
      <c r="H552" s="335">
        <f>ROUND((($F$550)*((F552)/($F$552+$F$553+$F$554))),2)</f>
        <v>0.28999999999999998</v>
      </c>
      <c r="I552" s="335" t="s">
        <v>73</v>
      </c>
      <c r="J552" s="337"/>
      <c r="K552" s="680">
        <f>(A533*H552)</f>
        <v>7.2499999999999991</v>
      </c>
      <c r="L552" s="535"/>
      <c r="M552" s="552" t="str">
        <f t="shared" si="68"/>
        <v/>
      </c>
      <c r="N552" s="552"/>
      <c r="O552" s="552" t="str">
        <f t="shared" si="69"/>
        <v/>
      </c>
      <c r="P552" s="48"/>
    </row>
    <row r="553" spans="1:16" x14ac:dyDescent="0.35">
      <c r="A553" s="535" t="str">
        <f t="shared" si="67"/>
        <v/>
      </c>
      <c r="B553" s="330"/>
      <c r="C553" s="330"/>
      <c r="D553" s="326" t="s">
        <v>41</v>
      </c>
      <c r="E553" s="366" t="s">
        <v>760</v>
      </c>
      <c r="F553" s="22">
        <v>25</v>
      </c>
      <c r="G553" s="22" t="s">
        <v>73</v>
      </c>
      <c r="H553" s="328">
        <f t="shared" ref="H553:H554" si="70">ROUND((($F$550)*((F553)/($F$552+$F$553+$F$554))),2)</f>
        <v>0.72</v>
      </c>
      <c r="I553" s="328" t="s">
        <v>73</v>
      </c>
      <c r="J553" s="330"/>
      <c r="K553" s="681">
        <f>(A533*H553)</f>
        <v>18</v>
      </c>
      <c r="L553" s="586"/>
      <c r="M553" s="587" t="str">
        <f t="shared" si="68"/>
        <v/>
      </c>
      <c r="N553" s="587"/>
      <c r="O553" s="587" t="str">
        <f t="shared" si="69"/>
        <v/>
      </c>
      <c r="P553" s="47"/>
    </row>
    <row r="554" spans="1:16" x14ac:dyDescent="0.35">
      <c r="A554" s="535" t="str">
        <f t="shared" si="67"/>
        <v/>
      </c>
      <c r="B554" s="337"/>
      <c r="C554" s="337"/>
      <c r="D554" s="326" t="s">
        <v>371</v>
      </c>
      <c r="E554" s="360" t="s">
        <v>761</v>
      </c>
      <c r="F554" s="18">
        <v>1000</v>
      </c>
      <c r="G554" s="18" t="s">
        <v>73</v>
      </c>
      <c r="H554" s="335">
        <f t="shared" si="70"/>
        <v>28.99</v>
      </c>
      <c r="I554" s="335" t="s">
        <v>73</v>
      </c>
      <c r="J554" s="337"/>
      <c r="K554" s="680">
        <f>(A533*H554)</f>
        <v>724.75</v>
      </c>
      <c r="L554" s="535"/>
      <c r="M554" s="552" t="str">
        <f t="shared" si="68"/>
        <v/>
      </c>
      <c r="N554" s="552"/>
      <c r="O554" s="552" t="str">
        <f t="shared" si="69"/>
        <v/>
      </c>
      <c r="P554" s="48"/>
    </row>
    <row r="555" spans="1:16" x14ac:dyDescent="0.35">
      <c r="A555" s="535" t="str">
        <f t="shared" si="67"/>
        <v/>
      </c>
      <c r="B555" s="330"/>
      <c r="C555" s="330"/>
      <c r="D555" s="355"/>
      <c r="E555" s="549" t="s">
        <v>762</v>
      </c>
      <c r="F555" s="378">
        <v>15</v>
      </c>
      <c r="G555" s="378" t="s">
        <v>73</v>
      </c>
      <c r="H555" s="494"/>
      <c r="I555" s="356"/>
      <c r="J555" s="513"/>
      <c r="K555" s="684"/>
      <c r="L555" s="586"/>
      <c r="M555" s="587" t="str">
        <f t="shared" si="68"/>
        <v/>
      </c>
      <c r="N555" s="587"/>
      <c r="O555" s="587" t="str">
        <f t="shared" si="69"/>
        <v/>
      </c>
      <c r="P555" s="47"/>
    </row>
    <row r="556" spans="1:16" x14ac:dyDescent="0.35">
      <c r="A556" s="535" t="str">
        <f t="shared" si="67"/>
        <v/>
      </c>
      <c r="B556" s="337"/>
      <c r="C556" s="337"/>
      <c r="D556" s="342"/>
      <c r="E556" s="362" t="s">
        <v>81</v>
      </c>
      <c r="F556" s="404">
        <v>500</v>
      </c>
      <c r="G556" s="404" t="s">
        <v>73</v>
      </c>
      <c r="H556" s="343"/>
      <c r="I556" s="343"/>
      <c r="J556" s="345"/>
      <c r="K556" s="685"/>
      <c r="L556" s="535"/>
      <c r="M556" s="552" t="str">
        <f t="shared" si="68"/>
        <v/>
      </c>
      <c r="N556" s="552"/>
      <c r="O556" s="552" t="str">
        <f t="shared" si="69"/>
        <v/>
      </c>
      <c r="P556" s="48"/>
    </row>
    <row r="557" spans="1:16" x14ac:dyDescent="0.35">
      <c r="A557" s="535" t="str">
        <f t="shared" si="67"/>
        <v/>
      </c>
      <c r="B557" s="330"/>
      <c r="C557" s="330"/>
      <c r="D557" s="326" t="s">
        <v>333</v>
      </c>
      <c r="E557" s="366" t="s">
        <v>756</v>
      </c>
      <c r="F557" s="22">
        <v>15</v>
      </c>
      <c r="G557" s="22" t="s">
        <v>73</v>
      </c>
      <c r="H557" s="328">
        <f>ROUND(($F$555)*((F557)/((($F$559)*(($F$560)/($F$560+$F$561)))+
(($F$559)*(($F$561)/($F$560+$F$561)))+
($F$557)+($F$558)+($F$562)+($F$563)+($F$564)+($F$565)+($F$566))),2)</f>
        <v>0.76</v>
      </c>
      <c r="I557" s="328" t="s">
        <v>73</v>
      </c>
      <c r="J557" s="330"/>
      <c r="K557" s="681">
        <f>(A533*H557)</f>
        <v>19</v>
      </c>
      <c r="L557" s="586"/>
      <c r="M557" s="587" t="str">
        <f t="shared" si="68"/>
        <v/>
      </c>
      <c r="N557" s="587"/>
      <c r="O557" s="587" t="str">
        <f t="shared" si="69"/>
        <v/>
      </c>
      <c r="P557" s="47"/>
    </row>
    <row r="558" spans="1:16" x14ac:dyDescent="0.35">
      <c r="A558" s="535" t="str">
        <f t="shared" si="67"/>
        <v/>
      </c>
      <c r="B558" s="337"/>
      <c r="C558" s="337"/>
      <c r="D558" s="326" t="s">
        <v>46</v>
      </c>
      <c r="E558" s="360" t="s">
        <v>763</v>
      </c>
      <c r="F558" s="18">
        <v>20</v>
      </c>
      <c r="G558" s="18" t="s">
        <v>73</v>
      </c>
      <c r="H558" s="335">
        <f>ROUND(($F$555)*((F558)/((($F$559)*(($F$560)/($F$560+$F$561)))+
(($F$559)*(($F$561)/($F$560+$F$561)))+
($F$557)+($F$558)+($F$562)+($F$563)+($F$564)+($F$565)+($F$566))),2)</f>
        <v>1.01</v>
      </c>
      <c r="I558" s="335" t="s">
        <v>73</v>
      </c>
      <c r="J558" s="337"/>
      <c r="K558" s="680">
        <f>(A533*H558)</f>
        <v>25.25</v>
      </c>
      <c r="L558" s="535"/>
      <c r="M558" s="552" t="str">
        <f t="shared" si="68"/>
        <v/>
      </c>
      <c r="N558" s="552"/>
      <c r="O558" s="552" t="str">
        <f t="shared" si="69"/>
        <v/>
      </c>
      <c r="P558" s="48"/>
    </row>
    <row r="559" spans="1:16" x14ac:dyDescent="0.35">
      <c r="A559" s="535" t="str">
        <f t="shared" si="67"/>
        <v/>
      </c>
      <c r="B559" s="330"/>
      <c r="C559" s="330"/>
      <c r="D559" s="355"/>
      <c r="E559" s="567" t="s">
        <v>114</v>
      </c>
      <c r="F559" s="378">
        <v>3</v>
      </c>
      <c r="G559" s="378" t="s">
        <v>73</v>
      </c>
      <c r="H559" s="494"/>
      <c r="I559" s="356"/>
      <c r="J559" s="513"/>
      <c r="K559" s="684"/>
      <c r="L559" s="586"/>
      <c r="M559" s="587" t="str">
        <f t="shared" si="68"/>
        <v/>
      </c>
      <c r="N559" s="587"/>
      <c r="O559" s="587" t="str">
        <f t="shared" si="69"/>
        <v/>
      </c>
      <c r="P559" s="47"/>
    </row>
    <row r="560" spans="1:16" x14ac:dyDescent="0.35">
      <c r="A560" s="535" t="str">
        <f t="shared" si="67"/>
        <v/>
      </c>
      <c r="B560" s="337"/>
      <c r="C560" s="337"/>
      <c r="D560" s="326" t="s">
        <v>43</v>
      </c>
      <c r="E560" s="560" t="s">
        <v>768</v>
      </c>
      <c r="F560" s="18">
        <v>15</v>
      </c>
      <c r="G560" s="18" t="s">
        <v>73</v>
      </c>
      <c r="H560" s="335">
        <f>ROUND(($F$555)*((($F$559)*(($F$560)/($F$560+$F$561)))
/((($F$559)*(($F$560)/($F$560+$F$561)))+
(($F$559)*(($F$561)/($F$560+$F$561)))+
($F$557)+($F$558)+($F$562)+($F$563)+($F$564)+($F$565)+($F$566))),2)</f>
        <v>0.02</v>
      </c>
      <c r="I560" s="335" t="s">
        <v>73</v>
      </c>
      <c r="J560" s="337"/>
      <c r="K560" s="680">
        <f>(A533*H560)</f>
        <v>0.5</v>
      </c>
      <c r="L560" s="535"/>
      <c r="M560" s="552" t="str">
        <f t="shared" si="68"/>
        <v/>
      </c>
      <c r="N560" s="552"/>
      <c r="O560" s="552" t="str">
        <f t="shared" si="69"/>
        <v/>
      </c>
      <c r="P560" s="48"/>
    </row>
    <row r="561" spans="1:16" x14ac:dyDescent="0.35">
      <c r="A561" s="535" t="str">
        <f t="shared" si="67"/>
        <v/>
      </c>
      <c r="B561" s="330"/>
      <c r="C561" s="330"/>
      <c r="D561" s="326" t="s">
        <v>42</v>
      </c>
      <c r="E561" s="495" t="s">
        <v>95</v>
      </c>
      <c r="F561" s="22">
        <v>85</v>
      </c>
      <c r="G561" s="22" t="s">
        <v>73</v>
      </c>
      <c r="H561" s="328">
        <f>ROUND(($F$555)*((($F$559)*(($F$561)/($F$560+$F$561)))
/((($F$559)*(($F$560)/($F$560+$F$561)))+
(($F$559)*(($F$561)/($F$560+$F$561)))+
($F$557)+($F$558)+($F$562)+($F$563)+($F$564)+($F$565)+($F$566))),2)</f>
        <v>0.13</v>
      </c>
      <c r="I561" s="328" t="s">
        <v>73</v>
      </c>
      <c r="J561" s="330"/>
      <c r="K561" s="681">
        <f>(A533*H561)</f>
        <v>3.25</v>
      </c>
      <c r="L561" s="586"/>
      <c r="M561" s="587" t="str">
        <f t="shared" si="68"/>
        <v/>
      </c>
      <c r="N561" s="587"/>
      <c r="O561" s="587" t="str">
        <f t="shared" si="69"/>
        <v/>
      </c>
      <c r="P561" s="47"/>
    </row>
    <row r="562" spans="1:16" x14ac:dyDescent="0.35">
      <c r="A562" s="535" t="str">
        <f t="shared" si="67"/>
        <v/>
      </c>
      <c r="B562" s="337"/>
      <c r="C562" s="337"/>
      <c r="D562" s="326" t="s">
        <v>341</v>
      </c>
      <c r="E562" s="360" t="s">
        <v>764</v>
      </c>
      <c r="F562" s="18">
        <v>3</v>
      </c>
      <c r="G562" s="18" t="s">
        <v>73</v>
      </c>
      <c r="H562" s="335">
        <f>ROUND(($F$555)*((F562)/((($F$559)*(($F$560)/($F$560+$F$561)))+
(($F$559)*(($F$561)/($F$560+$F$561)))+
($F$557)+($F$558)+($F$562)+($F$563)+($F$564)+($F$565)+($F$566))),2)</f>
        <v>0.15</v>
      </c>
      <c r="I562" s="335" t="s">
        <v>73</v>
      </c>
      <c r="J562" s="337"/>
      <c r="K562" s="680">
        <f>(A533*H562)</f>
        <v>3.75</v>
      </c>
      <c r="L562" s="535"/>
      <c r="M562" s="552" t="str">
        <f t="shared" si="68"/>
        <v/>
      </c>
      <c r="N562" s="552"/>
      <c r="O562" s="552" t="str">
        <f t="shared" si="69"/>
        <v/>
      </c>
      <c r="P562" s="48"/>
    </row>
    <row r="563" spans="1:16" x14ac:dyDescent="0.35">
      <c r="A563" s="535" t="str">
        <f t="shared" si="67"/>
        <v/>
      </c>
      <c r="B563" s="330"/>
      <c r="C563" s="330"/>
      <c r="D563" s="326" t="s">
        <v>41</v>
      </c>
      <c r="E563" s="366" t="s">
        <v>779</v>
      </c>
      <c r="F563" s="22">
        <v>5</v>
      </c>
      <c r="G563" s="22" t="s">
        <v>73</v>
      </c>
      <c r="H563" s="328">
        <f t="shared" ref="H563:H566" si="71">ROUND(($F$555)*((F563)/((($F$559)*(($F$560)/($F$560+$F$561)))+
(($F$559)*(($F$561)/($F$560+$F$561)))+
($F$557)+($F$558)+($F$562)+($F$563)+($F$564)+($F$565)+($F$566))),2)</f>
        <v>0.25</v>
      </c>
      <c r="I563" s="328" t="s">
        <v>73</v>
      </c>
      <c r="J563" s="330"/>
      <c r="K563" s="681">
        <f>(A533*H563)</f>
        <v>6.25</v>
      </c>
      <c r="L563" s="586"/>
      <c r="M563" s="587" t="str">
        <f t="shared" si="68"/>
        <v/>
      </c>
      <c r="N563" s="587"/>
      <c r="O563" s="587" t="str">
        <f t="shared" si="69"/>
        <v/>
      </c>
      <c r="P563" s="47"/>
    </row>
    <row r="564" spans="1:16" x14ac:dyDescent="0.35">
      <c r="A564" s="535" t="str">
        <f t="shared" si="67"/>
        <v/>
      </c>
      <c r="B564" s="337"/>
      <c r="C564" s="337"/>
      <c r="D564" s="326" t="s">
        <v>325</v>
      </c>
      <c r="E564" s="360" t="s">
        <v>765</v>
      </c>
      <c r="F564" s="18">
        <v>20</v>
      </c>
      <c r="G564" s="18" t="s">
        <v>73</v>
      </c>
      <c r="H564" s="335">
        <f t="shared" si="71"/>
        <v>1.01</v>
      </c>
      <c r="I564" s="335" t="s">
        <v>73</v>
      </c>
      <c r="J564" s="337"/>
      <c r="K564" s="680">
        <f>(A533*H564)</f>
        <v>25.25</v>
      </c>
      <c r="L564" s="535"/>
      <c r="M564" s="552" t="str">
        <f t="shared" si="68"/>
        <v/>
      </c>
      <c r="N564" s="552"/>
      <c r="O564" s="552" t="str">
        <f t="shared" si="69"/>
        <v/>
      </c>
      <c r="P564" s="48"/>
    </row>
    <row r="565" spans="1:16" x14ac:dyDescent="0.35">
      <c r="A565" s="535" t="str">
        <f t="shared" si="67"/>
        <v/>
      </c>
      <c r="B565" s="330"/>
      <c r="C565" s="330"/>
      <c r="D565" s="326" t="s">
        <v>307</v>
      </c>
      <c r="E565" s="366" t="s">
        <v>766</v>
      </c>
      <c r="F565" s="22">
        <v>30</v>
      </c>
      <c r="G565" s="22" t="s">
        <v>73</v>
      </c>
      <c r="H565" s="328">
        <f t="shared" si="71"/>
        <v>1.52</v>
      </c>
      <c r="I565" s="328" t="s">
        <v>73</v>
      </c>
      <c r="J565" s="330"/>
      <c r="K565" s="681">
        <f>(A533*H565)</f>
        <v>38</v>
      </c>
      <c r="L565" s="586"/>
      <c r="M565" s="587" t="str">
        <f t="shared" si="68"/>
        <v/>
      </c>
      <c r="N565" s="587"/>
      <c r="O565" s="587" t="str">
        <f t="shared" si="69"/>
        <v/>
      </c>
      <c r="P565" s="47"/>
    </row>
    <row r="566" spans="1:16" x14ac:dyDescent="0.35">
      <c r="A566" s="535" t="str">
        <f t="shared" si="67"/>
        <v/>
      </c>
      <c r="B566" s="337"/>
      <c r="C566" s="337"/>
      <c r="D566" s="326" t="s">
        <v>381</v>
      </c>
      <c r="E566" s="360" t="s">
        <v>767</v>
      </c>
      <c r="F566" s="18">
        <v>200</v>
      </c>
      <c r="G566" s="18" t="s">
        <v>73</v>
      </c>
      <c r="H566" s="335">
        <f t="shared" si="71"/>
        <v>10.14</v>
      </c>
      <c r="I566" s="335" t="s">
        <v>73</v>
      </c>
      <c r="J566" s="337"/>
      <c r="K566" s="680">
        <f>(A533*H566)</f>
        <v>253.5</v>
      </c>
      <c r="L566" s="535"/>
      <c r="M566" s="552" t="str">
        <f t="shared" si="68"/>
        <v/>
      </c>
      <c r="N566" s="552"/>
      <c r="O566" s="552" t="str">
        <f t="shared" si="69"/>
        <v/>
      </c>
      <c r="P566" s="48"/>
    </row>
    <row r="567" spans="1:16" x14ac:dyDescent="0.35">
      <c r="A567" s="535" t="str">
        <f t="shared" si="67"/>
        <v/>
      </c>
      <c r="B567" s="330"/>
      <c r="C567" s="330"/>
      <c r="D567" s="355"/>
      <c r="E567" s="549" t="s">
        <v>769</v>
      </c>
      <c r="F567" s="378">
        <v>40</v>
      </c>
      <c r="G567" s="378" t="s">
        <v>73</v>
      </c>
      <c r="H567" s="513"/>
      <c r="I567" s="356"/>
      <c r="J567" s="513"/>
      <c r="K567" s="684"/>
      <c r="L567" s="586"/>
      <c r="M567" s="587" t="str">
        <f t="shared" si="68"/>
        <v/>
      </c>
      <c r="N567" s="587"/>
      <c r="O567" s="587" t="str">
        <f t="shared" si="69"/>
        <v/>
      </c>
      <c r="P567" s="47"/>
    </row>
    <row r="568" spans="1:16" x14ac:dyDescent="0.35">
      <c r="A568" s="535" t="str">
        <f t="shared" si="67"/>
        <v/>
      </c>
      <c r="B568" s="337"/>
      <c r="C568" s="337"/>
      <c r="D568" s="326" t="s">
        <v>521</v>
      </c>
      <c r="E568" s="360" t="s">
        <v>906</v>
      </c>
      <c r="F568" s="18">
        <v>200</v>
      </c>
      <c r="G568" s="18" t="s">
        <v>73</v>
      </c>
      <c r="H568" s="335">
        <f>ROUND(($F$567)*(($F$568)/((($F$569)*(($F$570)/($F$570+$F$571)))+
(($F$569)*(($F$571)/($F$570+$F$571)))+
(($F$572)*(($F$573)/($F$573+$F$574)))+
(($F$572)*(($F$574)/($F$573+$F$574)))+
($F$568)+($F$575)+($F$576))),2)</f>
        <v>33.200000000000003</v>
      </c>
      <c r="I568" s="335" t="s">
        <v>73</v>
      </c>
      <c r="J568" s="337"/>
      <c r="K568" s="680">
        <f>(A533*H568)</f>
        <v>830.00000000000011</v>
      </c>
      <c r="L568" s="535"/>
      <c r="M568" s="552" t="str">
        <f t="shared" si="68"/>
        <v/>
      </c>
      <c r="N568" s="552"/>
      <c r="O568" s="552" t="str">
        <f t="shared" si="69"/>
        <v/>
      </c>
      <c r="P568" s="48"/>
    </row>
    <row r="569" spans="1:16" x14ac:dyDescent="0.35">
      <c r="A569" s="535" t="str">
        <f t="shared" si="67"/>
        <v/>
      </c>
      <c r="B569" s="330"/>
      <c r="C569" s="330"/>
      <c r="D569" s="355"/>
      <c r="E569" s="567" t="s">
        <v>770</v>
      </c>
      <c r="F569" s="378">
        <v>30</v>
      </c>
      <c r="G569" s="378" t="s">
        <v>73</v>
      </c>
      <c r="H569" s="494"/>
      <c r="I569" s="356"/>
      <c r="J569" s="513"/>
      <c r="K569" s="684"/>
      <c r="L569" s="586"/>
      <c r="M569" s="587" t="str">
        <f t="shared" si="68"/>
        <v/>
      </c>
      <c r="N569" s="587"/>
      <c r="O569" s="587" t="str">
        <f t="shared" si="69"/>
        <v/>
      </c>
      <c r="P569" s="47"/>
    </row>
    <row r="570" spans="1:16" x14ac:dyDescent="0.35">
      <c r="A570" s="535" t="str">
        <f t="shared" si="67"/>
        <v/>
      </c>
      <c r="B570" s="337"/>
      <c r="C570" s="337"/>
      <c r="D570" s="326" t="s">
        <v>537</v>
      </c>
      <c r="E570" s="560" t="s">
        <v>771</v>
      </c>
      <c r="F570" s="18">
        <v>1</v>
      </c>
      <c r="G570" s="18" t="s">
        <v>73</v>
      </c>
      <c r="H570" s="335">
        <f>ROUND(($F$567)*((($F$569)*(($F$570)/($F$570+$F$571)))
/((($F$569)*(($F$570)/($F$570+$F$571)))+
(($F$569)*(($F$571)/($F$570+$F$571)))+
(($F$572)*(($F$573)/($F$573+$F$574)))+
(($F$572)*(($F$574)/($F$573+$F$574)))+
($F$568)+($F$575)+($F$576))),2)</f>
        <v>0.05</v>
      </c>
      <c r="I570" s="335" t="s">
        <v>73</v>
      </c>
      <c r="J570" s="337"/>
      <c r="K570" s="680">
        <f>(A533*H570)</f>
        <v>1.25</v>
      </c>
      <c r="L570" s="535"/>
      <c r="M570" s="552" t="str">
        <f t="shared" si="68"/>
        <v/>
      </c>
      <c r="N570" s="552"/>
      <c r="O570" s="552" t="str">
        <f t="shared" si="69"/>
        <v/>
      </c>
      <c r="P570" s="48"/>
    </row>
    <row r="571" spans="1:16" x14ac:dyDescent="0.35">
      <c r="A571" s="535" t="str">
        <f t="shared" si="67"/>
        <v/>
      </c>
      <c r="B571" s="330"/>
      <c r="C571" s="330"/>
      <c r="D571" s="342"/>
      <c r="E571" s="561" t="s">
        <v>81</v>
      </c>
      <c r="F571" s="404">
        <v>100</v>
      </c>
      <c r="G571" s="404" t="s">
        <v>73</v>
      </c>
      <c r="H571" s="583">
        <f>ROUND(($F$567)*((($F$569)*(($F$571)/($F$570+$F$571)))
/((($F$569)*(($F$570)/($F$570+$F$571)))+
(($F$569)*(($F$571)/($F$570+$F$571)))+
(($F$572)*(($F$573)/($F$573+$F$574)))+
(($F$572)*(($F$574)/($F$573+$F$574)))+
($F$568)+($F$575)+($F$576))),2)</f>
        <v>4.93</v>
      </c>
      <c r="I571" s="343"/>
      <c r="J571" s="584"/>
      <c r="K571" s="685"/>
      <c r="L571" s="586"/>
      <c r="M571" s="587" t="str">
        <f t="shared" si="68"/>
        <v/>
      </c>
      <c r="N571" s="587"/>
      <c r="O571" s="587" t="str">
        <f t="shared" si="69"/>
        <v/>
      </c>
      <c r="P571" s="47"/>
    </row>
    <row r="572" spans="1:16" x14ac:dyDescent="0.35">
      <c r="A572" s="535" t="str">
        <f t="shared" si="67"/>
        <v/>
      </c>
      <c r="B572" s="337"/>
      <c r="C572" s="337"/>
      <c r="D572" s="355"/>
      <c r="E572" s="567" t="s">
        <v>726</v>
      </c>
      <c r="F572" s="378">
        <v>2</v>
      </c>
      <c r="G572" s="378" t="s">
        <v>73</v>
      </c>
      <c r="H572" s="356"/>
      <c r="I572" s="356"/>
      <c r="J572" s="515"/>
      <c r="K572" s="684"/>
      <c r="L572" s="535"/>
      <c r="M572" s="552" t="str">
        <f t="shared" si="68"/>
        <v/>
      </c>
      <c r="N572" s="552"/>
      <c r="O572" s="552" t="str">
        <f t="shared" si="69"/>
        <v/>
      </c>
      <c r="P572" s="48"/>
    </row>
    <row r="573" spans="1:16" x14ac:dyDescent="0.35">
      <c r="A573" s="535" t="str">
        <f t="shared" si="67"/>
        <v/>
      </c>
      <c r="B573" s="330"/>
      <c r="C573" s="330"/>
      <c r="D573" s="326" t="s">
        <v>43</v>
      </c>
      <c r="E573" s="495" t="s">
        <v>105</v>
      </c>
      <c r="F573" s="22">
        <v>15</v>
      </c>
      <c r="G573" s="22" t="s">
        <v>73</v>
      </c>
      <c r="H573" s="328">
        <f>ROUND(($F$567)*((($F$572)*(($F$573)/($F$573+$F$574)))
/((($F$569)*(($F$570)/($F$570+$F$571)))+
(($F$569)*(($F$571)/($F$570+$F$571)))+
(($F$572)*(($F$573)/($F$573+$F$574)))+
(($F$572)*(($F$574)/($F$573+$F$574)))+
($F$568)+($F$575)+($F$576))),2)</f>
        <v>0.05</v>
      </c>
      <c r="I573" s="328" t="s">
        <v>73</v>
      </c>
      <c r="J573" s="330"/>
      <c r="K573" s="681">
        <f>(A533*H573)</f>
        <v>1.25</v>
      </c>
      <c r="L573" s="586"/>
      <c r="M573" s="587" t="str">
        <f t="shared" si="68"/>
        <v/>
      </c>
      <c r="N573" s="587"/>
      <c r="O573" s="587" t="str">
        <f t="shared" si="69"/>
        <v/>
      </c>
      <c r="P573" s="47"/>
    </row>
    <row r="574" spans="1:16" x14ac:dyDescent="0.35">
      <c r="A574" s="535" t="str">
        <f t="shared" si="67"/>
        <v/>
      </c>
      <c r="B574" s="337"/>
      <c r="C574" s="337"/>
      <c r="D574" s="326" t="s">
        <v>42</v>
      </c>
      <c r="E574" s="560" t="s">
        <v>95</v>
      </c>
      <c r="F574" s="18">
        <v>85</v>
      </c>
      <c r="G574" s="18" t="s">
        <v>73</v>
      </c>
      <c r="H574" s="335">
        <f>ROUND(($F$567)*((($F$572)*(($F$574)/($F$573+$F$574)))
/((($F$569)*(($F$570)/($F$570+$F$571)))+
(($F$569)*(($F$571)/($F$570+$F$571)))+
(($F$572)*(($F$573)/($F$573+$F$574)))+
(($F$572)*(($F$574)/($F$573+$F$574)))+
($F$568)+($F$575)+($F$576))),2)</f>
        <v>0.28000000000000003</v>
      </c>
      <c r="I574" s="335" t="s">
        <v>73</v>
      </c>
      <c r="J574" s="337"/>
      <c r="K574" s="680">
        <f>(A533*H574)</f>
        <v>7.0000000000000009</v>
      </c>
      <c r="L574" s="535"/>
      <c r="M574" s="552" t="str">
        <f t="shared" si="68"/>
        <v/>
      </c>
      <c r="N574" s="552"/>
      <c r="O574" s="552" t="str">
        <f t="shared" si="69"/>
        <v/>
      </c>
      <c r="P574" s="48"/>
    </row>
    <row r="575" spans="1:16" x14ac:dyDescent="0.35">
      <c r="A575" s="535" t="str">
        <f t="shared" si="67"/>
        <v/>
      </c>
      <c r="B575" s="330"/>
      <c r="C575" s="330"/>
      <c r="D575" s="326" t="s">
        <v>517</v>
      </c>
      <c r="E575" s="366" t="s">
        <v>724</v>
      </c>
      <c r="F575" s="22">
        <v>8</v>
      </c>
      <c r="G575" s="22" t="s">
        <v>73</v>
      </c>
      <c r="H575" s="328">
        <f>ROUND(($F$567)*((F575)/((($F$569)*(($F$570)/($F$570+$F$571)))+
(($F$569)*(($F$571)/($F$570+$F$571)))+
(($F$572)*(($F$573)/($F$573+$F$574)))+
(($F$572)*(($F$574)/($F$573+$F$574)))+
($F$568)+($F$575)+($F$576))),2)</f>
        <v>1.33</v>
      </c>
      <c r="I575" s="328" t="s">
        <v>73</v>
      </c>
      <c r="J575" s="330"/>
      <c r="K575" s="681">
        <f>(A533*H575)</f>
        <v>33.25</v>
      </c>
      <c r="L575" s="586"/>
      <c r="M575" s="587" t="str">
        <f t="shared" si="68"/>
        <v/>
      </c>
      <c r="N575" s="587"/>
      <c r="O575" s="587" t="str">
        <f t="shared" si="69"/>
        <v/>
      </c>
      <c r="P575" s="47"/>
    </row>
    <row r="576" spans="1:16" x14ac:dyDescent="0.35">
      <c r="A576" s="535" t="str">
        <f t="shared" si="67"/>
        <v/>
      </c>
      <c r="B576" s="337"/>
      <c r="C576" s="337"/>
      <c r="D576" s="326" t="s">
        <v>45</v>
      </c>
      <c r="E576" s="360" t="s">
        <v>101</v>
      </c>
      <c r="F576" s="18">
        <v>1</v>
      </c>
      <c r="G576" s="18" t="s">
        <v>73</v>
      </c>
      <c r="H576" s="335">
        <f>ROUND(($F$567)*((F576)/((($F$569)*(($F$570)/($F$570+$F$571)))+
(($F$569)*(($F$571)/($F$570+$F$571)))+
(($F$572)*(($F$573)/($F$573+$F$574)))+
(($F$572)*(($F$574)/($F$573+$F$574)))+
($F$568)+($F$575)+($F$576))),2)</f>
        <v>0.17</v>
      </c>
      <c r="I576" s="335" t="s">
        <v>73</v>
      </c>
      <c r="J576" s="337"/>
      <c r="K576" s="680">
        <f>(A533*H576)</f>
        <v>4.25</v>
      </c>
      <c r="L576" s="535"/>
      <c r="M576" s="552" t="str">
        <f t="shared" si="68"/>
        <v/>
      </c>
      <c r="N576" s="552"/>
      <c r="O576" s="552" t="str">
        <f t="shared" si="69"/>
        <v/>
      </c>
      <c r="P576" s="48"/>
    </row>
    <row r="577" spans="1:16" x14ac:dyDescent="0.35">
      <c r="A577" s="535" t="str">
        <f t="shared" si="67"/>
        <v/>
      </c>
      <c r="B577" s="330"/>
      <c r="C577" s="330"/>
      <c r="D577" s="355"/>
      <c r="E577" s="549" t="s">
        <v>774</v>
      </c>
      <c r="F577" s="378">
        <v>10</v>
      </c>
      <c r="G577" s="378" t="s">
        <v>73</v>
      </c>
      <c r="H577" s="513"/>
      <c r="I577" s="356"/>
      <c r="J577" s="513"/>
      <c r="K577" s="684"/>
      <c r="L577" s="586"/>
      <c r="M577" s="587" t="str">
        <f t="shared" si="68"/>
        <v/>
      </c>
      <c r="N577" s="587"/>
      <c r="O577" s="587" t="str">
        <f t="shared" si="69"/>
        <v/>
      </c>
      <c r="P577" s="47"/>
    </row>
    <row r="578" spans="1:16" x14ac:dyDescent="0.35">
      <c r="A578" s="535" t="str">
        <f t="shared" si="67"/>
        <v/>
      </c>
      <c r="B578" s="337"/>
      <c r="C578" s="337"/>
      <c r="D578" s="342"/>
      <c r="E578" s="362" t="s">
        <v>81</v>
      </c>
      <c r="F578" s="404">
        <v>600</v>
      </c>
      <c r="G578" s="404" t="s">
        <v>73</v>
      </c>
      <c r="H578" s="345"/>
      <c r="I578" s="343"/>
      <c r="J578" s="345"/>
      <c r="K578" s="685"/>
      <c r="L578" s="535"/>
      <c r="M578" s="552" t="str">
        <f t="shared" si="68"/>
        <v/>
      </c>
      <c r="N578" s="552"/>
      <c r="O578" s="552" t="str">
        <f t="shared" si="69"/>
        <v/>
      </c>
      <c r="P578" s="48"/>
    </row>
    <row r="579" spans="1:16" x14ac:dyDescent="0.35">
      <c r="A579" s="535" t="str">
        <f t="shared" si="67"/>
        <v/>
      </c>
      <c r="B579" s="330"/>
      <c r="C579" s="330"/>
      <c r="D579" s="326" t="s">
        <v>529</v>
      </c>
      <c r="E579" s="366" t="s">
        <v>775</v>
      </c>
      <c r="F579" s="22">
        <v>16</v>
      </c>
      <c r="G579" s="22" t="s">
        <v>73</v>
      </c>
      <c r="H579" s="328">
        <f>ROUND(($F$577)*((F579)/(($F$581)*(($F$582)/($F$582+$F$583))+
($F$581)*(($F$583)/($F$582+$F$583))+
($F$579)+($F$580)+($F$584))),2)</f>
        <v>0.51</v>
      </c>
      <c r="I579" s="328" t="s">
        <v>73</v>
      </c>
      <c r="J579" s="330"/>
      <c r="K579" s="681">
        <f>(A533*H579)</f>
        <v>12.75</v>
      </c>
      <c r="L579" s="586"/>
      <c r="M579" s="587" t="str">
        <f t="shared" si="68"/>
        <v/>
      </c>
      <c r="N579" s="587"/>
      <c r="O579" s="587" t="str">
        <f t="shared" si="69"/>
        <v/>
      </c>
      <c r="P579" s="47"/>
    </row>
    <row r="580" spans="1:16" x14ac:dyDescent="0.35">
      <c r="A580" s="535" t="str">
        <f t="shared" si="67"/>
        <v/>
      </c>
      <c r="B580" s="337"/>
      <c r="C580" s="337"/>
      <c r="D580" s="326" t="s">
        <v>333</v>
      </c>
      <c r="E580" s="360" t="s">
        <v>756</v>
      </c>
      <c r="F580" s="18">
        <v>70</v>
      </c>
      <c r="G580" s="18" t="s">
        <v>73</v>
      </c>
      <c r="H580" s="335">
        <f>ROUND(($F$577)*((F580)/(($F$581)*(($F$582)/($F$582+$F$583))+
($F$581)*(($F$583)/($F$582+$F$583))+
($F$579)+($F$580)+($F$584))),2)</f>
        <v>2.2200000000000002</v>
      </c>
      <c r="I580" s="335" t="s">
        <v>73</v>
      </c>
      <c r="J580" s="337"/>
      <c r="K580" s="680">
        <f>(A533*H580)</f>
        <v>55.500000000000007</v>
      </c>
      <c r="L580" s="535"/>
      <c r="M580" s="552" t="str">
        <f t="shared" si="68"/>
        <v/>
      </c>
      <c r="N580" s="552"/>
      <c r="O580" s="552" t="str">
        <f t="shared" si="69"/>
        <v/>
      </c>
      <c r="P580" s="48"/>
    </row>
    <row r="581" spans="1:16" x14ac:dyDescent="0.35">
      <c r="A581" s="535" t="str">
        <f t="shared" si="67"/>
        <v/>
      </c>
      <c r="B581" s="330"/>
      <c r="C581" s="330"/>
      <c r="D581" s="355"/>
      <c r="E581" s="567" t="s">
        <v>776</v>
      </c>
      <c r="F581" s="378">
        <v>200</v>
      </c>
      <c r="G581" s="378" t="s">
        <v>73</v>
      </c>
      <c r="H581" s="356"/>
      <c r="I581" s="356"/>
      <c r="J581" s="513"/>
      <c r="K581" s="684"/>
      <c r="L581" s="586"/>
      <c r="M581" s="587" t="str">
        <f t="shared" si="68"/>
        <v/>
      </c>
      <c r="N581" s="587"/>
      <c r="O581" s="587" t="str">
        <f t="shared" si="69"/>
        <v/>
      </c>
      <c r="P581" s="47"/>
    </row>
    <row r="582" spans="1:16" x14ac:dyDescent="0.35">
      <c r="A582" s="535" t="str">
        <f t="shared" si="67"/>
        <v/>
      </c>
      <c r="B582" s="337"/>
      <c r="C582" s="337"/>
      <c r="D582" s="326" t="s">
        <v>377</v>
      </c>
      <c r="E582" s="560" t="s">
        <v>777</v>
      </c>
      <c r="F582" s="18">
        <v>500</v>
      </c>
      <c r="G582" s="18" t="s">
        <v>73</v>
      </c>
      <c r="H582" s="335">
        <f>ROUND(($F$577)*(($F$581)*(($F$582)/($F$582+$F$583))
/(($F$581)*(($F$582)/($F$582+$F$583))+
($F$581)*(($F$583)/($F$582+$F$583))+
($F$579)+($F$580)+($F$584))),2)</f>
        <v>6.21</v>
      </c>
      <c r="I582" s="335" t="s">
        <v>73</v>
      </c>
      <c r="J582" s="337"/>
      <c r="K582" s="680">
        <f>(A533*H582)</f>
        <v>155.25</v>
      </c>
      <c r="L582" s="535"/>
      <c r="M582" s="552" t="str">
        <f t="shared" si="68"/>
        <v/>
      </c>
      <c r="N582" s="552"/>
      <c r="O582" s="552" t="str">
        <f t="shared" si="69"/>
        <v/>
      </c>
      <c r="P582" s="48"/>
    </row>
    <row r="583" spans="1:16" x14ac:dyDescent="0.35">
      <c r="A583" s="535" t="str">
        <f t="shared" si="67"/>
        <v/>
      </c>
      <c r="B583" s="330"/>
      <c r="C583" s="330"/>
      <c r="D583" s="326" t="s">
        <v>43</v>
      </c>
      <c r="E583" s="495" t="s">
        <v>105</v>
      </c>
      <c r="F583" s="22">
        <v>10</v>
      </c>
      <c r="G583" s="22" t="s">
        <v>73</v>
      </c>
      <c r="H583" s="328">
        <f>ROUND(($F$577)*(($F$581)*(($F$583)/($F$582+$F$583))
/(($F$581)*(($F$582)/($F$582+$F$583))+
($F$581)*(($F$583)/($F$582+$F$583))+
($F$579)+($F$580)+($F$584))),2)</f>
        <v>0.12</v>
      </c>
      <c r="I583" s="328" t="s">
        <v>73</v>
      </c>
      <c r="J583" s="330"/>
      <c r="K583" s="681">
        <f>(A533*H583)</f>
        <v>3</v>
      </c>
      <c r="L583" s="586"/>
      <c r="M583" s="587" t="str">
        <f t="shared" si="68"/>
        <v/>
      </c>
      <c r="N583" s="587"/>
      <c r="O583" s="587" t="str">
        <f t="shared" si="69"/>
        <v/>
      </c>
      <c r="P583" s="47"/>
    </row>
    <row r="584" spans="1:16" x14ac:dyDescent="0.35">
      <c r="A584" s="535" t="str">
        <f t="shared" si="67"/>
        <v/>
      </c>
      <c r="B584" s="337"/>
      <c r="C584" s="337"/>
      <c r="D584" s="326" t="s">
        <v>389</v>
      </c>
      <c r="E584" s="360" t="s">
        <v>778</v>
      </c>
      <c r="F584" s="18">
        <v>30</v>
      </c>
      <c r="G584" s="18" t="s">
        <v>73</v>
      </c>
      <c r="H584" s="335">
        <f>ROUND(($F$577)*(($F$584)/(($F$581)*(($F$582)/($F$582+$F$583))+
($F$581)*(($F$583)/($F$582+$F$583))+
($F$579)+($F$580)+($F$584))),2)</f>
        <v>0.95</v>
      </c>
      <c r="I584" s="335" t="s">
        <v>73</v>
      </c>
      <c r="J584" s="337"/>
      <c r="K584" s="680">
        <f>(A533*H584)</f>
        <v>23.75</v>
      </c>
      <c r="L584" s="535"/>
      <c r="M584" s="552" t="str">
        <f t="shared" si="68"/>
        <v/>
      </c>
      <c r="N584" s="552"/>
      <c r="O584" s="552" t="str">
        <f t="shared" si="69"/>
        <v/>
      </c>
      <c r="P584" s="48"/>
    </row>
    <row r="585" spans="1:16" x14ac:dyDescent="0.35">
      <c r="A585" s="535" t="str">
        <f t="shared" si="67"/>
        <v/>
      </c>
      <c r="B585" s="330"/>
      <c r="C585" s="330"/>
      <c r="D585" s="355"/>
      <c r="E585" s="549" t="s">
        <v>785</v>
      </c>
      <c r="F585" s="378">
        <v>20</v>
      </c>
      <c r="G585" s="378" t="s">
        <v>73</v>
      </c>
      <c r="H585" s="515"/>
      <c r="I585" s="356"/>
      <c r="J585" s="515"/>
      <c r="K585" s="684"/>
      <c r="L585" s="535"/>
      <c r="M585" s="552" t="str">
        <f t="shared" si="68"/>
        <v/>
      </c>
      <c r="N585" s="552"/>
      <c r="O585" s="552" t="str">
        <f t="shared" si="69"/>
        <v/>
      </c>
      <c r="P585" s="48"/>
    </row>
    <row r="586" spans="1:16" x14ac:dyDescent="0.35">
      <c r="A586" s="535" t="str">
        <f t="shared" si="67"/>
        <v/>
      </c>
      <c r="B586" s="337"/>
      <c r="C586" s="337"/>
      <c r="D586" s="355"/>
      <c r="E586" s="549" t="s">
        <v>780</v>
      </c>
      <c r="F586" s="378">
        <v>250</v>
      </c>
      <c r="G586" s="378" t="s">
        <v>73</v>
      </c>
      <c r="H586" s="515"/>
      <c r="I586" s="356"/>
      <c r="J586" s="515"/>
      <c r="K586" s="684"/>
      <c r="L586" s="535"/>
      <c r="M586" s="552" t="str">
        <f t="shared" si="68"/>
        <v/>
      </c>
      <c r="N586" s="552"/>
      <c r="O586" s="552" t="str">
        <f t="shared" si="69"/>
        <v/>
      </c>
      <c r="P586" s="48"/>
    </row>
    <row r="587" spans="1:16" x14ac:dyDescent="0.35">
      <c r="A587" s="535" t="str">
        <f t="shared" si="67"/>
        <v/>
      </c>
      <c r="B587" s="330"/>
      <c r="C587" s="330"/>
      <c r="D587" s="326" t="s">
        <v>1068</v>
      </c>
      <c r="E587" s="366" t="s">
        <v>1069</v>
      </c>
      <c r="F587" s="22">
        <v>60</v>
      </c>
      <c r="G587" s="22" t="s">
        <v>73</v>
      </c>
      <c r="H587" s="328">
        <f>ROUND(($F$585)*((($F$586)*(($F$587)/($F$587+$F$588)))
/((($F$586)*(($F$587)/($F$587+$F$588)))+
(($F$586)*(($F$588)/($F$587+$F$588)))+
($F$589))),2)</f>
        <v>7.84</v>
      </c>
      <c r="I587" s="328" t="s">
        <v>73</v>
      </c>
      <c r="J587" s="330"/>
      <c r="K587" s="681">
        <f>(A533*H587)</f>
        <v>196</v>
      </c>
      <c r="L587" s="586"/>
      <c r="M587" s="587" t="str">
        <f t="shared" si="68"/>
        <v/>
      </c>
      <c r="N587" s="587"/>
      <c r="O587" s="587" t="str">
        <f t="shared" si="69"/>
        <v/>
      </c>
      <c r="P587" s="47"/>
    </row>
    <row r="588" spans="1:16" x14ac:dyDescent="0.35">
      <c r="A588" s="535" t="str">
        <f t="shared" si="67"/>
        <v/>
      </c>
      <c r="B588" s="337"/>
      <c r="C588" s="337"/>
      <c r="D588" s="342"/>
      <c r="E588" s="362" t="s">
        <v>81</v>
      </c>
      <c r="F588" s="404">
        <v>90</v>
      </c>
      <c r="G588" s="404" t="s">
        <v>73</v>
      </c>
      <c r="H588" s="343">
        <f>ROUND(($F$585)*((($F$586)*(($F$588)/($F$587+$F$588)))
/((($F$586)*(($F$587)/($F$587+$F$588)))+
(($F$586)*(($F$588)/($F$587+$F$588)))+
($F$589))),2)</f>
        <v>11.76</v>
      </c>
      <c r="I588" s="343"/>
      <c r="J588" s="345"/>
      <c r="K588" s="685"/>
      <c r="L588" s="535"/>
      <c r="M588" s="552" t="str">
        <f t="shared" si="68"/>
        <v/>
      </c>
      <c r="N588" s="552"/>
      <c r="O588" s="552" t="str">
        <f t="shared" si="69"/>
        <v/>
      </c>
      <c r="P588" s="48"/>
    </row>
    <row r="589" spans="1:16" x14ac:dyDescent="0.35">
      <c r="A589" s="535" t="str">
        <f t="shared" si="67"/>
        <v/>
      </c>
      <c r="B589" s="330"/>
      <c r="C589" s="330"/>
      <c r="D589" s="326" t="s">
        <v>40</v>
      </c>
      <c r="E589" s="544" t="s">
        <v>104</v>
      </c>
      <c r="F589" s="22">
        <v>5</v>
      </c>
      <c r="G589" s="22" t="s">
        <v>73</v>
      </c>
      <c r="H589" s="328">
        <f>ROUND(($F$585)*(($F$589)/((($F$586)*(($F$587)/($F$587+$F$588)))+
(($F$586)*(($F$588)/($F$587+$F$588)))+
($F$589))),2)</f>
        <v>0.39</v>
      </c>
      <c r="I589" s="328" t="s">
        <v>73</v>
      </c>
      <c r="J589" s="330"/>
      <c r="K589" s="681">
        <f>(A533*H589)</f>
        <v>9.75</v>
      </c>
      <c r="L589" s="586"/>
      <c r="M589" s="587" t="str">
        <f t="shared" si="68"/>
        <v/>
      </c>
      <c r="N589" s="587"/>
      <c r="O589" s="587" t="str">
        <f t="shared" si="69"/>
        <v/>
      </c>
      <c r="P589" s="47"/>
    </row>
    <row r="590" spans="1:16" x14ac:dyDescent="0.35">
      <c r="A590" s="535" t="str">
        <f t="shared" si="67"/>
        <v/>
      </c>
      <c r="B590" s="337"/>
      <c r="C590" s="337"/>
      <c r="D590" s="355"/>
      <c r="E590" s="355" t="s">
        <v>730</v>
      </c>
      <c r="F590" s="378">
        <v>40</v>
      </c>
      <c r="G590" s="378" t="s">
        <v>73</v>
      </c>
      <c r="H590" s="356"/>
      <c r="I590" s="356"/>
      <c r="J590" s="515"/>
      <c r="K590" s="684"/>
      <c r="L590" s="535"/>
      <c r="M590" s="552" t="str">
        <f t="shared" si="68"/>
        <v/>
      </c>
      <c r="N590" s="552"/>
      <c r="O590" s="552" t="str">
        <f t="shared" si="69"/>
        <v/>
      </c>
      <c r="P590" s="39"/>
    </row>
    <row r="591" spans="1:16" x14ac:dyDescent="0.35">
      <c r="A591" s="535" t="str">
        <f t="shared" si="67"/>
        <v/>
      </c>
      <c r="B591" s="330"/>
      <c r="C591" s="330"/>
      <c r="D591" s="326" t="s">
        <v>497</v>
      </c>
      <c r="E591" s="366" t="s">
        <v>791</v>
      </c>
      <c r="F591" s="22">
        <v>30</v>
      </c>
      <c r="G591" s="22" t="s">
        <v>73</v>
      </c>
      <c r="H591" s="328">
        <f>ROUND(($F$590)*((F591)/($F$591+$F$592+$F$593+$F$594+$F$595)),2)</f>
        <v>23.76</v>
      </c>
      <c r="I591" s="328" t="s">
        <v>73</v>
      </c>
      <c r="J591" s="330"/>
      <c r="K591" s="681">
        <f>(A533*H591)</f>
        <v>594</v>
      </c>
      <c r="L591" s="535"/>
      <c r="M591" s="552" t="str">
        <f t="shared" si="68"/>
        <v/>
      </c>
      <c r="N591" s="552"/>
      <c r="O591" s="552" t="str">
        <f t="shared" si="69"/>
        <v/>
      </c>
      <c r="P591" s="39"/>
    </row>
    <row r="592" spans="1:16" x14ac:dyDescent="0.35">
      <c r="A592" s="535" t="str">
        <f t="shared" si="67"/>
        <v/>
      </c>
      <c r="B592" s="337"/>
      <c r="C592" s="337"/>
      <c r="D592" s="326" t="s">
        <v>676</v>
      </c>
      <c r="E592" s="360" t="s">
        <v>727</v>
      </c>
      <c r="F592" s="18">
        <v>15</v>
      </c>
      <c r="G592" s="18" t="s">
        <v>73</v>
      </c>
      <c r="H592" s="335">
        <f t="shared" ref="H592:H595" si="72">ROUND(($F$590)*((F592)/($F$591+$F$592+$F$593+$F$594+$F$595)),2)</f>
        <v>11.88</v>
      </c>
      <c r="I592" s="335" t="s">
        <v>73</v>
      </c>
      <c r="J592" s="337"/>
      <c r="K592" s="680">
        <f>(A533*H592)</f>
        <v>297</v>
      </c>
      <c r="L592" s="535"/>
      <c r="M592" s="552" t="str">
        <f t="shared" si="68"/>
        <v/>
      </c>
      <c r="N592" s="552"/>
      <c r="O592" s="552" t="str">
        <f t="shared" si="69"/>
        <v/>
      </c>
      <c r="P592" s="39"/>
    </row>
    <row r="593" spans="1:16" x14ac:dyDescent="0.35">
      <c r="A593" s="535" t="str">
        <f t="shared" ref="A593:A654" si="73">IFERROR(INDEX($Q$17:$Q$41,MATCH(B593,$R$17:$R$41, 0)), "")</f>
        <v/>
      </c>
      <c r="B593" s="330"/>
      <c r="C593" s="330"/>
      <c r="D593" s="326" t="s">
        <v>50</v>
      </c>
      <c r="E593" s="366" t="s">
        <v>729</v>
      </c>
      <c r="F593" s="22">
        <v>5</v>
      </c>
      <c r="G593" s="22" t="s">
        <v>73</v>
      </c>
      <c r="H593" s="328">
        <f t="shared" si="72"/>
        <v>3.96</v>
      </c>
      <c r="I593" s="328" t="s">
        <v>73</v>
      </c>
      <c r="J593" s="330"/>
      <c r="K593" s="681">
        <f>(A533*H593)</f>
        <v>99</v>
      </c>
      <c r="L593" s="535"/>
      <c r="M593" s="552" t="str">
        <f t="shared" ref="M593:M656" si="74">IF(Q592&gt;0, Q592, "")</f>
        <v/>
      </c>
      <c r="N593" s="552"/>
      <c r="O593" s="552" t="str">
        <f t="shared" ref="O593:O656" si="75">IF(V593&gt;0, V593, "")</f>
        <v/>
      </c>
      <c r="P593" s="39"/>
    </row>
    <row r="594" spans="1:16" x14ac:dyDescent="0.35">
      <c r="A594" s="535" t="str">
        <f t="shared" si="73"/>
        <v/>
      </c>
      <c r="B594" s="337"/>
      <c r="C594" s="337"/>
      <c r="D594" s="326" t="s">
        <v>314</v>
      </c>
      <c r="E594" s="360" t="s">
        <v>315</v>
      </c>
      <c r="F594" s="18">
        <v>0.01</v>
      </c>
      <c r="G594" s="18" t="s">
        <v>73</v>
      </c>
      <c r="H594" s="335">
        <f t="shared" si="72"/>
        <v>0.01</v>
      </c>
      <c r="I594" s="335" t="s">
        <v>73</v>
      </c>
      <c r="J594" s="337"/>
      <c r="K594" s="680">
        <f>(A533*H594)</f>
        <v>0.25</v>
      </c>
      <c r="L594" s="535"/>
      <c r="M594" s="552" t="str">
        <f t="shared" si="74"/>
        <v/>
      </c>
      <c r="N594" s="552"/>
      <c r="O594" s="552" t="str">
        <f t="shared" si="75"/>
        <v/>
      </c>
      <c r="P594" s="39"/>
    </row>
    <row r="595" spans="1:16" ht="15" thickBot="1" x14ac:dyDescent="0.4">
      <c r="A595" s="535" t="str">
        <f t="shared" si="73"/>
        <v/>
      </c>
      <c r="B595" s="330"/>
      <c r="C595" s="330"/>
      <c r="D595" s="326" t="s">
        <v>40</v>
      </c>
      <c r="E595" s="366" t="s">
        <v>304</v>
      </c>
      <c r="F595" s="22">
        <v>0.5</v>
      </c>
      <c r="G595" s="22" t="s">
        <v>73</v>
      </c>
      <c r="H595" s="328">
        <f t="shared" si="72"/>
        <v>0.4</v>
      </c>
      <c r="I595" s="328" t="s">
        <v>73</v>
      </c>
      <c r="J595" s="330"/>
      <c r="K595" s="681">
        <f>(A533*H595)</f>
        <v>10</v>
      </c>
      <c r="L595" s="535"/>
      <c r="M595" s="552" t="str">
        <f t="shared" si="74"/>
        <v/>
      </c>
      <c r="N595" s="552"/>
      <c r="O595" s="552" t="str">
        <f t="shared" si="75"/>
        <v/>
      </c>
      <c r="P595" s="39"/>
    </row>
    <row r="596" spans="1:16" ht="15.5" thickTop="1" thickBot="1" x14ac:dyDescent="0.4">
      <c r="A596" s="585" t="str">
        <f t="shared" si="73"/>
        <v/>
      </c>
      <c r="B596" s="574"/>
      <c r="C596" s="574"/>
      <c r="D596" s="575"/>
      <c r="E596" s="588"/>
      <c r="F596" s="577"/>
      <c r="G596" s="577"/>
      <c r="H596" s="574"/>
      <c r="I596" s="574"/>
      <c r="J596" s="574"/>
      <c r="K596" s="683"/>
      <c r="L596" s="535"/>
      <c r="M596" s="552" t="str">
        <f t="shared" si="74"/>
        <v/>
      </c>
      <c r="N596" s="552"/>
      <c r="O596" s="552" t="str">
        <f t="shared" si="75"/>
        <v/>
      </c>
      <c r="P596" s="39"/>
    </row>
    <row r="597" spans="1:16" ht="15" thickTop="1" x14ac:dyDescent="0.35">
      <c r="A597" s="565">
        <f>IFERROR(INDEX($Q$17:$Q$150,MATCH(B597,$R$17:$R$150, 0)), "")</f>
        <v>33</v>
      </c>
      <c r="B597" s="382" t="s">
        <v>1291</v>
      </c>
      <c r="C597" s="107" t="s">
        <v>793</v>
      </c>
      <c r="D597" s="347" t="s">
        <v>748</v>
      </c>
      <c r="E597" s="566" t="s">
        <v>749</v>
      </c>
      <c r="F597" s="438">
        <v>1</v>
      </c>
      <c r="G597" s="438" t="s">
        <v>1072</v>
      </c>
      <c r="H597" s="439">
        <v>1</v>
      </c>
      <c r="I597" s="439" t="s">
        <v>1072</v>
      </c>
      <c r="J597" s="533"/>
      <c r="K597" s="679">
        <f>($A$597*H597)</f>
        <v>33</v>
      </c>
      <c r="L597" s="535"/>
      <c r="M597" s="552" t="str">
        <f t="shared" si="74"/>
        <v/>
      </c>
      <c r="N597" s="552"/>
      <c r="O597" s="552" t="str">
        <f t="shared" si="75"/>
        <v/>
      </c>
      <c r="P597" s="48"/>
    </row>
    <row r="598" spans="1:16" x14ac:dyDescent="0.35">
      <c r="A598" s="535" t="str">
        <f t="shared" si="73"/>
        <v/>
      </c>
      <c r="B598" s="337"/>
      <c r="C598" s="337"/>
      <c r="D598" s="326" t="s">
        <v>373</v>
      </c>
      <c r="E598" s="536" t="s">
        <v>772</v>
      </c>
      <c r="F598" s="18">
        <v>20</v>
      </c>
      <c r="G598" s="18" t="s">
        <v>73</v>
      </c>
      <c r="H598" s="335">
        <v>20</v>
      </c>
      <c r="I598" s="335" t="s">
        <v>73</v>
      </c>
      <c r="J598" s="337"/>
      <c r="K598" s="680">
        <f>($A$597*H598)</f>
        <v>660</v>
      </c>
      <c r="L598" s="535"/>
      <c r="M598" s="552" t="str">
        <f t="shared" si="74"/>
        <v/>
      </c>
      <c r="N598" s="552"/>
      <c r="O598" s="552" t="str">
        <f t="shared" si="75"/>
        <v/>
      </c>
      <c r="P598" s="39"/>
    </row>
    <row r="599" spans="1:16" x14ac:dyDescent="0.35">
      <c r="A599" s="535" t="str">
        <f t="shared" si="73"/>
        <v/>
      </c>
      <c r="B599" s="330"/>
      <c r="C599" s="330"/>
      <c r="D599" s="326" t="s">
        <v>41</v>
      </c>
      <c r="E599" s="544" t="s">
        <v>779</v>
      </c>
      <c r="F599" s="22">
        <v>2</v>
      </c>
      <c r="G599" s="22" t="s">
        <v>73</v>
      </c>
      <c r="H599" s="328">
        <v>2</v>
      </c>
      <c r="I599" s="328" t="s">
        <v>73</v>
      </c>
      <c r="J599" s="330"/>
      <c r="K599" s="681">
        <f t="shared" ref="K599:K653" si="76">($A$597*H599)</f>
        <v>66</v>
      </c>
      <c r="L599" s="535"/>
      <c r="M599" s="552" t="str">
        <f t="shared" si="74"/>
        <v/>
      </c>
      <c r="N599" s="552"/>
      <c r="O599" s="552" t="str">
        <f t="shared" si="75"/>
        <v/>
      </c>
      <c r="P599" s="39"/>
    </row>
    <row r="600" spans="1:16" x14ac:dyDescent="0.35">
      <c r="A600" s="535" t="str">
        <f t="shared" si="73"/>
        <v/>
      </c>
      <c r="B600" s="337"/>
      <c r="C600" s="337"/>
      <c r="D600" s="326" t="s">
        <v>491</v>
      </c>
      <c r="E600" s="334" t="s">
        <v>750</v>
      </c>
      <c r="F600" s="18">
        <v>1.25</v>
      </c>
      <c r="G600" s="18" t="s">
        <v>773</v>
      </c>
      <c r="H600" s="335">
        <v>1.25</v>
      </c>
      <c r="I600" s="335" t="s">
        <v>1072</v>
      </c>
      <c r="J600" s="337"/>
      <c r="K600" s="680">
        <f t="shared" si="76"/>
        <v>41.25</v>
      </c>
      <c r="L600" s="535"/>
      <c r="M600" s="552" t="str">
        <f t="shared" si="74"/>
        <v/>
      </c>
      <c r="N600" s="552"/>
      <c r="O600" s="552" t="str">
        <f t="shared" si="75"/>
        <v/>
      </c>
      <c r="P600" s="39"/>
    </row>
    <row r="601" spans="1:16" x14ac:dyDescent="0.35">
      <c r="A601" s="535" t="str">
        <f t="shared" si="73"/>
        <v/>
      </c>
      <c r="B601" s="330"/>
      <c r="C601" s="330"/>
      <c r="D601" s="355"/>
      <c r="E601" s="549" t="s">
        <v>751</v>
      </c>
      <c r="F601" s="378">
        <v>100</v>
      </c>
      <c r="G601" s="378" t="s">
        <v>73</v>
      </c>
      <c r="H601" s="356"/>
      <c r="I601" s="515"/>
      <c r="J601" s="515"/>
      <c r="K601" s="684"/>
      <c r="L601" s="535"/>
      <c r="M601" s="552" t="str">
        <f t="shared" si="74"/>
        <v/>
      </c>
      <c r="N601" s="552"/>
      <c r="O601" s="552" t="str">
        <f t="shared" si="75"/>
        <v/>
      </c>
      <c r="P601" s="39"/>
    </row>
    <row r="602" spans="1:16" x14ac:dyDescent="0.35">
      <c r="A602" s="535" t="str">
        <f t="shared" si="73"/>
        <v/>
      </c>
      <c r="B602" s="337"/>
      <c r="C602" s="337"/>
      <c r="D602" s="355"/>
      <c r="E602" s="567" t="s">
        <v>754</v>
      </c>
      <c r="F602" s="356">
        <v>2100</v>
      </c>
      <c r="G602" s="378" t="s">
        <v>73</v>
      </c>
      <c r="H602" s="356"/>
      <c r="I602" s="515"/>
      <c r="J602" s="515"/>
      <c r="K602" s="684"/>
      <c r="L602" s="535"/>
      <c r="M602" s="552" t="str">
        <f t="shared" si="74"/>
        <v/>
      </c>
      <c r="N602" s="552"/>
      <c r="O602" s="552" t="str">
        <f t="shared" si="75"/>
        <v/>
      </c>
      <c r="P602" s="39"/>
    </row>
    <row r="603" spans="1:16" x14ac:dyDescent="0.35">
      <c r="A603" s="535" t="str">
        <f t="shared" si="73"/>
        <v/>
      </c>
      <c r="B603" s="330"/>
      <c r="C603" s="330"/>
      <c r="D603" s="342"/>
      <c r="E603" s="561" t="s">
        <v>81</v>
      </c>
      <c r="F603" s="404">
        <v>1300</v>
      </c>
      <c r="G603" s="404" t="s">
        <v>73</v>
      </c>
      <c r="H603" s="343">
        <f>ROUND(($F$601)*((($F$602)*(($F$603)/($F$603+$F$604+$F$605)))
/((($F$602)*(($F$603)/($F$603+$F$604+$F$605)))+
(($F$602)*(($F$604)/($F$603+$F$604+$F$605)))+
(($F$602)*(($F$605)/($F$603+$F$604+$F$605)))+
(($F$606)*(($F$607)/($F$607+$F$608+$F$609+$F$610)))+
(($F$606)*(($F$608)/($F$607+$F$608+$F$609+$F$610)))+
(($F$606)*(($F$609)/($F$607+$F$608+$F$609+$F$610)))+
(($F$606)*(($F$610)/($F$607+$F$608+$F$609+$F$610)))+
($F$611)+($F$612))),2)</f>
        <v>53.47</v>
      </c>
      <c r="I603" s="345"/>
      <c r="J603" s="345"/>
      <c r="K603" s="685"/>
      <c r="L603" s="535"/>
      <c r="M603" s="552" t="str">
        <f t="shared" si="74"/>
        <v/>
      </c>
      <c r="N603" s="552"/>
      <c r="O603" s="552" t="str">
        <f t="shared" si="75"/>
        <v/>
      </c>
      <c r="P603" s="39"/>
    </row>
    <row r="604" spans="1:16" x14ac:dyDescent="0.35">
      <c r="A604" s="535" t="str">
        <f t="shared" si="73"/>
        <v/>
      </c>
      <c r="B604" s="337"/>
      <c r="C604" s="337"/>
      <c r="D604" s="326" t="s">
        <v>1660</v>
      </c>
      <c r="E604" s="560" t="s">
        <v>1897</v>
      </c>
      <c r="F604" s="18">
        <v>1000</v>
      </c>
      <c r="G604" s="18" t="s">
        <v>73</v>
      </c>
      <c r="H604" s="335">
        <f>ROUND(($F$601)*((($F$602)*(($F$604)/($F$603+$F$604+$F$605)))
/((($F$602)*(($F$603)/($F$603+$F$604+$F$605)))+
(($F$602)*(($F$604)/($F$603+$F$604+$F$605)))+
(($F$602)*(($F$605)/($F$603+$F$604+$F$605)))+
(($F$606)*(($F$607)/($F$607+$F$608+$F$609+$F$610)))+
(($F$606)*(($F$608)/($F$607+$F$608+$F$609+$F$610)))+
(($F$606)*(($F$609)/($F$607+$F$608+$F$609+$F$610)))+
(($F$606)*(($F$610)/($F$607+$F$608+$F$609+$F$610)))+
($F$611)+($F$612))),2)</f>
        <v>41.13</v>
      </c>
      <c r="I604" s="335" t="s">
        <v>73</v>
      </c>
      <c r="J604" s="337"/>
      <c r="K604" s="680">
        <f t="shared" si="76"/>
        <v>1357.2900000000002</v>
      </c>
      <c r="L604" s="535"/>
      <c r="M604" s="552" t="str">
        <f t="shared" si="74"/>
        <v/>
      </c>
      <c r="N604" s="552"/>
      <c r="O604" s="552" t="str">
        <f t="shared" si="75"/>
        <v/>
      </c>
      <c r="P604" s="39"/>
    </row>
    <row r="605" spans="1:16" x14ac:dyDescent="0.35">
      <c r="A605" s="535" t="str">
        <f t="shared" si="73"/>
        <v/>
      </c>
      <c r="B605" s="330"/>
      <c r="C605" s="330"/>
      <c r="D605" s="326"/>
      <c r="E605" s="495" t="s">
        <v>753</v>
      </c>
      <c r="F605" s="22">
        <v>0</v>
      </c>
      <c r="G605" s="22" t="s">
        <v>73</v>
      </c>
      <c r="H605" s="328">
        <f>ROUND(($F$601)*((($F$602)*(($F$605)/($F$603+$F$604+$F$605)))
/((($F$602)*(($F$603)/($F$603+$F$604+$F$605)))+
(($F$602)*(($F$604)/($F$603+$F$604+$F$605)))+
(($F$602)*(($F$605)/($F$603+$F$604+$F$605)))+
(($F$606)*(($F$607)/($F$607+$F$608+$F$609+$F$610)))+
(($F$606)*(($F$608)/($F$607+$F$608+$F$609+$F$610)))+
(($F$606)*(($F$609)/($F$607+$F$608+$F$609+$F$610)))+
(($F$606)*(($F$610)/($F$607+$F$608+$F$609+$F$610)))+
($F$611)+($F$612))),2)</f>
        <v>0</v>
      </c>
      <c r="I605" s="328" t="s">
        <v>73</v>
      </c>
      <c r="J605" s="330"/>
      <c r="K605" s="681">
        <f t="shared" si="76"/>
        <v>0</v>
      </c>
      <c r="L605" s="535"/>
      <c r="M605" s="552" t="str">
        <f t="shared" si="74"/>
        <v/>
      </c>
      <c r="N605" s="552"/>
      <c r="O605" s="552" t="str">
        <f t="shared" si="75"/>
        <v/>
      </c>
      <c r="P605" s="39"/>
    </row>
    <row r="606" spans="1:16" x14ac:dyDescent="0.35">
      <c r="A606" s="535" t="str">
        <f t="shared" si="73"/>
        <v/>
      </c>
      <c r="B606" s="337"/>
      <c r="C606" s="337"/>
      <c r="D606" s="355"/>
      <c r="E606" s="567" t="s">
        <v>755</v>
      </c>
      <c r="F606" s="378">
        <v>55</v>
      </c>
      <c r="G606" s="378" t="s">
        <v>73</v>
      </c>
      <c r="H606" s="356"/>
      <c r="I606" s="356"/>
      <c r="J606" s="515"/>
      <c r="K606" s="684"/>
      <c r="L606" s="535"/>
      <c r="M606" s="552" t="str">
        <f t="shared" si="74"/>
        <v/>
      </c>
      <c r="N606" s="552"/>
      <c r="O606" s="552" t="str">
        <f t="shared" si="75"/>
        <v/>
      </c>
      <c r="P606" s="39"/>
    </row>
    <row r="607" spans="1:16" x14ac:dyDescent="0.35">
      <c r="A607" s="535" t="str">
        <f t="shared" si="73"/>
        <v/>
      </c>
      <c r="B607" s="330"/>
      <c r="C607" s="330"/>
      <c r="D607" s="326" t="s">
        <v>333</v>
      </c>
      <c r="E607" s="495" t="s">
        <v>756</v>
      </c>
      <c r="F607" s="22">
        <v>20</v>
      </c>
      <c r="G607" s="22" t="s">
        <v>73</v>
      </c>
      <c r="H607" s="328">
        <f>ROUND(($F$601)*((($F$606)*(($F$607)/($F$607+$F$608+$F$609+$F$610)))
/((($F$602)*(($F$603)/($F$603+$F$604+$F$605)))+
(($F$602)*(($F$604)/($F$603+$F$604+$F$605)))+
(($F$602)*(($F$605)/($F$603+$F$604+$F$605)))+
(($F$606)*(($F$607)/($F$607+$F$608+$F$609+$F$610)))+
(($F$606)*(($F$608)/($F$607+$F$608+$F$609+$F$610)))+
(($F$606)*(($F$609)/($F$607+$F$608+$F$609+$F$610)))+
(($F$606)*(($F$610)/($F$607+$F$608+$F$609+$F$610)))+
($F$611)+($F$612))),2)</f>
        <v>0.2</v>
      </c>
      <c r="I607" s="328" t="s">
        <v>73</v>
      </c>
      <c r="J607" s="330"/>
      <c r="K607" s="681">
        <f t="shared" si="76"/>
        <v>6.6000000000000005</v>
      </c>
      <c r="L607" s="535"/>
      <c r="M607" s="552" t="str">
        <f t="shared" si="74"/>
        <v/>
      </c>
      <c r="N607" s="552"/>
      <c r="O607" s="552" t="str">
        <f t="shared" si="75"/>
        <v/>
      </c>
      <c r="P607" s="39"/>
    </row>
    <row r="608" spans="1:16" x14ac:dyDescent="0.35">
      <c r="A608" s="535" t="str">
        <f t="shared" si="73"/>
        <v/>
      </c>
      <c r="B608" s="337"/>
      <c r="C608" s="337"/>
      <c r="D608" s="326" t="s">
        <v>43</v>
      </c>
      <c r="E608" s="560" t="s">
        <v>105</v>
      </c>
      <c r="F608" s="18">
        <v>20</v>
      </c>
      <c r="G608" s="18" t="s">
        <v>73</v>
      </c>
      <c r="H608" s="335">
        <f>ROUND(($F$601)*((($F$606)*(($F$608)/($F$607+$F$608+$F$609+$F$610)))
/((($F$602)*(($F$603)/($F$603+$F$604+$F$605)))+
(($F$602)*(($F$604)/($F$603+$F$604+$F$605)))+
(($F$602)*(($F$605)/($F$603+$F$604+$F$605)))+
(($F$606)*(($F$607)/($F$607+$F$608+$F$609+$F$610)))+
(($F$606)*(($F$608)/($F$607+$F$608+$F$609+$F$610)))+
(($F$606)*(($F$609)/($F$607+$F$608+$F$609+$F$610)))+
(($F$606)*(($F$610)/($F$607+$F$608+$F$609+$F$610)))+
($F$611)+($F$612))),2)</f>
        <v>0.2</v>
      </c>
      <c r="I608" s="335" t="s">
        <v>73</v>
      </c>
      <c r="J608" s="337"/>
      <c r="K608" s="680">
        <f t="shared" si="76"/>
        <v>6.6000000000000005</v>
      </c>
      <c r="L608" s="535"/>
      <c r="M608" s="552" t="str">
        <f t="shared" si="74"/>
        <v/>
      </c>
      <c r="N608" s="552"/>
      <c r="O608" s="552" t="str">
        <f t="shared" si="75"/>
        <v/>
      </c>
      <c r="P608" s="39"/>
    </row>
    <row r="609" spans="1:16" x14ac:dyDescent="0.35">
      <c r="A609" s="535" t="str">
        <f t="shared" si="73"/>
        <v/>
      </c>
      <c r="B609" s="330"/>
      <c r="C609" s="330"/>
      <c r="D609" s="326" t="s">
        <v>42</v>
      </c>
      <c r="E609" s="495" t="s">
        <v>66</v>
      </c>
      <c r="F609" s="22">
        <v>2</v>
      </c>
      <c r="G609" s="22" t="s">
        <v>73</v>
      </c>
      <c r="H609" s="328">
        <f>ROUND(($F$601)*((($F$606)*(($F$609)/($F$607+$F$608+$F$609+$F$610)))
/((($F$602)*(($F$603)/($F$603+$F$604+$F$605)))+
(($F$602)*(($F$604)/($F$603+$F$604+$F$605)))+
(($F$602)*(($F$605)/($F$603+$F$604+$F$605)))+
(($F$606)*(($F$607)/($F$607+$F$608+$F$609+$F$610)))+
(($F$606)*(($F$608)/($F$607+$F$608+$F$609+$F$610)))+
(($F$606)*(($F$609)/($F$607+$F$608+$F$609+$F$610)))+
(($F$606)*(($F$610)/($F$607+$F$608+$F$609+$F$610)))+
($F$611)+($F$612))),2)</f>
        <v>0.02</v>
      </c>
      <c r="I609" s="328" t="s">
        <v>73</v>
      </c>
      <c r="J609" s="330"/>
      <c r="K609" s="681">
        <f t="shared" si="76"/>
        <v>0.66</v>
      </c>
      <c r="L609" s="535"/>
      <c r="M609" s="552" t="str">
        <f t="shared" si="74"/>
        <v/>
      </c>
      <c r="N609" s="552"/>
      <c r="O609" s="552" t="str">
        <f t="shared" si="75"/>
        <v/>
      </c>
      <c r="P609" s="39"/>
    </row>
    <row r="610" spans="1:16" x14ac:dyDescent="0.35">
      <c r="A610" s="535" t="str">
        <f t="shared" si="73"/>
        <v/>
      </c>
      <c r="B610" s="337"/>
      <c r="C610" s="337"/>
      <c r="D610" s="342"/>
      <c r="E610" s="561" t="s">
        <v>81</v>
      </c>
      <c r="F610" s="404">
        <v>200</v>
      </c>
      <c r="G610" s="404" t="s">
        <v>73</v>
      </c>
      <c r="H610" s="343">
        <f>ROUND(($F$601)*((($F$606)*(($F$610)/($F$607+$F$608+$F$609+$F$610)))
/((($F$602)*(($F$603)/($F$603+$F$604+$F$605)))+
(($F$602)*(($F$604)/($F$603+$F$604+$F$605)))+
(($F$602)*(($F$605)/($F$603+$F$604+$F$605)))+
(($F$606)*(($F$607)/($F$607+$F$608+$F$609+$F$610)))+
(($F$606)*(($F$608)/($F$607+$F$608+$F$609+$F$610)))+
(($F$606)*(($F$609)/($F$607+$F$608+$F$609+$F$610)))+
(($F$606)*(($F$610)/($F$607+$F$608+$F$609+$F$610)))+
($F$611)+($F$612))),2)</f>
        <v>2.0499999999999998</v>
      </c>
      <c r="I610" s="343"/>
      <c r="J610" s="345"/>
      <c r="K610" s="685"/>
      <c r="L610" s="535"/>
      <c r="M610" s="552" t="str">
        <f t="shared" si="74"/>
        <v/>
      </c>
      <c r="N610" s="552"/>
      <c r="O610" s="552" t="str">
        <f t="shared" si="75"/>
        <v/>
      </c>
      <c r="P610" s="39"/>
    </row>
    <row r="611" spans="1:16" x14ac:dyDescent="0.35">
      <c r="A611" s="535" t="str">
        <f t="shared" si="73"/>
        <v/>
      </c>
      <c r="B611" s="330"/>
      <c r="C611" s="330"/>
      <c r="D611" s="326" t="s">
        <v>41</v>
      </c>
      <c r="E611" s="366" t="s">
        <v>757</v>
      </c>
      <c r="F611" s="22">
        <v>55</v>
      </c>
      <c r="G611" s="22" t="s">
        <v>73</v>
      </c>
      <c r="H611" s="328">
        <f>ROUND(($F$601)*((F611)/((($F$602)*(($F$603)/($F$603+$F$604+$F$605)))+
(($F$602)*(($F$604)/($F$603+$F$604+$F$605)))+
(($F$602)*(($F$605)/($F$603+$F$604+$F$605)))+
(($F$606)*(($F$607)/($F$607+$F$608+$F$609+$F$610)))+
(($F$606)*(($F$608)/($F$607+$F$608+$F$609+$F$610)))+
(($F$606)*(($F$609)/($F$607+$F$608+$F$609+$F$610)))+
(($F$606)*(($F$610)/($F$607+$F$608+$F$609+$F$610)))+
($F$611)+($F$612))),2)</f>
        <v>2.48</v>
      </c>
      <c r="I611" s="328" t="s">
        <v>73</v>
      </c>
      <c r="J611" s="330"/>
      <c r="K611" s="681">
        <f t="shared" si="76"/>
        <v>81.84</v>
      </c>
      <c r="L611" s="535"/>
      <c r="M611" s="552" t="str">
        <f t="shared" si="74"/>
        <v/>
      </c>
      <c r="N611" s="552"/>
      <c r="O611" s="552" t="str">
        <f t="shared" si="75"/>
        <v/>
      </c>
      <c r="P611" s="39"/>
    </row>
    <row r="612" spans="1:16" x14ac:dyDescent="0.35">
      <c r="A612" s="535" t="str">
        <f t="shared" si="73"/>
        <v/>
      </c>
      <c r="B612" s="337"/>
      <c r="C612" s="337"/>
      <c r="D612" s="326" t="s">
        <v>505</v>
      </c>
      <c r="E612" s="360" t="s">
        <v>758</v>
      </c>
      <c r="F612" s="18">
        <v>10</v>
      </c>
      <c r="G612" s="18" t="s">
        <v>73</v>
      </c>
      <c r="H612" s="335">
        <f>ROUND(($F$601)*((F612)/((($F$602)*(($F$603)/($F$603+$F$604+$F$605)))+
(($F$602)*(($F$604)/($F$603+$F$604+$F$605)))+
(($F$602)*(($F$605)/($F$603+$F$604+$F$605)))+
(($F$606)*(($F$607)/($F$607+$F$608+$F$609+$F$610)))+
(($F$606)*(($F$608)/($F$607+$F$608+$F$609+$F$610)))+
(($F$606)*(($F$609)/($F$607+$F$608+$F$609+$F$610)))+
(($F$606)*(($F$610)/($F$607+$F$608+$F$609+$F$610)))+
($F$611)+($F$612))),2)</f>
        <v>0.45</v>
      </c>
      <c r="I612" s="335" t="s">
        <v>73</v>
      </c>
      <c r="J612" s="337"/>
      <c r="K612" s="680">
        <f t="shared" si="76"/>
        <v>14.85</v>
      </c>
      <c r="L612" s="535"/>
      <c r="M612" s="552" t="str">
        <f t="shared" si="74"/>
        <v/>
      </c>
      <c r="N612" s="552"/>
      <c r="O612" s="552" t="str">
        <f t="shared" si="75"/>
        <v/>
      </c>
      <c r="P612" s="39"/>
    </row>
    <row r="613" spans="1:16" x14ac:dyDescent="0.35">
      <c r="A613" s="535" t="str">
        <f t="shared" si="73"/>
        <v/>
      </c>
      <c r="B613" s="330"/>
      <c r="C613" s="330"/>
      <c r="D613" s="355"/>
      <c r="E613" s="549" t="s">
        <v>759</v>
      </c>
      <c r="F613" s="378">
        <v>30</v>
      </c>
      <c r="G613" s="378" t="s">
        <v>73</v>
      </c>
      <c r="H613" s="356"/>
      <c r="I613" s="356"/>
      <c r="J613" s="515"/>
      <c r="K613" s="684"/>
      <c r="L613" s="535"/>
      <c r="M613" s="552" t="str">
        <f t="shared" si="74"/>
        <v/>
      </c>
      <c r="N613" s="552"/>
      <c r="O613" s="552" t="str">
        <f t="shared" si="75"/>
        <v/>
      </c>
      <c r="P613" s="39"/>
    </row>
    <row r="614" spans="1:16" x14ac:dyDescent="0.35">
      <c r="A614" s="535" t="str">
        <f t="shared" si="73"/>
        <v/>
      </c>
      <c r="B614" s="337"/>
      <c r="C614" s="337"/>
      <c r="D614" s="342"/>
      <c r="E614" s="362" t="s">
        <v>81</v>
      </c>
      <c r="F614" s="404">
        <v>1000</v>
      </c>
      <c r="G614" s="404" t="s">
        <v>73</v>
      </c>
      <c r="H614" s="343"/>
      <c r="I614" s="343"/>
      <c r="J614" s="345"/>
      <c r="K614" s="685"/>
      <c r="L614" s="535"/>
      <c r="M614" s="552" t="str">
        <f t="shared" si="74"/>
        <v/>
      </c>
      <c r="N614" s="552"/>
      <c r="O614" s="552" t="str">
        <f t="shared" si="75"/>
        <v/>
      </c>
      <c r="P614" s="39"/>
    </row>
    <row r="615" spans="1:16" x14ac:dyDescent="0.35">
      <c r="A615" s="535" t="str">
        <f t="shared" si="73"/>
        <v/>
      </c>
      <c r="B615" s="330"/>
      <c r="C615" s="330"/>
      <c r="D615" s="326" t="s">
        <v>43</v>
      </c>
      <c r="E615" s="366" t="s">
        <v>105</v>
      </c>
      <c r="F615" s="22">
        <v>10</v>
      </c>
      <c r="G615" s="22" t="s">
        <v>73</v>
      </c>
      <c r="H615" s="328">
        <f>ROUND((($F$613)*((F615)/($F$615+$F$616+$F$617))),2)</f>
        <v>0.28999999999999998</v>
      </c>
      <c r="I615" s="328" t="s">
        <v>73</v>
      </c>
      <c r="J615" s="330"/>
      <c r="K615" s="681">
        <f t="shared" si="76"/>
        <v>9.5699999999999985</v>
      </c>
      <c r="L615" s="535"/>
      <c r="M615" s="552" t="str">
        <f t="shared" si="74"/>
        <v/>
      </c>
      <c r="N615" s="552"/>
      <c r="O615" s="552" t="str">
        <f t="shared" si="75"/>
        <v/>
      </c>
      <c r="P615" s="39"/>
    </row>
    <row r="616" spans="1:16" x14ac:dyDescent="0.35">
      <c r="A616" s="535" t="str">
        <f t="shared" si="73"/>
        <v/>
      </c>
      <c r="B616" s="337"/>
      <c r="C616" s="337"/>
      <c r="D616" s="326" t="s">
        <v>41</v>
      </c>
      <c r="E616" s="360" t="s">
        <v>760</v>
      </c>
      <c r="F616" s="18">
        <v>25</v>
      </c>
      <c r="G616" s="18" t="s">
        <v>73</v>
      </c>
      <c r="H616" s="335">
        <f t="shared" ref="H616:H617" si="77">ROUND((($F$613)*((F616)/($F$615+$F$616+$F$617))),2)</f>
        <v>0.72</v>
      </c>
      <c r="I616" s="335" t="s">
        <v>73</v>
      </c>
      <c r="J616" s="337"/>
      <c r="K616" s="680">
        <f t="shared" si="76"/>
        <v>23.759999999999998</v>
      </c>
      <c r="L616" s="535"/>
      <c r="M616" s="552" t="str">
        <f t="shared" si="74"/>
        <v/>
      </c>
      <c r="N616" s="552"/>
      <c r="O616" s="552" t="str">
        <f t="shared" si="75"/>
        <v/>
      </c>
      <c r="P616" s="39"/>
    </row>
    <row r="617" spans="1:16" x14ac:dyDescent="0.35">
      <c r="A617" s="535" t="str">
        <f t="shared" si="73"/>
        <v/>
      </c>
      <c r="B617" s="330"/>
      <c r="C617" s="330"/>
      <c r="D617" s="326" t="s">
        <v>371</v>
      </c>
      <c r="E617" s="366" t="s">
        <v>761</v>
      </c>
      <c r="F617" s="22">
        <v>1000</v>
      </c>
      <c r="G617" s="22" t="s">
        <v>73</v>
      </c>
      <c r="H617" s="328">
        <f t="shared" si="77"/>
        <v>28.99</v>
      </c>
      <c r="I617" s="328" t="s">
        <v>73</v>
      </c>
      <c r="J617" s="330"/>
      <c r="K617" s="681">
        <f t="shared" si="76"/>
        <v>956.67</v>
      </c>
      <c r="L617" s="535"/>
      <c r="M617" s="552" t="str">
        <f t="shared" si="74"/>
        <v/>
      </c>
      <c r="N617" s="552"/>
      <c r="O617" s="552" t="str">
        <f t="shared" si="75"/>
        <v/>
      </c>
      <c r="P617" s="39"/>
    </row>
    <row r="618" spans="1:16" x14ac:dyDescent="0.35">
      <c r="A618" s="535" t="str">
        <f t="shared" si="73"/>
        <v/>
      </c>
      <c r="B618" s="337"/>
      <c r="C618" s="337"/>
      <c r="D618" s="355"/>
      <c r="E618" s="549" t="s">
        <v>762</v>
      </c>
      <c r="F618" s="378">
        <v>15</v>
      </c>
      <c r="G618" s="378" t="s">
        <v>73</v>
      </c>
      <c r="H618" s="356"/>
      <c r="I618" s="356"/>
      <c r="J618" s="515"/>
      <c r="K618" s="684"/>
      <c r="L618" s="535"/>
      <c r="M618" s="552" t="str">
        <f t="shared" si="74"/>
        <v/>
      </c>
      <c r="N618" s="552"/>
      <c r="O618" s="552" t="str">
        <f t="shared" si="75"/>
        <v/>
      </c>
      <c r="P618" s="39"/>
    </row>
    <row r="619" spans="1:16" x14ac:dyDescent="0.35">
      <c r="A619" s="535" t="str">
        <f t="shared" si="73"/>
        <v/>
      </c>
      <c r="B619" s="330"/>
      <c r="C619" s="330"/>
      <c r="D619" s="342"/>
      <c r="E619" s="362" t="s">
        <v>81</v>
      </c>
      <c r="F619" s="404">
        <v>500</v>
      </c>
      <c r="G619" s="404" t="s">
        <v>73</v>
      </c>
      <c r="H619" s="343"/>
      <c r="I619" s="343"/>
      <c r="J619" s="345"/>
      <c r="K619" s="685"/>
      <c r="L619" s="535"/>
      <c r="M619" s="552" t="str">
        <f t="shared" si="74"/>
        <v/>
      </c>
      <c r="N619" s="552"/>
      <c r="O619" s="552" t="str">
        <f t="shared" si="75"/>
        <v/>
      </c>
      <c r="P619" s="39"/>
    </row>
    <row r="620" spans="1:16" x14ac:dyDescent="0.35">
      <c r="A620" s="535" t="str">
        <f t="shared" si="73"/>
        <v/>
      </c>
      <c r="B620" s="337"/>
      <c r="C620" s="337"/>
      <c r="D620" s="326" t="s">
        <v>333</v>
      </c>
      <c r="E620" s="360" t="s">
        <v>756</v>
      </c>
      <c r="F620" s="18">
        <v>15</v>
      </c>
      <c r="G620" s="18" t="s">
        <v>73</v>
      </c>
      <c r="H620" s="335">
        <f>ROUND(($F$618)*((F620)/((($F$622)*(($F$623)/($F$623+$F$624)))+
(($F$622)*(($F$624)/($F$623+$F$624)))+
($F$620)+($F$621)+($F$625)+($F$626)+($F$627)+($F$628)+($F$629))),2)</f>
        <v>0.76</v>
      </c>
      <c r="I620" s="335" t="s">
        <v>73</v>
      </c>
      <c r="J620" s="337"/>
      <c r="K620" s="680">
        <f t="shared" si="76"/>
        <v>25.080000000000002</v>
      </c>
      <c r="L620" s="535"/>
      <c r="M620" s="552" t="str">
        <f t="shared" si="74"/>
        <v/>
      </c>
      <c r="N620" s="552"/>
      <c r="O620" s="552" t="str">
        <f t="shared" si="75"/>
        <v/>
      </c>
      <c r="P620" s="39"/>
    </row>
    <row r="621" spans="1:16" x14ac:dyDescent="0.35">
      <c r="A621" s="535" t="str">
        <f t="shared" si="73"/>
        <v/>
      </c>
      <c r="B621" s="330"/>
      <c r="C621" s="330"/>
      <c r="D621" s="326" t="s">
        <v>46</v>
      </c>
      <c r="E621" s="366" t="s">
        <v>763</v>
      </c>
      <c r="F621" s="22">
        <v>20</v>
      </c>
      <c r="G621" s="22" t="s">
        <v>73</v>
      </c>
      <c r="H621" s="328">
        <f>ROUND(($F$618)*((F621)/((($F$622)*(($F$623)/($F$623+$F$624)))+
(($F$622)*(($F$624)/($F$623+$F$624)))+
($F$620)+($F$621)+($F$625)+($F$626)+($F$627)+($F$628)+($F$629))),2)</f>
        <v>1.01</v>
      </c>
      <c r="I621" s="328" t="s">
        <v>73</v>
      </c>
      <c r="J621" s="330"/>
      <c r="K621" s="681">
        <f t="shared" si="76"/>
        <v>33.33</v>
      </c>
      <c r="L621" s="535"/>
      <c r="M621" s="552" t="str">
        <f t="shared" si="74"/>
        <v/>
      </c>
      <c r="N621" s="552"/>
      <c r="O621" s="552" t="str">
        <f t="shared" si="75"/>
        <v/>
      </c>
      <c r="P621" s="39"/>
    </row>
    <row r="622" spans="1:16" x14ac:dyDescent="0.35">
      <c r="A622" s="535" t="str">
        <f t="shared" si="73"/>
        <v/>
      </c>
      <c r="B622" s="337"/>
      <c r="C622" s="337"/>
      <c r="D622" s="355"/>
      <c r="E622" s="567" t="s">
        <v>114</v>
      </c>
      <c r="F622" s="378">
        <v>3</v>
      </c>
      <c r="G622" s="378" t="s">
        <v>73</v>
      </c>
      <c r="H622" s="515"/>
      <c r="I622" s="356"/>
      <c r="J622" s="515"/>
      <c r="K622" s="684"/>
      <c r="L622" s="535"/>
      <c r="M622" s="552" t="str">
        <f t="shared" si="74"/>
        <v/>
      </c>
      <c r="N622" s="552"/>
      <c r="O622" s="552" t="str">
        <f t="shared" si="75"/>
        <v/>
      </c>
      <c r="P622" s="39"/>
    </row>
    <row r="623" spans="1:16" x14ac:dyDescent="0.35">
      <c r="A623" s="535" t="str">
        <f t="shared" si="73"/>
        <v/>
      </c>
      <c r="B623" s="330"/>
      <c r="C623" s="330"/>
      <c r="D623" s="326" t="s">
        <v>43</v>
      </c>
      <c r="E623" s="495" t="s">
        <v>768</v>
      </c>
      <c r="F623" s="22">
        <v>15</v>
      </c>
      <c r="G623" s="22" t="s">
        <v>73</v>
      </c>
      <c r="H623" s="328">
        <f>ROUND(($F$618)*((($F$622)*(($F$623)/($F$623+$F$624)))
/((($F$622)*(($F$623)/($F$623+$F$624)))+
(($F$622)*(($F$624)/($F$623+$F$624)))+
($F$620)+($F$621)+($F$625)+($F$626)+($F$627)+($F$628)+($F$629))),2)</f>
        <v>0.02</v>
      </c>
      <c r="I623" s="328" t="s">
        <v>73</v>
      </c>
      <c r="J623" s="330"/>
      <c r="K623" s="681">
        <f t="shared" si="76"/>
        <v>0.66</v>
      </c>
      <c r="L623" s="535"/>
      <c r="M623" s="552" t="str">
        <f t="shared" si="74"/>
        <v/>
      </c>
      <c r="N623" s="552"/>
      <c r="O623" s="552" t="str">
        <f t="shared" si="75"/>
        <v/>
      </c>
      <c r="P623" s="39"/>
    </row>
    <row r="624" spans="1:16" x14ac:dyDescent="0.35">
      <c r="A624" s="535" t="str">
        <f t="shared" si="73"/>
        <v/>
      </c>
      <c r="B624" s="337"/>
      <c r="C624" s="337"/>
      <c r="D624" s="326" t="s">
        <v>42</v>
      </c>
      <c r="E624" s="560" t="s">
        <v>95</v>
      </c>
      <c r="F624" s="18">
        <v>85</v>
      </c>
      <c r="G624" s="18" t="s">
        <v>73</v>
      </c>
      <c r="H624" s="335">
        <f>ROUND(($F$618)*((($F$622)*(($F$624)/($F$623+$F$624)))
/((($F$622)*(($F$623)/($F$623+$F$624)))+
(($F$622)*(($F$624)/($F$623+$F$624)))+
($F$620)+($F$621)+($F$625)+($F$626)+($F$627)+($F$628)+($F$629))),2)</f>
        <v>0.13</v>
      </c>
      <c r="I624" s="335" t="s">
        <v>73</v>
      </c>
      <c r="J624" s="337"/>
      <c r="K624" s="680">
        <f t="shared" si="76"/>
        <v>4.29</v>
      </c>
      <c r="L624" s="535"/>
      <c r="M624" s="552" t="str">
        <f t="shared" si="74"/>
        <v/>
      </c>
      <c r="N624" s="552"/>
      <c r="O624" s="552" t="str">
        <f t="shared" si="75"/>
        <v/>
      </c>
      <c r="P624" s="39"/>
    </row>
    <row r="625" spans="1:16" x14ac:dyDescent="0.35">
      <c r="A625" s="535" t="str">
        <f t="shared" si="73"/>
        <v/>
      </c>
      <c r="B625" s="330"/>
      <c r="C625" s="330"/>
      <c r="D625" s="326" t="s">
        <v>341</v>
      </c>
      <c r="E625" s="366" t="s">
        <v>764</v>
      </c>
      <c r="F625" s="22">
        <v>3</v>
      </c>
      <c r="G625" s="22" t="s">
        <v>73</v>
      </c>
      <c r="H625" s="328">
        <f>ROUND(($F$618)*((F625)/((($F$622)*(($F$623)/($F$623+$F$624)))+
(($F$622)*(($F$624)/($F$623+$F$624)))+
($F$620)+($F$621)+($F$625)+($F$626)+($F$627)+($F$628)+($F$629))),2)</f>
        <v>0.15</v>
      </c>
      <c r="I625" s="328" t="s">
        <v>73</v>
      </c>
      <c r="J625" s="330"/>
      <c r="K625" s="681">
        <f t="shared" si="76"/>
        <v>4.95</v>
      </c>
      <c r="L625" s="535"/>
      <c r="M625" s="552" t="str">
        <f t="shared" si="74"/>
        <v/>
      </c>
      <c r="N625" s="552"/>
      <c r="O625" s="552" t="str">
        <f t="shared" si="75"/>
        <v/>
      </c>
      <c r="P625" s="39"/>
    </row>
    <row r="626" spans="1:16" x14ac:dyDescent="0.35">
      <c r="A626" s="535" t="str">
        <f t="shared" si="73"/>
        <v/>
      </c>
      <c r="B626" s="337"/>
      <c r="C626" s="337"/>
      <c r="D626" s="326" t="s">
        <v>41</v>
      </c>
      <c r="E626" s="360" t="s">
        <v>779</v>
      </c>
      <c r="F626" s="18">
        <v>5</v>
      </c>
      <c r="G626" s="18" t="s">
        <v>73</v>
      </c>
      <c r="H626" s="335">
        <f t="shared" ref="H626:H629" si="78">ROUND(($F$618)*((F626)/((($F$622)*(($F$623)/($F$623+$F$624)))+
(($F$622)*(($F$624)/($F$623+$F$624)))+
($F$620)+($F$621)+($F$625)+($F$626)+($F$627)+($F$628)+($F$629))),2)</f>
        <v>0.25</v>
      </c>
      <c r="I626" s="335" t="s">
        <v>73</v>
      </c>
      <c r="J626" s="337"/>
      <c r="K626" s="680">
        <f t="shared" si="76"/>
        <v>8.25</v>
      </c>
      <c r="L626" s="535"/>
      <c r="M626" s="552" t="str">
        <f t="shared" si="74"/>
        <v/>
      </c>
      <c r="N626" s="552"/>
      <c r="O626" s="552" t="str">
        <f t="shared" si="75"/>
        <v/>
      </c>
      <c r="P626" s="39"/>
    </row>
    <row r="627" spans="1:16" x14ac:dyDescent="0.35">
      <c r="A627" s="535" t="str">
        <f t="shared" si="73"/>
        <v/>
      </c>
      <c r="B627" s="330"/>
      <c r="C627" s="330"/>
      <c r="D627" s="326" t="s">
        <v>325</v>
      </c>
      <c r="E627" s="366" t="s">
        <v>765</v>
      </c>
      <c r="F627" s="22">
        <v>20</v>
      </c>
      <c r="G627" s="22" t="s">
        <v>73</v>
      </c>
      <c r="H627" s="328">
        <f t="shared" si="78"/>
        <v>1.01</v>
      </c>
      <c r="I627" s="328" t="s">
        <v>73</v>
      </c>
      <c r="J627" s="330"/>
      <c r="K627" s="681">
        <f t="shared" si="76"/>
        <v>33.33</v>
      </c>
      <c r="L627" s="535"/>
      <c r="M627" s="552" t="str">
        <f t="shared" si="74"/>
        <v/>
      </c>
      <c r="N627" s="552"/>
      <c r="O627" s="552" t="str">
        <f t="shared" si="75"/>
        <v/>
      </c>
      <c r="P627" s="39"/>
    </row>
    <row r="628" spans="1:16" x14ac:dyDescent="0.35">
      <c r="A628" s="535" t="str">
        <f t="shared" si="73"/>
        <v/>
      </c>
      <c r="B628" s="337"/>
      <c r="C628" s="337"/>
      <c r="D628" s="326" t="s">
        <v>307</v>
      </c>
      <c r="E628" s="360" t="s">
        <v>766</v>
      </c>
      <c r="F628" s="18">
        <v>30</v>
      </c>
      <c r="G628" s="18" t="s">
        <v>73</v>
      </c>
      <c r="H628" s="335">
        <f t="shared" si="78"/>
        <v>1.52</v>
      </c>
      <c r="I628" s="335" t="s">
        <v>73</v>
      </c>
      <c r="J628" s="337"/>
      <c r="K628" s="680">
        <f t="shared" si="76"/>
        <v>50.160000000000004</v>
      </c>
      <c r="L628" s="535"/>
      <c r="M628" s="552" t="str">
        <f t="shared" si="74"/>
        <v/>
      </c>
      <c r="N628" s="552"/>
      <c r="O628" s="552" t="str">
        <f t="shared" si="75"/>
        <v/>
      </c>
      <c r="P628" s="39"/>
    </row>
    <row r="629" spans="1:16" x14ac:dyDescent="0.35">
      <c r="A629" s="535" t="str">
        <f t="shared" si="73"/>
        <v/>
      </c>
      <c r="B629" s="330"/>
      <c r="C629" s="330"/>
      <c r="D629" s="326" t="s">
        <v>381</v>
      </c>
      <c r="E629" s="366" t="s">
        <v>767</v>
      </c>
      <c r="F629" s="22">
        <v>200</v>
      </c>
      <c r="G629" s="22" t="s">
        <v>73</v>
      </c>
      <c r="H629" s="328">
        <f t="shared" si="78"/>
        <v>10.14</v>
      </c>
      <c r="I629" s="328" t="s">
        <v>73</v>
      </c>
      <c r="J629" s="330"/>
      <c r="K629" s="681">
        <f t="shared" si="76"/>
        <v>334.62</v>
      </c>
      <c r="L629" s="535"/>
      <c r="M629" s="552" t="str">
        <f t="shared" si="74"/>
        <v/>
      </c>
      <c r="N629" s="552"/>
      <c r="O629" s="552" t="str">
        <f t="shared" si="75"/>
        <v/>
      </c>
      <c r="P629" s="39"/>
    </row>
    <row r="630" spans="1:16" x14ac:dyDescent="0.35">
      <c r="A630" s="535" t="str">
        <f t="shared" si="73"/>
        <v/>
      </c>
      <c r="B630" s="337"/>
      <c r="C630" s="337"/>
      <c r="D630" s="355"/>
      <c r="E630" s="549" t="s">
        <v>769</v>
      </c>
      <c r="F630" s="378">
        <v>40</v>
      </c>
      <c r="G630" s="378" t="s">
        <v>73</v>
      </c>
      <c r="H630" s="356"/>
      <c r="I630" s="356"/>
      <c r="J630" s="515"/>
      <c r="K630" s="684"/>
      <c r="L630" s="535"/>
      <c r="M630" s="552" t="str">
        <f t="shared" si="74"/>
        <v/>
      </c>
      <c r="N630" s="552"/>
      <c r="O630" s="552" t="str">
        <f t="shared" si="75"/>
        <v/>
      </c>
      <c r="P630" s="39"/>
    </row>
    <row r="631" spans="1:16" x14ac:dyDescent="0.35">
      <c r="A631" s="535" t="str">
        <f t="shared" si="73"/>
        <v/>
      </c>
      <c r="B631" s="330"/>
      <c r="C631" s="330"/>
      <c r="D631" s="326" t="s">
        <v>521</v>
      </c>
      <c r="E631" s="366" t="s">
        <v>906</v>
      </c>
      <c r="F631" s="22">
        <v>200</v>
      </c>
      <c r="G631" s="22" t="s">
        <v>73</v>
      </c>
      <c r="H631" s="328">
        <f>ROUND(($F$630)*(($F$631)/((($F$632)*(($F$633)/($F$633+$F$634)))+
(($F$632)*(($F$634)/($F$633+$F$634)))+
(($F$635)*(($F$636)/($F$636+$F$637)))+
(($F$635)*(($F$637)/($F$636+$F$637)))+
($F$631)+($F$638)+($F$639))),2)</f>
        <v>33.200000000000003</v>
      </c>
      <c r="I631" s="328" t="s">
        <v>73</v>
      </c>
      <c r="J631" s="330"/>
      <c r="K631" s="681">
        <f t="shared" si="76"/>
        <v>1095.6000000000001</v>
      </c>
      <c r="L631" s="535"/>
      <c r="M631" s="552" t="str">
        <f t="shared" si="74"/>
        <v/>
      </c>
      <c r="N631" s="552"/>
      <c r="O631" s="552" t="str">
        <f t="shared" si="75"/>
        <v/>
      </c>
      <c r="P631" s="39"/>
    </row>
    <row r="632" spans="1:16" x14ac:dyDescent="0.35">
      <c r="A632" s="535" t="str">
        <f t="shared" si="73"/>
        <v/>
      </c>
      <c r="B632" s="337"/>
      <c r="C632" s="337"/>
      <c r="D632" s="355"/>
      <c r="E632" s="567" t="s">
        <v>770</v>
      </c>
      <c r="F632" s="378">
        <v>30</v>
      </c>
      <c r="G632" s="378" t="s">
        <v>73</v>
      </c>
      <c r="H632" s="356"/>
      <c r="I632" s="356"/>
      <c r="J632" s="515"/>
      <c r="K632" s="684"/>
      <c r="L632" s="535"/>
      <c r="M632" s="552" t="str">
        <f t="shared" si="74"/>
        <v/>
      </c>
      <c r="N632" s="552"/>
      <c r="O632" s="552" t="str">
        <f t="shared" si="75"/>
        <v/>
      </c>
      <c r="P632" s="39"/>
    </row>
    <row r="633" spans="1:16" x14ac:dyDescent="0.35">
      <c r="A633" s="535" t="str">
        <f t="shared" si="73"/>
        <v/>
      </c>
      <c r="B633" s="330"/>
      <c r="C633" s="330"/>
      <c r="D633" s="326" t="s">
        <v>537</v>
      </c>
      <c r="E633" s="495" t="s">
        <v>771</v>
      </c>
      <c r="F633" s="22">
        <v>1</v>
      </c>
      <c r="G633" s="22" t="s">
        <v>73</v>
      </c>
      <c r="H633" s="328">
        <f>ROUND(($F$630)*((($F$632)*(($F$633)/($F$633+$F$634)))
/((($F$632)*(($F$633)/($F$633+$F$634)))+
(($F$632)*(($F$634)/($F$633+$F$634)))+
(($F$635)*(($F$636)/($F$636+$F$637)))+
(($F$635)*(($F$637)/($F$636+$F$637)))+
($F$631)+($F$638)+($F$639))),2)</f>
        <v>0.05</v>
      </c>
      <c r="I633" s="328" t="s">
        <v>73</v>
      </c>
      <c r="J633" s="330"/>
      <c r="K633" s="681">
        <f t="shared" si="76"/>
        <v>1.6500000000000001</v>
      </c>
      <c r="L633" s="535"/>
      <c r="M633" s="552" t="str">
        <f t="shared" si="74"/>
        <v/>
      </c>
      <c r="N633" s="552"/>
      <c r="O633" s="552" t="str">
        <f t="shared" si="75"/>
        <v/>
      </c>
      <c r="P633" s="39"/>
    </row>
    <row r="634" spans="1:16" x14ac:dyDescent="0.35">
      <c r="A634" s="535" t="str">
        <f t="shared" si="73"/>
        <v/>
      </c>
      <c r="B634" s="337"/>
      <c r="C634" s="337"/>
      <c r="D634" s="342"/>
      <c r="E634" s="561" t="s">
        <v>81</v>
      </c>
      <c r="F634" s="404">
        <v>100</v>
      </c>
      <c r="G634" s="404" t="s">
        <v>73</v>
      </c>
      <c r="H634" s="343">
        <f>ROUND(($F$630)*((($F$632)*(($F$634)/($F$633+$F$634)))
/((($F$632)*(($F$633)/($F$633+$F$634)))+
(($F$632)*(($F$634)/($F$633+$F$634)))+
(($F$635)*(($F$636)/($F$636+$F$637)))+
(($F$635)*(($F$637)/($F$636+$F$637)))+
($F$631)+($F$638)+($F$639))),2)</f>
        <v>4.93</v>
      </c>
      <c r="I634" s="343"/>
      <c r="J634" s="345"/>
      <c r="K634" s="685"/>
      <c r="L634" s="535"/>
      <c r="M634" s="552" t="str">
        <f t="shared" si="74"/>
        <v/>
      </c>
      <c r="N634" s="552"/>
      <c r="O634" s="552" t="str">
        <f t="shared" si="75"/>
        <v/>
      </c>
      <c r="P634" s="39"/>
    </row>
    <row r="635" spans="1:16" x14ac:dyDescent="0.35">
      <c r="A635" s="535" t="str">
        <f t="shared" si="73"/>
        <v/>
      </c>
      <c r="B635" s="330"/>
      <c r="C635" s="330"/>
      <c r="D635" s="355"/>
      <c r="E635" s="567" t="s">
        <v>726</v>
      </c>
      <c r="F635" s="378">
        <v>2</v>
      </c>
      <c r="G635" s="378" t="s">
        <v>73</v>
      </c>
      <c r="H635" s="356"/>
      <c r="I635" s="356"/>
      <c r="J635" s="515"/>
      <c r="K635" s="684"/>
      <c r="L635" s="535"/>
      <c r="M635" s="552" t="str">
        <f t="shared" si="74"/>
        <v/>
      </c>
      <c r="N635" s="552"/>
      <c r="O635" s="552" t="str">
        <f t="shared" si="75"/>
        <v/>
      </c>
      <c r="P635" s="39"/>
    </row>
    <row r="636" spans="1:16" x14ac:dyDescent="0.35">
      <c r="A636" s="535" t="str">
        <f t="shared" si="73"/>
        <v/>
      </c>
      <c r="B636" s="337"/>
      <c r="C636" s="337"/>
      <c r="D636" s="326" t="s">
        <v>43</v>
      </c>
      <c r="E636" s="560" t="s">
        <v>105</v>
      </c>
      <c r="F636" s="18">
        <v>15</v>
      </c>
      <c r="G636" s="18" t="s">
        <v>73</v>
      </c>
      <c r="H636" s="335">
        <f>ROUND(($F$630)*((($F$635)*(($F$636)/($F$636+$F$637)))
/((($F$632)*(($F$633)/($F$633+$F$634)))+
(($F$632)*(($F$634)/($F$633+$F$634)))+
(($F$635)*(($F$636)/($F$636+$F$637)))+
(($F$635)*(($F$637)/($F$636+$F$637)))+
($F$631)+($F$638)+($F$639))),2)</f>
        <v>0.05</v>
      </c>
      <c r="I636" s="335" t="s">
        <v>73</v>
      </c>
      <c r="J636" s="337"/>
      <c r="K636" s="680">
        <f t="shared" si="76"/>
        <v>1.6500000000000001</v>
      </c>
      <c r="L636" s="535"/>
      <c r="M636" s="552" t="str">
        <f t="shared" si="74"/>
        <v/>
      </c>
      <c r="N636" s="552"/>
      <c r="O636" s="552" t="str">
        <f t="shared" si="75"/>
        <v/>
      </c>
      <c r="P636" s="39"/>
    </row>
    <row r="637" spans="1:16" x14ac:dyDescent="0.35">
      <c r="A637" s="535" t="str">
        <f t="shared" si="73"/>
        <v/>
      </c>
      <c r="B637" s="330"/>
      <c r="C637" s="330"/>
      <c r="D637" s="326" t="s">
        <v>42</v>
      </c>
      <c r="E637" s="495" t="s">
        <v>95</v>
      </c>
      <c r="F637" s="22">
        <v>85</v>
      </c>
      <c r="G637" s="22" t="s">
        <v>73</v>
      </c>
      <c r="H637" s="328">
        <f>ROUND(($F$630)*((($F$635)*(($F$637)/($F$636+$F$637)))
/((($F$632)*(($F$633)/($F$633+$F$634)))+
(($F$632)*(($F$634)/($F$633+$F$634)))+
(($F$635)*(($F$636)/($F$636+$F$637)))+
(($F$635)*(($F$637)/($F$636+$F$637)))+
($F$631)+($F$638)+($F$639))),2)</f>
        <v>0.28000000000000003</v>
      </c>
      <c r="I637" s="328" t="s">
        <v>73</v>
      </c>
      <c r="J637" s="330"/>
      <c r="K637" s="681">
        <f t="shared" si="76"/>
        <v>9.24</v>
      </c>
      <c r="L637" s="535"/>
      <c r="M637" s="552" t="str">
        <f t="shared" si="74"/>
        <v/>
      </c>
      <c r="N637" s="552"/>
      <c r="O637" s="552" t="str">
        <f t="shared" si="75"/>
        <v/>
      </c>
      <c r="P637" s="39"/>
    </row>
    <row r="638" spans="1:16" x14ac:dyDescent="0.35">
      <c r="A638" s="535" t="str">
        <f t="shared" si="73"/>
        <v/>
      </c>
      <c r="B638" s="337"/>
      <c r="C638" s="337"/>
      <c r="D638" s="326" t="s">
        <v>517</v>
      </c>
      <c r="E638" s="360" t="s">
        <v>724</v>
      </c>
      <c r="F638" s="18">
        <v>8</v>
      </c>
      <c r="G638" s="18" t="s">
        <v>73</v>
      </c>
      <c r="H638" s="335">
        <f>ROUND(($F$630)*((F638)/((($F$632)*(($F$633)/($F$633+$F$634)))+
(($F$632)*(($F$634)/($F$633+$F$634)))+
(($F$635)*(($F$636)/($F$636+$F$637)))+
(($F$635)*(($F$637)/($F$636+$F$637)))+
($F$631)+($F$638)+($F$639))),2)</f>
        <v>1.33</v>
      </c>
      <c r="I638" s="335" t="s">
        <v>73</v>
      </c>
      <c r="J638" s="337"/>
      <c r="K638" s="680">
        <f t="shared" si="76"/>
        <v>43.89</v>
      </c>
      <c r="L638" s="535"/>
      <c r="M638" s="552" t="str">
        <f t="shared" si="74"/>
        <v/>
      </c>
      <c r="N638" s="552"/>
      <c r="O638" s="552" t="str">
        <f t="shared" si="75"/>
        <v/>
      </c>
      <c r="P638" s="39"/>
    </row>
    <row r="639" spans="1:16" x14ac:dyDescent="0.35">
      <c r="A639" s="535" t="str">
        <f t="shared" si="73"/>
        <v/>
      </c>
      <c r="B639" s="330"/>
      <c r="C639" s="330"/>
      <c r="D639" s="326" t="s">
        <v>45</v>
      </c>
      <c r="E639" s="366" t="s">
        <v>101</v>
      </c>
      <c r="F639" s="22">
        <v>1</v>
      </c>
      <c r="G639" s="22" t="s">
        <v>73</v>
      </c>
      <c r="H639" s="328">
        <f>ROUND(($F$630)*((F639)/((($F$632)*(($F$633)/($F$633+$F$634)))+
(($F$632)*(($F$634)/($F$633+$F$634)))+
(($F$635)*(($F$636)/($F$636+$F$637)))+
(($F$635)*(($F$637)/($F$636+$F$637)))+
($F$631)+($F$638)+($F$639))),2)</f>
        <v>0.17</v>
      </c>
      <c r="I639" s="328" t="s">
        <v>73</v>
      </c>
      <c r="J639" s="330"/>
      <c r="K639" s="681">
        <f t="shared" si="76"/>
        <v>5.61</v>
      </c>
      <c r="L639" s="535"/>
      <c r="M639" s="552" t="str">
        <f t="shared" si="74"/>
        <v/>
      </c>
      <c r="N639" s="552"/>
      <c r="O639" s="552" t="str">
        <f t="shared" si="75"/>
        <v/>
      </c>
      <c r="P639" s="39"/>
    </row>
    <row r="640" spans="1:16" x14ac:dyDescent="0.35">
      <c r="A640" s="535" t="str">
        <f t="shared" si="73"/>
        <v/>
      </c>
      <c r="B640" s="337"/>
      <c r="C640" s="337"/>
      <c r="D640" s="355"/>
      <c r="E640" s="549" t="s">
        <v>774</v>
      </c>
      <c r="F640" s="378">
        <v>10</v>
      </c>
      <c r="G640" s="378" t="s">
        <v>73</v>
      </c>
      <c r="H640" s="356"/>
      <c r="I640" s="356"/>
      <c r="J640" s="515"/>
      <c r="K640" s="684"/>
      <c r="L640" s="535"/>
      <c r="M640" s="552" t="str">
        <f t="shared" si="74"/>
        <v/>
      </c>
      <c r="N640" s="552"/>
      <c r="O640" s="552" t="str">
        <f t="shared" si="75"/>
        <v/>
      </c>
      <c r="P640" s="39"/>
    </row>
    <row r="641" spans="1:16" x14ac:dyDescent="0.35">
      <c r="A641" s="535" t="str">
        <f t="shared" si="73"/>
        <v/>
      </c>
      <c r="B641" s="330"/>
      <c r="C641" s="330"/>
      <c r="D641" s="342"/>
      <c r="E641" s="362" t="s">
        <v>81</v>
      </c>
      <c r="F641" s="404">
        <v>600</v>
      </c>
      <c r="G641" s="404" t="s">
        <v>73</v>
      </c>
      <c r="H641" s="343"/>
      <c r="I641" s="343"/>
      <c r="J641" s="345"/>
      <c r="K641" s="685"/>
      <c r="L641" s="535"/>
      <c r="M641" s="552" t="str">
        <f t="shared" si="74"/>
        <v/>
      </c>
      <c r="N641" s="552"/>
      <c r="O641" s="552" t="str">
        <f t="shared" si="75"/>
        <v/>
      </c>
      <c r="P641" s="39"/>
    </row>
    <row r="642" spans="1:16" x14ac:dyDescent="0.35">
      <c r="A642" s="535" t="str">
        <f t="shared" si="73"/>
        <v/>
      </c>
      <c r="B642" s="337"/>
      <c r="C642" s="337"/>
      <c r="D642" s="326" t="s">
        <v>529</v>
      </c>
      <c r="E642" s="360" t="s">
        <v>775</v>
      </c>
      <c r="F642" s="18">
        <v>16</v>
      </c>
      <c r="G642" s="18" t="s">
        <v>73</v>
      </c>
      <c r="H642" s="335">
        <f>ROUND(($F$640)*((F642)/(($F$644)*(($F$645)/($F$645+$F$646))+
($F$644)*(($F$646)/($F$645+$F$646))+
($F$642)+($F$643)+($F$647))),2)</f>
        <v>0.51</v>
      </c>
      <c r="I642" s="335" t="s">
        <v>73</v>
      </c>
      <c r="J642" s="337"/>
      <c r="K642" s="680">
        <f t="shared" si="76"/>
        <v>16.830000000000002</v>
      </c>
      <c r="L642" s="535"/>
      <c r="M642" s="552" t="str">
        <f t="shared" si="74"/>
        <v/>
      </c>
      <c r="N642" s="552"/>
      <c r="O642" s="552" t="str">
        <f t="shared" si="75"/>
        <v/>
      </c>
      <c r="P642" s="39"/>
    </row>
    <row r="643" spans="1:16" x14ac:dyDescent="0.35">
      <c r="A643" s="535" t="str">
        <f t="shared" si="73"/>
        <v/>
      </c>
      <c r="B643" s="330"/>
      <c r="C643" s="330"/>
      <c r="D643" s="326" t="s">
        <v>333</v>
      </c>
      <c r="E643" s="366" t="s">
        <v>756</v>
      </c>
      <c r="F643" s="22">
        <v>70</v>
      </c>
      <c r="G643" s="22" t="s">
        <v>73</v>
      </c>
      <c r="H643" s="328">
        <f>ROUND(($F$640)*((F643)/(($F$644)*(($F$645)/($F$645+$F$646))+
($F$644)*(($F$646)/($F$645+$F$646))+
($F$642)+($F$643)+($F$647))),2)</f>
        <v>2.2200000000000002</v>
      </c>
      <c r="I643" s="328" t="s">
        <v>73</v>
      </c>
      <c r="J643" s="330"/>
      <c r="K643" s="681">
        <f t="shared" si="76"/>
        <v>73.260000000000005</v>
      </c>
      <c r="L643" s="535"/>
      <c r="M643" s="552" t="str">
        <f t="shared" si="74"/>
        <v/>
      </c>
      <c r="N643" s="552"/>
      <c r="O643" s="552" t="str">
        <f t="shared" si="75"/>
        <v/>
      </c>
      <c r="P643" s="39"/>
    </row>
    <row r="644" spans="1:16" x14ac:dyDescent="0.35">
      <c r="A644" s="535" t="str">
        <f t="shared" si="73"/>
        <v/>
      </c>
      <c r="B644" s="337"/>
      <c r="C644" s="337"/>
      <c r="D644" s="355"/>
      <c r="E644" s="567" t="s">
        <v>776</v>
      </c>
      <c r="F644" s="378">
        <v>200</v>
      </c>
      <c r="G644" s="378" t="s">
        <v>73</v>
      </c>
      <c r="H644" s="356"/>
      <c r="I644" s="356"/>
      <c r="J644" s="515"/>
      <c r="K644" s="684"/>
      <c r="L644" s="535"/>
      <c r="M644" s="552" t="str">
        <f t="shared" si="74"/>
        <v/>
      </c>
      <c r="N644" s="552"/>
      <c r="O644" s="552" t="str">
        <f t="shared" si="75"/>
        <v/>
      </c>
      <c r="P644" s="39"/>
    </row>
    <row r="645" spans="1:16" x14ac:dyDescent="0.35">
      <c r="A645" s="535" t="str">
        <f t="shared" si="73"/>
        <v/>
      </c>
      <c r="B645" s="330"/>
      <c r="C645" s="330"/>
      <c r="D645" s="326" t="s">
        <v>377</v>
      </c>
      <c r="E645" s="495" t="s">
        <v>777</v>
      </c>
      <c r="F645" s="22">
        <v>500</v>
      </c>
      <c r="G645" s="22" t="s">
        <v>73</v>
      </c>
      <c r="H645" s="328">
        <f>ROUND(($F$640)*(($F$644)*(($F$645)/($F$645+$F$646))
/(($F$644)*(($F$645)/($F$645+$F$646))+
($F$644)*(($F$646)/($F$645+$F$646))+
($F$642)+($F$643)+($F$647))),2)</f>
        <v>6.21</v>
      </c>
      <c r="I645" s="328" t="s">
        <v>73</v>
      </c>
      <c r="J645" s="330"/>
      <c r="K645" s="681">
        <f t="shared" si="76"/>
        <v>204.93</v>
      </c>
      <c r="L645" s="535"/>
      <c r="M645" s="552" t="str">
        <f t="shared" si="74"/>
        <v/>
      </c>
      <c r="N645" s="552"/>
      <c r="O645" s="552" t="str">
        <f t="shared" si="75"/>
        <v/>
      </c>
      <c r="P645" s="39"/>
    </row>
    <row r="646" spans="1:16" x14ac:dyDescent="0.35">
      <c r="A646" s="535" t="str">
        <f t="shared" si="73"/>
        <v/>
      </c>
      <c r="B646" s="337"/>
      <c r="C646" s="337"/>
      <c r="D646" s="326" t="s">
        <v>43</v>
      </c>
      <c r="E646" s="560" t="s">
        <v>105</v>
      </c>
      <c r="F646" s="18">
        <v>10</v>
      </c>
      <c r="G646" s="18" t="s">
        <v>73</v>
      </c>
      <c r="H646" s="335">
        <f>ROUND(($F$640)*(($F$644)*(($F$646)/($F$645+$F$646))
/(($F$644)*(($F$645)/($F$645+$F$646))+
($F$644)*(($F$646)/($F$645+$F$646))+
($F$642)+($F$643)+($F$647))),2)</f>
        <v>0.12</v>
      </c>
      <c r="I646" s="335" t="s">
        <v>73</v>
      </c>
      <c r="J646" s="337"/>
      <c r="K646" s="680">
        <f t="shared" si="76"/>
        <v>3.96</v>
      </c>
      <c r="L646" s="535"/>
      <c r="M646" s="552" t="str">
        <f t="shared" si="74"/>
        <v/>
      </c>
      <c r="N646" s="552"/>
      <c r="O646" s="552" t="str">
        <f t="shared" si="75"/>
        <v/>
      </c>
      <c r="P646" s="39"/>
    </row>
    <row r="647" spans="1:16" x14ac:dyDescent="0.35">
      <c r="A647" s="535" t="str">
        <f t="shared" si="73"/>
        <v/>
      </c>
      <c r="B647" s="330"/>
      <c r="C647" s="330"/>
      <c r="D647" s="326" t="s">
        <v>389</v>
      </c>
      <c r="E647" s="366" t="s">
        <v>778</v>
      </c>
      <c r="F647" s="22">
        <v>30</v>
      </c>
      <c r="G647" s="22" t="s">
        <v>73</v>
      </c>
      <c r="H647" s="328">
        <f>ROUND(($F$640)*(($F$647)/(($F$644)*(($F$645)/($F$645+$F$646))+
($F$644)*(($F$646)/($F$645+$F$646))+
($F$642)+($F$643)+($F$647))),2)</f>
        <v>0.95</v>
      </c>
      <c r="I647" s="328" t="s">
        <v>73</v>
      </c>
      <c r="J647" s="330"/>
      <c r="K647" s="681">
        <f t="shared" si="76"/>
        <v>31.349999999999998</v>
      </c>
      <c r="L647" s="535"/>
      <c r="M647" s="552" t="str">
        <f t="shared" si="74"/>
        <v/>
      </c>
      <c r="N647" s="552"/>
      <c r="O647" s="552" t="str">
        <f t="shared" si="75"/>
        <v/>
      </c>
      <c r="P647" s="39"/>
    </row>
    <row r="648" spans="1:16" x14ac:dyDescent="0.35">
      <c r="A648" s="535" t="str">
        <f t="shared" si="73"/>
        <v/>
      </c>
      <c r="B648" s="337"/>
      <c r="C648" s="337"/>
      <c r="D648" s="355"/>
      <c r="E648" s="549" t="s">
        <v>785</v>
      </c>
      <c r="F648" s="378">
        <v>20</v>
      </c>
      <c r="G648" s="378" t="s">
        <v>73</v>
      </c>
      <c r="H648" s="356"/>
      <c r="I648" s="356"/>
      <c r="J648" s="515"/>
      <c r="K648" s="684"/>
      <c r="L648" s="535"/>
      <c r="M648" s="552" t="str">
        <f t="shared" si="74"/>
        <v/>
      </c>
      <c r="N648" s="552"/>
      <c r="O648" s="552" t="str">
        <f t="shared" si="75"/>
        <v/>
      </c>
      <c r="P648" s="39"/>
    </row>
    <row r="649" spans="1:16" x14ac:dyDescent="0.35">
      <c r="A649" s="535" t="str">
        <f t="shared" si="73"/>
        <v/>
      </c>
      <c r="B649" s="330"/>
      <c r="C649" s="330"/>
      <c r="D649" s="355"/>
      <c r="E649" s="549" t="s">
        <v>780</v>
      </c>
      <c r="F649" s="378">
        <v>250</v>
      </c>
      <c r="G649" s="378" t="s">
        <v>73</v>
      </c>
      <c r="H649" s="356"/>
      <c r="I649" s="356"/>
      <c r="J649" s="515"/>
      <c r="K649" s="684"/>
      <c r="L649" s="535"/>
      <c r="M649" s="552" t="str">
        <f t="shared" si="74"/>
        <v/>
      </c>
      <c r="N649" s="552"/>
      <c r="O649" s="552" t="str">
        <f t="shared" si="75"/>
        <v/>
      </c>
      <c r="P649" s="39"/>
    </row>
    <row r="650" spans="1:16" x14ac:dyDescent="0.35">
      <c r="A650" s="535" t="str">
        <f t="shared" si="73"/>
        <v/>
      </c>
      <c r="B650" s="337"/>
      <c r="C650" s="337"/>
      <c r="D650" s="326" t="s">
        <v>1068</v>
      </c>
      <c r="E650" s="360" t="s">
        <v>1069</v>
      </c>
      <c r="F650" s="18">
        <v>60</v>
      </c>
      <c r="G650" s="18" t="s">
        <v>73</v>
      </c>
      <c r="H650" s="335">
        <f>ROUND(($F$648)*((($F$649)*(($F$650)/($F$650+$F$651)))
/((($F$649)*(($F$650)/($F$650+$F$651)))+
(($F$649)*(($F$651)/($F$650+$F$651)))+
($F$652))),2)</f>
        <v>7.84</v>
      </c>
      <c r="I650" s="335" t="s">
        <v>73</v>
      </c>
      <c r="J650" s="337"/>
      <c r="K650" s="680">
        <f t="shared" si="76"/>
        <v>258.71999999999997</v>
      </c>
      <c r="L650" s="535"/>
      <c r="M650" s="552" t="str">
        <f t="shared" si="74"/>
        <v/>
      </c>
      <c r="N650" s="552"/>
      <c r="O650" s="552" t="str">
        <f t="shared" si="75"/>
        <v/>
      </c>
      <c r="P650" s="39"/>
    </row>
    <row r="651" spans="1:16" x14ac:dyDescent="0.35">
      <c r="A651" s="535" t="str">
        <f t="shared" si="73"/>
        <v/>
      </c>
      <c r="B651" s="330"/>
      <c r="C651" s="330"/>
      <c r="D651" s="342"/>
      <c r="E651" s="362" t="s">
        <v>81</v>
      </c>
      <c r="F651" s="404">
        <v>90</v>
      </c>
      <c r="G651" s="404" t="s">
        <v>73</v>
      </c>
      <c r="H651" s="343">
        <f>ROUND(($F$648)*((($F$649)*(($F$651)/($F$650+$F$651)))
/((($F$649)*(($F$650)/($F$650+$F$651)))+
(($F$649)*(($F$651)/($F$650+$F$651)))+
($F$652))),2)</f>
        <v>11.76</v>
      </c>
      <c r="I651" s="343"/>
      <c r="J651" s="345"/>
      <c r="K651" s="685"/>
      <c r="L651" s="535"/>
      <c r="M651" s="552" t="str">
        <f t="shared" si="74"/>
        <v/>
      </c>
      <c r="N651" s="552"/>
      <c r="O651" s="552" t="str">
        <f t="shared" si="75"/>
        <v/>
      </c>
      <c r="P651" s="39"/>
    </row>
    <row r="652" spans="1:16" x14ac:dyDescent="0.35">
      <c r="A652" s="535" t="str">
        <f t="shared" si="73"/>
        <v/>
      </c>
      <c r="B652" s="337"/>
      <c r="C652" s="337"/>
      <c r="D652" s="326" t="s">
        <v>40</v>
      </c>
      <c r="E652" s="578" t="s">
        <v>104</v>
      </c>
      <c r="F652" s="458">
        <v>5</v>
      </c>
      <c r="G652" s="458" t="s">
        <v>73</v>
      </c>
      <c r="H652" s="335">
        <f>ROUND(($F$648)*(($F$652)/((($F$649)*(($F$650)/($F$650+$F$651)))+
(($F$649)*(($F$651)/($F$650+$F$651)))+
($F$652))),2)</f>
        <v>0.39</v>
      </c>
      <c r="I652" s="335" t="s">
        <v>73</v>
      </c>
      <c r="J652" s="337"/>
      <c r="K652" s="680">
        <f t="shared" si="76"/>
        <v>12.870000000000001</v>
      </c>
      <c r="L652" s="535"/>
      <c r="M652" s="552" t="str">
        <f t="shared" si="74"/>
        <v/>
      </c>
      <c r="N652" s="552"/>
      <c r="O652" s="552" t="str">
        <f t="shared" si="75"/>
        <v/>
      </c>
      <c r="P652" s="39"/>
    </row>
    <row r="653" spans="1:16" ht="15" thickBot="1" x14ac:dyDescent="0.4">
      <c r="A653" s="535" t="str">
        <f t="shared" si="73"/>
        <v/>
      </c>
      <c r="B653" s="330"/>
      <c r="C653" s="330"/>
      <c r="D653" s="326" t="s">
        <v>545</v>
      </c>
      <c r="E653" s="327" t="s">
        <v>546</v>
      </c>
      <c r="F653" s="22">
        <v>40</v>
      </c>
      <c r="G653" s="458" t="s">
        <v>73</v>
      </c>
      <c r="H653" s="328">
        <v>40</v>
      </c>
      <c r="I653" s="328" t="s">
        <v>73</v>
      </c>
      <c r="J653" s="330"/>
      <c r="K653" s="681">
        <f t="shared" si="76"/>
        <v>1320</v>
      </c>
      <c r="L653" s="535"/>
      <c r="M653" s="552" t="str">
        <f t="shared" si="74"/>
        <v/>
      </c>
      <c r="N653" s="552"/>
      <c r="O653" s="552" t="str">
        <f t="shared" si="75"/>
        <v/>
      </c>
      <c r="P653" s="39"/>
    </row>
    <row r="654" spans="1:16" ht="15.5" thickTop="1" thickBot="1" x14ac:dyDescent="0.4">
      <c r="A654" s="585" t="str">
        <f t="shared" si="73"/>
        <v/>
      </c>
      <c r="B654" s="574"/>
      <c r="C654" s="574"/>
      <c r="D654" s="575"/>
      <c r="E654" s="574"/>
      <c r="F654" s="574"/>
      <c r="G654" s="574"/>
      <c r="H654" s="574"/>
      <c r="I654" s="574"/>
      <c r="J654" s="574"/>
      <c r="K654" s="683"/>
      <c r="L654" s="535"/>
      <c r="M654" s="552" t="str">
        <f t="shared" si="74"/>
        <v/>
      </c>
      <c r="N654" s="552"/>
      <c r="O654" s="552" t="str">
        <f t="shared" si="75"/>
        <v/>
      </c>
      <c r="P654" s="39"/>
    </row>
    <row r="655" spans="1:16" ht="15" thickTop="1" x14ac:dyDescent="0.35">
      <c r="A655" s="565">
        <f>IFERROR(INDEX($Q$17:$Q$150,MATCH(B655,$R$17:$R$150, 0)), "")</f>
        <v>58</v>
      </c>
      <c r="B655" s="382" t="s">
        <v>1293</v>
      </c>
      <c r="C655" s="107" t="s">
        <v>794</v>
      </c>
      <c r="D655" s="347" t="s">
        <v>748</v>
      </c>
      <c r="E655" s="566" t="s">
        <v>749</v>
      </c>
      <c r="F655" s="438">
        <v>1</v>
      </c>
      <c r="G655" s="438" t="s">
        <v>1072</v>
      </c>
      <c r="H655" s="439">
        <v>1</v>
      </c>
      <c r="I655" s="439" t="s">
        <v>1072</v>
      </c>
      <c r="J655" s="533"/>
      <c r="K655" s="679">
        <f>(A655*H655)</f>
        <v>58</v>
      </c>
      <c r="L655" s="535"/>
      <c r="M655" s="552" t="str">
        <f t="shared" si="74"/>
        <v/>
      </c>
      <c r="N655" s="552"/>
      <c r="O655" s="552" t="str">
        <f t="shared" si="75"/>
        <v/>
      </c>
      <c r="P655" s="48"/>
    </row>
    <row r="656" spans="1:16" x14ac:dyDescent="0.35">
      <c r="A656" s="535" t="str">
        <f t="shared" ref="A656:A703" si="79">IFERROR(INDEX($Q$17:$Q$41,MATCH(B656,$R$17:$R$41, 0)), "")</f>
        <v/>
      </c>
      <c r="B656" s="337"/>
      <c r="C656" s="337"/>
      <c r="D656" s="326" t="s">
        <v>373</v>
      </c>
      <c r="E656" s="536" t="s">
        <v>772</v>
      </c>
      <c r="F656" s="18">
        <v>20</v>
      </c>
      <c r="G656" s="18" t="s">
        <v>73</v>
      </c>
      <c r="H656" s="335">
        <v>20</v>
      </c>
      <c r="I656" s="335" t="s">
        <v>73</v>
      </c>
      <c r="J656" s="337"/>
      <c r="K656" s="680">
        <f>(A655*H656)</f>
        <v>1160</v>
      </c>
      <c r="L656" s="535"/>
      <c r="M656" s="552" t="str">
        <f t="shared" si="74"/>
        <v/>
      </c>
      <c r="N656" s="552"/>
      <c r="O656" s="552" t="str">
        <f t="shared" si="75"/>
        <v/>
      </c>
      <c r="P656" s="39"/>
    </row>
    <row r="657" spans="1:16" x14ac:dyDescent="0.35">
      <c r="A657" s="535" t="str">
        <f t="shared" si="79"/>
        <v/>
      </c>
      <c r="B657" s="330"/>
      <c r="C657" s="330"/>
      <c r="D657" s="326" t="s">
        <v>41</v>
      </c>
      <c r="E657" s="544" t="s">
        <v>779</v>
      </c>
      <c r="F657" s="22">
        <v>2</v>
      </c>
      <c r="G657" s="22" t="s">
        <v>73</v>
      </c>
      <c r="H657" s="328">
        <v>2</v>
      </c>
      <c r="I657" s="328" t="s">
        <v>73</v>
      </c>
      <c r="J657" s="330"/>
      <c r="K657" s="681">
        <f>(A655*H657)</f>
        <v>116</v>
      </c>
      <c r="L657" s="535"/>
      <c r="M657" s="552" t="str">
        <f t="shared" ref="M657:M720" si="80">IF(Q656&gt;0, Q656, "")</f>
        <v/>
      </c>
      <c r="N657" s="552"/>
      <c r="O657" s="552" t="str">
        <f t="shared" ref="O657:O720" si="81">IF(V657&gt;0, V657, "")</f>
        <v/>
      </c>
      <c r="P657" s="39"/>
    </row>
    <row r="658" spans="1:16" x14ac:dyDescent="0.35">
      <c r="A658" s="535" t="str">
        <f t="shared" si="79"/>
        <v/>
      </c>
      <c r="B658" s="337"/>
      <c r="C658" s="337"/>
      <c r="D658" s="326" t="s">
        <v>491</v>
      </c>
      <c r="E658" s="334" t="s">
        <v>750</v>
      </c>
      <c r="F658" s="18">
        <v>1.25</v>
      </c>
      <c r="G658" s="18" t="s">
        <v>773</v>
      </c>
      <c r="H658" s="335">
        <v>1.25</v>
      </c>
      <c r="I658" s="335" t="s">
        <v>1072</v>
      </c>
      <c r="J658" s="337"/>
      <c r="K658" s="680">
        <f>(A655*H658)</f>
        <v>72.5</v>
      </c>
      <c r="L658" s="535"/>
      <c r="M658" s="552" t="str">
        <f t="shared" si="80"/>
        <v/>
      </c>
      <c r="N658" s="552"/>
      <c r="O658" s="552" t="str">
        <f t="shared" si="81"/>
        <v/>
      </c>
      <c r="P658" s="39"/>
    </row>
    <row r="659" spans="1:16" x14ac:dyDescent="0.35">
      <c r="A659" s="535" t="str">
        <f t="shared" si="79"/>
        <v/>
      </c>
      <c r="B659" s="330"/>
      <c r="C659" s="330"/>
      <c r="D659" s="355"/>
      <c r="E659" s="549" t="s">
        <v>751</v>
      </c>
      <c r="F659" s="378">
        <v>100</v>
      </c>
      <c r="G659" s="378" t="s">
        <v>73</v>
      </c>
      <c r="H659" s="515"/>
      <c r="I659" s="515"/>
      <c r="J659" s="515"/>
      <c r="K659" s="684"/>
      <c r="L659" s="535"/>
      <c r="M659" s="552" t="str">
        <f t="shared" si="80"/>
        <v/>
      </c>
      <c r="N659" s="552"/>
      <c r="O659" s="552" t="str">
        <f t="shared" si="81"/>
        <v/>
      </c>
      <c r="P659" s="39"/>
    </row>
    <row r="660" spans="1:16" x14ac:dyDescent="0.35">
      <c r="A660" s="535" t="str">
        <f t="shared" si="79"/>
        <v/>
      </c>
      <c r="B660" s="337"/>
      <c r="C660" s="337"/>
      <c r="D660" s="355"/>
      <c r="E660" s="567" t="s">
        <v>754</v>
      </c>
      <c r="F660" s="356">
        <v>2100</v>
      </c>
      <c r="G660" s="378" t="s">
        <v>73</v>
      </c>
      <c r="H660" s="515"/>
      <c r="I660" s="515"/>
      <c r="J660" s="515"/>
      <c r="K660" s="684"/>
      <c r="L660" s="535"/>
      <c r="M660" s="552" t="str">
        <f t="shared" si="80"/>
        <v/>
      </c>
      <c r="N660" s="552"/>
      <c r="O660" s="552" t="str">
        <f t="shared" si="81"/>
        <v/>
      </c>
      <c r="P660" s="39"/>
    </row>
    <row r="661" spans="1:16" x14ac:dyDescent="0.35">
      <c r="A661" s="535" t="str">
        <f t="shared" si="79"/>
        <v/>
      </c>
      <c r="B661" s="330"/>
      <c r="C661" s="330"/>
      <c r="D661" s="342"/>
      <c r="E661" s="561" t="s">
        <v>81</v>
      </c>
      <c r="F661" s="404">
        <v>1300</v>
      </c>
      <c r="G661" s="404" t="s">
        <v>73</v>
      </c>
      <c r="H661" s="343">
        <f>ROUND(($F$659)*((($F$660)*(($F$661)/($F$661+$F$662+$F$663)))
/((($F$660)*(($F$661)/($F$661+$F$662+$F$663)))+
(($F$660)*(($F$662)/($F$661+$F$662+$F$663)))+
(($F$660)*(($F$663)/($F$661+$F$662+$F$663)))+
(($F$664)*(($F$665)/($F$665+$F$666+$F$667+$F$668)))+
(($F$664)*(($F$666)/($F$665+$F$666+$F$667+$F$668)))+
(($F$664)*(($F$667)/($F$665+$F$666+$F$667+$F$668)))+
(($F$664)*(($F$668)/($F$665+$F$666+$F$667+$F$668)))+
($F$669)+($F$670))),2)</f>
        <v>53.47</v>
      </c>
      <c r="I661" s="345"/>
      <c r="J661" s="345"/>
      <c r="K661" s="685"/>
      <c r="L661" s="535"/>
      <c r="M661" s="552" t="str">
        <f t="shared" si="80"/>
        <v/>
      </c>
      <c r="N661" s="552"/>
      <c r="O661" s="552" t="str">
        <f t="shared" si="81"/>
        <v/>
      </c>
      <c r="P661" s="39"/>
    </row>
    <row r="662" spans="1:16" x14ac:dyDescent="0.35">
      <c r="A662" s="535" t="str">
        <f t="shared" si="79"/>
        <v/>
      </c>
      <c r="B662" s="337"/>
      <c r="C662" s="337"/>
      <c r="D662" s="326" t="s">
        <v>1660</v>
      </c>
      <c r="E662" s="560" t="s">
        <v>1897</v>
      </c>
      <c r="F662" s="18">
        <v>1000</v>
      </c>
      <c r="G662" s="18" t="s">
        <v>73</v>
      </c>
      <c r="H662" s="335">
        <f>ROUND(($F$659)*((($F$660)*(($F$662)/($F$661+$F$662+$F$663)))
/((($F$660)*(($F$661)/($F$661+$F$662+$F$663)))+
(($F$660)*(($F$662)/($F$661+$F$662+$F$663)))+
(($F$660)*(($F$663)/($F$661+$F$662+$F$663)))+
(($F$664)*(($F$665)/($F$665+$F$666+$F$667+$F$668)))+
(($F$664)*(($F$666)/($F$665+$F$666+$F$667+$F$668)))+
(($F$664)*(($F$667)/($F$665+$F$666+$F$667+$F$668)))+
(($F$664)*(($F$668)/($F$665+$F$666+$F$667+$F$668)))+
($F$669)+($F$670))),2)</f>
        <v>41.13</v>
      </c>
      <c r="I662" s="335" t="s">
        <v>73</v>
      </c>
      <c r="J662" s="337"/>
      <c r="K662" s="680">
        <f>(A655*H662)</f>
        <v>2385.54</v>
      </c>
      <c r="L662" s="535"/>
      <c r="M662" s="552" t="str">
        <f t="shared" si="80"/>
        <v/>
      </c>
      <c r="N662" s="552"/>
      <c r="O662" s="552" t="str">
        <f t="shared" si="81"/>
        <v/>
      </c>
      <c r="P662" s="39"/>
    </row>
    <row r="663" spans="1:16" x14ac:dyDescent="0.35">
      <c r="A663" s="535" t="str">
        <f t="shared" si="79"/>
        <v/>
      </c>
      <c r="B663" s="330"/>
      <c r="C663" s="330"/>
      <c r="D663" s="326"/>
      <c r="E663" s="495" t="s">
        <v>753</v>
      </c>
      <c r="F663" s="22">
        <v>0</v>
      </c>
      <c r="G663" s="22" t="s">
        <v>73</v>
      </c>
      <c r="H663" s="328">
        <f>ROUND(($F$659)*((($F$660)*(($F$663)/($F$661+$F$662+$F$663)))
/((($F$660)*(($F$661)/($F$661+$F$662+$F$663)))+
(($F$660)*(($F$662)/($F$661+$F$662+$F$663)))+
(($F$660)*(($F$663)/($F$661+$F$662+$F$663)))+
(($F$664)*(($F$665)/($F$665+$F$666+$F$667+$F$668)))+
(($F$664)*(($F$666)/($F$665+$F$666+$F$667+$F$668)))+
(($F$664)*(($F$667)/($F$665+$F$666+$F$667+$F$668)))+
(($F$664)*(($F$668)/($F$665+$F$666+$F$667+$F$668)))+
($F$669)+($F$670))),2)</f>
        <v>0</v>
      </c>
      <c r="I663" s="328" t="s">
        <v>73</v>
      </c>
      <c r="J663" s="330"/>
      <c r="K663" s="681">
        <f>(A655*H663)</f>
        <v>0</v>
      </c>
      <c r="L663" s="535"/>
      <c r="M663" s="552" t="str">
        <f t="shared" si="80"/>
        <v/>
      </c>
      <c r="N663" s="552"/>
      <c r="O663" s="552" t="str">
        <f t="shared" si="81"/>
        <v/>
      </c>
      <c r="P663" s="39"/>
    </row>
    <row r="664" spans="1:16" x14ac:dyDescent="0.35">
      <c r="A664" s="535" t="str">
        <f t="shared" si="79"/>
        <v/>
      </c>
      <c r="B664" s="337"/>
      <c r="C664" s="337"/>
      <c r="D664" s="355"/>
      <c r="E664" s="567" t="s">
        <v>755</v>
      </c>
      <c r="F664" s="378">
        <v>55</v>
      </c>
      <c r="G664" s="378" t="s">
        <v>73</v>
      </c>
      <c r="H664" s="356"/>
      <c r="I664" s="356"/>
      <c r="J664" s="515"/>
      <c r="K664" s="684"/>
      <c r="L664" s="535"/>
      <c r="M664" s="552" t="str">
        <f t="shared" si="80"/>
        <v/>
      </c>
      <c r="N664" s="552"/>
      <c r="O664" s="552" t="str">
        <f t="shared" si="81"/>
        <v/>
      </c>
      <c r="P664" s="39"/>
    </row>
    <row r="665" spans="1:16" x14ac:dyDescent="0.35">
      <c r="A665" s="535" t="str">
        <f t="shared" si="79"/>
        <v/>
      </c>
      <c r="B665" s="330"/>
      <c r="C665" s="330"/>
      <c r="D665" s="326" t="s">
        <v>333</v>
      </c>
      <c r="E665" s="495" t="s">
        <v>756</v>
      </c>
      <c r="F665" s="22">
        <v>20</v>
      </c>
      <c r="G665" s="22" t="s">
        <v>73</v>
      </c>
      <c r="H665" s="328">
        <f>ROUND(($F$659)*((($F$664)*(($F$665)/($F$665+$F$666+$F$667+$F$668)))
/((($F$660)*(($F$661)/($F$661+$F$662+$F$663)))+
(($F$660)*(($F$662)/($F$661+$F$662+$F$663)))+
(($F$660)*(($F$663)/($F$661+$F$662+$F$663)))+
(($F$664)*(($F$665)/($F$665+$F$666+$F$667+$F$668)))+
(($F$664)*(($F$666)/($F$665+$F$666+$F$667+$F$668)))+
(($F$664)*(($F$667)/($F$665+$F$666+$F$667+$F$668)))+
(($F$664)*(($F$668)/($F$665+$F$666+$F$667+$F$668)))+
($F$669)+($F$670))),2)</f>
        <v>0.2</v>
      </c>
      <c r="I665" s="328" t="s">
        <v>73</v>
      </c>
      <c r="J665" s="330"/>
      <c r="K665" s="681">
        <f>(A655*H665)</f>
        <v>11.600000000000001</v>
      </c>
      <c r="L665" s="535"/>
      <c r="M665" s="552" t="str">
        <f t="shared" si="80"/>
        <v/>
      </c>
      <c r="N665" s="552"/>
      <c r="O665" s="552" t="str">
        <f t="shared" si="81"/>
        <v/>
      </c>
      <c r="P665" s="39"/>
    </row>
    <row r="666" spans="1:16" x14ac:dyDescent="0.35">
      <c r="A666" s="535" t="str">
        <f t="shared" si="79"/>
        <v/>
      </c>
      <c r="B666" s="337"/>
      <c r="C666" s="337"/>
      <c r="D666" s="326" t="s">
        <v>43</v>
      </c>
      <c r="E666" s="560" t="s">
        <v>105</v>
      </c>
      <c r="F666" s="18">
        <v>20</v>
      </c>
      <c r="G666" s="18" t="s">
        <v>73</v>
      </c>
      <c r="H666" s="335">
        <f>ROUND(($F$659)*((($F$664)*(($F$666)/($F$665+$F$666+$F$667+$F$668)))
/((($F$660)*(($F$661)/($F$661+$F$662+$F$663)))+
(($F$660)*(($F$662)/($F$661+$F$662+$F$663)))+
(($F$660)*(($F$663)/($F$661+$F$662+$F$663)))+
(($F$664)*(($F$665)/($F$665+$F$666+$F$667+$F$668)))+
(($F$664)*(($F$666)/($F$665+$F$666+$F$667+$F$668)))+
(($F$664)*(($F$667)/($F$665+$F$666+$F$667+$F$668)))+
(($F$664)*(($F$668)/($F$665+$F$666+$F$667+$F$668)))+
($F$669)+($F$670))),2)</f>
        <v>0.2</v>
      </c>
      <c r="I666" s="335" t="s">
        <v>73</v>
      </c>
      <c r="J666" s="337"/>
      <c r="K666" s="680">
        <f>(A655*H666)</f>
        <v>11.600000000000001</v>
      </c>
      <c r="L666" s="535"/>
      <c r="M666" s="552" t="str">
        <f t="shared" si="80"/>
        <v/>
      </c>
      <c r="N666" s="552"/>
      <c r="O666" s="552" t="str">
        <f t="shared" si="81"/>
        <v/>
      </c>
      <c r="P666" s="39"/>
    </row>
    <row r="667" spans="1:16" x14ac:dyDescent="0.35">
      <c r="A667" s="535" t="str">
        <f t="shared" si="79"/>
        <v/>
      </c>
      <c r="B667" s="330"/>
      <c r="C667" s="330"/>
      <c r="D667" s="326" t="s">
        <v>42</v>
      </c>
      <c r="E667" s="495" t="s">
        <v>66</v>
      </c>
      <c r="F667" s="22">
        <v>2</v>
      </c>
      <c r="G667" s="22" t="s">
        <v>73</v>
      </c>
      <c r="H667" s="328">
        <f>ROUND(($F$659)*((($F$664)*(($F$667)/($F$665+$F$666+$F$667+$F$668)))
/((($F$660)*(($F$661)/($F$661+$F$662+$F$663)))+
(($F$660)*(($F$662)/($F$661+$F$662+$F$663)))+
(($F$660)*(($F$663)/($F$661+$F$662+$F$663)))+
(($F$664)*(($F$665)/($F$665+$F$666+$F$667+$F$668)))+
(($F$664)*(($F$666)/($F$665+$F$666+$F$667+$F$668)))+
(($F$664)*(($F$667)/($F$665+$F$666+$F$667+$F$668)))+
(($F$664)*(($F$668)/($F$665+$F$666+$F$667+$F$668)))+
($F$669)+($F$670))),2)</f>
        <v>0.02</v>
      </c>
      <c r="I667" s="328" t="s">
        <v>73</v>
      </c>
      <c r="J667" s="330"/>
      <c r="K667" s="681">
        <f>(A655*H667)</f>
        <v>1.1599999999999999</v>
      </c>
      <c r="L667" s="535"/>
      <c r="M667" s="552" t="str">
        <f t="shared" si="80"/>
        <v/>
      </c>
      <c r="N667" s="552"/>
      <c r="O667" s="552" t="str">
        <f t="shared" si="81"/>
        <v/>
      </c>
      <c r="P667" s="39"/>
    </row>
    <row r="668" spans="1:16" x14ac:dyDescent="0.35">
      <c r="A668" s="535" t="str">
        <f t="shared" si="79"/>
        <v/>
      </c>
      <c r="B668" s="337"/>
      <c r="C668" s="337"/>
      <c r="D668" s="342"/>
      <c r="E668" s="561" t="s">
        <v>81</v>
      </c>
      <c r="F668" s="404">
        <v>200</v>
      </c>
      <c r="G668" s="404" t="s">
        <v>73</v>
      </c>
      <c r="H668" s="343">
        <f>ROUND(($F$659)*((($F$664)*(($F$668)/($F$665+$F$666+$F$667+$F$668)))
/((($F$660)*(($F$661)/($F$661+$F$662+$F$663)))+
(($F$660)*(($F$662)/($F$661+$F$662+$F$663)))+
(($F$660)*(($F$663)/($F$661+$F$662+$F$663)))+
(($F$664)*(($F$665)/($F$665+$F$666+$F$667+$F$668)))+
(($F$664)*(($F$666)/($F$665+$F$666+$F$667+$F$668)))+
(($F$664)*(($F$667)/($F$665+$F$666+$F$667+$F$668)))+
(($F$664)*(($F$668)/($F$665+$F$666+$F$667+$F$668)))+
($F$669)+($F$670))),2)</f>
        <v>2.0499999999999998</v>
      </c>
      <c r="I668" s="343"/>
      <c r="J668" s="345"/>
      <c r="K668" s="685"/>
      <c r="L668" s="535"/>
      <c r="M668" s="552" t="str">
        <f t="shared" si="80"/>
        <v/>
      </c>
      <c r="N668" s="552"/>
      <c r="O668" s="552" t="str">
        <f t="shared" si="81"/>
        <v/>
      </c>
      <c r="P668" s="39"/>
    </row>
    <row r="669" spans="1:16" x14ac:dyDescent="0.35">
      <c r="A669" s="535" t="str">
        <f t="shared" si="79"/>
        <v/>
      </c>
      <c r="B669" s="330"/>
      <c r="C669" s="330"/>
      <c r="D669" s="326" t="s">
        <v>41</v>
      </c>
      <c r="E669" s="366" t="s">
        <v>757</v>
      </c>
      <c r="F669" s="22">
        <v>55</v>
      </c>
      <c r="G669" s="22" t="s">
        <v>73</v>
      </c>
      <c r="H669" s="328">
        <f>ROUND(($F$659)*((F669)/((($F$660)*(($F$661)/($F$661+$F$662+$F$663)))+
(($F$660)*(($F$662)/($F$661+$F$662+$F$663)))+
(($F$660)*(($F$663)/($F$661+$F$662+$F$663)))+
(($F$664)*(($F$665)/($F$665+$F$666+$F$667+$F$668)))+
(($F$664)*(($F$666)/($F$665+$F$666+$F$667+$F$668)))+
(($F$664)*(($F$667)/($F$665+$F$666+$F$667+$F$668)))+
(($F$664)*(($F$668)/($F$665+$F$666+$F$667+$F$668)))+
($F$669)+($F$670))),2)</f>
        <v>2.48</v>
      </c>
      <c r="I669" s="328" t="s">
        <v>73</v>
      </c>
      <c r="J669" s="330"/>
      <c r="K669" s="681">
        <f>(A655*H669)</f>
        <v>143.84</v>
      </c>
      <c r="L669" s="535"/>
      <c r="M669" s="552" t="str">
        <f t="shared" si="80"/>
        <v/>
      </c>
      <c r="N669" s="552"/>
      <c r="O669" s="552" t="str">
        <f t="shared" si="81"/>
        <v/>
      </c>
      <c r="P669" s="39"/>
    </row>
    <row r="670" spans="1:16" x14ac:dyDescent="0.35">
      <c r="A670" s="535" t="str">
        <f t="shared" si="79"/>
        <v/>
      </c>
      <c r="B670" s="337"/>
      <c r="C670" s="337"/>
      <c r="D670" s="326" t="s">
        <v>505</v>
      </c>
      <c r="E670" s="360" t="s">
        <v>758</v>
      </c>
      <c r="F670" s="18">
        <v>10</v>
      </c>
      <c r="G670" s="18" t="s">
        <v>73</v>
      </c>
      <c r="H670" s="335">
        <f>ROUND(($F$659)*((F670)/((($F$660)*(($F$661)/($F$661+$F$662+$F$663)))+
(($F$660)*(($F$662)/($F$661+$F$662+$F$663)))+
(($F$660)*(($F$663)/($F$661+$F$662+$F$663)))+
(($F$664)*(($F$665)/($F$665+$F$666+$F$667+$F$668)))+
(($F$664)*(($F$666)/($F$665+$F$666+$F$667+$F$668)))+
(($F$664)*(($F$667)/($F$665+$F$666+$F$667+$F$668)))+
(($F$664)*(($F$668)/($F$665+$F$666+$F$667+$F$668)))+
($F$669)+($F$670))),2)</f>
        <v>0.45</v>
      </c>
      <c r="I670" s="335" t="s">
        <v>73</v>
      </c>
      <c r="J670" s="337"/>
      <c r="K670" s="680">
        <f>(A655*H670)</f>
        <v>26.1</v>
      </c>
      <c r="L670" s="535"/>
      <c r="M670" s="552" t="str">
        <f t="shared" si="80"/>
        <v/>
      </c>
      <c r="N670" s="552"/>
      <c r="O670" s="552" t="str">
        <f t="shared" si="81"/>
        <v/>
      </c>
      <c r="P670" s="39"/>
    </row>
    <row r="671" spans="1:16" x14ac:dyDescent="0.35">
      <c r="A671" s="535" t="str">
        <f t="shared" si="79"/>
        <v/>
      </c>
      <c r="B671" s="330"/>
      <c r="C671" s="330"/>
      <c r="D671" s="355"/>
      <c r="E671" s="549" t="s">
        <v>759</v>
      </c>
      <c r="F671" s="378">
        <v>30</v>
      </c>
      <c r="G671" s="378" t="s">
        <v>73</v>
      </c>
      <c r="H671" s="515"/>
      <c r="I671" s="356"/>
      <c r="J671" s="515"/>
      <c r="K671" s="684"/>
      <c r="L671" s="535"/>
      <c r="M671" s="552" t="str">
        <f t="shared" si="80"/>
        <v/>
      </c>
      <c r="N671" s="552"/>
      <c r="O671" s="552" t="str">
        <f t="shared" si="81"/>
        <v/>
      </c>
      <c r="P671" s="39"/>
    </row>
    <row r="672" spans="1:16" x14ac:dyDescent="0.35">
      <c r="A672" s="535" t="str">
        <f t="shared" si="79"/>
        <v/>
      </c>
      <c r="B672" s="337"/>
      <c r="C672" s="337"/>
      <c r="D672" s="342"/>
      <c r="E672" s="362" t="s">
        <v>81</v>
      </c>
      <c r="F672" s="404">
        <v>1000</v>
      </c>
      <c r="G672" s="404" t="s">
        <v>73</v>
      </c>
      <c r="H672" s="345"/>
      <c r="I672" s="343"/>
      <c r="J672" s="345"/>
      <c r="K672" s="685"/>
      <c r="L672" s="535"/>
      <c r="M672" s="552" t="str">
        <f t="shared" si="80"/>
        <v/>
      </c>
      <c r="N672" s="552"/>
      <c r="O672" s="552" t="str">
        <f t="shared" si="81"/>
        <v/>
      </c>
      <c r="P672" s="39"/>
    </row>
    <row r="673" spans="1:16" x14ac:dyDescent="0.35">
      <c r="A673" s="535" t="str">
        <f t="shared" si="79"/>
        <v/>
      </c>
      <c r="B673" s="330"/>
      <c r="C673" s="330"/>
      <c r="D673" s="326" t="s">
        <v>43</v>
      </c>
      <c r="E673" s="366" t="s">
        <v>105</v>
      </c>
      <c r="F673" s="22">
        <v>10</v>
      </c>
      <c r="G673" s="22" t="s">
        <v>73</v>
      </c>
      <c r="H673" s="328">
        <f>ROUND((($F$671)*((F673)/($F$673+$F$674+$F$675))),2)</f>
        <v>0.28999999999999998</v>
      </c>
      <c r="I673" s="328" t="s">
        <v>73</v>
      </c>
      <c r="J673" s="330"/>
      <c r="K673" s="681">
        <f>(A655*H673)</f>
        <v>16.82</v>
      </c>
      <c r="L673" s="535"/>
      <c r="M673" s="552" t="str">
        <f t="shared" si="80"/>
        <v/>
      </c>
      <c r="N673" s="552"/>
      <c r="O673" s="552" t="str">
        <f t="shared" si="81"/>
        <v/>
      </c>
      <c r="P673" s="39"/>
    </row>
    <row r="674" spans="1:16" x14ac:dyDescent="0.35">
      <c r="A674" s="535" t="str">
        <f t="shared" si="79"/>
        <v/>
      </c>
      <c r="B674" s="337"/>
      <c r="C674" s="337"/>
      <c r="D674" s="326" t="s">
        <v>41</v>
      </c>
      <c r="E674" s="360" t="s">
        <v>760</v>
      </c>
      <c r="F674" s="18">
        <v>25</v>
      </c>
      <c r="G674" s="18" t="s">
        <v>73</v>
      </c>
      <c r="H674" s="335">
        <f t="shared" ref="H674:H675" si="82">ROUND((($F$671)*((F674)/($F$673+$F$674+$F$675))),2)</f>
        <v>0.72</v>
      </c>
      <c r="I674" s="335" t="s">
        <v>73</v>
      </c>
      <c r="J674" s="337"/>
      <c r="K674" s="680">
        <f>(A655*H674)</f>
        <v>41.76</v>
      </c>
      <c r="L674" s="535"/>
      <c r="M674" s="552" t="str">
        <f t="shared" si="80"/>
        <v/>
      </c>
      <c r="N674" s="552"/>
      <c r="O674" s="552" t="str">
        <f t="shared" si="81"/>
        <v/>
      </c>
      <c r="P674" s="39"/>
    </row>
    <row r="675" spans="1:16" x14ac:dyDescent="0.35">
      <c r="A675" s="535" t="str">
        <f t="shared" si="79"/>
        <v/>
      </c>
      <c r="B675" s="330"/>
      <c r="C675" s="330"/>
      <c r="D675" s="326" t="s">
        <v>371</v>
      </c>
      <c r="E675" s="366" t="s">
        <v>761</v>
      </c>
      <c r="F675" s="22">
        <v>1000</v>
      </c>
      <c r="G675" s="22" t="s">
        <v>73</v>
      </c>
      <c r="H675" s="328">
        <f t="shared" si="82"/>
        <v>28.99</v>
      </c>
      <c r="I675" s="328" t="s">
        <v>73</v>
      </c>
      <c r="J675" s="330"/>
      <c r="K675" s="681">
        <f>(A655*H675)</f>
        <v>1681.4199999999998</v>
      </c>
      <c r="L675" s="535"/>
      <c r="M675" s="552" t="str">
        <f t="shared" si="80"/>
        <v/>
      </c>
      <c r="N675" s="552"/>
      <c r="O675" s="552" t="str">
        <f t="shared" si="81"/>
        <v/>
      </c>
      <c r="P675" s="39"/>
    </row>
    <row r="676" spans="1:16" x14ac:dyDescent="0.35">
      <c r="A676" s="535" t="str">
        <f t="shared" si="79"/>
        <v/>
      </c>
      <c r="B676" s="337"/>
      <c r="C676" s="337"/>
      <c r="D676" s="355"/>
      <c r="E676" s="549" t="s">
        <v>762</v>
      </c>
      <c r="F676" s="378">
        <v>15</v>
      </c>
      <c r="G676" s="378" t="s">
        <v>73</v>
      </c>
      <c r="H676" s="515"/>
      <c r="I676" s="356"/>
      <c r="J676" s="515"/>
      <c r="K676" s="684"/>
      <c r="L676" s="535"/>
      <c r="M676" s="552" t="str">
        <f t="shared" si="80"/>
        <v/>
      </c>
      <c r="N676" s="552"/>
      <c r="O676" s="552" t="str">
        <f t="shared" si="81"/>
        <v/>
      </c>
      <c r="P676" s="39"/>
    </row>
    <row r="677" spans="1:16" x14ac:dyDescent="0.35">
      <c r="A677" s="535" t="str">
        <f t="shared" si="79"/>
        <v/>
      </c>
      <c r="B677" s="330"/>
      <c r="C677" s="330"/>
      <c r="D677" s="342"/>
      <c r="E677" s="362" t="s">
        <v>81</v>
      </c>
      <c r="F677" s="404">
        <v>500</v>
      </c>
      <c r="G677" s="404" t="s">
        <v>73</v>
      </c>
      <c r="H677" s="345"/>
      <c r="I677" s="343"/>
      <c r="J677" s="345"/>
      <c r="K677" s="685"/>
      <c r="L677" s="535"/>
      <c r="M677" s="552" t="str">
        <f t="shared" si="80"/>
        <v/>
      </c>
      <c r="N677" s="552"/>
      <c r="O677" s="552" t="str">
        <f t="shared" si="81"/>
        <v/>
      </c>
      <c r="P677" s="39"/>
    </row>
    <row r="678" spans="1:16" x14ac:dyDescent="0.35">
      <c r="A678" s="535" t="str">
        <f t="shared" si="79"/>
        <v/>
      </c>
      <c r="B678" s="337"/>
      <c r="C678" s="337"/>
      <c r="D678" s="326" t="s">
        <v>333</v>
      </c>
      <c r="E678" s="360" t="s">
        <v>756</v>
      </c>
      <c r="F678" s="18">
        <v>15</v>
      </c>
      <c r="G678" s="18" t="s">
        <v>73</v>
      </c>
      <c r="H678" s="335">
        <f>ROUND(($F$676)*((F678)/((($F$680)*(($F$681)/($F$681+$F$682)))+
(($F$680)*(($F$682)/($F$681+$F$682)))+
($F$678)+($F$679)+($F$683)+($F$684)+($F$685)+($F$686)+($F$687))),2)</f>
        <v>0.76</v>
      </c>
      <c r="I678" s="335" t="s">
        <v>73</v>
      </c>
      <c r="J678" s="337"/>
      <c r="K678" s="680">
        <f>(A655*H678)</f>
        <v>44.08</v>
      </c>
      <c r="L678" s="535"/>
      <c r="M678" s="552" t="str">
        <f t="shared" si="80"/>
        <v/>
      </c>
      <c r="N678" s="552"/>
      <c r="O678" s="552" t="str">
        <f t="shared" si="81"/>
        <v/>
      </c>
      <c r="P678" s="39"/>
    </row>
    <row r="679" spans="1:16" x14ac:dyDescent="0.35">
      <c r="A679" s="535" t="str">
        <f t="shared" si="79"/>
        <v/>
      </c>
      <c r="B679" s="330"/>
      <c r="C679" s="330"/>
      <c r="D679" s="326" t="s">
        <v>46</v>
      </c>
      <c r="E679" s="366" t="s">
        <v>763</v>
      </c>
      <c r="F679" s="22">
        <v>20</v>
      </c>
      <c r="G679" s="22" t="s">
        <v>73</v>
      </c>
      <c r="H679" s="328">
        <f>ROUND(($F$676)*((F679)/((($F$680)*(($F$681)/($F$681+$F$682)))+
(($F$680)*(($F$682)/($F$681+$F$682)))+
($F$678)+($F$679)+($F$683)+($F$684)+($F$685)+($F$686)+($F$687))),2)</f>
        <v>1.01</v>
      </c>
      <c r="I679" s="328" t="s">
        <v>73</v>
      </c>
      <c r="J679" s="330"/>
      <c r="K679" s="681">
        <f>(A655*H679)</f>
        <v>58.58</v>
      </c>
      <c r="L679" s="535"/>
      <c r="M679" s="552" t="str">
        <f t="shared" si="80"/>
        <v/>
      </c>
      <c r="N679" s="552"/>
      <c r="O679" s="552" t="str">
        <f t="shared" si="81"/>
        <v/>
      </c>
      <c r="P679" s="39"/>
    </row>
    <row r="680" spans="1:16" x14ac:dyDescent="0.35">
      <c r="A680" s="535" t="str">
        <f t="shared" si="79"/>
        <v/>
      </c>
      <c r="B680" s="337"/>
      <c r="C680" s="337"/>
      <c r="D680" s="355"/>
      <c r="E680" s="567" t="s">
        <v>114</v>
      </c>
      <c r="F680" s="378">
        <v>3</v>
      </c>
      <c r="G680" s="378" t="s">
        <v>73</v>
      </c>
      <c r="H680" s="356"/>
      <c r="I680" s="356"/>
      <c r="J680" s="515"/>
      <c r="K680" s="684"/>
      <c r="L680" s="535"/>
      <c r="M680" s="552" t="str">
        <f t="shared" si="80"/>
        <v/>
      </c>
      <c r="N680" s="552"/>
      <c r="O680" s="552" t="str">
        <f t="shared" si="81"/>
        <v/>
      </c>
      <c r="P680" s="39"/>
    </row>
    <row r="681" spans="1:16" x14ac:dyDescent="0.35">
      <c r="A681" s="535" t="str">
        <f t="shared" si="79"/>
        <v/>
      </c>
      <c r="B681" s="330"/>
      <c r="C681" s="330"/>
      <c r="D681" s="326" t="s">
        <v>43</v>
      </c>
      <c r="E681" s="495" t="s">
        <v>768</v>
      </c>
      <c r="F681" s="22">
        <v>15</v>
      </c>
      <c r="G681" s="22" t="s">
        <v>73</v>
      </c>
      <c r="H681" s="328">
        <f>ROUND(($F$676)*((($F$680)*(($F$681)/($F$681+$F$682)))
/((($F$680)*(($F$681)/($F$681+$F$682)))+
(($F$680)*(($F$682)/($F$681+$F$682)))+
($F$678)+($F$679)+($F$683)+($F$684)+($F$685)+($F$686)+($F$687))),2)</f>
        <v>0.02</v>
      </c>
      <c r="I681" s="328" t="s">
        <v>73</v>
      </c>
      <c r="J681" s="330"/>
      <c r="K681" s="681">
        <f>(A655*H681)</f>
        <v>1.1599999999999999</v>
      </c>
      <c r="L681" s="535"/>
      <c r="M681" s="552" t="str">
        <f t="shared" si="80"/>
        <v/>
      </c>
      <c r="N681" s="552"/>
      <c r="O681" s="552" t="str">
        <f t="shared" si="81"/>
        <v/>
      </c>
      <c r="P681" s="39"/>
    </row>
    <row r="682" spans="1:16" x14ac:dyDescent="0.35">
      <c r="A682" s="535" t="str">
        <f t="shared" si="79"/>
        <v/>
      </c>
      <c r="B682" s="337"/>
      <c r="C682" s="337"/>
      <c r="D682" s="326" t="s">
        <v>42</v>
      </c>
      <c r="E682" s="560" t="s">
        <v>95</v>
      </c>
      <c r="F682" s="18">
        <v>85</v>
      </c>
      <c r="G682" s="18" t="s">
        <v>73</v>
      </c>
      <c r="H682" s="335">
        <f>ROUND(($F$676)*((($F$680)*(($F$682)/($F$681+$F$682)))
/((($F$680)*(($F$681)/($F$681+$F$682)))+
(($F$680)*(($F$682)/($F$681+$F$682)))+
($F$678)+($F$679)+($F$683)+($F$684)+($F$685)+($F$686)+($F$687))),2)</f>
        <v>0.13</v>
      </c>
      <c r="I682" s="335" t="s">
        <v>73</v>
      </c>
      <c r="J682" s="337"/>
      <c r="K682" s="680">
        <f>(A655*H682)</f>
        <v>7.54</v>
      </c>
      <c r="L682" s="535"/>
      <c r="M682" s="552" t="str">
        <f t="shared" si="80"/>
        <v/>
      </c>
      <c r="N682" s="552"/>
      <c r="O682" s="552" t="str">
        <f t="shared" si="81"/>
        <v/>
      </c>
      <c r="P682" s="39"/>
    </row>
    <row r="683" spans="1:16" x14ac:dyDescent="0.35">
      <c r="A683" s="535" t="str">
        <f t="shared" si="79"/>
        <v/>
      </c>
      <c r="B683" s="330"/>
      <c r="C683" s="330"/>
      <c r="D683" s="326" t="s">
        <v>341</v>
      </c>
      <c r="E683" s="366" t="s">
        <v>764</v>
      </c>
      <c r="F683" s="22">
        <v>3</v>
      </c>
      <c r="G683" s="22" t="s">
        <v>73</v>
      </c>
      <c r="H683" s="328">
        <f>ROUND(($F$676)*((F683)/((($F$680)*(($F$681)/($F$681+$F$682)))+
(($F$680)*(($F$682)/($F$681+$F$682)))+
($F$678)+($F$679)+($F$683)+($F$684)+($F$685)+($F$686)+($F$687))),2)</f>
        <v>0.15</v>
      </c>
      <c r="I683" s="328" t="s">
        <v>73</v>
      </c>
      <c r="J683" s="330"/>
      <c r="K683" s="681">
        <f>(A655*H683)</f>
        <v>8.6999999999999993</v>
      </c>
      <c r="L683" s="535"/>
      <c r="M683" s="552" t="str">
        <f t="shared" si="80"/>
        <v/>
      </c>
      <c r="N683" s="552"/>
      <c r="O683" s="552" t="str">
        <f t="shared" si="81"/>
        <v/>
      </c>
      <c r="P683" s="39"/>
    </row>
    <row r="684" spans="1:16" x14ac:dyDescent="0.35">
      <c r="A684" s="535" t="str">
        <f t="shared" si="79"/>
        <v/>
      </c>
      <c r="B684" s="337"/>
      <c r="C684" s="337"/>
      <c r="D684" s="326" t="s">
        <v>41</v>
      </c>
      <c r="E684" s="360" t="s">
        <v>779</v>
      </c>
      <c r="F684" s="18">
        <v>5</v>
      </c>
      <c r="G684" s="18" t="s">
        <v>73</v>
      </c>
      <c r="H684" s="335">
        <f t="shared" ref="H684:H687" si="83">ROUND(($F$676)*((F684)/((($F$680)*(($F$681)/($F$681+$F$682)))+
(($F$680)*(($F$682)/($F$681+$F$682)))+
($F$678)+($F$679)+($F$683)+($F$684)+($F$685)+($F$686)+($F$687))),2)</f>
        <v>0.25</v>
      </c>
      <c r="I684" s="335" t="s">
        <v>73</v>
      </c>
      <c r="J684" s="337"/>
      <c r="K684" s="680">
        <f>(A655*H684)</f>
        <v>14.5</v>
      </c>
      <c r="L684" s="535"/>
      <c r="M684" s="552" t="str">
        <f t="shared" si="80"/>
        <v/>
      </c>
      <c r="N684" s="552"/>
      <c r="O684" s="552" t="str">
        <f t="shared" si="81"/>
        <v/>
      </c>
      <c r="P684" s="39"/>
    </row>
    <row r="685" spans="1:16" x14ac:dyDescent="0.35">
      <c r="A685" s="535" t="str">
        <f t="shared" si="79"/>
        <v/>
      </c>
      <c r="B685" s="330"/>
      <c r="C685" s="330"/>
      <c r="D685" s="326" t="s">
        <v>325</v>
      </c>
      <c r="E685" s="366" t="s">
        <v>765</v>
      </c>
      <c r="F685" s="22">
        <v>20</v>
      </c>
      <c r="G685" s="22" t="s">
        <v>73</v>
      </c>
      <c r="H685" s="328">
        <f t="shared" si="83"/>
        <v>1.01</v>
      </c>
      <c r="I685" s="328" t="s">
        <v>73</v>
      </c>
      <c r="J685" s="330"/>
      <c r="K685" s="681">
        <f>(A655*H685)</f>
        <v>58.58</v>
      </c>
      <c r="L685" s="535"/>
      <c r="M685" s="552" t="str">
        <f t="shared" si="80"/>
        <v/>
      </c>
      <c r="N685" s="552"/>
      <c r="O685" s="552" t="str">
        <f t="shared" si="81"/>
        <v/>
      </c>
      <c r="P685" s="39"/>
    </row>
    <row r="686" spans="1:16" x14ac:dyDescent="0.35">
      <c r="A686" s="535" t="str">
        <f t="shared" si="79"/>
        <v/>
      </c>
      <c r="B686" s="337"/>
      <c r="C686" s="337"/>
      <c r="D686" s="326" t="s">
        <v>307</v>
      </c>
      <c r="E686" s="360" t="s">
        <v>766</v>
      </c>
      <c r="F686" s="18">
        <v>30</v>
      </c>
      <c r="G686" s="18" t="s">
        <v>73</v>
      </c>
      <c r="H686" s="335">
        <f t="shared" si="83"/>
        <v>1.52</v>
      </c>
      <c r="I686" s="335" t="s">
        <v>73</v>
      </c>
      <c r="J686" s="337"/>
      <c r="K686" s="680">
        <f>(A655*H686)</f>
        <v>88.16</v>
      </c>
      <c r="L686" s="535"/>
      <c r="M686" s="552" t="str">
        <f t="shared" si="80"/>
        <v/>
      </c>
      <c r="N686" s="552"/>
      <c r="O686" s="552" t="str">
        <f t="shared" si="81"/>
        <v/>
      </c>
      <c r="P686" s="39"/>
    </row>
    <row r="687" spans="1:16" x14ac:dyDescent="0.35">
      <c r="A687" s="535" t="str">
        <f t="shared" si="79"/>
        <v/>
      </c>
      <c r="B687" s="330"/>
      <c r="C687" s="330"/>
      <c r="D687" s="326" t="s">
        <v>381</v>
      </c>
      <c r="E687" s="366" t="s">
        <v>767</v>
      </c>
      <c r="F687" s="22">
        <v>200</v>
      </c>
      <c r="G687" s="22" t="s">
        <v>73</v>
      </c>
      <c r="H687" s="328">
        <f t="shared" si="83"/>
        <v>10.14</v>
      </c>
      <c r="I687" s="328" t="s">
        <v>73</v>
      </c>
      <c r="J687" s="330"/>
      <c r="K687" s="681">
        <f>(A655*H687)</f>
        <v>588.12</v>
      </c>
      <c r="L687" s="535"/>
      <c r="M687" s="552" t="str">
        <f t="shared" si="80"/>
        <v/>
      </c>
      <c r="N687" s="552"/>
      <c r="O687" s="552" t="str">
        <f t="shared" si="81"/>
        <v/>
      </c>
      <c r="P687" s="39"/>
    </row>
    <row r="688" spans="1:16" x14ac:dyDescent="0.35">
      <c r="A688" s="535" t="str">
        <f t="shared" si="79"/>
        <v/>
      </c>
      <c r="B688" s="337"/>
      <c r="C688" s="337"/>
      <c r="D688" s="355"/>
      <c r="E688" s="549" t="s">
        <v>769</v>
      </c>
      <c r="F688" s="378">
        <v>40</v>
      </c>
      <c r="G688" s="378" t="s">
        <v>73</v>
      </c>
      <c r="H688" s="515"/>
      <c r="I688" s="356"/>
      <c r="J688" s="515"/>
      <c r="K688" s="684"/>
      <c r="L688" s="535"/>
      <c r="M688" s="552" t="str">
        <f t="shared" si="80"/>
        <v/>
      </c>
      <c r="N688" s="552"/>
      <c r="O688" s="552" t="str">
        <f t="shared" si="81"/>
        <v/>
      </c>
      <c r="P688" s="39"/>
    </row>
    <row r="689" spans="1:16" x14ac:dyDescent="0.35">
      <c r="A689" s="535" t="str">
        <f t="shared" si="79"/>
        <v/>
      </c>
      <c r="B689" s="330"/>
      <c r="C689" s="330"/>
      <c r="D689" s="326" t="s">
        <v>521</v>
      </c>
      <c r="E689" s="366" t="s">
        <v>906</v>
      </c>
      <c r="F689" s="22">
        <v>200</v>
      </c>
      <c r="G689" s="22" t="s">
        <v>73</v>
      </c>
      <c r="H689" s="328">
        <f>ROUND(($F$747)*(($F$689)/((($F$690)*(($F$691)/($F$691+$F$692)))+
(($F$690)*(($F$692)/($F$691+$F$692)))+
(($F$693)*(($F$694)/($F$694+$F$695)))+
(($F$693)*(($F$695)/($F$694+$F$695)))+
($F$689)+($F$696)+($F$697))),2)</f>
        <v>33.200000000000003</v>
      </c>
      <c r="I689" s="328" t="s">
        <v>73</v>
      </c>
      <c r="J689" s="330"/>
      <c r="K689" s="681">
        <f>(A655*H689)</f>
        <v>1925.6000000000001</v>
      </c>
      <c r="L689" s="535"/>
      <c r="M689" s="552" t="str">
        <f t="shared" si="80"/>
        <v/>
      </c>
      <c r="N689" s="552"/>
      <c r="O689" s="552" t="str">
        <f t="shared" si="81"/>
        <v/>
      </c>
      <c r="P689" s="39"/>
    </row>
    <row r="690" spans="1:16" x14ac:dyDescent="0.35">
      <c r="A690" s="535" t="str">
        <f t="shared" si="79"/>
        <v/>
      </c>
      <c r="B690" s="337"/>
      <c r="C690" s="337"/>
      <c r="D690" s="355"/>
      <c r="E690" s="567" t="s">
        <v>770</v>
      </c>
      <c r="F690" s="378">
        <v>30</v>
      </c>
      <c r="G690" s="378" t="s">
        <v>73</v>
      </c>
      <c r="H690" s="356"/>
      <c r="I690" s="356"/>
      <c r="J690" s="515"/>
      <c r="K690" s="684"/>
      <c r="L690" s="535"/>
      <c r="M690" s="552" t="str">
        <f t="shared" si="80"/>
        <v/>
      </c>
      <c r="N690" s="552"/>
      <c r="O690" s="552" t="str">
        <f t="shared" si="81"/>
        <v/>
      </c>
      <c r="P690" s="39"/>
    </row>
    <row r="691" spans="1:16" x14ac:dyDescent="0.35">
      <c r="A691" s="535" t="str">
        <f t="shared" si="79"/>
        <v/>
      </c>
      <c r="B691" s="330"/>
      <c r="C691" s="330"/>
      <c r="D691" s="326" t="s">
        <v>537</v>
      </c>
      <c r="E691" s="495" t="s">
        <v>771</v>
      </c>
      <c r="F691" s="22">
        <v>1</v>
      </c>
      <c r="G691" s="22" t="s">
        <v>73</v>
      </c>
      <c r="H691" s="328">
        <f>ROUND(($F$747)*((($F$690)*(($F$691)/($F$691+$F$692)))
/((($F$690)*(($F$691)/($F$691+$F$692)))+
(($F$690)*(($F$692)/($F$691+$F$692)))+
(($F$693)*(($F$694)/($F$694+$F$695)))+
(($F$693)*(($F$695)/($F$694+$F$695)))+
($F$689)+($F$696)+($F$697))),2)</f>
        <v>0.05</v>
      </c>
      <c r="I691" s="328" t="s">
        <v>73</v>
      </c>
      <c r="J691" s="330"/>
      <c r="K691" s="681">
        <f>(A655*H691)</f>
        <v>2.9000000000000004</v>
      </c>
      <c r="L691" s="535"/>
      <c r="M691" s="552" t="str">
        <f t="shared" si="80"/>
        <v/>
      </c>
      <c r="N691" s="552"/>
      <c r="O691" s="552" t="str">
        <f t="shared" si="81"/>
        <v/>
      </c>
      <c r="P691" s="39"/>
    </row>
    <row r="692" spans="1:16" x14ac:dyDescent="0.35">
      <c r="A692" s="535" t="str">
        <f t="shared" si="79"/>
        <v/>
      </c>
      <c r="B692" s="337"/>
      <c r="C692" s="337"/>
      <c r="D692" s="342"/>
      <c r="E692" s="561" t="s">
        <v>81</v>
      </c>
      <c r="F692" s="404">
        <v>100</v>
      </c>
      <c r="G692" s="404" t="s">
        <v>73</v>
      </c>
      <c r="H692" s="343">
        <f>ROUND(($F$747)*((($F$690)*(($F$692)/($F$691+$F$692)))
/((($F$690)*(($F$691)/($F$691+$F$692)))+
(($F$690)*(($F$692)/($F$691+$F$692)))+
(($F$693)*(($F$694)/($F$694+$F$695)))+
(($F$693)*(($F$695)/($F$694+$F$695)))+
($F$689)+($F$696)+($F$697))),2)</f>
        <v>4.93</v>
      </c>
      <c r="I692" s="343"/>
      <c r="J692" s="345"/>
      <c r="K692" s="685"/>
      <c r="L692" s="535"/>
      <c r="M692" s="552" t="str">
        <f t="shared" si="80"/>
        <v/>
      </c>
      <c r="N692" s="552"/>
      <c r="O692" s="552" t="str">
        <f t="shared" si="81"/>
        <v/>
      </c>
      <c r="P692" s="39"/>
    </row>
    <row r="693" spans="1:16" x14ac:dyDescent="0.35">
      <c r="A693" s="535" t="str">
        <f t="shared" si="79"/>
        <v/>
      </c>
      <c r="B693" s="330"/>
      <c r="C693" s="330"/>
      <c r="D693" s="355"/>
      <c r="E693" s="567" t="s">
        <v>726</v>
      </c>
      <c r="F693" s="378">
        <v>2</v>
      </c>
      <c r="G693" s="378" t="s">
        <v>73</v>
      </c>
      <c r="H693" s="356"/>
      <c r="I693" s="356"/>
      <c r="J693" s="515"/>
      <c r="K693" s="684"/>
      <c r="L693" s="535"/>
      <c r="M693" s="552" t="str">
        <f t="shared" si="80"/>
        <v/>
      </c>
      <c r="N693" s="552"/>
      <c r="O693" s="552" t="str">
        <f t="shared" si="81"/>
        <v/>
      </c>
      <c r="P693" s="39"/>
    </row>
    <row r="694" spans="1:16" x14ac:dyDescent="0.35">
      <c r="A694" s="535" t="str">
        <f t="shared" si="79"/>
        <v/>
      </c>
      <c r="B694" s="337"/>
      <c r="C694" s="337"/>
      <c r="D694" s="326" t="s">
        <v>43</v>
      </c>
      <c r="E694" s="560" t="s">
        <v>105</v>
      </c>
      <c r="F694" s="18">
        <v>15</v>
      </c>
      <c r="G694" s="18" t="s">
        <v>73</v>
      </c>
      <c r="H694" s="335">
        <f>ROUND(($F$747)*((($F$693)*(($F$694)/($F$694+$F$695)))
/((($F$690)*(($F$691)/($F$691+$F$692)))+
(($F$690)*(($F$692)/($F$691+$F$692)))+
(($F$693)*(($F$694)/($F$694+$F$695)))+
(($F$693)*(($F$695)/($F$694+$F$695)))+
($F$689)+($F$696)+($F$697))),2)</f>
        <v>0.05</v>
      </c>
      <c r="I694" s="335" t="s">
        <v>73</v>
      </c>
      <c r="J694" s="337"/>
      <c r="K694" s="680">
        <f>(A655*H694)</f>
        <v>2.9000000000000004</v>
      </c>
      <c r="L694" s="535"/>
      <c r="M694" s="552" t="str">
        <f t="shared" si="80"/>
        <v/>
      </c>
      <c r="N694" s="552"/>
      <c r="O694" s="552" t="str">
        <f t="shared" si="81"/>
        <v/>
      </c>
      <c r="P694" s="39"/>
    </row>
    <row r="695" spans="1:16" x14ac:dyDescent="0.35">
      <c r="A695" s="535" t="str">
        <f t="shared" si="79"/>
        <v/>
      </c>
      <c r="B695" s="330"/>
      <c r="C695" s="330"/>
      <c r="D695" s="326" t="s">
        <v>42</v>
      </c>
      <c r="E695" s="495" t="s">
        <v>95</v>
      </c>
      <c r="F695" s="22">
        <v>85</v>
      </c>
      <c r="G695" s="22" t="s">
        <v>73</v>
      </c>
      <c r="H695" s="328">
        <f>ROUND(($F$747)*((($F$693)*(($F$695)/($F$694+$F$695)))
/((($F$690)*(($F$691)/($F$691+$F$692)))+
(($F$690)*(($F$692)/($F$691+$F$692)))+
(($F$693)*(($F$694)/($F$694+$F$695)))+
(($F$693)*(($F$695)/($F$694+$F$695)))+
($F$689)+($F$696)+($F$697))),2)</f>
        <v>0.28000000000000003</v>
      </c>
      <c r="I695" s="328" t="s">
        <v>73</v>
      </c>
      <c r="J695" s="330"/>
      <c r="K695" s="681">
        <f>(A655*H695)</f>
        <v>16.240000000000002</v>
      </c>
      <c r="L695" s="535"/>
      <c r="M695" s="552" t="str">
        <f t="shared" si="80"/>
        <v/>
      </c>
      <c r="N695" s="552"/>
      <c r="O695" s="552" t="str">
        <f t="shared" si="81"/>
        <v/>
      </c>
      <c r="P695" s="39"/>
    </row>
    <row r="696" spans="1:16" x14ac:dyDescent="0.35">
      <c r="A696" s="535" t="str">
        <f t="shared" si="79"/>
        <v/>
      </c>
      <c r="B696" s="337"/>
      <c r="C696" s="337"/>
      <c r="D696" s="326" t="s">
        <v>517</v>
      </c>
      <c r="E696" s="360" t="s">
        <v>724</v>
      </c>
      <c r="F696" s="18">
        <v>8</v>
      </c>
      <c r="G696" s="18" t="s">
        <v>73</v>
      </c>
      <c r="H696" s="335">
        <f>ROUND(($F$747)*((F696)/((($F$690)*(($F$691)/($F$691+$F$692)))+
(($F$690)*(($F$692)/($F$691+$F$692)))+
(($F$693)*(($F$694)/($F$694+$F$695)))+
(($F$693)*(($F$695)/($F$694+$F$695)))+
($F$689)+($F$696)+($F$697))),2)</f>
        <v>1.33</v>
      </c>
      <c r="I696" s="335" t="s">
        <v>73</v>
      </c>
      <c r="J696" s="337"/>
      <c r="K696" s="680">
        <f>(A655*H696)</f>
        <v>77.14</v>
      </c>
      <c r="L696" s="535"/>
      <c r="M696" s="552" t="str">
        <f t="shared" si="80"/>
        <v/>
      </c>
      <c r="N696" s="552"/>
      <c r="O696" s="552" t="str">
        <f t="shared" si="81"/>
        <v/>
      </c>
      <c r="P696" s="39"/>
    </row>
    <row r="697" spans="1:16" x14ac:dyDescent="0.35">
      <c r="A697" s="535" t="str">
        <f t="shared" si="79"/>
        <v/>
      </c>
      <c r="B697" s="330"/>
      <c r="C697" s="330"/>
      <c r="D697" s="326" t="s">
        <v>45</v>
      </c>
      <c r="E697" s="366" t="s">
        <v>101</v>
      </c>
      <c r="F697" s="22">
        <v>1</v>
      </c>
      <c r="G697" s="22" t="s">
        <v>73</v>
      </c>
      <c r="H697" s="328">
        <f>ROUND(($F$747)*((F697)/((($F$690)*(($F$691)/($F$691+$F$692)))+
(($F$690)*(($F$692)/($F$691+$F$692)))+
(($F$693)*(($F$694)/($F$694+$F$695)))+
(($F$693)*(($F$695)/($F$694+$F$695)))+
($F$689)+($F$696)+($F$697))),2)</f>
        <v>0.17</v>
      </c>
      <c r="I697" s="328" t="s">
        <v>73</v>
      </c>
      <c r="J697" s="330"/>
      <c r="K697" s="681">
        <f>(A655*H697)</f>
        <v>9.8600000000000012</v>
      </c>
      <c r="L697" s="535"/>
      <c r="M697" s="552" t="str">
        <f t="shared" si="80"/>
        <v/>
      </c>
      <c r="N697" s="552"/>
      <c r="O697" s="552" t="str">
        <f t="shared" si="81"/>
        <v/>
      </c>
      <c r="P697" s="39"/>
    </row>
    <row r="698" spans="1:16" x14ac:dyDescent="0.35">
      <c r="A698" s="535" t="str">
        <f t="shared" si="79"/>
        <v/>
      </c>
      <c r="B698" s="337"/>
      <c r="C698" s="337"/>
      <c r="D698" s="355"/>
      <c r="E698" s="549" t="s">
        <v>774</v>
      </c>
      <c r="F698" s="378">
        <v>10</v>
      </c>
      <c r="G698" s="378" t="s">
        <v>73</v>
      </c>
      <c r="H698" s="515"/>
      <c r="I698" s="356"/>
      <c r="J698" s="515"/>
      <c r="K698" s="684"/>
      <c r="L698" s="535"/>
      <c r="M698" s="552" t="str">
        <f t="shared" si="80"/>
        <v/>
      </c>
      <c r="N698" s="552"/>
      <c r="O698" s="552" t="str">
        <f t="shared" si="81"/>
        <v/>
      </c>
      <c r="P698" s="39"/>
    </row>
    <row r="699" spans="1:16" x14ac:dyDescent="0.35">
      <c r="A699" s="535" t="str">
        <f t="shared" si="79"/>
        <v/>
      </c>
      <c r="B699" s="330"/>
      <c r="C699" s="330"/>
      <c r="D699" s="342"/>
      <c r="E699" s="362" t="s">
        <v>81</v>
      </c>
      <c r="F699" s="404">
        <v>600</v>
      </c>
      <c r="G699" s="404" t="s">
        <v>73</v>
      </c>
      <c r="H699" s="345"/>
      <c r="I699" s="343"/>
      <c r="J699" s="345"/>
      <c r="K699" s="685"/>
      <c r="L699" s="535"/>
      <c r="M699" s="552" t="str">
        <f t="shared" si="80"/>
        <v/>
      </c>
      <c r="N699" s="552"/>
      <c r="O699" s="552" t="str">
        <f t="shared" si="81"/>
        <v/>
      </c>
      <c r="P699" s="39"/>
    </row>
    <row r="700" spans="1:16" x14ac:dyDescent="0.35">
      <c r="A700" s="535" t="str">
        <f t="shared" si="79"/>
        <v/>
      </c>
      <c r="B700" s="337"/>
      <c r="C700" s="337"/>
      <c r="D700" s="326" t="s">
        <v>529</v>
      </c>
      <c r="E700" s="360" t="s">
        <v>775</v>
      </c>
      <c r="F700" s="18">
        <v>16</v>
      </c>
      <c r="G700" s="18" t="s">
        <v>73</v>
      </c>
      <c r="H700" s="335">
        <f>ROUND(($F$698)*((F700)/(($F$702)*(($F$703)/($F$703+$F$704))+
($F$702)*(($F$704)/($F$703+$F$704))+
($F$700)+($F$701)+($F$705))),2)</f>
        <v>0.51</v>
      </c>
      <c r="I700" s="335" t="s">
        <v>73</v>
      </c>
      <c r="J700" s="337"/>
      <c r="K700" s="680">
        <f>(A655*H700)</f>
        <v>29.580000000000002</v>
      </c>
      <c r="L700" s="535"/>
      <c r="M700" s="552" t="str">
        <f t="shared" si="80"/>
        <v/>
      </c>
      <c r="N700" s="552"/>
      <c r="O700" s="552" t="str">
        <f t="shared" si="81"/>
        <v/>
      </c>
      <c r="P700" s="39"/>
    </row>
    <row r="701" spans="1:16" x14ac:dyDescent="0.35">
      <c r="A701" s="535" t="str">
        <f t="shared" si="79"/>
        <v/>
      </c>
      <c r="B701" s="330"/>
      <c r="C701" s="330"/>
      <c r="D701" s="326" t="s">
        <v>333</v>
      </c>
      <c r="E701" s="366" t="s">
        <v>756</v>
      </c>
      <c r="F701" s="22">
        <v>70</v>
      </c>
      <c r="G701" s="22" t="s">
        <v>73</v>
      </c>
      <c r="H701" s="328">
        <f>ROUND(($F$698)*((F701)/(($F$702)*(($F$703)/($F$703+$F$704))+
($F$702)*(($F$704)/($F$703+$F$704))+
($F$700)+($F$701)+($F$705))),2)</f>
        <v>2.2200000000000002</v>
      </c>
      <c r="I701" s="328" t="s">
        <v>73</v>
      </c>
      <c r="J701" s="330"/>
      <c r="K701" s="681">
        <f>(A655*H701)</f>
        <v>128.76000000000002</v>
      </c>
      <c r="L701" s="535"/>
      <c r="M701" s="552" t="str">
        <f t="shared" si="80"/>
        <v/>
      </c>
      <c r="N701" s="552"/>
      <c r="O701" s="552" t="str">
        <f t="shared" si="81"/>
        <v/>
      </c>
      <c r="P701" s="39"/>
    </row>
    <row r="702" spans="1:16" x14ac:dyDescent="0.35">
      <c r="A702" s="535" t="str">
        <f t="shared" si="79"/>
        <v/>
      </c>
      <c r="B702" s="337"/>
      <c r="C702" s="337"/>
      <c r="D702" s="355"/>
      <c r="E702" s="567" t="s">
        <v>776</v>
      </c>
      <c r="F702" s="378">
        <v>200</v>
      </c>
      <c r="G702" s="378" t="s">
        <v>73</v>
      </c>
      <c r="H702" s="356"/>
      <c r="I702" s="356"/>
      <c r="J702" s="515"/>
      <c r="K702" s="684"/>
      <c r="L702" s="535"/>
      <c r="M702" s="552" t="str">
        <f t="shared" si="80"/>
        <v/>
      </c>
      <c r="N702" s="552"/>
      <c r="O702" s="552" t="str">
        <f t="shared" si="81"/>
        <v/>
      </c>
      <c r="P702" s="39"/>
    </row>
    <row r="703" spans="1:16" x14ac:dyDescent="0.35">
      <c r="A703" s="535" t="str">
        <f t="shared" si="79"/>
        <v/>
      </c>
      <c r="B703" s="330"/>
      <c r="C703" s="330"/>
      <c r="D703" s="326" t="s">
        <v>377</v>
      </c>
      <c r="E703" s="495" t="s">
        <v>777</v>
      </c>
      <c r="F703" s="22">
        <v>500</v>
      </c>
      <c r="G703" s="22" t="s">
        <v>73</v>
      </c>
      <c r="H703" s="328">
        <f>ROUND(($F$698)*(($F$702)*(($F$703)/($F$703+$F$704))
/(($F$702)*(($F$703)/($F$703+$F$704))+
($F$702)*(($F$704)/($F$703+$F$704))+
($F$700)+($F$701)+($F$705))),2)</f>
        <v>6.21</v>
      </c>
      <c r="I703" s="328" t="s">
        <v>73</v>
      </c>
      <c r="J703" s="330"/>
      <c r="K703" s="681">
        <f>(A655*H703)</f>
        <v>360.18</v>
      </c>
      <c r="L703" s="535"/>
      <c r="M703" s="552" t="str">
        <f t="shared" si="80"/>
        <v/>
      </c>
      <c r="N703" s="552"/>
      <c r="O703" s="552" t="str">
        <f t="shared" si="81"/>
        <v/>
      </c>
      <c r="P703" s="39"/>
    </row>
    <row r="704" spans="1:16" x14ac:dyDescent="0.35">
      <c r="A704" s="535" t="str">
        <f t="shared" ref="A704:A719" si="84">IFERROR(INDEX($Q$17:$Q$41,MATCH(B704,$R$17:$R$41, 0)), "")</f>
        <v/>
      </c>
      <c r="B704" s="337"/>
      <c r="C704" s="337"/>
      <c r="D704" s="326" t="s">
        <v>43</v>
      </c>
      <c r="E704" s="560" t="s">
        <v>105</v>
      </c>
      <c r="F704" s="18">
        <v>10</v>
      </c>
      <c r="G704" s="18" t="s">
        <v>73</v>
      </c>
      <c r="H704" s="335">
        <f>ROUND(($F$698)*(($F$702)*(($F$704)/($F$703+$F$704))
/(($F$702)*(($F$703)/($F$703+$F$704))+
($F$702)*(($F$704)/($F$703+$F$704))+
($F$700)+($F$701)+($F$705))),2)</f>
        <v>0.12</v>
      </c>
      <c r="I704" s="335" t="s">
        <v>73</v>
      </c>
      <c r="J704" s="337"/>
      <c r="K704" s="680">
        <f>(A655*H704)</f>
        <v>6.96</v>
      </c>
      <c r="L704" s="535"/>
      <c r="M704" s="552" t="str">
        <f t="shared" si="80"/>
        <v/>
      </c>
      <c r="N704" s="552"/>
      <c r="O704" s="552" t="str">
        <f t="shared" si="81"/>
        <v/>
      </c>
      <c r="P704" s="39"/>
    </row>
    <row r="705" spans="1:16" x14ac:dyDescent="0.35">
      <c r="A705" s="535" t="str">
        <f t="shared" si="84"/>
        <v/>
      </c>
      <c r="B705" s="330"/>
      <c r="C705" s="330"/>
      <c r="D705" s="326" t="s">
        <v>389</v>
      </c>
      <c r="E705" s="366" t="s">
        <v>778</v>
      </c>
      <c r="F705" s="22">
        <v>30</v>
      </c>
      <c r="G705" s="22" t="s">
        <v>73</v>
      </c>
      <c r="H705" s="328">
        <f>ROUND(($F$698)*(($F$705)/(($F$702)*(($F$703)/($F$703+$F$704))+
($F$702)*(($F$704)/($F$703+$F$704))+
($F$700)+($F$701)+($F$705))),2)</f>
        <v>0.95</v>
      </c>
      <c r="I705" s="328" t="s">
        <v>73</v>
      </c>
      <c r="J705" s="330"/>
      <c r="K705" s="681">
        <f>(A655*H705)</f>
        <v>55.099999999999994</v>
      </c>
      <c r="L705" s="535"/>
      <c r="M705" s="552" t="str">
        <f t="shared" si="80"/>
        <v/>
      </c>
      <c r="N705" s="552"/>
      <c r="O705" s="552" t="str">
        <f t="shared" si="81"/>
        <v/>
      </c>
      <c r="P705" s="39"/>
    </row>
    <row r="706" spans="1:16" x14ac:dyDescent="0.35">
      <c r="A706" s="535" t="str">
        <f t="shared" si="84"/>
        <v/>
      </c>
      <c r="B706" s="337"/>
      <c r="C706" s="337"/>
      <c r="D706" s="355"/>
      <c r="E706" s="549" t="s">
        <v>785</v>
      </c>
      <c r="F706" s="378">
        <v>20</v>
      </c>
      <c r="G706" s="378"/>
      <c r="H706" s="515"/>
      <c r="I706" s="356"/>
      <c r="J706" s="515"/>
      <c r="K706" s="684"/>
      <c r="L706" s="535"/>
      <c r="M706" s="552" t="str">
        <f t="shared" si="80"/>
        <v/>
      </c>
      <c r="N706" s="552"/>
      <c r="O706" s="552" t="str">
        <f t="shared" si="81"/>
        <v/>
      </c>
      <c r="P706" s="39"/>
    </row>
    <row r="707" spans="1:16" x14ac:dyDescent="0.35">
      <c r="A707" s="535" t="str">
        <f t="shared" si="84"/>
        <v/>
      </c>
      <c r="B707" s="330"/>
      <c r="C707" s="330"/>
      <c r="D707" s="355"/>
      <c r="E707" s="549" t="s">
        <v>780</v>
      </c>
      <c r="F707" s="378">
        <v>250</v>
      </c>
      <c r="G707" s="378" t="s">
        <v>73</v>
      </c>
      <c r="H707" s="515"/>
      <c r="I707" s="356"/>
      <c r="J707" s="515"/>
      <c r="K707" s="684"/>
      <c r="L707" s="535"/>
      <c r="M707" s="552" t="str">
        <f t="shared" si="80"/>
        <v/>
      </c>
      <c r="N707" s="552"/>
      <c r="O707" s="552" t="str">
        <f t="shared" si="81"/>
        <v/>
      </c>
      <c r="P707" s="39"/>
    </row>
    <row r="708" spans="1:16" x14ac:dyDescent="0.35">
      <c r="A708" s="535" t="str">
        <f t="shared" si="84"/>
        <v/>
      </c>
      <c r="B708" s="337"/>
      <c r="C708" s="337"/>
      <c r="D708" s="326" t="s">
        <v>1068</v>
      </c>
      <c r="E708" s="360" t="s">
        <v>1069</v>
      </c>
      <c r="F708" s="18">
        <v>60</v>
      </c>
      <c r="G708" s="18" t="s">
        <v>73</v>
      </c>
      <c r="H708" s="335">
        <f>ROUND(($F$706)*((($F$707)*(($F$708)/($F$708+$F$709)))
/((($F$707)*(($F$708)/($F$708+$F$709)))+
(($F$707)*(($F$709)/($F$708+$F$709)))+
($F$710))),2)</f>
        <v>7.84</v>
      </c>
      <c r="I708" s="335" t="s">
        <v>73</v>
      </c>
      <c r="J708" s="337"/>
      <c r="K708" s="680">
        <f>(A655*H708)</f>
        <v>454.71999999999997</v>
      </c>
      <c r="L708" s="535"/>
      <c r="M708" s="552" t="str">
        <f t="shared" si="80"/>
        <v/>
      </c>
      <c r="N708" s="552"/>
      <c r="O708" s="552" t="str">
        <f t="shared" si="81"/>
        <v/>
      </c>
      <c r="P708" s="39"/>
    </row>
    <row r="709" spans="1:16" x14ac:dyDescent="0.35">
      <c r="A709" s="535" t="str">
        <f t="shared" si="84"/>
        <v/>
      </c>
      <c r="B709" s="330"/>
      <c r="C709" s="330"/>
      <c r="D709" s="342"/>
      <c r="E709" s="362" t="s">
        <v>81</v>
      </c>
      <c r="F709" s="404">
        <v>90</v>
      </c>
      <c r="G709" s="404" t="s">
        <v>73</v>
      </c>
      <c r="H709" s="343">
        <f>ROUND(($F$706)*((($F$707)*(($F$709)/($F$708+$F$709)))
/((($F$707)*(($F$708)/($F$708+$F$709)))+
(($F$707)*(($F$709)/($F$708+$F$709)))+
($F$710))),2)</f>
        <v>11.76</v>
      </c>
      <c r="I709" s="343" t="s">
        <v>73</v>
      </c>
      <c r="J709" s="345"/>
      <c r="K709" s="685">
        <f>(A655*H709)</f>
        <v>682.08</v>
      </c>
      <c r="L709" s="535"/>
      <c r="M709" s="552" t="str">
        <f t="shared" si="80"/>
        <v/>
      </c>
      <c r="N709" s="552"/>
      <c r="O709" s="552" t="str">
        <f t="shared" si="81"/>
        <v/>
      </c>
      <c r="P709" s="39"/>
    </row>
    <row r="710" spans="1:16" x14ac:dyDescent="0.35">
      <c r="A710" s="535" t="str">
        <f t="shared" si="84"/>
        <v/>
      </c>
      <c r="B710" s="337"/>
      <c r="C710" s="337"/>
      <c r="D710" s="326" t="s">
        <v>40</v>
      </c>
      <c r="E710" s="578" t="s">
        <v>104</v>
      </c>
      <c r="F710" s="458">
        <v>5</v>
      </c>
      <c r="G710" s="458" t="s">
        <v>73</v>
      </c>
      <c r="H710" s="335">
        <f>ROUND(($F$706)*(($F$710)/((($F$707)*(($F$708)/($F$708+$F$709)))+
(($F$707)*(($F$709)/($F$708+$F$709)))+
($F$710))),2)</f>
        <v>0.39</v>
      </c>
      <c r="I710" s="335" t="s">
        <v>73</v>
      </c>
      <c r="J710" s="337"/>
      <c r="K710" s="680">
        <f>(A655*H710)</f>
        <v>22.62</v>
      </c>
      <c r="L710" s="535"/>
      <c r="M710" s="552" t="str">
        <f t="shared" si="80"/>
        <v/>
      </c>
      <c r="N710" s="552"/>
      <c r="O710" s="552" t="str">
        <f t="shared" si="81"/>
        <v/>
      </c>
      <c r="P710" s="39"/>
    </row>
    <row r="711" spans="1:16" x14ac:dyDescent="0.35">
      <c r="A711" s="535" t="str">
        <f t="shared" si="84"/>
        <v/>
      </c>
      <c r="B711" s="330"/>
      <c r="C711" s="330"/>
      <c r="D711" s="326" t="s">
        <v>545</v>
      </c>
      <c r="E711" s="327" t="s">
        <v>546</v>
      </c>
      <c r="F711" s="22">
        <v>40</v>
      </c>
      <c r="G711" s="22" t="s">
        <v>73</v>
      </c>
      <c r="H711" s="328">
        <v>40</v>
      </c>
      <c r="I711" s="328" t="s">
        <v>73</v>
      </c>
      <c r="J711" s="330"/>
      <c r="K711" s="681">
        <f>(A655*H711)</f>
        <v>2320</v>
      </c>
      <c r="L711" s="535"/>
      <c r="M711" s="552" t="str">
        <f t="shared" si="80"/>
        <v/>
      </c>
      <c r="N711" s="552"/>
      <c r="O711" s="552" t="str">
        <f t="shared" si="81"/>
        <v/>
      </c>
      <c r="P711" s="39"/>
    </row>
    <row r="712" spans="1:16" ht="15" thickBot="1" x14ac:dyDescent="0.4">
      <c r="A712" s="535" t="str">
        <f t="shared" si="84"/>
        <v/>
      </c>
      <c r="B712" s="337"/>
      <c r="C712" s="337"/>
      <c r="D712" s="326" t="s">
        <v>454</v>
      </c>
      <c r="E712" s="334" t="s">
        <v>455</v>
      </c>
      <c r="F712" s="18">
        <v>20</v>
      </c>
      <c r="G712" s="18" t="s">
        <v>73</v>
      </c>
      <c r="H712" s="335">
        <v>20</v>
      </c>
      <c r="I712" s="335" t="s">
        <v>73</v>
      </c>
      <c r="J712" s="337"/>
      <c r="K712" s="680">
        <f>(A655*H712)</f>
        <v>1160</v>
      </c>
      <c r="L712" s="535"/>
      <c r="M712" s="552" t="str">
        <f t="shared" si="80"/>
        <v/>
      </c>
      <c r="N712" s="552"/>
      <c r="O712" s="552" t="str">
        <f t="shared" si="81"/>
        <v/>
      </c>
      <c r="P712" s="39"/>
    </row>
    <row r="713" spans="1:16" ht="15.5" thickTop="1" thickBot="1" x14ac:dyDescent="0.4">
      <c r="A713" s="585" t="str">
        <f t="shared" si="84"/>
        <v/>
      </c>
      <c r="B713" s="574"/>
      <c r="C713" s="574"/>
      <c r="D713" s="575"/>
      <c r="E713" s="574"/>
      <c r="F713" s="574"/>
      <c r="G713" s="574"/>
      <c r="H713" s="574"/>
      <c r="I713" s="574"/>
      <c r="J713" s="574"/>
      <c r="K713" s="683"/>
      <c r="L713" s="535"/>
      <c r="M713" s="552" t="str">
        <f t="shared" si="80"/>
        <v/>
      </c>
      <c r="N713" s="552"/>
      <c r="O713" s="552" t="str">
        <f t="shared" si="81"/>
        <v/>
      </c>
      <c r="P713" s="39"/>
    </row>
    <row r="714" spans="1:16" ht="15" thickTop="1" x14ac:dyDescent="0.35">
      <c r="A714" s="565">
        <f>IFERROR(INDEX($Q$17:$Q$150,MATCH(B714,$R$17:$R$150, 0)), "")</f>
        <v>23</v>
      </c>
      <c r="B714" s="382" t="s">
        <v>1292</v>
      </c>
      <c r="C714" s="107" t="s">
        <v>795</v>
      </c>
      <c r="D714" s="347" t="s">
        <v>748</v>
      </c>
      <c r="E714" s="589" t="s">
        <v>749</v>
      </c>
      <c r="F714" s="6">
        <v>1</v>
      </c>
      <c r="G714" s="6" t="s">
        <v>1072</v>
      </c>
      <c r="H714" s="41">
        <v>1</v>
      </c>
      <c r="I714" s="41" t="s">
        <v>1072</v>
      </c>
      <c r="J714" s="5"/>
      <c r="K714" s="687">
        <f>(A714*H714)</f>
        <v>23</v>
      </c>
      <c r="L714" s="535"/>
      <c r="M714" s="552" t="str">
        <f t="shared" si="80"/>
        <v/>
      </c>
      <c r="N714" s="552"/>
      <c r="O714" s="552" t="str">
        <f t="shared" si="81"/>
        <v/>
      </c>
      <c r="P714" s="48"/>
    </row>
    <row r="715" spans="1:16" x14ac:dyDescent="0.35">
      <c r="A715" s="535" t="str">
        <f t="shared" si="84"/>
        <v/>
      </c>
      <c r="B715" s="330"/>
      <c r="C715" s="330"/>
      <c r="D715" s="326" t="s">
        <v>373</v>
      </c>
      <c r="E715" s="544" t="s">
        <v>772</v>
      </c>
      <c r="F715" s="22">
        <v>20</v>
      </c>
      <c r="G715" s="22" t="s">
        <v>73</v>
      </c>
      <c r="H715" s="328">
        <v>20</v>
      </c>
      <c r="I715" s="328" t="s">
        <v>73</v>
      </c>
      <c r="J715" s="330"/>
      <c r="K715" s="681">
        <f>(A714*H715)</f>
        <v>460</v>
      </c>
      <c r="L715" s="535"/>
      <c r="M715" s="552" t="str">
        <f t="shared" si="80"/>
        <v/>
      </c>
      <c r="N715" s="552"/>
      <c r="O715" s="552" t="str">
        <f t="shared" si="81"/>
        <v/>
      </c>
      <c r="P715" s="39"/>
    </row>
    <row r="716" spans="1:16" x14ac:dyDescent="0.35">
      <c r="A716" s="535" t="str">
        <f t="shared" si="84"/>
        <v/>
      </c>
      <c r="B716" s="337"/>
      <c r="C716" s="337"/>
      <c r="D716" s="326" t="s">
        <v>41</v>
      </c>
      <c r="E716" s="536" t="s">
        <v>779</v>
      </c>
      <c r="F716" s="18">
        <v>2</v>
      </c>
      <c r="G716" s="18" t="s">
        <v>73</v>
      </c>
      <c r="H716" s="335">
        <v>2</v>
      </c>
      <c r="I716" s="335" t="s">
        <v>73</v>
      </c>
      <c r="J716" s="337"/>
      <c r="K716" s="680">
        <f>(A714*H716)</f>
        <v>46</v>
      </c>
      <c r="L716" s="535"/>
      <c r="M716" s="552" t="str">
        <f t="shared" si="80"/>
        <v/>
      </c>
      <c r="N716" s="552"/>
      <c r="O716" s="552" t="str">
        <f t="shared" si="81"/>
        <v/>
      </c>
      <c r="P716" s="39"/>
    </row>
    <row r="717" spans="1:16" x14ac:dyDescent="0.35">
      <c r="A717" s="535" t="str">
        <f t="shared" si="84"/>
        <v/>
      </c>
      <c r="B717" s="330"/>
      <c r="C717" s="330"/>
      <c r="D717" s="326" t="s">
        <v>491</v>
      </c>
      <c r="E717" s="327" t="s">
        <v>750</v>
      </c>
      <c r="F717" s="22">
        <v>1.25</v>
      </c>
      <c r="G717" s="22" t="s">
        <v>1072</v>
      </c>
      <c r="H717" s="328">
        <v>1.25</v>
      </c>
      <c r="I717" s="328" t="s">
        <v>1072</v>
      </c>
      <c r="J717" s="330"/>
      <c r="K717" s="681">
        <f>(A714*H717)</f>
        <v>28.75</v>
      </c>
      <c r="L717" s="535"/>
      <c r="M717" s="552" t="str">
        <f t="shared" si="80"/>
        <v/>
      </c>
      <c r="N717" s="552"/>
      <c r="O717" s="552" t="str">
        <f t="shared" si="81"/>
        <v/>
      </c>
      <c r="P717" s="39"/>
    </row>
    <row r="718" spans="1:16" x14ac:dyDescent="0.35">
      <c r="A718" s="535" t="str">
        <f t="shared" si="84"/>
        <v/>
      </c>
      <c r="B718" s="337"/>
      <c r="C718" s="337"/>
      <c r="D718" s="355"/>
      <c r="E718" s="549" t="s">
        <v>751</v>
      </c>
      <c r="F718" s="378">
        <v>100</v>
      </c>
      <c r="G718" s="378" t="s">
        <v>73</v>
      </c>
      <c r="H718" s="515"/>
      <c r="I718" s="515"/>
      <c r="J718" s="515"/>
      <c r="K718" s="684"/>
      <c r="L718" s="535"/>
      <c r="M718" s="552" t="str">
        <f t="shared" si="80"/>
        <v/>
      </c>
      <c r="N718" s="552"/>
      <c r="O718" s="552" t="str">
        <f t="shared" si="81"/>
        <v/>
      </c>
      <c r="P718" s="39"/>
    </row>
    <row r="719" spans="1:16" x14ac:dyDescent="0.35">
      <c r="A719" s="535" t="str">
        <f t="shared" si="84"/>
        <v/>
      </c>
      <c r="B719" s="330"/>
      <c r="C719" s="330"/>
      <c r="D719" s="355"/>
      <c r="E719" s="567" t="s">
        <v>754</v>
      </c>
      <c r="F719" s="356">
        <v>2100</v>
      </c>
      <c r="G719" s="378" t="s">
        <v>73</v>
      </c>
      <c r="H719" s="515"/>
      <c r="I719" s="515"/>
      <c r="J719" s="515"/>
      <c r="K719" s="684"/>
      <c r="L719" s="535"/>
      <c r="M719" s="552" t="str">
        <f t="shared" si="80"/>
        <v/>
      </c>
      <c r="N719" s="552"/>
      <c r="O719" s="552" t="str">
        <f t="shared" si="81"/>
        <v/>
      </c>
      <c r="P719" s="39"/>
    </row>
    <row r="720" spans="1:16" x14ac:dyDescent="0.35">
      <c r="A720" s="535" t="str">
        <f t="shared" ref="A720:A783" si="85">IFERROR(INDEX($Q$17:$Q$41,MATCH(B720,$R$17:$R$41, 0)), "")</f>
        <v/>
      </c>
      <c r="B720" s="337"/>
      <c r="C720" s="337"/>
      <c r="D720" s="342"/>
      <c r="E720" s="561" t="s">
        <v>81</v>
      </c>
      <c r="F720" s="404">
        <v>1300</v>
      </c>
      <c r="G720" s="404" t="s">
        <v>73</v>
      </c>
      <c r="H720" s="343">
        <f>ROUND(($F$718)*((($F$719)*(($F$720)/($F$720+$F$721+$F$722)))
/((($F$719)*(($F$720)/($F$720+$F$721+$F$722)))+
(($F$719)*(($F$721)/($F$720+$F$721+$F$722)))+
(($F$719)*(($F$722)/($F$720+$F$721+$F$722)))+
(($F$723)*(($F$724)/($F$724+$F$725+$F$726+$F$727)))+
(($F$723)*(($F$725)/($F$724+$F$725+$F$726+$F$727)))+
(($F$723)*(($F$726)/($F$724+$F$725+$F$726+$F$727)))+
(($F$723)*(($F$727)/($F$724+$F$725+$F$726+$F$727)))+
($F$728)+($F$729))),2)</f>
        <v>53.47</v>
      </c>
      <c r="I720" s="345"/>
      <c r="J720" s="345"/>
      <c r="K720" s="685"/>
      <c r="L720" s="535"/>
      <c r="M720" s="552" t="str">
        <f t="shared" si="80"/>
        <v/>
      </c>
      <c r="N720" s="552"/>
      <c r="O720" s="552" t="str">
        <f t="shared" si="81"/>
        <v/>
      </c>
      <c r="P720" s="39"/>
    </row>
    <row r="721" spans="1:16" x14ac:dyDescent="0.35">
      <c r="A721" s="535" t="str">
        <f t="shared" si="85"/>
        <v/>
      </c>
      <c r="B721" s="330"/>
      <c r="C721" s="330"/>
      <c r="D721" s="326" t="s">
        <v>1660</v>
      </c>
      <c r="E721" s="495" t="s">
        <v>1897</v>
      </c>
      <c r="F721" s="22">
        <v>1000</v>
      </c>
      <c r="G721" s="22" t="s">
        <v>73</v>
      </c>
      <c r="H721" s="328">
        <f>ROUND(($F$718)*((($F$719)*(($F$721)/($F$720+$F$721+$F$722)))
/((($F$719)*(($F$720)/($F$720+$F$721+$F$722)))+
(($F$719)*(($F$721)/($F$720+$F$721+$F$722)))+
(($F$719)*(($F$722)/($F$720+$F$721+$F$722)))+
(($F$723)*(($F$724)/($F$724+$F$725+$F$726+$F$727)))+
(($F$723)*(($F$725)/($F$724+$F$725+$F$726+$F$727)))+
(($F$723)*(($F$726)/($F$724+$F$725+$F$726+$F$727)))+
(($F$723)*(($F$727)/($F$724+$F$725+$F$726+$F$727)))+
($F$728)+($F$729))),2)</f>
        <v>41.13</v>
      </c>
      <c r="I721" s="328" t="s">
        <v>73</v>
      </c>
      <c r="J721" s="330"/>
      <c r="K721" s="681">
        <f>(A714*H721)</f>
        <v>945.99</v>
      </c>
      <c r="L721" s="535"/>
      <c r="M721" s="552" t="str">
        <f t="shared" ref="M721:M784" si="86">IF(Q720&gt;0, Q720, "")</f>
        <v/>
      </c>
      <c r="N721" s="552"/>
      <c r="O721" s="552" t="str">
        <f t="shared" ref="O721:O784" si="87">IF(V721&gt;0, V721, "")</f>
        <v/>
      </c>
      <c r="P721" s="39"/>
    </row>
    <row r="722" spans="1:16" x14ac:dyDescent="0.35">
      <c r="A722" s="535" t="str">
        <f t="shared" si="85"/>
        <v/>
      </c>
      <c r="B722" s="337"/>
      <c r="C722" s="337"/>
      <c r="D722" s="326"/>
      <c r="E722" s="560" t="s">
        <v>753</v>
      </c>
      <c r="F722" s="18">
        <v>0</v>
      </c>
      <c r="G722" s="18" t="s">
        <v>73</v>
      </c>
      <c r="H722" s="335">
        <f>ROUND(($F$718)*((($F$719)*(($F$722)/($F$720+$F$721+$F$722)))
/((($F$719)*(($F$720)/($F$720+$F$721+$F$722)))+
(($F$719)*(($F$721)/($F$720+$F$721+$F$722)))+
(($F$719)*(($F$722)/($F$720+$F$721+$F$722)))+
(($F$723)*(($F$724)/($F$724+$F$725+$F$726+$F$727)))+
(($F$723)*(($F$725)/($F$724+$F$725+$F$726+$F$727)))+
(($F$723)*(($F$726)/($F$724+$F$725+$F$726+$F$727)))+
(($F$723)*(($F$727)/($F$724+$F$725+$F$726+$F$727)))+
($F$728)+($F$729))),2)</f>
        <v>0</v>
      </c>
      <c r="I722" s="335" t="s">
        <v>73</v>
      </c>
      <c r="J722" s="337"/>
      <c r="K722" s="680">
        <f>(A714*H722)</f>
        <v>0</v>
      </c>
      <c r="L722" s="535"/>
      <c r="M722" s="552" t="str">
        <f t="shared" si="86"/>
        <v/>
      </c>
      <c r="N722" s="552"/>
      <c r="O722" s="552" t="str">
        <f t="shared" si="87"/>
        <v/>
      </c>
      <c r="P722" s="39"/>
    </row>
    <row r="723" spans="1:16" x14ac:dyDescent="0.35">
      <c r="A723" s="535" t="str">
        <f t="shared" si="85"/>
        <v/>
      </c>
      <c r="B723" s="330"/>
      <c r="C723" s="330"/>
      <c r="D723" s="355"/>
      <c r="E723" s="567" t="s">
        <v>755</v>
      </c>
      <c r="F723" s="378">
        <v>55</v>
      </c>
      <c r="G723" s="378" t="s">
        <v>73</v>
      </c>
      <c r="H723" s="356"/>
      <c r="I723" s="356"/>
      <c r="J723" s="515"/>
      <c r="K723" s="684"/>
      <c r="L723" s="535"/>
      <c r="M723" s="552" t="str">
        <f t="shared" si="86"/>
        <v/>
      </c>
      <c r="N723" s="552"/>
      <c r="O723" s="552" t="str">
        <f t="shared" si="87"/>
        <v/>
      </c>
      <c r="P723" s="39"/>
    </row>
    <row r="724" spans="1:16" x14ac:dyDescent="0.35">
      <c r="A724" s="535" t="str">
        <f t="shared" si="85"/>
        <v/>
      </c>
      <c r="B724" s="337"/>
      <c r="C724" s="337"/>
      <c r="D724" s="326" t="s">
        <v>333</v>
      </c>
      <c r="E724" s="560" t="s">
        <v>756</v>
      </c>
      <c r="F724" s="18">
        <v>20</v>
      </c>
      <c r="G724" s="18" t="s">
        <v>73</v>
      </c>
      <c r="H724" s="335">
        <f>ROUND(($F$718)*((($F$723)*(($F$724)/($F$724+$F$725+$F$726+$F$727)))
/((($F$719)*(($F$720)/($F$720+$F$721+$F$722)))+
(($F$719)*(($F$721)/($F$720+$F$721+$F$722)))+
(($F$719)*(($F$722)/($F$720+$F$721+$F$722)))+
(($F$723)*(($F$724)/($F$724+$F$725+$F$726+$F$727)))+
(($F$723)*(($F$725)/($F$724+$F$725+$F$726+$F$727)))+
(($F$723)*(($F$726)/($F$724+$F$725+$F$726+$F$727)))+
(($F$723)*(($F$727)/($F$724+$F$725+$F$726+$F$727)))+
($F$728)+($F$729))),2)</f>
        <v>0.2</v>
      </c>
      <c r="I724" s="335" t="s">
        <v>73</v>
      </c>
      <c r="J724" s="337"/>
      <c r="K724" s="680">
        <f>(A714*H724)</f>
        <v>4.6000000000000005</v>
      </c>
      <c r="L724" s="535"/>
      <c r="M724" s="552" t="str">
        <f t="shared" si="86"/>
        <v/>
      </c>
      <c r="N724" s="552"/>
      <c r="O724" s="552" t="str">
        <f t="shared" si="87"/>
        <v/>
      </c>
      <c r="P724" s="39"/>
    </row>
    <row r="725" spans="1:16" x14ac:dyDescent="0.35">
      <c r="A725" s="535" t="str">
        <f t="shared" si="85"/>
        <v/>
      </c>
      <c r="B725" s="330"/>
      <c r="C725" s="330"/>
      <c r="D725" s="326" t="s">
        <v>43</v>
      </c>
      <c r="E725" s="495" t="s">
        <v>105</v>
      </c>
      <c r="F725" s="22">
        <v>20</v>
      </c>
      <c r="G725" s="22" t="s">
        <v>73</v>
      </c>
      <c r="H725" s="328">
        <f>ROUND(($F$718)*((($F$723)*(($F$725)/($F$724+$F$725+$F$726+$F$727)))
/((($F$719)*(($F$720)/($F$720+$F$721+$F$722)))+
(($F$719)*(($F$721)/($F$720+$F$721+$F$722)))+
(($F$719)*(($F$722)/($F$720+$F$721+$F$722)))+
(($F$723)*(($F$724)/($F$724+$F$725+$F$726+$F$727)))+
(($F$723)*(($F$725)/($F$724+$F$725+$F$726+$F$727)))+
(($F$723)*(($F$726)/($F$724+$F$725+$F$726+$F$727)))+
(($F$723)*(($F$727)/($F$724+$F$725+$F$726+$F$727)))+
($F$728)+($F$729))),2)</f>
        <v>0.2</v>
      </c>
      <c r="I725" s="328" t="s">
        <v>73</v>
      </c>
      <c r="J725" s="330"/>
      <c r="K725" s="681">
        <f>(A714*H725)</f>
        <v>4.6000000000000005</v>
      </c>
      <c r="L725" s="535"/>
      <c r="M725" s="552" t="str">
        <f t="shared" si="86"/>
        <v/>
      </c>
      <c r="N725" s="552"/>
      <c r="O725" s="552" t="str">
        <f t="shared" si="87"/>
        <v/>
      </c>
      <c r="P725" s="39"/>
    </row>
    <row r="726" spans="1:16" x14ac:dyDescent="0.35">
      <c r="A726" s="535" t="str">
        <f t="shared" si="85"/>
        <v/>
      </c>
      <c r="B726" s="337"/>
      <c r="C726" s="337"/>
      <c r="D726" s="326" t="s">
        <v>42</v>
      </c>
      <c r="E726" s="560" t="s">
        <v>66</v>
      </c>
      <c r="F726" s="18">
        <v>2</v>
      </c>
      <c r="G726" s="18" t="s">
        <v>73</v>
      </c>
      <c r="H726" s="335">
        <f>ROUND(($F$718)*((($F$723)*(($F$726)/($F$724+$F$725+$F$726+$F$727)))
/((($F$719)*(($F$720)/($F$720+$F$721+$F$722)))+
(($F$719)*(($F$721)/($F$720+$F$721+$F$722)))+
(($F$719)*(($F$722)/($F$720+$F$721+$F$722)))+
(($F$723)*(($F$724)/($F$724+$F$725+$F$726+$F$727)))+
(($F$723)*(($F$725)/($F$724+$F$725+$F$726+$F$727)))+
(($F$723)*(($F$726)/($F$724+$F$725+$F$726+$F$727)))+
(($F$723)*(($F$727)/($F$724+$F$725+$F$726+$F$727)))+
($F$728)+($F$729))),2)</f>
        <v>0.02</v>
      </c>
      <c r="I726" s="335" t="s">
        <v>73</v>
      </c>
      <c r="J726" s="337"/>
      <c r="K726" s="680">
        <f>(A714*H726)</f>
        <v>0.46</v>
      </c>
      <c r="L726" s="535"/>
      <c r="M726" s="552" t="str">
        <f t="shared" si="86"/>
        <v/>
      </c>
      <c r="N726" s="552"/>
      <c r="O726" s="552" t="str">
        <f t="shared" si="87"/>
        <v/>
      </c>
      <c r="P726" s="39"/>
    </row>
    <row r="727" spans="1:16" x14ac:dyDescent="0.35">
      <c r="A727" s="535" t="str">
        <f t="shared" si="85"/>
        <v/>
      </c>
      <c r="B727" s="330"/>
      <c r="C727" s="330"/>
      <c r="D727" s="342"/>
      <c r="E727" s="561" t="s">
        <v>81</v>
      </c>
      <c r="F727" s="404">
        <v>200</v>
      </c>
      <c r="G727" s="404" t="s">
        <v>73</v>
      </c>
      <c r="H727" s="343">
        <f>ROUND(($F$718)*((($F$723)*(($F$727)/($F$724+$F$725+$F$726+$F$727)))
/((($F$719)*(($F$720)/($F$720+$F$721+$F$722)))+
(($F$719)*(($F$721)/($F$720+$F$721+$F$722)))+
(($F$719)*(($F$722)/($F$720+$F$721+$F$722)))+
(($F$723)*(($F$724)/($F$724+$F$725+$F$726+$F$727)))+
(($F$723)*(($F$725)/($F$724+$F$725+$F$726+$F$727)))+
(($F$723)*(($F$726)/($F$724+$F$725+$F$726+$F$727)))+
(($F$723)*(($F$727)/($F$724+$F$725+$F$726+$F$727)))+
($F$728)+($F$729))),2)</f>
        <v>2.0499999999999998</v>
      </c>
      <c r="I727" s="343"/>
      <c r="J727" s="345"/>
      <c r="K727" s="685"/>
      <c r="L727" s="535"/>
      <c r="M727" s="552" t="str">
        <f t="shared" si="86"/>
        <v/>
      </c>
      <c r="N727" s="552"/>
      <c r="O727" s="552" t="str">
        <f t="shared" si="87"/>
        <v/>
      </c>
      <c r="P727" s="39"/>
    </row>
    <row r="728" spans="1:16" x14ac:dyDescent="0.35">
      <c r="A728" s="535" t="str">
        <f t="shared" si="85"/>
        <v/>
      </c>
      <c r="B728" s="337"/>
      <c r="C728" s="337"/>
      <c r="D728" s="326" t="s">
        <v>41</v>
      </c>
      <c r="E728" s="360" t="s">
        <v>757</v>
      </c>
      <c r="F728" s="18">
        <v>55</v>
      </c>
      <c r="G728" s="18" t="s">
        <v>73</v>
      </c>
      <c r="H728" s="335">
        <f>ROUND(($F$718)*((F728)/((($F$719)*(($F$720)/($F$720+$F$721+$F$722)))+
(($F$719)*(($F$721)/($F$720+$F$721+$F$722)))+
(($F$719)*(($F$722)/($F$720+$F$721+$F$722)))+
(($F$723)*(($F$724)/($F$724+$F$725+$F$726+$F$727)))+
(($F$723)*(($F$725)/($F$724+$F$725+$F$726+$F$727)))+
(($F$723)*(($F$726)/($F$724+$F$725+$F$726+$F$727)))+
(($F$723)*(($F$727)/($F$724+$F$725+$F$726+$F$727)))+
($F$728)+($F$729))),2)</f>
        <v>2.48</v>
      </c>
      <c r="I728" s="335" t="s">
        <v>73</v>
      </c>
      <c r="J728" s="337"/>
      <c r="K728" s="680">
        <f>(A714*H728)</f>
        <v>57.04</v>
      </c>
      <c r="L728" s="535"/>
      <c r="M728" s="552" t="str">
        <f t="shared" si="86"/>
        <v/>
      </c>
      <c r="N728" s="552"/>
      <c r="O728" s="552" t="str">
        <f t="shared" si="87"/>
        <v/>
      </c>
      <c r="P728" s="39"/>
    </row>
    <row r="729" spans="1:16" x14ac:dyDescent="0.35">
      <c r="A729" s="535" t="str">
        <f t="shared" si="85"/>
        <v/>
      </c>
      <c r="B729" s="330"/>
      <c r="C729" s="330"/>
      <c r="D729" s="326" t="s">
        <v>505</v>
      </c>
      <c r="E729" s="366" t="s">
        <v>758</v>
      </c>
      <c r="F729" s="22">
        <v>10</v>
      </c>
      <c r="G729" s="22" t="s">
        <v>73</v>
      </c>
      <c r="H729" s="328">
        <f>ROUND(($F$718)*((F729)/((($F$719)*(($F$720)/($F$720+$F$721+$F$722)))+
(($F$719)*(($F$721)/($F$720+$F$721+$F$722)))+
(($F$719)*(($F$722)/($F$720+$F$721+$F$722)))+
(($F$723)*(($F$724)/($F$724+$F$725+$F$726+$F$727)))+
(($F$723)*(($F$725)/($F$724+$F$725+$F$726+$F$727)))+
(($F$723)*(($F$726)/($F$724+$F$725+$F$726+$F$727)))+
(($F$723)*(($F$727)/($F$724+$F$725+$F$726+$F$727)))+
($F$728)+($F$729))),2)</f>
        <v>0.45</v>
      </c>
      <c r="I729" s="328" t="s">
        <v>73</v>
      </c>
      <c r="J729" s="330"/>
      <c r="K729" s="681">
        <f>(A714*H729)</f>
        <v>10.35</v>
      </c>
      <c r="L729" s="535"/>
      <c r="M729" s="552" t="str">
        <f t="shared" si="86"/>
        <v/>
      </c>
      <c r="N729" s="552"/>
      <c r="O729" s="552" t="str">
        <f t="shared" si="87"/>
        <v/>
      </c>
      <c r="P729" s="39"/>
    </row>
    <row r="730" spans="1:16" x14ac:dyDescent="0.35">
      <c r="A730" s="535" t="str">
        <f t="shared" si="85"/>
        <v/>
      </c>
      <c r="B730" s="337"/>
      <c r="C730" s="337"/>
      <c r="D730" s="355"/>
      <c r="E730" s="549" t="s">
        <v>759</v>
      </c>
      <c r="F730" s="378">
        <v>30</v>
      </c>
      <c r="G730" s="378" t="s">
        <v>73</v>
      </c>
      <c r="H730" s="515"/>
      <c r="I730" s="356"/>
      <c r="J730" s="515"/>
      <c r="K730" s="684"/>
      <c r="L730" s="535"/>
      <c r="M730" s="552" t="str">
        <f t="shared" si="86"/>
        <v/>
      </c>
      <c r="N730" s="552"/>
      <c r="O730" s="552" t="str">
        <f t="shared" si="87"/>
        <v/>
      </c>
      <c r="P730" s="39"/>
    </row>
    <row r="731" spans="1:16" x14ac:dyDescent="0.35">
      <c r="A731" s="535" t="str">
        <f t="shared" si="85"/>
        <v/>
      </c>
      <c r="B731" s="330"/>
      <c r="C731" s="330"/>
      <c r="D731" s="342"/>
      <c r="E731" s="362" t="s">
        <v>81</v>
      </c>
      <c r="F731" s="404">
        <v>1000</v>
      </c>
      <c r="G731" s="404" t="s">
        <v>73</v>
      </c>
      <c r="H731" s="345"/>
      <c r="I731" s="343"/>
      <c r="J731" s="345"/>
      <c r="K731" s="685"/>
      <c r="L731" s="535"/>
      <c r="M731" s="552" t="str">
        <f t="shared" si="86"/>
        <v/>
      </c>
      <c r="N731" s="552"/>
      <c r="O731" s="552" t="str">
        <f t="shared" si="87"/>
        <v/>
      </c>
      <c r="P731" s="39"/>
    </row>
    <row r="732" spans="1:16" x14ac:dyDescent="0.35">
      <c r="A732" s="535" t="str">
        <f t="shared" si="85"/>
        <v/>
      </c>
      <c r="B732" s="337"/>
      <c r="C732" s="337"/>
      <c r="D732" s="326" t="s">
        <v>43</v>
      </c>
      <c r="E732" s="360" t="s">
        <v>105</v>
      </c>
      <c r="F732" s="18">
        <v>10</v>
      </c>
      <c r="G732" s="18" t="s">
        <v>73</v>
      </c>
      <c r="H732" s="335">
        <f>ROUND((($F$730)*((F732)/($F$732+$F$733+$F$734))),2)</f>
        <v>0.28999999999999998</v>
      </c>
      <c r="I732" s="335" t="s">
        <v>73</v>
      </c>
      <c r="J732" s="337"/>
      <c r="K732" s="680">
        <f>(A714*H732)</f>
        <v>6.67</v>
      </c>
      <c r="L732" s="535"/>
      <c r="M732" s="552" t="str">
        <f t="shared" si="86"/>
        <v/>
      </c>
      <c r="N732" s="552"/>
      <c r="O732" s="552" t="str">
        <f t="shared" si="87"/>
        <v/>
      </c>
      <c r="P732" s="39"/>
    </row>
    <row r="733" spans="1:16" x14ac:dyDescent="0.35">
      <c r="A733" s="535" t="str">
        <f t="shared" si="85"/>
        <v/>
      </c>
      <c r="B733" s="330"/>
      <c r="C733" s="330"/>
      <c r="D733" s="326" t="s">
        <v>41</v>
      </c>
      <c r="E733" s="366" t="s">
        <v>760</v>
      </c>
      <c r="F733" s="22">
        <v>25</v>
      </c>
      <c r="G733" s="22" t="s">
        <v>73</v>
      </c>
      <c r="H733" s="328">
        <f t="shared" ref="H733:H734" si="88">ROUND((($F$730)*((F733)/($F$732+$F$733+$F$734))),2)</f>
        <v>0.72</v>
      </c>
      <c r="I733" s="328" t="s">
        <v>73</v>
      </c>
      <c r="J733" s="330"/>
      <c r="K733" s="681">
        <f>(A714*H733)</f>
        <v>16.559999999999999</v>
      </c>
      <c r="L733" s="535"/>
      <c r="M733" s="552" t="str">
        <f t="shared" si="86"/>
        <v/>
      </c>
      <c r="N733" s="552"/>
      <c r="O733" s="552" t="str">
        <f t="shared" si="87"/>
        <v/>
      </c>
      <c r="P733" s="39"/>
    </row>
    <row r="734" spans="1:16" x14ac:dyDescent="0.35">
      <c r="A734" s="535" t="str">
        <f t="shared" si="85"/>
        <v/>
      </c>
      <c r="B734" s="337"/>
      <c r="C734" s="337"/>
      <c r="D734" s="326" t="s">
        <v>371</v>
      </c>
      <c r="E734" s="360" t="s">
        <v>761</v>
      </c>
      <c r="F734" s="18">
        <v>1000</v>
      </c>
      <c r="G734" s="18" t="s">
        <v>73</v>
      </c>
      <c r="H734" s="335">
        <f t="shared" si="88"/>
        <v>28.99</v>
      </c>
      <c r="I734" s="335" t="s">
        <v>73</v>
      </c>
      <c r="J734" s="337"/>
      <c r="K734" s="680">
        <f>(A714*H734)</f>
        <v>666.77</v>
      </c>
      <c r="L734" s="535"/>
      <c r="M734" s="552" t="str">
        <f t="shared" si="86"/>
        <v/>
      </c>
      <c r="N734" s="552"/>
      <c r="O734" s="552" t="str">
        <f t="shared" si="87"/>
        <v/>
      </c>
      <c r="P734" s="39"/>
    </row>
    <row r="735" spans="1:16" x14ac:dyDescent="0.35">
      <c r="A735" s="535" t="str">
        <f t="shared" si="85"/>
        <v/>
      </c>
      <c r="B735" s="330"/>
      <c r="C735" s="330"/>
      <c r="D735" s="355"/>
      <c r="E735" s="549" t="s">
        <v>762</v>
      </c>
      <c r="F735" s="378">
        <v>15</v>
      </c>
      <c r="G735" s="378" t="s">
        <v>73</v>
      </c>
      <c r="H735" s="515"/>
      <c r="I735" s="356"/>
      <c r="J735" s="515"/>
      <c r="K735" s="684"/>
      <c r="L735" s="535"/>
      <c r="M735" s="552" t="str">
        <f t="shared" si="86"/>
        <v/>
      </c>
      <c r="N735" s="552"/>
      <c r="O735" s="552" t="str">
        <f t="shared" si="87"/>
        <v/>
      </c>
      <c r="P735" s="39"/>
    </row>
    <row r="736" spans="1:16" x14ac:dyDescent="0.35">
      <c r="A736" s="535" t="str">
        <f t="shared" si="85"/>
        <v/>
      </c>
      <c r="B736" s="337"/>
      <c r="C736" s="337"/>
      <c r="D736" s="342"/>
      <c r="E736" s="362" t="s">
        <v>81</v>
      </c>
      <c r="F736" s="404">
        <v>500</v>
      </c>
      <c r="G736" s="404" t="s">
        <v>73</v>
      </c>
      <c r="H736" s="345"/>
      <c r="I736" s="343"/>
      <c r="J736" s="345"/>
      <c r="K736" s="685"/>
      <c r="L736" s="535"/>
      <c r="M736" s="552" t="str">
        <f t="shared" si="86"/>
        <v/>
      </c>
      <c r="N736" s="552"/>
      <c r="O736" s="552" t="str">
        <f t="shared" si="87"/>
        <v/>
      </c>
      <c r="P736" s="39"/>
    </row>
    <row r="737" spans="1:16" x14ac:dyDescent="0.35">
      <c r="A737" s="535" t="str">
        <f t="shared" si="85"/>
        <v/>
      </c>
      <c r="B737" s="330"/>
      <c r="C737" s="330"/>
      <c r="D737" s="326" t="s">
        <v>333</v>
      </c>
      <c r="E737" s="366" t="s">
        <v>756</v>
      </c>
      <c r="F737" s="22">
        <v>15</v>
      </c>
      <c r="G737" s="22" t="s">
        <v>73</v>
      </c>
      <c r="H737" s="328">
        <f>ROUND(($F$735)*((F737)/((($F$739)*(($F$740)/($F$740+$F$741)))+
(($F$739)*(($F$741)/($F$740+$F$741)))+
($F$737)+($F$738)+($F$742)+($F$743)+($F$744)+($F$745)+($F$746))),2)</f>
        <v>0.76</v>
      </c>
      <c r="I737" s="328" t="s">
        <v>73</v>
      </c>
      <c r="J737" s="330"/>
      <c r="K737" s="681">
        <f>(A714*H737)</f>
        <v>17.48</v>
      </c>
      <c r="L737" s="535"/>
      <c r="M737" s="552" t="str">
        <f t="shared" si="86"/>
        <v/>
      </c>
      <c r="N737" s="552"/>
      <c r="O737" s="552" t="str">
        <f t="shared" si="87"/>
        <v/>
      </c>
      <c r="P737" s="39"/>
    </row>
    <row r="738" spans="1:16" x14ac:dyDescent="0.35">
      <c r="A738" s="535" t="str">
        <f t="shared" si="85"/>
        <v/>
      </c>
      <c r="B738" s="337"/>
      <c r="C738" s="337"/>
      <c r="D738" s="326" t="s">
        <v>46</v>
      </c>
      <c r="E738" s="360" t="s">
        <v>763</v>
      </c>
      <c r="F738" s="18">
        <v>20</v>
      </c>
      <c r="G738" s="18" t="s">
        <v>73</v>
      </c>
      <c r="H738" s="335">
        <f>ROUND(($F$735)*((F738)/((($F$739)*(($F$740)/($F$740+$F$741)))+
(($F$739)*(($F$741)/($F$740+$F$741)))+
($F$737)+($F$738)+($F$742)+($F$743)+($F$744)+($F$745)+($F$746))),2)</f>
        <v>1.01</v>
      </c>
      <c r="I738" s="335" t="s">
        <v>73</v>
      </c>
      <c r="J738" s="337"/>
      <c r="K738" s="680">
        <f>(A714*H738)</f>
        <v>23.23</v>
      </c>
      <c r="L738" s="535"/>
      <c r="M738" s="552" t="str">
        <f t="shared" si="86"/>
        <v/>
      </c>
      <c r="N738" s="552"/>
      <c r="O738" s="552" t="str">
        <f t="shared" si="87"/>
        <v/>
      </c>
      <c r="P738" s="39"/>
    </row>
    <row r="739" spans="1:16" x14ac:dyDescent="0.35">
      <c r="A739" s="535" t="str">
        <f t="shared" si="85"/>
        <v/>
      </c>
      <c r="B739" s="330"/>
      <c r="C739" s="330"/>
      <c r="D739" s="355"/>
      <c r="E739" s="567" t="s">
        <v>114</v>
      </c>
      <c r="F739" s="378">
        <v>3</v>
      </c>
      <c r="G739" s="378" t="s">
        <v>73</v>
      </c>
      <c r="H739" s="356"/>
      <c r="I739" s="356"/>
      <c r="J739" s="515"/>
      <c r="K739" s="684"/>
      <c r="L739" s="535"/>
      <c r="M739" s="552" t="str">
        <f t="shared" si="86"/>
        <v/>
      </c>
      <c r="N739" s="552"/>
      <c r="O739" s="552" t="str">
        <f t="shared" si="87"/>
        <v/>
      </c>
      <c r="P739" s="39"/>
    </row>
    <row r="740" spans="1:16" x14ac:dyDescent="0.35">
      <c r="A740" s="535" t="str">
        <f t="shared" si="85"/>
        <v/>
      </c>
      <c r="B740" s="337"/>
      <c r="C740" s="337"/>
      <c r="D740" s="326" t="s">
        <v>43</v>
      </c>
      <c r="E740" s="560" t="s">
        <v>768</v>
      </c>
      <c r="F740" s="18">
        <v>15</v>
      </c>
      <c r="G740" s="18" t="s">
        <v>73</v>
      </c>
      <c r="H740" s="335">
        <f>ROUND(($F$735)*((($F$739)*(($F$740)/($F$740+$F$741)))
/((($F$739)*(($F$740)/($F$740+$F$741)))+
(($F$739)*(($F$741)/($F$740+$F$741)))+
($F$737)+($F$738)+($F$742)+($F$743)+($F$744)+($F$745)+($F$746))),2)</f>
        <v>0.02</v>
      </c>
      <c r="I740" s="335" t="s">
        <v>73</v>
      </c>
      <c r="J740" s="337"/>
      <c r="K740" s="680">
        <f>(A714*H740)</f>
        <v>0.46</v>
      </c>
      <c r="L740" s="535"/>
      <c r="M740" s="552" t="str">
        <f t="shared" si="86"/>
        <v/>
      </c>
      <c r="N740" s="552"/>
      <c r="O740" s="552" t="str">
        <f t="shared" si="87"/>
        <v/>
      </c>
      <c r="P740" s="39"/>
    </row>
    <row r="741" spans="1:16" x14ac:dyDescent="0.35">
      <c r="A741" s="535" t="str">
        <f t="shared" si="85"/>
        <v/>
      </c>
      <c r="B741" s="330"/>
      <c r="C741" s="330"/>
      <c r="D741" s="326" t="s">
        <v>42</v>
      </c>
      <c r="E741" s="495" t="s">
        <v>95</v>
      </c>
      <c r="F741" s="22">
        <v>85</v>
      </c>
      <c r="G741" s="22" t="s">
        <v>73</v>
      </c>
      <c r="H741" s="328">
        <f>ROUND(($F$735)*((($F$739)*(($F$741)/($F$740+$F$741)))
/((($F$739)*(($F$740)/($F$740+$F$741)))+
(($F$739)*(($F$741)/($F$740+$F$741)))+
($F$737)+($F$738)+($F$742)+($F$743)+($F$744)+($F$745)+($F$746))),2)</f>
        <v>0.13</v>
      </c>
      <c r="I741" s="328" t="s">
        <v>73</v>
      </c>
      <c r="J741" s="330"/>
      <c r="K741" s="681">
        <f>(A714*H741)</f>
        <v>2.99</v>
      </c>
      <c r="L741" s="535"/>
      <c r="M741" s="552" t="str">
        <f t="shared" si="86"/>
        <v/>
      </c>
      <c r="N741" s="552"/>
      <c r="O741" s="552" t="str">
        <f t="shared" si="87"/>
        <v/>
      </c>
      <c r="P741" s="39"/>
    </row>
    <row r="742" spans="1:16" x14ac:dyDescent="0.35">
      <c r="A742" s="535" t="str">
        <f t="shared" si="85"/>
        <v/>
      </c>
      <c r="B742" s="337"/>
      <c r="C742" s="337"/>
      <c r="D742" s="326" t="s">
        <v>341</v>
      </c>
      <c r="E742" s="360" t="s">
        <v>764</v>
      </c>
      <c r="F742" s="18">
        <v>3</v>
      </c>
      <c r="G742" s="18" t="s">
        <v>73</v>
      </c>
      <c r="H742" s="335">
        <f>ROUND(($F$735)*((F742)/((($F$739)*(($F$740)/($F$740+$F$741)))+
(($F$739)*(($F$741)/($F$740+$F$741)))+
($F$737)+($F$738)+($F$742)+($F$743)+($F$744)+($F$745)+($F$746))),2)</f>
        <v>0.15</v>
      </c>
      <c r="I742" s="335" t="s">
        <v>73</v>
      </c>
      <c r="J742" s="337"/>
      <c r="K742" s="680">
        <f>(A714*H742)</f>
        <v>3.4499999999999997</v>
      </c>
      <c r="L742" s="535"/>
      <c r="M742" s="552" t="str">
        <f t="shared" si="86"/>
        <v/>
      </c>
      <c r="N742" s="552"/>
      <c r="O742" s="552" t="str">
        <f t="shared" si="87"/>
        <v/>
      </c>
      <c r="P742" s="39"/>
    </row>
    <row r="743" spans="1:16" x14ac:dyDescent="0.35">
      <c r="A743" s="535" t="str">
        <f t="shared" si="85"/>
        <v/>
      </c>
      <c r="B743" s="330"/>
      <c r="C743" s="330"/>
      <c r="D743" s="326" t="s">
        <v>41</v>
      </c>
      <c r="E743" s="366" t="s">
        <v>779</v>
      </c>
      <c r="F743" s="22">
        <v>5</v>
      </c>
      <c r="G743" s="22" t="s">
        <v>73</v>
      </c>
      <c r="H743" s="328">
        <f>ROUND(($F$735)*((F743)/((($F$739)*(($F$740)/($F$740+$F$741)))+
(($F$739)*(($F$741)/($F$740+$F$741)))+
($F$737)+($F$738)+($F$742)+($F$743)+($F$744)+($F$745)+($F$746))),2)</f>
        <v>0.25</v>
      </c>
      <c r="I743" s="328" t="s">
        <v>73</v>
      </c>
      <c r="J743" s="330"/>
      <c r="K743" s="681">
        <f>(A714*H743)</f>
        <v>5.75</v>
      </c>
      <c r="L743" s="535"/>
      <c r="M743" s="552" t="str">
        <f t="shared" si="86"/>
        <v/>
      </c>
      <c r="N743" s="552"/>
      <c r="O743" s="552" t="str">
        <f t="shared" si="87"/>
        <v/>
      </c>
      <c r="P743" s="39"/>
    </row>
    <row r="744" spans="1:16" x14ac:dyDescent="0.35">
      <c r="A744" s="535" t="str">
        <f t="shared" si="85"/>
        <v/>
      </c>
      <c r="B744" s="337"/>
      <c r="C744" s="337"/>
      <c r="D744" s="326" t="s">
        <v>325</v>
      </c>
      <c r="E744" s="360" t="s">
        <v>765</v>
      </c>
      <c r="F744" s="18">
        <v>20</v>
      </c>
      <c r="G744" s="18" t="s">
        <v>73</v>
      </c>
      <c r="H744" s="335">
        <f t="shared" ref="H744:H746" si="89">ROUND(($F$735)*((F744)/((($F$739)*(($F$740)/($F$740+$F$741)))+
(($F$739)*(($F$741)/($F$740+$F$741)))+
($F$737)+($F$738)+($F$742)+($F$743)+($F$744)+($F$745)+($F$746))),2)</f>
        <v>1.01</v>
      </c>
      <c r="I744" s="335" t="s">
        <v>73</v>
      </c>
      <c r="J744" s="337"/>
      <c r="K744" s="680">
        <f>(A714*H744)</f>
        <v>23.23</v>
      </c>
      <c r="L744" s="535"/>
      <c r="M744" s="552" t="str">
        <f t="shared" si="86"/>
        <v/>
      </c>
      <c r="N744" s="552"/>
      <c r="O744" s="552" t="str">
        <f t="shared" si="87"/>
        <v/>
      </c>
      <c r="P744" s="39"/>
    </row>
    <row r="745" spans="1:16" x14ac:dyDescent="0.35">
      <c r="A745" s="535" t="str">
        <f t="shared" si="85"/>
        <v/>
      </c>
      <c r="B745" s="330"/>
      <c r="C745" s="330"/>
      <c r="D745" s="326" t="s">
        <v>307</v>
      </c>
      <c r="E745" s="366" t="s">
        <v>766</v>
      </c>
      <c r="F745" s="22">
        <v>30</v>
      </c>
      <c r="G745" s="22" t="s">
        <v>73</v>
      </c>
      <c r="H745" s="328">
        <f t="shared" si="89"/>
        <v>1.52</v>
      </c>
      <c r="I745" s="328" t="s">
        <v>73</v>
      </c>
      <c r="J745" s="330"/>
      <c r="K745" s="681">
        <f>(A714*H745)</f>
        <v>34.96</v>
      </c>
      <c r="L745" s="535"/>
      <c r="M745" s="552" t="str">
        <f t="shared" si="86"/>
        <v/>
      </c>
      <c r="N745" s="552"/>
      <c r="O745" s="552" t="str">
        <f t="shared" si="87"/>
        <v/>
      </c>
      <c r="P745" s="39"/>
    </row>
    <row r="746" spans="1:16" x14ac:dyDescent="0.35">
      <c r="A746" s="535" t="str">
        <f t="shared" si="85"/>
        <v/>
      </c>
      <c r="B746" s="337"/>
      <c r="C746" s="337"/>
      <c r="D746" s="326" t="s">
        <v>381</v>
      </c>
      <c r="E746" s="360" t="s">
        <v>767</v>
      </c>
      <c r="F746" s="18">
        <v>200</v>
      </c>
      <c r="G746" s="18" t="s">
        <v>73</v>
      </c>
      <c r="H746" s="335">
        <f t="shared" si="89"/>
        <v>10.14</v>
      </c>
      <c r="I746" s="335" t="s">
        <v>73</v>
      </c>
      <c r="J746" s="337"/>
      <c r="K746" s="680">
        <f>(A714*H746)</f>
        <v>233.22000000000003</v>
      </c>
      <c r="L746" s="535"/>
      <c r="M746" s="552" t="str">
        <f t="shared" si="86"/>
        <v/>
      </c>
      <c r="N746" s="552"/>
      <c r="O746" s="552" t="str">
        <f t="shared" si="87"/>
        <v/>
      </c>
      <c r="P746" s="39"/>
    </row>
    <row r="747" spans="1:16" x14ac:dyDescent="0.35">
      <c r="A747" s="535" t="str">
        <f t="shared" si="85"/>
        <v/>
      </c>
      <c r="B747" s="330"/>
      <c r="C747" s="330"/>
      <c r="D747" s="355"/>
      <c r="E747" s="549" t="s">
        <v>769</v>
      </c>
      <c r="F747" s="378">
        <v>40</v>
      </c>
      <c r="G747" s="378" t="s">
        <v>73</v>
      </c>
      <c r="H747" s="515"/>
      <c r="I747" s="356"/>
      <c r="J747" s="515"/>
      <c r="K747" s="684"/>
      <c r="L747" s="535"/>
      <c r="M747" s="552" t="str">
        <f t="shared" si="86"/>
        <v/>
      </c>
      <c r="N747" s="552"/>
      <c r="O747" s="552" t="str">
        <f t="shared" si="87"/>
        <v/>
      </c>
      <c r="P747" s="39"/>
    </row>
    <row r="748" spans="1:16" x14ac:dyDescent="0.35">
      <c r="A748" s="535" t="str">
        <f t="shared" si="85"/>
        <v/>
      </c>
      <c r="B748" s="337"/>
      <c r="C748" s="337"/>
      <c r="D748" s="326" t="s">
        <v>521</v>
      </c>
      <c r="E748" s="360" t="s">
        <v>906</v>
      </c>
      <c r="F748" s="18">
        <v>200</v>
      </c>
      <c r="G748" s="18" t="s">
        <v>73</v>
      </c>
      <c r="H748" s="335">
        <f>ROUND(($F$747)*(($F$748)/((($F$749)*(($F$750)/($F$750+$F$751)))+
(($F$749)*(($F$751)/($F$750+$F$751)))+
(($F$752)*(($F$753)/($F$753+$F$754)))+
(($F$752)*(($F$754)/($F$753+$F$754)))+
($F$748)+($F$755)+($F$756))),2)</f>
        <v>33.200000000000003</v>
      </c>
      <c r="I748" s="335" t="s">
        <v>73</v>
      </c>
      <c r="J748" s="337"/>
      <c r="K748" s="680">
        <f>(A714*H748)</f>
        <v>763.6</v>
      </c>
      <c r="L748" s="535"/>
      <c r="M748" s="552" t="str">
        <f t="shared" si="86"/>
        <v/>
      </c>
      <c r="N748" s="552"/>
      <c r="O748" s="552" t="str">
        <f t="shared" si="87"/>
        <v/>
      </c>
      <c r="P748" s="39"/>
    </row>
    <row r="749" spans="1:16" x14ac:dyDescent="0.35">
      <c r="A749" s="535" t="str">
        <f t="shared" si="85"/>
        <v/>
      </c>
      <c r="B749" s="330"/>
      <c r="C749" s="330"/>
      <c r="D749" s="355"/>
      <c r="E749" s="567" t="s">
        <v>770</v>
      </c>
      <c r="F749" s="378">
        <v>30</v>
      </c>
      <c r="G749" s="378" t="s">
        <v>73</v>
      </c>
      <c r="H749" s="356"/>
      <c r="I749" s="356"/>
      <c r="J749" s="515"/>
      <c r="K749" s="684"/>
      <c r="L749" s="535"/>
      <c r="M749" s="552" t="str">
        <f t="shared" si="86"/>
        <v/>
      </c>
      <c r="N749" s="552"/>
      <c r="O749" s="552" t="str">
        <f t="shared" si="87"/>
        <v/>
      </c>
      <c r="P749" s="39"/>
    </row>
    <row r="750" spans="1:16" x14ac:dyDescent="0.35">
      <c r="A750" s="535" t="str">
        <f t="shared" si="85"/>
        <v/>
      </c>
      <c r="B750" s="337"/>
      <c r="C750" s="337"/>
      <c r="D750" s="326" t="s">
        <v>537</v>
      </c>
      <c r="E750" s="560" t="s">
        <v>771</v>
      </c>
      <c r="F750" s="18">
        <v>1</v>
      </c>
      <c r="G750" s="18" t="s">
        <v>73</v>
      </c>
      <c r="H750" s="335">
        <f>ROUND(($F$747)*((($F$749)*(($F$750)/($F$750+$F$751)))
/((($F$749)*(($F$750)/($F$750+$F$751)))+
(($F$749)*(($F$751)/($F$750+$F$751)))+
(($F$752)*(($F$753)/($F$753+$F$754)))+
(($F$752)*(($F$754)/($F$753+$F$754)))+
($F$748)+($F$755)+($F$756))),2)</f>
        <v>0.05</v>
      </c>
      <c r="I750" s="335" t="s">
        <v>73</v>
      </c>
      <c r="J750" s="337"/>
      <c r="K750" s="680">
        <f>(A714*H750)</f>
        <v>1.1500000000000001</v>
      </c>
      <c r="L750" s="535"/>
      <c r="M750" s="552" t="str">
        <f t="shared" si="86"/>
        <v/>
      </c>
      <c r="N750" s="552"/>
      <c r="O750" s="552" t="str">
        <f t="shared" si="87"/>
        <v/>
      </c>
      <c r="P750" s="39"/>
    </row>
    <row r="751" spans="1:16" x14ac:dyDescent="0.35">
      <c r="A751" s="535" t="str">
        <f t="shared" si="85"/>
        <v/>
      </c>
      <c r="B751" s="330"/>
      <c r="C751" s="330"/>
      <c r="D751" s="342"/>
      <c r="E751" s="561" t="s">
        <v>81</v>
      </c>
      <c r="F751" s="404">
        <v>100</v>
      </c>
      <c r="G751" s="404" t="s">
        <v>73</v>
      </c>
      <c r="H751" s="343">
        <f>ROUND(($F$747)*((($F$749)*(($F$751)/($F$750+$F$751)))
/((($F$749)*(($F$750)/($F$750+$F$751)))+
(($F$749)*(($F$751)/($F$750+$F$751)))+
(($F$752)*(($F$753)/($F$753+$F$754)))+
(($F$752)*(($F$754)/($F$753+$F$754)))+
($F$748)+($F$755)+($F$756))),2)</f>
        <v>4.93</v>
      </c>
      <c r="I751" s="343"/>
      <c r="J751" s="345"/>
      <c r="K751" s="685"/>
      <c r="L751" s="535"/>
      <c r="M751" s="552" t="str">
        <f t="shared" si="86"/>
        <v/>
      </c>
      <c r="N751" s="552"/>
      <c r="O751" s="552" t="str">
        <f t="shared" si="87"/>
        <v/>
      </c>
      <c r="P751" s="39"/>
    </row>
    <row r="752" spans="1:16" x14ac:dyDescent="0.35">
      <c r="A752" s="535" t="str">
        <f t="shared" si="85"/>
        <v/>
      </c>
      <c r="B752" s="337"/>
      <c r="C752" s="337"/>
      <c r="D752" s="355"/>
      <c r="E752" s="567" t="s">
        <v>726</v>
      </c>
      <c r="F752" s="378">
        <v>2</v>
      </c>
      <c r="G752" s="378" t="s">
        <v>73</v>
      </c>
      <c r="H752" s="356"/>
      <c r="I752" s="356"/>
      <c r="J752" s="515"/>
      <c r="K752" s="684"/>
      <c r="L752" s="535"/>
      <c r="M752" s="552" t="str">
        <f t="shared" si="86"/>
        <v/>
      </c>
      <c r="N752" s="552"/>
      <c r="O752" s="552" t="str">
        <f t="shared" si="87"/>
        <v/>
      </c>
      <c r="P752" s="39"/>
    </row>
    <row r="753" spans="1:16" x14ac:dyDescent="0.35">
      <c r="A753" s="535" t="str">
        <f t="shared" si="85"/>
        <v/>
      </c>
      <c r="B753" s="330"/>
      <c r="C753" s="330"/>
      <c r="D753" s="326" t="s">
        <v>43</v>
      </c>
      <c r="E753" s="495" t="s">
        <v>105</v>
      </c>
      <c r="F753" s="22">
        <v>15</v>
      </c>
      <c r="G753" s="22" t="s">
        <v>73</v>
      </c>
      <c r="H753" s="328">
        <f>ROUND(($F$747)*((($F$752)*(($F$753)/($F$753+$F$754)))
/((($F$749)*(($F$750)/($F$750+$F$751)))+
(($F$749)*(($F$751)/($F$750+$F$751)))+
(($F$752)*(($F$753)/($F$753+$F$754)))+
(($F$752)*(($F$754)/($F$753+$F$754)))+
($F$748)+($F$755)+($F$756))),2)</f>
        <v>0.05</v>
      </c>
      <c r="I753" s="328" t="s">
        <v>73</v>
      </c>
      <c r="J753" s="330"/>
      <c r="K753" s="681">
        <f>(A714*H753)</f>
        <v>1.1500000000000001</v>
      </c>
      <c r="L753" s="535"/>
      <c r="M753" s="552" t="str">
        <f t="shared" si="86"/>
        <v/>
      </c>
      <c r="N753" s="552"/>
      <c r="O753" s="552" t="str">
        <f t="shared" si="87"/>
        <v/>
      </c>
      <c r="P753" s="39"/>
    </row>
    <row r="754" spans="1:16" x14ac:dyDescent="0.35">
      <c r="A754" s="535" t="str">
        <f t="shared" si="85"/>
        <v/>
      </c>
      <c r="B754" s="337"/>
      <c r="C754" s="337"/>
      <c r="D754" s="326" t="s">
        <v>42</v>
      </c>
      <c r="E754" s="560" t="s">
        <v>95</v>
      </c>
      <c r="F754" s="18">
        <v>85</v>
      </c>
      <c r="G754" s="18" t="s">
        <v>73</v>
      </c>
      <c r="H754" s="335">
        <f>ROUND(($F$747)*((($F$752)*(($F$754)/($F$753+$F$754)))
/((($F$749)*(($F$750)/($F$750+$F$751)))+
(($F$749)*(($F$751)/($F$750+$F$751)))+
(($F$752)*(($F$753)/($F$753+$F$754)))+
(($F$752)*(($F$754)/($F$753+$F$754)))+
($F$748)+($F$755)+($F$756))),2)</f>
        <v>0.28000000000000003</v>
      </c>
      <c r="I754" s="335" t="s">
        <v>73</v>
      </c>
      <c r="J754" s="337"/>
      <c r="K754" s="680">
        <f>(A714*H754)</f>
        <v>6.44</v>
      </c>
      <c r="L754" s="535"/>
      <c r="M754" s="552" t="str">
        <f t="shared" si="86"/>
        <v/>
      </c>
      <c r="N754" s="552"/>
      <c r="O754" s="552" t="str">
        <f t="shared" si="87"/>
        <v/>
      </c>
      <c r="P754" s="39"/>
    </row>
    <row r="755" spans="1:16" x14ac:dyDescent="0.35">
      <c r="A755" s="535" t="str">
        <f t="shared" si="85"/>
        <v/>
      </c>
      <c r="B755" s="330"/>
      <c r="C755" s="330"/>
      <c r="D755" s="326" t="s">
        <v>517</v>
      </c>
      <c r="E755" s="366" t="s">
        <v>724</v>
      </c>
      <c r="F755" s="22">
        <v>8</v>
      </c>
      <c r="G755" s="22" t="s">
        <v>73</v>
      </c>
      <c r="H755" s="328">
        <f>ROUND(($F$747)*((F755)/((($F$749)*(($F$750)/($F$750+$F$751)))+
(($F$749)*(($F$751)/($F$750+$F$751)))+
(($F$752)*(($F$753)/($F$753+$F$754)))+
(($F$752)*(($F$754)/($F$753+$F$754)))+
($F$748)+($F$755)+($F$756))),2)</f>
        <v>1.33</v>
      </c>
      <c r="I755" s="328" t="s">
        <v>73</v>
      </c>
      <c r="J755" s="330"/>
      <c r="K755" s="681">
        <f>(A714*H755)</f>
        <v>30.590000000000003</v>
      </c>
      <c r="L755" s="535"/>
      <c r="M755" s="552" t="str">
        <f t="shared" si="86"/>
        <v/>
      </c>
      <c r="N755" s="552"/>
      <c r="O755" s="552" t="str">
        <f t="shared" si="87"/>
        <v/>
      </c>
      <c r="P755" s="39"/>
    </row>
    <row r="756" spans="1:16" x14ac:dyDescent="0.35">
      <c r="A756" s="535" t="str">
        <f t="shared" si="85"/>
        <v/>
      </c>
      <c r="B756" s="337"/>
      <c r="C756" s="337"/>
      <c r="D756" s="326" t="s">
        <v>45</v>
      </c>
      <c r="E756" s="360" t="s">
        <v>101</v>
      </c>
      <c r="F756" s="18">
        <v>1</v>
      </c>
      <c r="G756" s="18" t="s">
        <v>73</v>
      </c>
      <c r="H756" s="335">
        <f>ROUND(($F$747)*((F756)/((($F$749)*(($F$750)/($F$750+$F$751)))+
(($F$749)*(($F$751)/($F$750+$F$751)))+
(($F$752)*(($F$753)/($F$753+$F$754)))+
(($F$752)*(($F$754)/($F$753+$F$754)))+
($F$748)+($F$755)+($F$756))),2)</f>
        <v>0.17</v>
      </c>
      <c r="I756" s="335" t="s">
        <v>73</v>
      </c>
      <c r="J756" s="337"/>
      <c r="K756" s="680">
        <f>(A714*H756)</f>
        <v>3.91</v>
      </c>
      <c r="L756" s="535"/>
      <c r="M756" s="552" t="str">
        <f t="shared" si="86"/>
        <v/>
      </c>
      <c r="N756" s="552"/>
      <c r="O756" s="552" t="str">
        <f t="shared" si="87"/>
        <v/>
      </c>
      <c r="P756" s="39"/>
    </row>
    <row r="757" spans="1:16" x14ac:dyDescent="0.35">
      <c r="A757" s="535" t="str">
        <f t="shared" si="85"/>
        <v/>
      </c>
      <c r="B757" s="330"/>
      <c r="C757" s="330"/>
      <c r="D757" s="355"/>
      <c r="E757" s="549" t="s">
        <v>774</v>
      </c>
      <c r="F757" s="378">
        <v>10</v>
      </c>
      <c r="G757" s="378" t="s">
        <v>73</v>
      </c>
      <c r="H757" s="515"/>
      <c r="I757" s="356"/>
      <c r="J757" s="515"/>
      <c r="K757" s="684"/>
      <c r="L757" s="535"/>
      <c r="M757" s="552" t="str">
        <f t="shared" si="86"/>
        <v/>
      </c>
      <c r="N757" s="552"/>
      <c r="O757" s="552" t="str">
        <f t="shared" si="87"/>
        <v/>
      </c>
      <c r="P757" s="39"/>
    </row>
    <row r="758" spans="1:16" x14ac:dyDescent="0.35">
      <c r="A758" s="535" t="str">
        <f t="shared" si="85"/>
        <v/>
      </c>
      <c r="B758" s="337"/>
      <c r="C758" s="337"/>
      <c r="D758" s="342"/>
      <c r="E758" s="362" t="s">
        <v>81</v>
      </c>
      <c r="F758" s="404">
        <v>600</v>
      </c>
      <c r="G758" s="404" t="s">
        <v>73</v>
      </c>
      <c r="H758" s="345"/>
      <c r="I758" s="343"/>
      <c r="J758" s="345"/>
      <c r="K758" s="685"/>
      <c r="L758" s="535"/>
      <c r="M758" s="552" t="str">
        <f t="shared" si="86"/>
        <v/>
      </c>
      <c r="N758" s="552"/>
      <c r="O758" s="552" t="str">
        <f t="shared" si="87"/>
        <v/>
      </c>
      <c r="P758" s="39"/>
    </row>
    <row r="759" spans="1:16" x14ac:dyDescent="0.35">
      <c r="A759" s="535" t="str">
        <f t="shared" si="85"/>
        <v/>
      </c>
      <c r="B759" s="330"/>
      <c r="C759" s="330"/>
      <c r="D759" s="326" t="s">
        <v>529</v>
      </c>
      <c r="E759" s="366" t="s">
        <v>775</v>
      </c>
      <c r="F759" s="22">
        <v>16</v>
      </c>
      <c r="G759" s="22" t="s">
        <v>73</v>
      </c>
      <c r="H759" s="328">
        <f>ROUND(($F$757)*((F759)/(($F$761)*(($F$762)/($F$762+$F$763))+
($F$761)*(($F$763)/($F$762+$F$763))+
($F$759)+($F$760)+($F$764))),2)</f>
        <v>0.51</v>
      </c>
      <c r="I759" s="328" t="s">
        <v>73</v>
      </c>
      <c r="J759" s="330"/>
      <c r="K759" s="681">
        <f>(A714*H759)</f>
        <v>11.73</v>
      </c>
      <c r="L759" s="535"/>
      <c r="M759" s="552" t="str">
        <f t="shared" si="86"/>
        <v/>
      </c>
      <c r="N759" s="552"/>
      <c r="O759" s="552" t="str">
        <f t="shared" si="87"/>
        <v/>
      </c>
      <c r="P759" s="39"/>
    </row>
    <row r="760" spans="1:16" x14ac:dyDescent="0.35">
      <c r="A760" s="535" t="str">
        <f t="shared" si="85"/>
        <v/>
      </c>
      <c r="B760" s="337"/>
      <c r="C760" s="337"/>
      <c r="D760" s="326" t="s">
        <v>333</v>
      </c>
      <c r="E760" s="360" t="s">
        <v>756</v>
      </c>
      <c r="F760" s="18">
        <v>70</v>
      </c>
      <c r="G760" s="18" t="s">
        <v>73</v>
      </c>
      <c r="H760" s="335">
        <f>ROUND(($F$757)*((F760)/(($F$761)*(($F$762)/($F$762+$F$763))+
($F$761)*(($F$763)/($F$762+$F$763))+
($F$759)+($F$760)+($F$764))),2)</f>
        <v>2.2200000000000002</v>
      </c>
      <c r="I760" s="335" t="s">
        <v>73</v>
      </c>
      <c r="J760" s="337"/>
      <c r="K760" s="680">
        <f>(A714*H760)</f>
        <v>51.06</v>
      </c>
      <c r="L760" s="535"/>
      <c r="M760" s="552" t="str">
        <f t="shared" si="86"/>
        <v/>
      </c>
      <c r="N760" s="552"/>
      <c r="O760" s="552" t="str">
        <f t="shared" si="87"/>
        <v/>
      </c>
      <c r="P760" s="39"/>
    </row>
    <row r="761" spans="1:16" x14ac:dyDescent="0.35">
      <c r="A761" s="535" t="str">
        <f t="shared" si="85"/>
        <v/>
      </c>
      <c r="B761" s="330"/>
      <c r="C761" s="330"/>
      <c r="D761" s="355"/>
      <c r="E761" s="567" t="s">
        <v>776</v>
      </c>
      <c r="F761" s="378">
        <v>200</v>
      </c>
      <c r="G761" s="378" t="s">
        <v>73</v>
      </c>
      <c r="H761" s="356"/>
      <c r="I761" s="356"/>
      <c r="J761" s="515"/>
      <c r="K761" s="684"/>
      <c r="L761" s="535"/>
      <c r="M761" s="552" t="str">
        <f t="shared" si="86"/>
        <v/>
      </c>
      <c r="N761" s="552"/>
      <c r="O761" s="552" t="str">
        <f t="shared" si="87"/>
        <v/>
      </c>
      <c r="P761" s="39"/>
    </row>
    <row r="762" spans="1:16" x14ac:dyDescent="0.35">
      <c r="A762" s="535" t="str">
        <f t="shared" si="85"/>
        <v/>
      </c>
      <c r="B762" s="337"/>
      <c r="C762" s="337"/>
      <c r="D762" s="326" t="s">
        <v>377</v>
      </c>
      <c r="E762" s="560" t="s">
        <v>777</v>
      </c>
      <c r="F762" s="18">
        <v>500</v>
      </c>
      <c r="G762" s="18" t="s">
        <v>73</v>
      </c>
      <c r="H762" s="335">
        <f>ROUND(($F$757)*(($F$761)*(($F$762)/($F$762+$F$763))
/(($F$761)*(($F$762)/($F$762+$F$763))+
($F$761)*(($F$763)/($F$762+$F$763))+
($F$759)+($F$760)+($F$764))),2)</f>
        <v>6.21</v>
      </c>
      <c r="I762" s="335" t="s">
        <v>73</v>
      </c>
      <c r="J762" s="337"/>
      <c r="K762" s="680">
        <f>(A714*H762)</f>
        <v>142.83000000000001</v>
      </c>
      <c r="L762" s="535"/>
      <c r="M762" s="552" t="str">
        <f t="shared" si="86"/>
        <v/>
      </c>
      <c r="N762" s="552"/>
      <c r="O762" s="552" t="str">
        <f t="shared" si="87"/>
        <v/>
      </c>
      <c r="P762" s="39"/>
    </row>
    <row r="763" spans="1:16" x14ac:dyDescent="0.35">
      <c r="A763" s="535" t="str">
        <f t="shared" si="85"/>
        <v/>
      </c>
      <c r="B763" s="330"/>
      <c r="C763" s="330"/>
      <c r="D763" s="326" t="s">
        <v>43</v>
      </c>
      <c r="E763" s="495" t="s">
        <v>105</v>
      </c>
      <c r="F763" s="22">
        <v>10</v>
      </c>
      <c r="G763" s="22" t="s">
        <v>73</v>
      </c>
      <c r="H763" s="328">
        <f>ROUND(($F$757)*(($F$761)*(($F$763)/($F$762+$F$763))
/(($F$761)*(($F$762)/($F$762+$F$763))+
($F$761)*(($F$763)/($F$762+$F$763))+
($F$759)+($F$760)+($F$764))),2)</f>
        <v>0.12</v>
      </c>
      <c r="I763" s="328" t="s">
        <v>73</v>
      </c>
      <c r="J763" s="330"/>
      <c r="K763" s="681">
        <f>(A714*H763)</f>
        <v>2.76</v>
      </c>
      <c r="L763" s="535"/>
      <c r="M763" s="552" t="str">
        <f t="shared" si="86"/>
        <v/>
      </c>
      <c r="N763" s="552"/>
      <c r="O763" s="552" t="str">
        <f t="shared" si="87"/>
        <v/>
      </c>
      <c r="P763" s="39"/>
    </row>
    <row r="764" spans="1:16" x14ac:dyDescent="0.35">
      <c r="A764" s="535" t="str">
        <f t="shared" si="85"/>
        <v/>
      </c>
      <c r="B764" s="337"/>
      <c r="C764" s="337"/>
      <c r="D764" s="326" t="s">
        <v>389</v>
      </c>
      <c r="E764" s="360" t="s">
        <v>778</v>
      </c>
      <c r="F764" s="18">
        <v>30</v>
      </c>
      <c r="G764" s="18" t="s">
        <v>73</v>
      </c>
      <c r="H764" s="335">
        <f>ROUND(($F$757)*(($F$764)/(($F$761)*(($F$762)/($F$762+$F$763))+
($F$761)*(($F$763)/($F$762+$F$763))+
($F$759)+($F$760)+($F$764))),2)</f>
        <v>0.95</v>
      </c>
      <c r="I764" s="335" t="s">
        <v>73</v>
      </c>
      <c r="J764" s="337"/>
      <c r="K764" s="680">
        <f>(A714*H764)</f>
        <v>21.849999999999998</v>
      </c>
      <c r="L764" s="535"/>
      <c r="M764" s="552" t="str">
        <f t="shared" si="86"/>
        <v/>
      </c>
      <c r="N764" s="552"/>
      <c r="O764" s="552" t="str">
        <f t="shared" si="87"/>
        <v/>
      </c>
      <c r="P764" s="39"/>
    </row>
    <row r="765" spans="1:16" x14ac:dyDescent="0.35">
      <c r="A765" s="535" t="str">
        <f t="shared" si="85"/>
        <v/>
      </c>
      <c r="B765" s="330"/>
      <c r="C765" s="330"/>
      <c r="D765" s="355"/>
      <c r="E765" s="549" t="s">
        <v>785</v>
      </c>
      <c r="F765" s="378">
        <v>20</v>
      </c>
      <c r="G765" s="378"/>
      <c r="H765" s="515"/>
      <c r="I765" s="356"/>
      <c r="J765" s="515"/>
      <c r="K765" s="684"/>
      <c r="L765" s="535"/>
      <c r="M765" s="552" t="str">
        <f t="shared" si="86"/>
        <v/>
      </c>
      <c r="N765" s="552"/>
      <c r="O765" s="552" t="str">
        <f t="shared" si="87"/>
        <v/>
      </c>
      <c r="P765" s="39"/>
    </row>
    <row r="766" spans="1:16" x14ac:dyDescent="0.35">
      <c r="A766" s="535" t="str">
        <f t="shared" si="85"/>
        <v/>
      </c>
      <c r="B766" s="337"/>
      <c r="C766" s="337"/>
      <c r="D766" s="355"/>
      <c r="E766" s="549" t="s">
        <v>780</v>
      </c>
      <c r="F766" s="378">
        <v>250</v>
      </c>
      <c r="G766" s="378" t="s">
        <v>73</v>
      </c>
      <c r="H766" s="515"/>
      <c r="I766" s="356"/>
      <c r="J766" s="515"/>
      <c r="K766" s="684"/>
      <c r="L766" s="535"/>
      <c r="M766" s="552" t="str">
        <f t="shared" si="86"/>
        <v/>
      </c>
      <c r="N766" s="552"/>
      <c r="O766" s="552" t="str">
        <f t="shared" si="87"/>
        <v/>
      </c>
      <c r="P766" s="39"/>
    </row>
    <row r="767" spans="1:16" x14ac:dyDescent="0.35">
      <c r="A767" s="535" t="str">
        <f t="shared" si="85"/>
        <v/>
      </c>
      <c r="B767" s="330"/>
      <c r="C767" s="330"/>
      <c r="D767" s="326" t="s">
        <v>1068</v>
      </c>
      <c r="E767" s="366" t="s">
        <v>1069</v>
      </c>
      <c r="F767" s="22">
        <v>60</v>
      </c>
      <c r="G767" s="22" t="s">
        <v>73</v>
      </c>
      <c r="H767" s="328">
        <f>ROUND(($F$765)*((($F$766)*(($F$767)/($F$767+$F$768)))
/((($F$766)*(($F$767)/($F$767+$F$768)))+
(($F$766)*(($F$768)/($F$767+$F$768)))+
($F$769))),2)</f>
        <v>7.84</v>
      </c>
      <c r="I767" s="328" t="s">
        <v>73</v>
      </c>
      <c r="J767" s="330"/>
      <c r="K767" s="681">
        <f>(A714*H767)</f>
        <v>180.32</v>
      </c>
      <c r="L767" s="535"/>
      <c r="M767" s="552" t="str">
        <f t="shared" si="86"/>
        <v/>
      </c>
      <c r="N767" s="552"/>
      <c r="O767" s="552" t="str">
        <f t="shared" si="87"/>
        <v/>
      </c>
      <c r="P767" s="39"/>
    </row>
    <row r="768" spans="1:16" x14ac:dyDescent="0.35">
      <c r="A768" s="535" t="str">
        <f t="shared" si="85"/>
        <v/>
      </c>
      <c r="B768" s="337"/>
      <c r="C768" s="337"/>
      <c r="D768" s="342"/>
      <c r="E768" s="362" t="s">
        <v>81</v>
      </c>
      <c r="F768" s="404">
        <v>90</v>
      </c>
      <c r="G768" s="404" t="s">
        <v>73</v>
      </c>
      <c r="H768" s="343">
        <f>ROUND(($F$765)*((($F$766)*(($F$768)/($F$767+$F$768)))
/((($F$766)*(($F$767)/($F$767+$F$768)))+
(($F$766)*(($F$768)/($F$767+$F$768)))+
($F$769))),2)</f>
        <v>11.76</v>
      </c>
      <c r="I768" s="343"/>
      <c r="J768" s="345"/>
      <c r="K768" s="685"/>
      <c r="L768" s="535"/>
      <c r="M768" s="552" t="str">
        <f t="shared" si="86"/>
        <v/>
      </c>
      <c r="N768" s="552"/>
      <c r="O768" s="552" t="str">
        <f t="shared" si="87"/>
        <v/>
      </c>
      <c r="P768" s="39"/>
    </row>
    <row r="769" spans="1:16" x14ac:dyDescent="0.35">
      <c r="A769" s="535" t="str">
        <f t="shared" si="85"/>
        <v/>
      </c>
      <c r="B769" s="330"/>
      <c r="C769" s="330"/>
      <c r="D769" s="326" t="s">
        <v>40</v>
      </c>
      <c r="E769" s="544" t="s">
        <v>104</v>
      </c>
      <c r="F769" s="22">
        <v>5</v>
      </c>
      <c r="G769" s="22" t="s">
        <v>73</v>
      </c>
      <c r="H769" s="328">
        <f>ROUND(($F$765)*(($F$769)/((($F$766)*(($F$767)/($F$767+$F$768)))+
(($F$766)*(($F$768)/($F$767+$F$768)))+
($F$769))),2)</f>
        <v>0.39</v>
      </c>
      <c r="I769" s="328" t="s">
        <v>73</v>
      </c>
      <c r="J769" s="330"/>
      <c r="K769" s="681">
        <f>(A714*H769)</f>
        <v>8.9700000000000006</v>
      </c>
      <c r="L769" s="535"/>
      <c r="M769" s="552" t="str">
        <f t="shared" si="86"/>
        <v/>
      </c>
      <c r="N769" s="552"/>
      <c r="O769" s="552" t="str">
        <f t="shared" si="87"/>
        <v/>
      </c>
      <c r="P769" s="39"/>
    </row>
    <row r="770" spans="1:16" ht="15" thickBot="1" x14ac:dyDescent="0.4">
      <c r="A770" s="535" t="str">
        <f t="shared" si="85"/>
        <v/>
      </c>
      <c r="B770" s="337"/>
      <c r="C770" s="337"/>
      <c r="D770" s="326" t="s">
        <v>454</v>
      </c>
      <c r="E770" s="334" t="s">
        <v>455</v>
      </c>
      <c r="F770" s="18">
        <v>40</v>
      </c>
      <c r="G770" s="18" t="s">
        <v>73</v>
      </c>
      <c r="H770" s="335">
        <v>40</v>
      </c>
      <c r="I770" s="335" t="s">
        <v>73</v>
      </c>
      <c r="J770" s="337"/>
      <c r="K770" s="680">
        <f>(A714*H770)</f>
        <v>920</v>
      </c>
      <c r="L770" s="535"/>
      <c r="M770" s="552" t="str">
        <f t="shared" si="86"/>
        <v/>
      </c>
      <c r="N770" s="552"/>
      <c r="O770" s="552" t="str">
        <f t="shared" si="87"/>
        <v/>
      </c>
      <c r="P770" s="39"/>
    </row>
    <row r="771" spans="1:16" ht="15.5" thickTop="1" thickBot="1" x14ac:dyDescent="0.4">
      <c r="A771" s="585" t="str">
        <f t="shared" si="85"/>
        <v/>
      </c>
      <c r="B771" s="574"/>
      <c r="C771" s="574"/>
      <c r="D771" s="575"/>
      <c r="E771" s="574"/>
      <c r="F771" s="574"/>
      <c r="G771" s="574"/>
      <c r="H771" s="574"/>
      <c r="I771" s="574"/>
      <c r="J771" s="574"/>
      <c r="K771" s="683"/>
      <c r="L771" s="535"/>
      <c r="M771" s="552" t="str">
        <f t="shared" si="86"/>
        <v/>
      </c>
      <c r="N771" s="552"/>
      <c r="O771" s="552" t="str">
        <f t="shared" si="87"/>
        <v/>
      </c>
      <c r="P771" s="39"/>
    </row>
    <row r="772" spans="1:16" ht="15" thickTop="1" x14ac:dyDescent="0.35">
      <c r="A772" s="565">
        <f>IFERROR(INDEX($Q$17:$Q$150,MATCH(B772,$R$17:$R$150, 0)), "")</f>
        <v>137</v>
      </c>
      <c r="B772" s="382" t="s">
        <v>1365</v>
      </c>
      <c r="C772" s="325" t="s">
        <v>796</v>
      </c>
      <c r="D772" s="347" t="s">
        <v>489</v>
      </c>
      <c r="E772" s="334" t="s">
        <v>797</v>
      </c>
      <c r="F772" s="335">
        <v>200</v>
      </c>
      <c r="G772" s="335" t="s">
        <v>73</v>
      </c>
      <c r="H772" s="335">
        <v>200</v>
      </c>
      <c r="I772" s="335" t="s">
        <v>73</v>
      </c>
      <c r="J772" s="337"/>
      <c r="K772" s="680">
        <f>(A772*H772)</f>
        <v>27400</v>
      </c>
      <c r="L772" s="535"/>
      <c r="M772" s="552" t="str">
        <f t="shared" si="86"/>
        <v/>
      </c>
      <c r="N772" s="552"/>
      <c r="O772" s="552" t="str">
        <f t="shared" si="87"/>
        <v/>
      </c>
      <c r="P772" s="39"/>
    </row>
    <row r="773" spans="1:16" x14ac:dyDescent="0.35">
      <c r="A773" s="535" t="str">
        <f>IFERROR(INDEX($Q$17:$Q$41,MATCH(B773,$R$17:$R$41, 0)), "")</f>
        <v/>
      </c>
      <c r="B773" s="330"/>
      <c r="C773" s="330"/>
      <c r="D773" s="326" t="s">
        <v>260</v>
      </c>
      <c r="E773" s="544" t="s">
        <v>261</v>
      </c>
      <c r="F773" s="328">
        <v>33</v>
      </c>
      <c r="G773" s="328" t="s">
        <v>73</v>
      </c>
      <c r="H773" s="328">
        <v>33</v>
      </c>
      <c r="I773" s="328" t="s">
        <v>73</v>
      </c>
      <c r="J773" s="330"/>
      <c r="K773" s="681">
        <f>(A772*H773)</f>
        <v>4521</v>
      </c>
      <c r="L773" s="535"/>
      <c r="M773" s="552" t="str">
        <f t="shared" si="86"/>
        <v/>
      </c>
      <c r="N773" s="552"/>
      <c r="O773" s="552" t="str">
        <f t="shared" si="87"/>
        <v/>
      </c>
      <c r="P773" s="39"/>
    </row>
    <row r="774" spans="1:16" x14ac:dyDescent="0.35">
      <c r="A774" s="535" t="str">
        <f t="shared" si="85"/>
        <v/>
      </c>
      <c r="B774" s="337"/>
      <c r="C774" s="337"/>
      <c r="D774" s="326" t="s">
        <v>392</v>
      </c>
      <c r="E774" s="334" t="s">
        <v>972</v>
      </c>
      <c r="F774" s="335">
        <v>0.3</v>
      </c>
      <c r="G774" s="335" t="s">
        <v>73</v>
      </c>
      <c r="H774" s="335">
        <v>0.3</v>
      </c>
      <c r="I774" s="335" t="s">
        <v>73</v>
      </c>
      <c r="J774" s="337"/>
      <c r="K774" s="680">
        <f>(A772*H774)</f>
        <v>41.1</v>
      </c>
      <c r="L774" s="535"/>
      <c r="M774" s="552" t="str">
        <f t="shared" si="86"/>
        <v/>
      </c>
      <c r="N774" s="552"/>
      <c r="O774" s="552" t="str">
        <f t="shared" si="87"/>
        <v/>
      </c>
      <c r="P774" s="39"/>
    </row>
    <row r="775" spans="1:16" x14ac:dyDescent="0.35">
      <c r="A775" s="535" t="str">
        <f t="shared" si="85"/>
        <v/>
      </c>
      <c r="B775" s="330"/>
      <c r="C775" s="330"/>
      <c r="D775" s="326" t="s">
        <v>125</v>
      </c>
      <c r="E775" s="327" t="s">
        <v>799</v>
      </c>
      <c r="F775" s="328">
        <v>60</v>
      </c>
      <c r="G775" s="328" t="s">
        <v>73</v>
      </c>
      <c r="H775" s="328">
        <v>60</v>
      </c>
      <c r="I775" s="328" t="s">
        <v>73</v>
      </c>
      <c r="J775" s="330"/>
      <c r="K775" s="681">
        <f>(A772*H775)</f>
        <v>8220</v>
      </c>
      <c r="L775" s="535"/>
      <c r="M775" s="552" t="str">
        <f t="shared" si="86"/>
        <v/>
      </c>
      <c r="N775" s="552"/>
      <c r="O775" s="552" t="str">
        <f t="shared" si="87"/>
        <v/>
      </c>
      <c r="P775" s="39"/>
    </row>
    <row r="776" spans="1:16" x14ac:dyDescent="0.35">
      <c r="A776" s="535" t="str">
        <f t="shared" si="85"/>
        <v/>
      </c>
      <c r="B776" s="337"/>
      <c r="C776" s="337"/>
      <c r="D776" s="326" t="s">
        <v>505</v>
      </c>
      <c r="E776" s="334" t="s">
        <v>800</v>
      </c>
      <c r="F776" s="335">
        <v>0.5</v>
      </c>
      <c r="G776" s="335" t="s">
        <v>73</v>
      </c>
      <c r="H776" s="335">
        <v>0.5</v>
      </c>
      <c r="I776" s="335" t="s">
        <v>73</v>
      </c>
      <c r="J776" s="337"/>
      <c r="K776" s="680">
        <f>(A772*H776)</f>
        <v>68.5</v>
      </c>
      <c r="L776" s="535"/>
      <c r="M776" s="552" t="str">
        <f t="shared" si="86"/>
        <v/>
      </c>
      <c r="N776" s="552"/>
      <c r="O776" s="552" t="str">
        <f t="shared" si="87"/>
        <v/>
      </c>
      <c r="P776" s="39"/>
    </row>
    <row r="777" spans="1:16" x14ac:dyDescent="0.35">
      <c r="A777" s="535" t="str">
        <f t="shared" si="85"/>
        <v/>
      </c>
      <c r="B777" s="330"/>
      <c r="C777" s="330"/>
      <c r="D777" s="355"/>
      <c r="E777" s="355" t="s">
        <v>801</v>
      </c>
      <c r="F777" s="356">
        <v>1</v>
      </c>
      <c r="G777" s="356" t="s">
        <v>810</v>
      </c>
      <c r="H777" s="356"/>
      <c r="I777" s="356"/>
      <c r="J777" s="515"/>
      <c r="K777" s="684"/>
      <c r="L777" s="535"/>
      <c r="M777" s="552" t="str">
        <f t="shared" si="86"/>
        <v/>
      </c>
      <c r="N777" s="552"/>
      <c r="O777" s="552" t="str">
        <f t="shared" si="87"/>
        <v/>
      </c>
      <c r="P777" s="39"/>
    </row>
    <row r="778" spans="1:16" x14ac:dyDescent="0.35">
      <c r="A778" s="535" t="str">
        <f t="shared" si="85"/>
        <v/>
      </c>
      <c r="B778" s="337"/>
      <c r="C778" s="337"/>
      <c r="D778" s="326" t="s">
        <v>371</v>
      </c>
      <c r="E778" s="360" t="s">
        <v>372</v>
      </c>
      <c r="F778" s="335">
        <v>10</v>
      </c>
      <c r="G778" s="335" t="s">
        <v>73</v>
      </c>
      <c r="H778" s="335">
        <v>10</v>
      </c>
      <c r="I778" s="335" t="s">
        <v>73</v>
      </c>
      <c r="J778" s="337"/>
      <c r="K778" s="680">
        <f>(A772*H778)</f>
        <v>1370</v>
      </c>
      <c r="L778" s="535"/>
      <c r="M778" s="552" t="str">
        <f t="shared" si="86"/>
        <v/>
      </c>
      <c r="N778" s="552"/>
      <c r="O778" s="552" t="str">
        <f t="shared" si="87"/>
        <v/>
      </c>
      <c r="P778" s="39"/>
    </row>
    <row r="779" spans="1:16" x14ac:dyDescent="0.35">
      <c r="A779" s="535" t="str">
        <f t="shared" si="85"/>
        <v/>
      </c>
      <c r="B779" s="330"/>
      <c r="C779" s="330"/>
      <c r="D779" s="326" t="s">
        <v>369</v>
      </c>
      <c r="E779" s="366" t="s">
        <v>802</v>
      </c>
      <c r="F779" s="328">
        <v>15</v>
      </c>
      <c r="G779" s="328" t="s">
        <v>73</v>
      </c>
      <c r="H779" s="328">
        <v>15</v>
      </c>
      <c r="I779" s="328" t="s">
        <v>73</v>
      </c>
      <c r="J779" s="330"/>
      <c r="K779" s="681">
        <f>(A772*H779)</f>
        <v>2055</v>
      </c>
      <c r="L779" s="535"/>
      <c r="M779" s="552" t="str">
        <f t="shared" si="86"/>
        <v/>
      </c>
      <c r="N779" s="552"/>
      <c r="O779" s="552" t="str">
        <f t="shared" si="87"/>
        <v/>
      </c>
      <c r="P779" s="39"/>
    </row>
    <row r="780" spans="1:16" ht="15" thickBot="1" x14ac:dyDescent="0.4">
      <c r="A780" s="535" t="str">
        <f t="shared" si="85"/>
        <v/>
      </c>
      <c r="B780" s="337"/>
      <c r="C780" s="337"/>
      <c r="D780" s="326" t="s">
        <v>48</v>
      </c>
      <c r="E780" s="360" t="s">
        <v>391</v>
      </c>
      <c r="F780" s="335">
        <v>5</v>
      </c>
      <c r="G780" s="335" t="s">
        <v>73</v>
      </c>
      <c r="H780" s="335">
        <v>5</v>
      </c>
      <c r="I780" s="335" t="s">
        <v>73</v>
      </c>
      <c r="J780" s="337"/>
      <c r="K780" s="680">
        <f>(A772*H780)</f>
        <v>685</v>
      </c>
      <c r="L780" s="535"/>
      <c r="M780" s="552" t="str">
        <f t="shared" si="86"/>
        <v/>
      </c>
      <c r="N780" s="552"/>
      <c r="O780" s="552" t="str">
        <f t="shared" si="87"/>
        <v/>
      </c>
      <c r="P780" s="39"/>
    </row>
    <row r="781" spans="1:16" ht="15.5" thickTop="1" thickBot="1" x14ac:dyDescent="0.4">
      <c r="A781" s="545" t="str">
        <f t="shared" si="85"/>
        <v/>
      </c>
      <c r="B781" s="546"/>
      <c r="C781" s="546"/>
      <c r="D781" s="547"/>
      <c r="E781" s="546"/>
      <c r="F781" s="579"/>
      <c r="G781" s="546"/>
      <c r="H781" s="546"/>
      <c r="I781" s="546"/>
      <c r="J781" s="546"/>
      <c r="K781" s="676"/>
      <c r="L781" s="535"/>
      <c r="M781" s="552" t="str">
        <f t="shared" si="86"/>
        <v/>
      </c>
      <c r="N781" s="552"/>
      <c r="O781" s="552" t="str">
        <f t="shared" si="87"/>
        <v/>
      </c>
      <c r="P781" s="39"/>
    </row>
    <row r="782" spans="1:16" ht="15" thickTop="1" x14ac:dyDescent="0.35">
      <c r="A782" s="565">
        <f>IFERROR(INDEX($Q$17:$Q$150,MATCH(B782,$R$17:$R$150, 0)), "")</f>
        <v>127</v>
      </c>
      <c r="B782" s="382" t="s">
        <v>1367</v>
      </c>
      <c r="C782" s="325" t="s">
        <v>803</v>
      </c>
      <c r="D782" s="347" t="s">
        <v>260</v>
      </c>
      <c r="E782" s="334" t="s">
        <v>804</v>
      </c>
      <c r="F782" s="335">
        <v>33</v>
      </c>
      <c r="G782" s="335" t="s">
        <v>73</v>
      </c>
      <c r="H782" s="335">
        <v>33</v>
      </c>
      <c r="I782" s="335" t="s">
        <v>73</v>
      </c>
      <c r="J782" s="335"/>
      <c r="K782" s="680">
        <f>(A782*H782)</f>
        <v>4191</v>
      </c>
      <c r="L782" s="535"/>
      <c r="M782" s="552" t="str">
        <f t="shared" si="86"/>
        <v/>
      </c>
      <c r="N782" s="552"/>
      <c r="O782" s="552" t="str">
        <f t="shared" si="87"/>
        <v/>
      </c>
      <c r="P782" s="39"/>
    </row>
    <row r="783" spans="1:16" x14ac:dyDescent="0.35">
      <c r="A783" s="535" t="str">
        <f t="shared" si="85"/>
        <v/>
      </c>
      <c r="B783" s="330"/>
      <c r="C783" s="330"/>
      <c r="D783" s="326" t="s">
        <v>563</v>
      </c>
      <c r="E783" s="327" t="s">
        <v>805</v>
      </c>
      <c r="F783" s="328">
        <v>70</v>
      </c>
      <c r="G783" s="328" t="s">
        <v>73</v>
      </c>
      <c r="H783" s="328">
        <v>70</v>
      </c>
      <c r="I783" s="328" t="s">
        <v>73</v>
      </c>
      <c r="J783" s="328"/>
      <c r="K783" s="681">
        <f>(A782*H783)</f>
        <v>8890</v>
      </c>
      <c r="L783" s="535"/>
      <c r="M783" s="552" t="str">
        <f t="shared" si="86"/>
        <v/>
      </c>
      <c r="N783" s="552"/>
      <c r="O783" s="552" t="str">
        <f t="shared" si="87"/>
        <v/>
      </c>
      <c r="P783" s="39"/>
    </row>
    <row r="784" spans="1:16" x14ac:dyDescent="0.35">
      <c r="A784" s="535" t="str">
        <f t="shared" ref="A784:A864" si="90">IFERROR(INDEX($Q$17:$Q$41,MATCH(B784,$R$17:$R$41, 0)), "")</f>
        <v/>
      </c>
      <c r="B784" s="337"/>
      <c r="C784" s="337"/>
      <c r="D784" s="326" t="s">
        <v>505</v>
      </c>
      <c r="E784" s="334" t="s">
        <v>806</v>
      </c>
      <c r="F784" s="335">
        <v>0.5</v>
      </c>
      <c r="G784" s="335" t="s">
        <v>73</v>
      </c>
      <c r="H784" s="335">
        <v>0.5</v>
      </c>
      <c r="I784" s="335" t="s">
        <v>73</v>
      </c>
      <c r="J784" s="335"/>
      <c r="K784" s="680">
        <f>(A782*H784)</f>
        <v>63.5</v>
      </c>
      <c r="L784" s="535"/>
      <c r="M784" s="552" t="str">
        <f t="shared" si="86"/>
        <v/>
      </c>
      <c r="N784" s="552"/>
      <c r="O784" s="552" t="str">
        <f t="shared" si="87"/>
        <v/>
      </c>
      <c r="P784" s="39"/>
    </row>
    <row r="785" spans="1:16" ht="15" thickBot="1" x14ac:dyDescent="0.4">
      <c r="A785" s="535" t="str">
        <f t="shared" si="90"/>
        <v/>
      </c>
      <c r="B785" s="330"/>
      <c r="C785" s="330"/>
      <c r="D785" s="326" t="s">
        <v>125</v>
      </c>
      <c r="E785" s="590" t="s">
        <v>126</v>
      </c>
      <c r="F785" s="591">
        <v>75</v>
      </c>
      <c r="G785" s="328" t="s">
        <v>73</v>
      </c>
      <c r="H785" s="328">
        <v>75</v>
      </c>
      <c r="I785" s="328" t="s">
        <v>73</v>
      </c>
      <c r="J785" s="328"/>
      <c r="K785" s="681">
        <f>(A782*H785)</f>
        <v>9525</v>
      </c>
      <c r="L785" s="535"/>
      <c r="M785" s="552" t="str">
        <f t="shared" ref="M785:M825" si="91">IF(Q784&gt;0, Q784, "")</f>
        <v/>
      </c>
      <c r="N785" s="552"/>
      <c r="O785" s="552" t="str">
        <f t="shared" ref="O785:O825" si="92">IF(V785&gt;0, V785, "")</f>
        <v/>
      </c>
      <c r="P785" s="39"/>
    </row>
    <row r="786" spans="1:16" x14ac:dyDescent="0.35">
      <c r="A786" s="535" t="str">
        <f t="shared" si="90"/>
        <v/>
      </c>
      <c r="B786" s="337"/>
      <c r="C786" s="337"/>
      <c r="D786" s="326" t="s">
        <v>392</v>
      </c>
      <c r="E786" s="592" t="s">
        <v>798</v>
      </c>
      <c r="F786" s="335">
        <v>0.3</v>
      </c>
      <c r="G786" s="335" t="s">
        <v>73</v>
      </c>
      <c r="H786" s="335">
        <v>0.3</v>
      </c>
      <c r="I786" s="335" t="s">
        <v>73</v>
      </c>
      <c r="J786" s="335"/>
      <c r="K786" s="680">
        <f>(A782*H786)</f>
        <v>38.1</v>
      </c>
      <c r="L786" s="535"/>
      <c r="M786" s="552" t="str">
        <f t="shared" si="91"/>
        <v/>
      </c>
      <c r="N786" s="552"/>
      <c r="O786" s="552" t="str">
        <f t="shared" si="92"/>
        <v/>
      </c>
      <c r="P786" s="39"/>
    </row>
    <row r="787" spans="1:16" x14ac:dyDescent="0.35">
      <c r="A787" s="535" t="str">
        <f t="shared" si="90"/>
        <v/>
      </c>
      <c r="B787" s="330"/>
      <c r="C787" s="330"/>
      <c r="D787" s="326" t="s">
        <v>489</v>
      </c>
      <c r="E787" s="327" t="s">
        <v>807</v>
      </c>
      <c r="F787" s="328">
        <v>100</v>
      </c>
      <c r="G787" s="328" t="s">
        <v>73</v>
      </c>
      <c r="H787" s="328">
        <v>100</v>
      </c>
      <c r="I787" s="328" t="s">
        <v>73</v>
      </c>
      <c r="J787" s="328"/>
      <c r="K787" s="681">
        <f>(A782*H787)</f>
        <v>12700</v>
      </c>
      <c r="L787" s="535"/>
      <c r="M787" s="552" t="str">
        <f t="shared" si="91"/>
        <v/>
      </c>
      <c r="N787" s="552"/>
      <c r="O787" s="552" t="str">
        <f t="shared" si="92"/>
        <v/>
      </c>
      <c r="P787" s="39"/>
    </row>
    <row r="788" spans="1:16" x14ac:dyDescent="0.35">
      <c r="A788" s="535" t="str">
        <f t="shared" si="90"/>
        <v/>
      </c>
      <c r="B788" s="337"/>
      <c r="C788" s="337"/>
      <c r="D788" s="355"/>
      <c r="E788" s="355" t="s">
        <v>801</v>
      </c>
      <c r="F788" s="356">
        <v>1</v>
      </c>
      <c r="G788" s="356" t="s">
        <v>811</v>
      </c>
      <c r="H788" s="356"/>
      <c r="I788" s="356"/>
      <c r="J788" s="356"/>
      <c r="K788" s="684"/>
      <c r="L788" s="535"/>
      <c r="M788" s="552" t="str">
        <f t="shared" si="91"/>
        <v/>
      </c>
      <c r="N788" s="552"/>
      <c r="O788" s="552" t="str">
        <f t="shared" si="92"/>
        <v/>
      </c>
      <c r="P788" s="39"/>
    </row>
    <row r="789" spans="1:16" x14ac:dyDescent="0.35">
      <c r="A789" s="535" t="str">
        <f t="shared" si="90"/>
        <v/>
      </c>
      <c r="B789" s="330"/>
      <c r="C789" s="330"/>
      <c r="D789" s="326" t="s">
        <v>371</v>
      </c>
      <c r="E789" s="475" t="s">
        <v>808</v>
      </c>
      <c r="F789" s="328">
        <v>10</v>
      </c>
      <c r="G789" s="328" t="s">
        <v>73</v>
      </c>
      <c r="H789" s="328">
        <v>10</v>
      </c>
      <c r="I789" s="328" t="s">
        <v>73</v>
      </c>
      <c r="J789" s="328"/>
      <c r="K789" s="681">
        <f>(A782*H789)</f>
        <v>1270</v>
      </c>
      <c r="L789" s="535"/>
      <c r="M789" s="552" t="str">
        <f t="shared" si="91"/>
        <v/>
      </c>
      <c r="N789" s="552"/>
      <c r="O789" s="552" t="str">
        <f t="shared" si="92"/>
        <v/>
      </c>
      <c r="P789" s="39"/>
    </row>
    <row r="790" spans="1:16" x14ac:dyDescent="0.35">
      <c r="A790" s="535" t="str">
        <f t="shared" si="90"/>
        <v/>
      </c>
      <c r="B790" s="337"/>
      <c r="C790" s="337"/>
      <c r="D790" s="326" t="s">
        <v>369</v>
      </c>
      <c r="E790" s="419" t="s">
        <v>802</v>
      </c>
      <c r="F790" s="335">
        <v>15</v>
      </c>
      <c r="G790" s="335" t="s">
        <v>73</v>
      </c>
      <c r="H790" s="335">
        <v>15</v>
      </c>
      <c r="I790" s="335" t="s">
        <v>73</v>
      </c>
      <c r="J790" s="335"/>
      <c r="K790" s="680">
        <f>(A782*H790)</f>
        <v>1905</v>
      </c>
      <c r="L790" s="535"/>
      <c r="M790" s="552" t="str">
        <f t="shared" si="91"/>
        <v/>
      </c>
      <c r="N790" s="552"/>
      <c r="O790" s="552" t="str">
        <f t="shared" si="92"/>
        <v/>
      </c>
      <c r="P790" s="39"/>
    </row>
    <row r="791" spans="1:16" ht="15" thickBot="1" x14ac:dyDescent="0.4">
      <c r="A791" s="535" t="str">
        <f t="shared" si="90"/>
        <v/>
      </c>
      <c r="B791" s="330"/>
      <c r="C791" s="330"/>
      <c r="D791" s="326" t="s">
        <v>48</v>
      </c>
      <c r="E791" s="475" t="s">
        <v>809</v>
      </c>
      <c r="F791" s="328">
        <v>5</v>
      </c>
      <c r="G791" s="328" t="s">
        <v>73</v>
      </c>
      <c r="H791" s="328">
        <v>5</v>
      </c>
      <c r="I791" s="328" t="s">
        <v>73</v>
      </c>
      <c r="J791" s="328"/>
      <c r="K791" s="681">
        <f>(A782*H791)</f>
        <v>635</v>
      </c>
      <c r="L791" s="535"/>
      <c r="M791" s="552" t="str">
        <f t="shared" si="91"/>
        <v/>
      </c>
      <c r="N791" s="552"/>
      <c r="O791" s="552" t="str">
        <f t="shared" si="92"/>
        <v/>
      </c>
      <c r="P791" s="39"/>
    </row>
    <row r="792" spans="1:16" ht="15.5" thickTop="1" thickBot="1" x14ac:dyDescent="0.4">
      <c r="A792" s="545" t="str">
        <f t="shared" si="90"/>
        <v/>
      </c>
      <c r="B792" s="546"/>
      <c r="C792" s="546"/>
      <c r="D792" s="547"/>
      <c r="E792" s="546"/>
      <c r="F792" s="579"/>
      <c r="G792" s="546"/>
      <c r="H792" s="546"/>
      <c r="I792" s="546"/>
      <c r="J792" s="546"/>
      <c r="K792" s="676"/>
      <c r="L792" s="535"/>
      <c r="M792" s="552" t="str">
        <f t="shared" si="91"/>
        <v/>
      </c>
      <c r="N792" s="552"/>
      <c r="O792" s="552" t="str">
        <f t="shared" si="92"/>
        <v/>
      </c>
      <c r="P792" s="39"/>
    </row>
    <row r="793" spans="1:16" ht="15" thickTop="1" x14ac:dyDescent="0.35">
      <c r="A793" s="565">
        <f>IFERROR(INDEX($Q$17:$Q$150,MATCH(B793,$R$17:$R$150, 0)), "")</f>
        <v>119</v>
      </c>
      <c r="B793" s="382" t="s">
        <v>1366</v>
      </c>
      <c r="C793" s="325" t="s">
        <v>812</v>
      </c>
      <c r="D793" s="347" t="s">
        <v>489</v>
      </c>
      <c r="E793" s="327" t="s">
        <v>797</v>
      </c>
      <c r="F793" s="328">
        <v>200</v>
      </c>
      <c r="G793" s="328" t="s">
        <v>73</v>
      </c>
      <c r="H793" s="328">
        <v>200</v>
      </c>
      <c r="I793" s="328" t="s">
        <v>73</v>
      </c>
      <c r="J793" s="330"/>
      <c r="K793" s="681">
        <f>(A793*H793)</f>
        <v>23800</v>
      </c>
      <c r="L793" s="535"/>
      <c r="M793" s="552" t="str">
        <f t="shared" si="91"/>
        <v/>
      </c>
      <c r="N793" s="552"/>
      <c r="O793" s="552" t="str">
        <f t="shared" si="92"/>
        <v/>
      </c>
      <c r="P793" s="39"/>
    </row>
    <row r="794" spans="1:16" x14ac:dyDescent="0.35">
      <c r="A794" s="535" t="str">
        <f t="shared" si="90"/>
        <v/>
      </c>
      <c r="B794" s="337"/>
      <c r="C794" s="337"/>
      <c r="D794" s="326" t="s">
        <v>392</v>
      </c>
      <c r="E794" s="334" t="s">
        <v>798</v>
      </c>
      <c r="F794" s="335">
        <v>0.3</v>
      </c>
      <c r="G794" s="335" t="s">
        <v>73</v>
      </c>
      <c r="H794" s="335">
        <v>0.3</v>
      </c>
      <c r="I794" s="335" t="s">
        <v>73</v>
      </c>
      <c r="J794" s="337"/>
      <c r="K794" s="680">
        <f>(A793*H794)</f>
        <v>35.699999999999996</v>
      </c>
      <c r="L794" s="535"/>
      <c r="M794" s="552" t="str">
        <f t="shared" si="91"/>
        <v/>
      </c>
      <c r="N794" s="552"/>
      <c r="O794" s="552" t="str">
        <f t="shared" si="92"/>
        <v/>
      </c>
      <c r="P794" s="39"/>
    </row>
    <row r="795" spans="1:16" x14ac:dyDescent="0.35">
      <c r="A795" s="535" t="str">
        <f t="shared" si="90"/>
        <v/>
      </c>
      <c r="B795" s="330"/>
      <c r="C795" s="330"/>
      <c r="D795" s="326" t="s">
        <v>454</v>
      </c>
      <c r="E795" s="327" t="s">
        <v>455</v>
      </c>
      <c r="F795" s="328">
        <v>20</v>
      </c>
      <c r="G795" s="328" t="s">
        <v>73</v>
      </c>
      <c r="H795" s="328">
        <v>20</v>
      </c>
      <c r="I795" s="328" t="s">
        <v>73</v>
      </c>
      <c r="J795" s="330"/>
      <c r="K795" s="681">
        <f>(A793*H795)</f>
        <v>2380</v>
      </c>
      <c r="L795" s="535"/>
      <c r="M795" s="552" t="str">
        <f t="shared" si="91"/>
        <v/>
      </c>
      <c r="N795" s="552"/>
      <c r="O795" s="552" t="str">
        <f t="shared" si="92"/>
        <v/>
      </c>
      <c r="P795" s="39"/>
    </row>
    <row r="796" spans="1:16" x14ac:dyDescent="0.35">
      <c r="A796" s="535" t="str">
        <f t="shared" si="90"/>
        <v/>
      </c>
      <c r="B796" s="337"/>
      <c r="C796" s="337"/>
      <c r="D796" s="326" t="s">
        <v>505</v>
      </c>
      <c r="E796" s="334" t="s">
        <v>806</v>
      </c>
      <c r="F796" s="335">
        <v>0.5</v>
      </c>
      <c r="G796" s="335" t="s">
        <v>73</v>
      </c>
      <c r="H796" s="335">
        <v>0.5</v>
      </c>
      <c r="I796" s="335" t="s">
        <v>73</v>
      </c>
      <c r="J796" s="337"/>
      <c r="K796" s="680">
        <f>(A793*H796)</f>
        <v>59.5</v>
      </c>
      <c r="L796" s="535"/>
      <c r="M796" s="552" t="str">
        <f t="shared" si="91"/>
        <v/>
      </c>
      <c r="N796" s="552"/>
      <c r="O796" s="552" t="str">
        <f t="shared" si="92"/>
        <v/>
      </c>
      <c r="P796" s="39"/>
    </row>
    <row r="797" spans="1:16" x14ac:dyDescent="0.35">
      <c r="A797" s="535" t="str">
        <f t="shared" si="90"/>
        <v/>
      </c>
      <c r="B797" s="330"/>
      <c r="C797" s="330"/>
      <c r="D797" s="326" t="s">
        <v>50</v>
      </c>
      <c r="E797" s="327" t="s">
        <v>813</v>
      </c>
      <c r="F797" s="328">
        <v>25</v>
      </c>
      <c r="G797" s="328" t="s">
        <v>73</v>
      </c>
      <c r="H797" s="328">
        <v>25</v>
      </c>
      <c r="I797" s="328" t="s">
        <v>73</v>
      </c>
      <c r="J797" s="330"/>
      <c r="K797" s="681">
        <f>(A793*H797)</f>
        <v>2975</v>
      </c>
      <c r="L797" s="535"/>
      <c r="M797" s="552" t="str">
        <f t="shared" si="91"/>
        <v/>
      </c>
      <c r="N797" s="552"/>
      <c r="O797" s="552" t="str">
        <f t="shared" si="92"/>
        <v/>
      </c>
      <c r="P797" s="39"/>
    </row>
    <row r="798" spans="1:16" x14ac:dyDescent="0.35">
      <c r="A798" s="535" t="str">
        <f t="shared" si="90"/>
        <v/>
      </c>
      <c r="B798" s="337"/>
      <c r="C798" s="337"/>
      <c r="D798" s="326" t="s">
        <v>49</v>
      </c>
      <c r="E798" s="334" t="s">
        <v>395</v>
      </c>
      <c r="F798" s="335">
        <v>3</v>
      </c>
      <c r="G798" s="335" t="s">
        <v>73</v>
      </c>
      <c r="H798" s="335">
        <v>3</v>
      </c>
      <c r="I798" s="335" t="s">
        <v>73</v>
      </c>
      <c r="J798" s="337"/>
      <c r="K798" s="680">
        <f>(A793*H798)</f>
        <v>357</v>
      </c>
      <c r="L798" s="535"/>
      <c r="M798" s="552" t="str">
        <f t="shared" si="91"/>
        <v/>
      </c>
      <c r="N798" s="552"/>
      <c r="O798" s="552" t="str">
        <f t="shared" si="92"/>
        <v/>
      </c>
      <c r="P798" s="39"/>
    </row>
    <row r="799" spans="1:16" x14ac:dyDescent="0.35">
      <c r="A799" s="535" t="str">
        <f t="shared" si="90"/>
        <v/>
      </c>
      <c r="B799" s="330"/>
      <c r="C799" s="330"/>
      <c r="D799" s="326" t="s">
        <v>260</v>
      </c>
      <c r="E799" s="327" t="s">
        <v>261</v>
      </c>
      <c r="F799" s="328">
        <v>33</v>
      </c>
      <c r="G799" s="328" t="s">
        <v>73</v>
      </c>
      <c r="H799" s="328">
        <v>33</v>
      </c>
      <c r="I799" s="328" t="s">
        <v>73</v>
      </c>
      <c r="J799" s="330"/>
      <c r="K799" s="681">
        <f>(A793*H799)</f>
        <v>3927</v>
      </c>
      <c r="L799" s="535"/>
      <c r="M799" s="552" t="str">
        <f t="shared" si="91"/>
        <v/>
      </c>
      <c r="N799" s="552"/>
      <c r="O799" s="552" t="str">
        <f t="shared" si="92"/>
        <v/>
      </c>
      <c r="P799" s="39"/>
    </row>
    <row r="800" spans="1:16" x14ac:dyDescent="0.35">
      <c r="A800" s="535" t="str">
        <f t="shared" si="90"/>
        <v/>
      </c>
      <c r="B800" s="337"/>
      <c r="C800" s="337"/>
      <c r="D800" s="355"/>
      <c r="E800" s="355" t="s">
        <v>814</v>
      </c>
      <c r="F800" s="356">
        <v>205</v>
      </c>
      <c r="G800" s="356" t="s">
        <v>73</v>
      </c>
      <c r="H800" s="515"/>
      <c r="I800" s="515"/>
      <c r="J800" s="515"/>
      <c r="K800" s="684"/>
      <c r="L800" s="535"/>
      <c r="M800" s="552" t="str">
        <f t="shared" si="91"/>
        <v/>
      </c>
      <c r="N800" s="552"/>
      <c r="O800" s="552" t="str">
        <f t="shared" si="92"/>
        <v/>
      </c>
      <c r="P800" s="39"/>
    </row>
    <row r="801" spans="1:16" x14ac:dyDescent="0.35">
      <c r="A801" s="535" t="str">
        <f t="shared" si="90"/>
        <v/>
      </c>
      <c r="B801" s="330"/>
      <c r="C801" s="330"/>
      <c r="D801" s="326" t="s">
        <v>698</v>
      </c>
      <c r="E801" s="475" t="s">
        <v>699</v>
      </c>
      <c r="F801" s="328">
        <v>24</v>
      </c>
      <c r="G801" s="328" t="s">
        <v>73</v>
      </c>
      <c r="H801" s="328">
        <v>24</v>
      </c>
      <c r="I801" s="328" t="s">
        <v>73</v>
      </c>
      <c r="J801" s="330"/>
      <c r="K801" s="681">
        <f>(A793*H801)</f>
        <v>2856</v>
      </c>
      <c r="L801" s="535"/>
      <c r="M801" s="552" t="str">
        <f t="shared" si="91"/>
        <v/>
      </c>
      <c r="N801" s="552"/>
      <c r="O801" s="552" t="str">
        <f t="shared" si="92"/>
        <v/>
      </c>
      <c r="P801" s="39"/>
    </row>
    <row r="802" spans="1:16" x14ac:dyDescent="0.35">
      <c r="A802" s="535" t="str">
        <f t="shared" si="90"/>
        <v/>
      </c>
      <c r="B802" s="337"/>
      <c r="C802" s="337"/>
      <c r="D802" s="326" t="s">
        <v>495</v>
      </c>
      <c r="E802" s="419" t="s">
        <v>815</v>
      </c>
      <c r="F802" s="335">
        <v>108</v>
      </c>
      <c r="G802" s="335" t="s">
        <v>73</v>
      </c>
      <c r="H802" s="335">
        <v>108</v>
      </c>
      <c r="I802" s="335" t="s">
        <v>73</v>
      </c>
      <c r="J802" s="337"/>
      <c r="K802" s="680">
        <f>(A793*H802)</f>
        <v>12852</v>
      </c>
      <c r="L802" s="535"/>
      <c r="M802" s="552" t="str">
        <f t="shared" si="91"/>
        <v/>
      </c>
      <c r="N802" s="552"/>
      <c r="O802" s="552" t="str">
        <f t="shared" si="92"/>
        <v/>
      </c>
      <c r="P802" s="39"/>
    </row>
    <row r="803" spans="1:16" x14ac:dyDescent="0.35">
      <c r="A803" s="535" t="str">
        <f t="shared" si="90"/>
        <v/>
      </c>
      <c r="B803" s="330"/>
      <c r="C803" s="330"/>
      <c r="D803" s="326" t="s">
        <v>493</v>
      </c>
      <c r="E803" s="475" t="s">
        <v>494</v>
      </c>
      <c r="F803" s="328">
        <v>36</v>
      </c>
      <c r="G803" s="328" t="s">
        <v>73</v>
      </c>
      <c r="H803" s="328">
        <v>36</v>
      </c>
      <c r="I803" s="328" t="s">
        <v>73</v>
      </c>
      <c r="J803" s="330"/>
      <c r="K803" s="681">
        <f>(A793*H803)</f>
        <v>4284</v>
      </c>
      <c r="L803" s="535"/>
      <c r="M803" s="552" t="str">
        <f t="shared" si="91"/>
        <v/>
      </c>
      <c r="N803" s="552"/>
      <c r="O803" s="552" t="str">
        <f t="shared" si="92"/>
        <v/>
      </c>
      <c r="P803" s="39"/>
    </row>
    <row r="804" spans="1:16" x14ac:dyDescent="0.35">
      <c r="A804" s="535" t="str">
        <f t="shared" si="90"/>
        <v/>
      </c>
      <c r="B804" s="337"/>
      <c r="C804" s="337"/>
      <c r="D804" s="326" t="s">
        <v>125</v>
      </c>
      <c r="E804" s="419" t="s">
        <v>799</v>
      </c>
      <c r="F804" s="335">
        <v>36</v>
      </c>
      <c r="G804" s="335" t="s">
        <v>73</v>
      </c>
      <c r="H804" s="335">
        <v>36</v>
      </c>
      <c r="I804" s="335" t="s">
        <v>73</v>
      </c>
      <c r="J804" s="337"/>
      <c r="K804" s="680">
        <f>(A793*H804)</f>
        <v>4284</v>
      </c>
      <c r="L804" s="535"/>
      <c r="M804" s="552" t="str">
        <f t="shared" si="91"/>
        <v/>
      </c>
      <c r="N804" s="552"/>
      <c r="O804" s="552" t="str">
        <f t="shared" si="92"/>
        <v/>
      </c>
      <c r="P804" s="39"/>
    </row>
    <row r="805" spans="1:16" x14ac:dyDescent="0.35">
      <c r="A805" s="535" t="str">
        <f t="shared" si="90"/>
        <v/>
      </c>
      <c r="B805" s="330"/>
      <c r="C805" s="330"/>
      <c r="D805" s="326" t="s">
        <v>43</v>
      </c>
      <c r="E805" s="475" t="s">
        <v>817</v>
      </c>
      <c r="F805" s="328">
        <v>0.6</v>
      </c>
      <c r="G805" s="328" t="s">
        <v>73</v>
      </c>
      <c r="H805" s="328">
        <v>0.6</v>
      </c>
      <c r="I805" s="328" t="s">
        <v>73</v>
      </c>
      <c r="J805" s="330"/>
      <c r="K805" s="681">
        <f>(A793*H805)</f>
        <v>71.399999999999991</v>
      </c>
      <c r="L805" s="535"/>
      <c r="M805" s="552" t="str">
        <f t="shared" si="91"/>
        <v/>
      </c>
      <c r="N805" s="552"/>
      <c r="O805" s="552" t="str">
        <f t="shared" si="92"/>
        <v/>
      </c>
      <c r="P805" s="39"/>
    </row>
    <row r="806" spans="1:16" x14ac:dyDescent="0.35">
      <c r="A806" s="535" t="str">
        <f t="shared" si="90"/>
        <v/>
      </c>
      <c r="B806" s="337"/>
      <c r="C806" s="337"/>
      <c r="D806" s="326" t="s">
        <v>42</v>
      </c>
      <c r="E806" s="419" t="s">
        <v>330</v>
      </c>
      <c r="F806" s="335">
        <v>0.6</v>
      </c>
      <c r="G806" s="335" t="s">
        <v>73</v>
      </c>
      <c r="H806" s="335">
        <v>0.6</v>
      </c>
      <c r="I806" s="335" t="s">
        <v>73</v>
      </c>
      <c r="J806" s="337"/>
      <c r="K806" s="680">
        <f>(A793*H806)</f>
        <v>71.399999999999991</v>
      </c>
      <c r="L806" s="535"/>
      <c r="M806" s="552" t="str">
        <f t="shared" si="91"/>
        <v/>
      </c>
      <c r="N806" s="552"/>
      <c r="O806" s="552" t="str">
        <f t="shared" si="92"/>
        <v/>
      </c>
      <c r="P806" s="39"/>
    </row>
    <row r="807" spans="1:16" ht="15" thickBot="1" x14ac:dyDescent="0.4">
      <c r="A807" s="535" t="str">
        <f t="shared" si="90"/>
        <v/>
      </c>
      <c r="B807" s="330"/>
      <c r="C807" s="330"/>
      <c r="D807" s="326" t="s">
        <v>55</v>
      </c>
      <c r="E807" s="475" t="s">
        <v>324</v>
      </c>
      <c r="F807" s="328">
        <v>0.1</v>
      </c>
      <c r="G807" s="328" t="s">
        <v>73</v>
      </c>
      <c r="H807" s="328">
        <v>0.1</v>
      </c>
      <c r="I807" s="328" t="s">
        <v>73</v>
      </c>
      <c r="J807" s="330"/>
      <c r="K807" s="681">
        <f>(A793*H807)</f>
        <v>11.9</v>
      </c>
      <c r="L807" s="535"/>
      <c r="M807" s="552" t="str">
        <f t="shared" si="91"/>
        <v/>
      </c>
      <c r="N807" s="552"/>
      <c r="O807" s="552" t="str">
        <f t="shared" si="92"/>
        <v/>
      </c>
      <c r="P807" s="39"/>
    </row>
    <row r="808" spans="1:16" ht="15.5" thickTop="1" thickBot="1" x14ac:dyDescent="0.4">
      <c r="A808" s="545" t="str">
        <f t="shared" si="90"/>
        <v/>
      </c>
      <c r="B808" s="546"/>
      <c r="C808" s="546"/>
      <c r="D808" s="547"/>
      <c r="E808" s="546"/>
      <c r="F808" s="579"/>
      <c r="G808" s="546"/>
      <c r="H808" s="546"/>
      <c r="I808" s="546"/>
      <c r="J808" s="546"/>
      <c r="K808" s="676"/>
      <c r="L808" s="535"/>
      <c r="M808" s="552" t="str">
        <f t="shared" si="91"/>
        <v/>
      </c>
      <c r="N808" s="552"/>
      <c r="O808" s="552" t="str">
        <f t="shared" si="92"/>
        <v/>
      </c>
      <c r="P808" s="39"/>
    </row>
    <row r="809" spans="1:16" ht="15" thickTop="1" x14ac:dyDescent="0.35">
      <c r="A809" s="565">
        <f>IFERROR(INDEX($Q$17:$Q$150,MATCH(B809,$R$17:$R$150, 0)), "")</f>
        <v>70</v>
      </c>
      <c r="B809" s="382" t="s">
        <v>1368</v>
      </c>
      <c r="C809" s="325" t="s">
        <v>818</v>
      </c>
      <c r="D809" s="347" t="s">
        <v>489</v>
      </c>
      <c r="E809" s="327" t="s">
        <v>797</v>
      </c>
      <c r="F809" s="328">
        <v>100</v>
      </c>
      <c r="G809" s="328" t="s">
        <v>73</v>
      </c>
      <c r="H809" s="328">
        <v>100</v>
      </c>
      <c r="I809" s="328" t="s">
        <v>73</v>
      </c>
      <c r="J809" s="330"/>
      <c r="K809" s="681">
        <f>$A$809*H809</f>
        <v>7000</v>
      </c>
      <c r="L809" s="535"/>
      <c r="M809" s="552" t="str">
        <f t="shared" si="91"/>
        <v/>
      </c>
      <c r="N809" s="552"/>
      <c r="O809" s="552" t="str">
        <f t="shared" si="92"/>
        <v/>
      </c>
      <c r="P809" s="39"/>
    </row>
    <row r="810" spans="1:16" x14ac:dyDescent="0.35">
      <c r="A810" s="535" t="str">
        <f t="shared" si="90"/>
        <v/>
      </c>
      <c r="B810" s="337"/>
      <c r="C810" s="337"/>
      <c r="D810" s="326" t="s">
        <v>260</v>
      </c>
      <c r="E810" s="334" t="s">
        <v>804</v>
      </c>
      <c r="F810" s="335">
        <v>33</v>
      </c>
      <c r="G810" s="335" t="s">
        <v>73</v>
      </c>
      <c r="H810" s="335">
        <v>33</v>
      </c>
      <c r="I810" s="335" t="s">
        <v>73</v>
      </c>
      <c r="J810" s="337"/>
      <c r="K810" s="680">
        <f t="shared" ref="K810:K831" si="93">$A$809*H810</f>
        <v>2310</v>
      </c>
      <c r="L810" s="535"/>
      <c r="M810" s="552" t="str">
        <f t="shared" si="91"/>
        <v/>
      </c>
      <c r="N810" s="552"/>
      <c r="O810" s="552" t="str">
        <f t="shared" si="92"/>
        <v/>
      </c>
      <c r="P810" s="39"/>
    </row>
    <row r="811" spans="1:16" x14ac:dyDescent="0.35">
      <c r="A811" s="535" t="str">
        <f t="shared" si="90"/>
        <v/>
      </c>
      <c r="B811" s="330"/>
      <c r="C811" s="330"/>
      <c r="D811" s="326" t="s">
        <v>563</v>
      </c>
      <c r="E811" s="327" t="s">
        <v>805</v>
      </c>
      <c r="F811" s="328">
        <v>70</v>
      </c>
      <c r="G811" s="328" t="s">
        <v>73</v>
      </c>
      <c r="H811" s="328">
        <v>70</v>
      </c>
      <c r="I811" s="328" t="s">
        <v>73</v>
      </c>
      <c r="J811" s="330"/>
      <c r="K811" s="681">
        <f t="shared" si="93"/>
        <v>4900</v>
      </c>
      <c r="L811" s="535"/>
      <c r="M811" s="552" t="str">
        <f t="shared" si="91"/>
        <v/>
      </c>
      <c r="N811" s="552"/>
      <c r="O811" s="552" t="str">
        <f t="shared" si="92"/>
        <v/>
      </c>
      <c r="P811" s="39"/>
    </row>
    <row r="812" spans="1:16" x14ac:dyDescent="0.35">
      <c r="A812" s="535" t="str">
        <f t="shared" si="90"/>
        <v/>
      </c>
      <c r="B812" s="337"/>
      <c r="C812" s="337"/>
      <c r="D812" s="326" t="s">
        <v>125</v>
      </c>
      <c r="E812" s="334" t="s">
        <v>799</v>
      </c>
      <c r="F812" s="335">
        <v>75</v>
      </c>
      <c r="G812" s="335" t="s">
        <v>73</v>
      </c>
      <c r="H812" s="335">
        <v>75</v>
      </c>
      <c r="I812" s="335" t="s">
        <v>73</v>
      </c>
      <c r="J812" s="337"/>
      <c r="K812" s="680">
        <f t="shared" si="93"/>
        <v>5250</v>
      </c>
      <c r="L812" s="535"/>
      <c r="M812" s="552" t="str">
        <f t="shared" si="91"/>
        <v/>
      </c>
      <c r="N812" s="552"/>
      <c r="O812" s="552" t="str">
        <f t="shared" si="92"/>
        <v/>
      </c>
      <c r="P812" s="39"/>
    </row>
    <row r="813" spans="1:16" x14ac:dyDescent="0.35">
      <c r="A813" s="593" t="str">
        <f>IFERROR(INDEX($Q$17:$Q$41,MATCH(B813,$R$17:$R$41, 0)), "")</f>
        <v/>
      </c>
      <c r="B813" s="330"/>
      <c r="C813" s="330"/>
      <c r="D813" s="326" t="s">
        <v>505</v>
      </c>
      <c r="E813" s="327" t="s">
        <v>806</v>
      </c>
      <c r="F813" s="328">
        <v>0.5</v>
      </c>
      <c r="G813" s="328" t="s">
        <v>73</v>
      </c>
      <c r="H813" s="328">
        <v>0.5</v>
      </c>
      <c r="I813" s="328" t="s">
        <v>73</v>
      </c>
      <c r="J813" s="330"/>
      <c r="K813" s="681">
        <f t="shared" si="93"/>
        <v>35</v>
      </c>
      <c r="L813" s="535"/>
      <c r="M813" s="552" t="str">
        <f t="shared" si="91"/>
        <v/>
      </c>
      <c r="N813" s="552"/>
      <c r="O813" s="552" t="str">
        <f t="shared" si="92"/>
        <v/>
      </c>
      <c r="P813" s="39"/>
    </row>
    <row r="814" spans="1:16" x14ac:dyDescent="0.35">
      <c r="A814" s="593" t="str">
        <f>IFERROR(INDEX($Q$17:$Q$41,MATCH(B814,$R$17:$R$41, 0)), "")</f>
        <v/>
      </c>
      <c r="B814" s="337"/>
      <c r="C814" s="337"/>
      <c r="D814" s="326" t="s">
        <v>392</v>
      </c>
      <c r="E814" s="334" t="s">
        <v>798</v>
      </c>
      <c r="F814" s="335">
        <v>0.3</v>
      </c>
      <c r="G814" s="335" t="s">
        <v>73</v>
      </c>
      <c r="H814" s="335">
        <v>0.3</v>
      </c>
      <c r="I814" s="335" t="s">
        <v>73</v>
      </c>
      <c r="J814" s="337"/>
      <c r="K814" s="680">
        <f t="shared" si="93"/>
        <v>21</v>
      </c>
      <c r="L814" s="535"/>
      <c r="M814" s="552" t="str">
        <f t="shared" si="91"/>
        <v/>
      </c>
      <c r="N814" s="552"/>
      <c r="O814" s="552" t="str">
        <f t="shared" si="92"/>
        <v/>
      </c>
      <c r="P814" s="39"/>
    </row>
    <row r="815" spans="1:16" x14ac:dyDescent="0.35">
      <c r="A815" s="593" t="str">
        <f>IFERROR(INDEX($Q$17:$Q$41,MATCH(B815,$R$17:$R$41, 0)), "")</f>
        <v/>
      </c>
      <c r="B815" s="330"/>
      <c r="C815" s="330"/>
      <c r="D815" s="326" t="s">
        <v>143</v>
      </c>
      <c r="E815" s="327" t="s">
        <v>144</v>
      </c>
      <c r="F815" s="328">
        <v>2</v>
      </c>
      <c r="G815" s="328" t="s">
        <v>735</v>
      </c>
      <c r="H815" s="328">
        <v>2</v>
      </c>
      <c r="I815" s="328" t="s">
        <v>735</v>
      </c>
      <c r="J815" s="330"/>
      <c r="K815" s="681">
        <f t="shared" si="93"/>
        <v>140</v>
      </c>
      <c r="L815" s="535"/>
      <c r="M815" s="552" t="str">
        <f t="shared" si="91"/>
        <v/>
      </c>
      <c r="N815" s="552"/>
      <c r="O815" s="552" t="str">
        <f t="shared" si="92"/>
        <v/>
      </c>
      <c r="P815" s="39"/>
    </row>
    <row r="816" spans="1:16" x14ac:dyDescent="0.35">
      <c r="A816" s="593" t="str">
        <f>IFERROR(INDEX($Q$17:$Q$41,MATCH(B816,$R$17:$R$41, 0)), "")</f>
        <v/>
      </c>
      <c r="B816" s="337"/>
      <c r="C816" s="337"/>
      <c r="D816" s="326" t="s">
        <v>511</v>
      </c>
      <c r="E816" s="334" t="s">
        <v>512</v>
      </c>
      <c r="F816" s="335">
        <v>8.5</v>
      </c>
      <c r="G816" s="335" t="s">
        <v>73</v>
      </c>
      <c r="H816" s="335">
        <v>8.5</v>
      </c>
      <c r="I816" s="335" t="s">
        <v>73</v>
      </c>
      <c r="J816" s="337"/>
      <c r="K816" s="680">
        <f t="shared" si="93"/>
        <v>595</v>
      </c>
      <c r="L816" s="535"/>
      <c r="M816" s="552" t="str">
        <f t="shared" si="91"/>
        <v/>
      </c>
      <c r="N816" s="552"/>
      <c r="O816" s="552" t="str">
        <f t="shared" si="92"/>
        <v/>
      </c>
      <c r="P816" s="39"/>
    </row>
    <row r="817" spans="1:16" ht="15" thickBot="1" x14ac:dyDescent="0.4">
      <c r="A817" s="593" t="str">
        <f>IFERROR(INDEX($Q$17:$Q$41,MATCH(B817,$R$17:$R$41, 0)), "")</f>
        <v/>
      </c>
      <c r="B817" s="330"/>
      <c r="C817" s="330"/>
      <c r="D817" s="326" t="s">
        <v>54</v>
      </c>
      <c r="E817" s="590" t="s">
        <v>819</v>
      </c>
      <c r="F817" s="591">
        <v>20</v>
      </c>
      <c r="G817" s="328" t="s">
        <v>73</v>
      </c>
      <c r="H817" s="328">
        <v>20</v>
      </c>
      <c r="I817" s="328" t="s">
        <v>73</v>
      </c>
      <c r="J817" s="330"/>
      <c r="K817" s="681">
        <f t="shared" si="93"/>
        <v>1400</v>
      </c>
      <c r="L817" s="535"/>
      <c r="M817" s="552" t="str">
        <f t="shared" si="91"/>
        <v/>
      </c>
      <c r="N817" s="552"/>
      <c r="O817" s="552" t="str">
        <f t="shared" si="92"/>
        <v/>
      </c>
      <c r="P817" s="39"/>
    </row>
    <row r="818" spans="1:16" x14ac:dyDescent="0.35">
      <c r="A818" s="535" t="str">
        <f t="shared" si="90"/>
        <v/>
      </c>
      <c r="B818" s="337"/>
      <c r="C818" s="337"/>
      <c r="D818" s="355"/>
      <c r="E818" s="594" t="s">
        <v>801</v>
      </c>
      <c r="F818" s="356">
        <v>1</v>
      </c>
      <c r="G818" s="356" t="s">
        <v>810</v>
      </c>
      <c r="H818" s="515"/>
      <c r="I818" s="515"/>
      <c r="J818" s="515"/>
      <c r="K818" s="684"/>
      <c r="L818" s="535"/>
      <c r="M818" s="552" t="str">
        <f t="shared" si="91"/>
        <v/>
      </c>
      <c r="N818" s="552"/>
      <c r="O818" s="552" t="str">
        <f t="shared" si="92"/>
        <v/>
      </c>
      <c r="P818" s="39"/>
    </row>
    <row r="819" spans="1:16" x14ac:dyDescent="0.35">
      <c r="A819" s="535" t="str">
        <f t="shared" si="90"/>
        <v/>
      </c>
      <c r="B819" s="330"/>
      <c r="C819" s="330"/>
      <c r="D819" s="326" t="s">
        <v>371</v>
      </c>
      <c r="E819" s="475" t="s">
        <v>808</v>
      </c>
      <c r="F819" s="328">
        <v>10</v>
      </c>
      <c r="G819" s="328" t="s">
        <v>73</v>
      </c>
      <c r="H819" s="328">
        <v>10</v>
      </c>
      <c r="I819" s="328" t="s">
        <v>73</v>
      </c>
      <c r="J819" s="330"/>
      <c r="K819" s="681">
        <f t="shared" si="93"/>
        <v>700</v>
      </c>
      <c r="L819" s="535"/>
      <c r="M819" s="552" t="str">
        <f t="shared" si="91"/>
        <v/>
      </c>
      <c r="N819" s="552"/>
      <c r="O819" s="552" t="str">
        <f t="shared" si="92"/>
        <v/>
      </c>
      <c r="P819" s="39"/>
    </row>
    <row r="820" spans="1:16" x14ac:dyDescent="0.35">
      <c r="A820" s="535" t="str">
        <f t="shared" si="90"/>
        <v/>
      </c>
      <c r="B820" s="337"/>
      <c r="C820" s="337"/>
      <c r="D820" s="326" t="s">
        <v>369</v>
      </c>
      <c r="E820" s="419" t="s">
        <v>802</v>
      </c>
      <c r="F820" s="335">
        <v>15</v>
      </c>
      <c r="G820" s="335" t="s">
        <v>73</v>
      </c>
      <c r="H820" s="335">
        <v>15</v>
      </c>
      <c r="I820" s="335" t="s">
        <v>73</v>
      </c>
      <c r="J820" s="337"/>
      <c r="K820" s="680">
        <f t="shared" si="93"/>
        <v>1050</v>
      </c>
      <c r="L820" s="535"/>
      <c r="M820" s="552" t="str">
        <f t="shared" si="91"/>
        <v/>
      </c>
      <c r="N820" s="552"/>
      <c r="O820" s="552" t="str">
        <f t="shared" si="92"/>
        <v/>
      </c>
      <c r="P820" s="39"/>
    </row>
    <row r="821" spans="1:16" x14ac:dyDescent="0.35">
      <c r="A821" s="535" t="str">
        <f t="shared" si="90"/>
        <v/>
      </c>
      <c r="B821" s="330"/>
      <c r="C821" s="330"/>
      <c r="D821" s="326" t="s">
        <v>48</v>
      </c>
      <c r="E821" s="475" t="s">
        <v>809</v>
      </c>
      <c r="F821" s="328">
        <v>5</v>
      </c>
      <c r="G821" s="328" t="s">
        <v>73</v>
      </c>
      <c r="H821" s="328">
        <v>5</v>
      </c>
      <c r="I821" s="328" t="s">
        <v>73</v>
      </c>
      <c r="J821" s="330"/>
      <c r="K821" s="681">
        <f t="shared" si="93"/>
        <v>350</v>
      </c>
      <c r="L821" s="535"/>
      <c r="M821" s="552" t="str">
        <f t="shared" si="91"/>
        <v/>
      </c>
      <c r="N821" s="552"/>
      <c r="O821" s="552" t="str">
        <f t="shared" si="92"/>
        <v/>
      </c>
      <c r="P821" s="39"/>
    </row>
    <row r="822" spans="1:16" x14ac:dyDescent="0.35">
      <c r="A822" s="535" t="str">
        <f t="shared" si="90"/>
        <v/>
      </c>
      <c r="B822" s="337"/>
      <c r="C822" s="337"/>
      <c r="D822" s="355"/>
      <c r="E822" s="355" t="s">
        <v>820</v>
      </c>
      <c r="F822" s="356">
        <v>30</v>
      </c>
      <c r="G822" s="356" t="s">
        <v>73</v>
      </c>
      <c r="H822" s="515"/>
      <c r="I822" s="515"/>
      <c r="J822" s="515"/>
      <c r="K822" s="684"/>
      <c r="L822" s="535"/>
      <c r="M822" s="552" t="str">
        <f t="shared" si="91"/>
        <v/>
      </c>
      <c r="N822" s="552"/>
      <c r="O822" s="552" t="str">
        <f t="shared" si="92"/>
        <v/>
      </c>
      <c r="P822" s="39"/>
    </row>
    <row r="823" spans="1:16" x14ac:dyDescent="0.35">
      <c r="A823" s="535" t="str">
        <f t="shared" si="90"/>
        <v/>
      </c>
      <c r="B823" s="330"/>
      <c r="C823" s="330"/>
      <c r="D823" s="326" t="s">
        <v>400</v>
      </c>
      <c r="E823" s="475" t="s">
        <v>401</v>
      </c>
      <c r="F823" s="328">
        <v>30</v>
      </c>
      <c r="G823" s="328" t="s">
        <v>73</v>
      </c>
      <c r="H823" s="328">
        <f>ROUND(($F$822)*(($F$823)/($F$823+$F$824+$F$825+$F$826)),2)</f>
        <v>10.71</v>
      </c>
      <c r="I823" s="328" t="s">
        <v>73</v>
      </c>
      <c r="J823" s="330"/>
      <c r="K823" s="681">
        <f t="shared" si="93"/>
        <v>749.7</v>
      </c>
      <c r="L823" s="535"/>
      <c r="M823" s="552" t="str">
        <f t="shared" si="91"/>
        <v/>
      </c>
      <c r="N823" s="552"/>
      <c r="O823" s="552" t="str">
        <f t="shared" si="92"/>
        <v/>
      </c>
      <c r="P823" s="39"/>
    </row>
    <row r="824" spans="1:16" x14ac:dyDescent="0.35">
      <c r="A824" s="535" t="str">
        <f t="shared" si="90"/>
        <v/>
      </c>
      <c r="B824" s="337"/>
      <c r="C824" s="337"/>
      <c r="D824" s="326" t="s">
        <v>50</v>
      </c>
      <c r="E824" s="419" t="s">
        <v>394</v>
      </c>
      <c r="F824" s="335">
        <v>18</v>
      </c>
      <c r="G824" s="335" t="s">
        <v>73</v>
      </c>
      <c r="H824" s="335">
        <f>ROUND(($F$822)*(($F$824)/($F$823+$F$824+$F$825+$F$826)),2)</f>
        <v>6.43</v>
      </c>
      <c r="I824" s="335" t="s">
        <v>73</v>
      </c>
      <c r="J824" s="337"/>
      <c r="K824" s="680">
        <f t="shared" si="93"/>
        <v>450.09999999999997</v>
      </c>
      <c r="L824" s="535"/>
      <c r="M824" s="552" t="str">
        <f t="shared" si="91"/>
        <v/>
      </c>
      <c r="N824" s="552"/>
      <c r="O824" s="552" t="str">
        <f t="shared" si="92"/>
        <v/>
      </c>
      <c r="P824" s="39"/>
    </row>
    <row r="825" spans="1:16" x14ac:dyDescent="0.35">
      <c r="A825" s="535" t="str">
        <f t="shared" si="90"/>
        <v/>
      </c>
      <c r="B825" s="330"/>
      <c r="C825" s="330"/>
      <c r="D825" s="326" t="s">
        <v>371</v>
      </c>
      <c r="E825" s="475" t="s">
        <v>808</v>
      </c>
      <c r="F825" s="328">
        <v>18</v>
      </c>
      <c r="G825" s="328" t="s">
        <v>73</v>
      </c>
      <c r="H825" s="328">
        <f>ROUND(($F$822)*(($F$825)/($F$823+$F$824+$F$825+$F$826)),2)</f>
        <v>6.43</v>
      </c>
      <c r="I825" s="328" t="s">
        <v>73</v>
      </c>
      <c r="J825" s="330"/>
      <c r="K825" s="681">
        <f t="shared" si="93"/>
        <v>450.09999999999997</v>
      </c>
      <c r="L825" s="535"/>
      <c r="M825" s="552" t="str">
        <f t="shared" si="91"/>
        <v/>
      </c>
      <c r="N825" s="552"/>
      <c r="O825" s="552" t="str">
        <f t="shared" si="92"/>
        <v/>
      </c>
      <c r="P825" s="39"/>
    </row>
    <row r="826" spans="1:16" x14ac:dyDescent="0.35">
      <c r="A826" s="593" t="str">
        <f t="shared" ref="A826:A831" si="94">IFERROR(INDEX($Q$17:$Q$41,MATCH(B826,$R$17:$R$41, 0)), "")</f>
        <v/>
      </c>
      <c r="B826" s="337"/>
      <c r="C826" s="337"/>
      <c r="D826" s="326" t="s">
        <v>48</v>
      </c>
      <c r="E826" s="419" t="s">
        <v>716</v>
      </c>
      <c r="F826" s="335">
        <v>18</v>
      </c>
      <c r="G826" s="335" t="s">
        <v>73</v>
      </c>
      <c r="H826" s="335">
        <f>ROUND(($F$822)*(($F$826)/($F$823+$F$824+$F$825+$F$826)),2)</f>
        <v>6.43</v>
      </c>
      <c r="I826" s="335" t="s">
        <v>73</v>
      </c>
      <c r="J826" s="337"/>
      <c r="K826" s="680">
        <f t="shared" si="93"/>
        <v>450.09999999999997</v>
      </c>
      <c r="L826" s="535"/>
      <c r="M826" s="595" t="str">
        <f t="shared" ref="M826:M831" si="95">IF(Q825&gt;0, Q825, "")</f>
        <v/>
      </c>
      <c r="N826" s="595"/>
      <c r="O826" s="595" t="str">
        <f t="shared" ref="O826:O831" si="96">IF(V826&gt;0, V826, "")</f>
        <v/>
      </c>
      <c r="P826" s="39"/>
    </row>
    <row r="827" spans="1:16" x14ac:dyDescent="0.35">
      <c r="A827" s="593" t="str">
        <f t="shared" si="94"/>
        <v/>
      </c>
      <c r="B827" s="330"/>
      <c r="C827" s="330"/>
      <c r="D827" s="355"/>
      <c r="E827" s="355" t="s">
        <v>853</v>
      </c>
      <c r="F827" s="356">
        <v>85</v>
      </c>
      <c r="G827" s="356" t="s">
        <v>73</v>
      </c>
      <c r="H827" s="356"/>
      <c r="I827" s="356"/>
      <c r="J827" s="515"/>
      <c r="K827" s="684"/>
      <c r="L827" s="535"/>
      <c r="M827" s="595" t="str">
        <f t="shared" si="95"/>
        <v/>
      </c>
      <c r="N827" s="595"/>
      <c r="O827" s="595" t="str">
        <f t="shared" si="96"/>
        <v/>
      </c>
      <c r="P827" s="39"/>
    </row>
    <row r="828" spans="1:16" x14ac:dyDescent="0.35">
      <c r="A828" s="593" t="str">
        <f t="shared" si="94"/>
        <v/>
      </c>
      <c r="B828" s="337"/>
      <c r="C828" s="337"/>
      <c r="D828" s="326" t="s">
        <v>1068</v>
      </c>
      <c r="E828" s="360" t="s">
        <v>1069</v>
      </c>
      <c r="F828" s="335">
        <v>60</v>
      </c>
      <c r="G828" s="335" t="s">
        <v>73</v>
      </c>
      <c r="H828" s="335">
        <f>ROUND(($F$827)*(($F$828)/($F$828+$F$829+$F$830+$F$831)),2)</f>
        <v>24.61</v>
      </c>
      <c r="I828" s="335" t="s">
        <v>73</v>
      </c>
      <c r="J828" s="337"/>
      <c r="K828" s="680">
        <f t="shared" si="93"/>
        <v>1722.7</v>
      </c>
      <c r="L828" s="535"/>
      <c r="M828" s="595" t="str">
        <f t="shared" si="95"/>
        <v/>
      </c>
      <c r="N828" s="595"/>
      <c r="O828" s="595" t="str">
        <f t="shared" si="96"/>
        <v/>
      </c>
      <c r="P828" s="39"/>
    </row>
    <row r="829" spans="1:16" x14ac:dyDescent="0.35">
      <c r="A829" s="593" t="str">
        <f t="shared" si="94"/>
        <v/>
      </c>
      <c r="B829" s="330"/>
      <c r="C829" s="330"/>
      <c r="D829" s="342"/>
      <c r="E829" s="362" t="s">
        <v>854</v>
      </c>
      <c r="F829" s="343">
        <v>90</v>
      </c>
      <c r="G829" s="343" t="s">
        <v>73</v>
      </c>
      <c r="H829" s="343">
        <f>ROUND(($F$827)*(($F$829)/($F$828+$F$829+$F$830+$F$831)),2)</f>
        <v>36.909999999999997</v>
      </c>
      <c r="I829" s="343"/>
      <c r="J829" s="345"/>
      <c r="K829" s="685"/>
      <c r="L829" s="535"/>
      <c r="M829" s="595" t="str">
        <f t="shared" si="95"/>
        <v/>
      </c>
      <c r="N829" s="595"/>
      <c r="O829" s="595" t="str">
        <f t="shared" si="96"/>
        <v/>
      </c>
      <c r="P829" s="39"/>
    </row>
    <row r="830" spans="1:16" x14ac:dyDescent="0.35">
      <c r="A830" s="593" t="str">
        <f t="shared" si="94"/>
        <v/>
      </c>
      <c r="B830" s="337"/>
      <c r="C830" s="337"/>
      <c r="D830" s="326" t="s">
        <v>45</v>
      </c>
      <c r="E830" s="360" t="s">
        <v>101</v>
      </c>
      <c r="F830" s="335">
        <v>1.5</v>
      </c>
      <c r="G830" s="335" t="s">
        <v>73</v>
      </c>
      <c r="H830" s="335">
        <f>ROUND(($F$827)*(($F$830)/($F$828+$F$829+$F$830+$F$831)),2)</f>
        <v>0.62</v>
      </c>
      <c r="I830" s="335" t="s">
        <v>73</v>
      </c>
      <c r="J830" s="337"/>
      <c r="K830" s="680">
        <f t="shared" si="93"/>
        <v>43.4</v>
      </c>
      <c r="L830" s="535"/>
      <c r="M830" s="595" t="str">
        <f t="shared" si="95"/>
        <v/>
      </c>
      <c r="N830" s="595"/>
      <c r="O830" s="595" t="str">
        <f t="shared" si="96"/>
        <v/>
      </c>
      <c r="P830" s="39"/>
    </row>
    <row r="831" spans="1:16" ht="15" thickBot="1" x14ac:dyDescent="0.4">
      <c r="A831" s="593" t="str">
        <f t="shared" si="94"/>
        <v/>
      </c>
      <c r="B831" s="330"/>
      <c r="C831" s="330"/>
      <c r="D831" s="326" t="s">
        <v>521</v>
      </c>
      <c r="E831" s="366" t="s">
        <v>855</v>
      </c>
      <c r="F831" s="328">
        <v>55.75</v>
      </c>
      <c r="G831" s="328" t="s">
        <v>73</v>
      </c>
      <c r="H831" s="328">
        <f>ROUND(($F$827)*(($F$831)/($F$828+$F$829+$F$830+$F$831)),2)</f>
        <v>22.86</v>
      </c>
      <c r="I831" s="328" t="s">
        <v>73</v>
      </c>
      <c r="J831" s="330"/>
      <c r="K831" s="681">
        <f t="shared" si="93"/>
        <v>1600.2</v>
      </c>
      <c r="L831" s="535"/>
      <c r="M831" s="595" t="str">
        <f t="shared" si="95"/>
        <v/>
      </c>
      <c r="N831" s="595"/>
      <c r="O831" s="595" t="str">
        <f t="shared" si="96"/>
        <v/>
      </c>
      <c r="P831" s="39"/>
    </row>
    <row r="832" spans="1:16" ht="15.5" thickTop="1" thickBot="1" x14ac:dyDescent="0.4">
      <c r="A832" s="545" t="str">
        <f t="shared" si="90"/>
        <v/>
      </c>
      <c r="B832" s="546"/>
      <c r="C832" s="546"/>
      <c r="D832" s="547"/>
      <c r="E832" s="546"/>
      <c r="F832" s="579"/>
      <c r="G832" s="546"/>
      <c r="H832" s="546"/>
      <c r="I832" s="546"/>
      <c r="J832" s="546"/>
      <c r="K832" s="676"/>
      <c r="L832" s="535"/>
      <c r="M832" s="552" t="str">
        <f t="shared" ref="M832:M850" si="97">IF(Q826&gt;0, Q826, "")</f>
        <v/>
      </c>
      <c r="N832" s="552"/>
      <c r="O832" s="552" t="str">
        <f t="shared" ref="O832:O850" si="98">IF(V827&gt;0, V827, "")</f>
        <v/>
      </c>
      <c r="P832" s="39"/>
    </row>
    <row r="833" spans="1:16" ht="15" thickTop="1" x14ac:dyDescent="0.35">
      <c r="A833" s="565">
        <f>IFERROR(INDEX($Q$17:$Q$150,MATCH(B833,$R$17:$R$150, 0)), "")</f>
        <v>1</v>
      </c>
      <c r="B833" s="382" t="s">
        <v>1536</v>
      </c>
      <c r="C833" s="325" t="s">
        <v>821</v>
      </c>
      <c r="D833" s="347" t="s">
        <v>489</v>
      </c>
      <c r="E833" s="327" t="s">
        <v>797</v>
      </c>
      <c r="F833" s="328">
        <v>100</v>
      </c>
      <c r="G833" s="328" t="s">
        <v>73</v>
      </c>
      <c r="H833" s="328">
        <v>100</v>
      </c>
      <c r="I833" s="328" t="s">
        <v>73</v>
      </c>
      <c r="J833" s="330"/>
      <c r="K833" s="681">
        <f t="shared" ref="K833:K856" si="99">$A$833*H833</f>
        <v>100</v>
      </c>
      <c r="L833" s="535"/>
      <c r="M833" s="552" t="str">
        <f t="shared" si="97"/>
        <v/>
      </c>
      <c r="N833" s="552"/>
      <c r="O833" s="552" t="str">
        <f t="shared" si="98"/>
        <v/>
      </c>
      <c r="P833" s="39"/>
    </row>
    <row r="834" spans="1:16" x14ac:dyDescent="0.35">
      <c r="A834" s="593" t="str">
        <f>IFERROR(INDEX($Q$17:$Q$41,MATCH(B834,$R$17:$R$41, 0)), "")</f>
        <v/>
      </c>
      <c r="B834" s="542"/>
      <c r="C834" s="337"/>
      <c r="D834" s="326" t="s">
        <v>618</v>
      </c>
      <c r="E834" s="334" t="s">
        <v>619</v>
      </c>
      <c r="F834" s="335">
        <v>60</v>
      </c>
      <c r="G834" s="335" t="s">
        <v>73</v>
      </c>
      <c r="H834" s="335">
        <v>60</v>
      </c>
      <c r="I834" s="335" t="s">
        <v>73</v>
      </c>
      <c r="J834" s="337"/>
      <c r="K834" s="680">
        <f t="shared" si="99"/>
        <v>60</v>
      </c>
      <c r="L834" s="535"/>
      <c r="M834" s="552" t="str">
        <f t="shared" si="97"/>
        <v/>
      </c>
      <c r="N834" s="552"/>
      <c r="O834" s="552" t="str">
        <f t="shared" si="98"/>
        <v/>
      </c>
      <c r="P834" s="39"/>
    </row>
    <row r="835" spans="1:16" x14ac:dyDescent="0.35">
      <c r="A835" s="535" t="str">
        <f t="shared" si="90"/>
        <v/>
      </c>
      <c r="B835" s="330"/>
      <c r="C835" s="330"/>
      <c r="D835" s="326" t="s">
        <v>260</v>
      </c>
      <c r="E835" s="327" t="s">
        <v>804</v>
      </c>
      <c r="F835" s="328">
        <v>33</v>
      </c>
      <c r="G835" s="328" t="s">
        <v>73</v>
      </c>
      <c r="H835" s="328">
        <v>33</v>
      </c>
      <c r="I835" s="328" t="s">
        <v>73</v>
      </c>
      <c r="J835" s="330"/>
      <c r="K835" s="681">
        <f t="shared" si="99"/>
        <v>33</v>
      </c>
      <c r="L835" s="535"/>
      <c r="M835" s="552" t="str">
        <f t="shared" si="97"/>
        <v/>
      </c>
      <c r="N835" s="552"/>
      <c r="O835" s="552" t="str">
        <f t="shared" si="98"/>
        <v/>
      </c>
      <c r="P835" s="39"/>
    </row>
    <row r="836" spans="1:16" x14ac:dyDescent="0.35">
      <c r="A836" s="535" t="str">
        <f t="shared" si="90"/>
        <v/>
      </c>
      <c r="B836" s="337"/>
      <c r="C836" s="337"/>
      <c r="D836" s="326" t="s">
        <v>563</v>
      </c>
      <c r="E836" s="334" t="s">
        <v>805</v>
      </c>
      <c r="F836" s="335">
        <v>70</v>
      </c>
      <c r="G836" s="335" t="s">
        <v>73</v>
      </c>
      <c r="H836" s="335">
        <v>70</v>
      </c>
      <c r="I836" s="335" t="s">
        <v>73</v>
      </c>
      <c r="J836" s="337"/>
      <c r="K836" s="680">
        <f t="shared" si="99"/>
        <v>70</v>
      </c>
      <c r="L836" s="535"/>
      <c r="M836" s="552" t="str">
        <f t="shared" si="97"/>
        <v/>
      </c>
      <c r="N836" s="552"/>
      <c r="O836" s="552" t="str">
        <f t="shared" si="98"/>
        <v/>
      </c>
      <c r="P836" s="39"/>
    </row>
    <row r="837" spans="1:16" x14ac:dyDescent="0.35">
      <c r="A837" s="535" t="str">
        <f t="shared" si="90"/>
        <v/>
      </c>
      <c r="B837" s="330"/>
      <c r="C837" s="330"/>
      <c r="D837" s="326" t="s">
        <v>125</v>
      </c>
      <c r="E837" s="327" t="s">
        <v>799</v>
      </c>
      <c r="F837" s="328">
        <v>75</v>
      </c>
      <c r="G837" s="328" t="s">
        <v>73</v>
      </c>
      <c r="H837" s="328">
        <v>75</v>
      </c>
      <c r="I837" s="328" t="s">
        <v>73</v>
      </c>
      <c r="J837" s="330"/>
      <c r="K837" s="681">
        <f t="shared" si="99"/>
        <v>75</v>
      </c>
      <c r="L837" s="535"/>
      <c r="M837" s="552" t="str">
        <f t="shared" si="97"/>
        <v/>
      </c>
      <c r="N837" s="552"/>
      <c r="O837" s="552" t="str">
        <f t="shared" si="98"/>
        <v/>
      </c>
      <c r="P837" s="39"/>
    </row>
    <row r="838" spans="1:16" x14ac:dyDescent="0.35">
      <c r="A838" s="535" t="str">
        <f t="shared" si="90"/>
        <v/>
      </c>
      <c r="B838" s="337"/>
      <c r="C838" s="337"/>
      <c r="D838" s="326" t="s">
        <v>505</v>
      </c>
      <c r="E838" s="334" t="s">
        <v>806</v>
      </c>
      <c r="F838" s="335">
        <v>0.5</v>
      </c>
      <c r="G838" s="335" t="s">
        <v>73</v>
      </c>
      <c r="H838" s="335">
        <v>0.5</v>
      </c>
      <c r="I838" s="335" t="s">
        <v>73</v>
      </c>
      <c r="J838" s="337"/>
      <c r="K838" s="680">
        <f t="shared" si="99"/>
        <v>0.5</v>
      </c>
      <c r="L838" s="535"/>
      <c r="M838" s="552" t="str">
        <f t="shared" si="97"/>
        <v/>
      </c>
      <c r="N838" s="552"/>
      <c r="O838" s="552" t="str">
        <f t="shared" si="98"/>
        <v/>
      </c>
      <c r="P838" s="39"/>
    </row>
    <row r="839" spans="1:16" x14ac:dyDescent="0.35">
      <c r="A839" s="535" t="str">
        <f t="shared" si="90"/>
        <v/>
      </c>
      <c r="B839" s="330"/>
      <c r="C839" s="330"/>
      <c r="D839" s="326" t="s">
        <v>392</v>
      </c>
      <c r="E839" s="327" t="s">
        <v>798</v>
      </c>
      <c r="F839" s="328">
        <v>0.3</v>
      </c>
      <c r="G839" s="328" t="s">
        <v>73</v>
      </c>
      <c r="H839" s="328">
        <v>0.3</v>
      </c>
      <c r="I839" s="328" t="s">
        <v>73</v>
      </c>
      <c r="J839" s="330"/>
      <c r="K839" s="681">
        <f t="shared" si="99"/>
        <v>0.3</v>
      </c>
      <c r="L839" s="535"/>
      <c r="M839" s="552" t="str">
        <f t="shared" si="97"/>
        <v/>
      </c>
      <c r="N839" s="552"/>
      <c r="O839" s="552" t="str">
        <f t="shared" si="98"/>
        <v/>
      </c>
      <c r="P839" s="39"/>
    </row>
    <row r="840" spans="1:16" x14ac:dyDescent="0.35">
      <c r="A840" s="535" t="str">
        <f t="shared" si="90"/>
        <v/>
      </c>
      <c r="B840" s="337"/>
      <c r="C840" s="337"/>
      <c r="D840" s="326" t="s">
        <v>143</v>
      </c>
      <c r="E840" s="334" t="s">
        <v>144</v>
      </c>
      <c r="F840" s="335">
        <v>2</v>
      </c>
      <c r="G840" s="335" t="s">
        <v>74</v>
      </c>
      <c r="H840" s="335">
        <v>2</v>
      </c>
      <c r="I840" s="335" t="s">
        <v>74</v>
      </c>
      <c r="J840" s="337"/>
      <c r="K840" s="680">
        <f t="shared" si="99"/>
        <v>2</v>
      </c>
      <c r="L840" s="535"/>
      <c r="M840" s="552" t="str">
        <f t="shared" si="97"/>
        <v/>
      </c>
      <c r="N840" s="552"/>
      <c r="O840" s="552" t="str">
        <f t="shared" si="98"/>
        <v/>
      </c>
      <c r="P840" s="39"/>
    </row>
    <row r="841" spans="1:16" x14ac:dyDescent="0.35">
      <c r="A841" s="535" t="str">
        <f t="shared" si="90"/>
        <v/>
      </c>
      <c r="B841" s="330"/>
      <c r="C841" s="330"/>
      <c r="D841" s="326" t="s">
        <v>511</v>
      </c>
      <c r="E841" s="327" t="s">
        <v>512</v>
      </c>
      <c r="F841" s="328">
        <v>8.5</v>
      </c>
      <c r="G841" s="328" t="s">
        <v>73</v>
      </c>
      <c r="H841" s="328">
        <v>8.5</v>
      </c>
      <c r="I841" s="328" t="s">
        <v>73</v>
      </c>
      <c r="J841" s="330"/>
      <c r="K841" s="681">
        <f t="shared" si="99"/>
        <v>8.5</v>
      </c>
      <c r="L841" s="535"/>
      <c r="M841" s="552" t="str">
        <f t="shared" si="97"/>
        <v/>
      </c>
      <c r="N841" s="552"/>
      <c r="O841" s="552" t="str">
        <f t="shared" si="98"/>
        <v/>
      </c>
      <c r="P841" s="39"/>
    </row>
    <row r="842" spans="1:16" ht="15" thickBot="1" x14ac:dyDescent="0.4">
      <c r="A842" s="535" t="str">
        <f t="shared" si="90"/>
        <v/>
      </c>
      <c r="B842" s="337"/>
      <c r="C842" s="337"/>
      <c r="D842" s="326" t="s">
        <v>54</v>
      </c>
      <c r="E842" s="590" t="s">
        <v>819</v>
      </c>
      <c r="F842" s="596">
        <v>20</v>
      </c>
      <c r="G842" s="335" t="s">
        <v>73</v>
      </c>
      <c r="H842" s="335">
        <v>20</v>
      </c>
      <c r="I842" s="335" t="s">
        <v>73</v>
      </c>
      <c r="J842" s="337"/>
      <c r="K842" s="680">
        <f t="shared" si="99"/>
        <v>20</v>
      </c>
      <c r="L842" s="535"/>
      <c r="M842" s="552" t="str">
        <f t="shared" si="97"/>
        <v/>
      </c>
      <c r="N842" s="552"/>
      <c r="O842" s="552" t="str">
        <f t="shared" si="98"/>
        <v/>
      </c>
      <c r="P842" s="39"/>
    </row>
    <row r="843" spans="1:16" x14ac:dyDescent="0.35">
      <c r="A843" s="535" t="str">
        <f t="shared" si="90"/>
        <v/>
      </c>
      <c r="B843" s="330"/>
      <c r="C843" s="330"/>
      <c r="D843" s="355"/>
      <c r="E843" s="594" t="s">
        <v>801</v>
      </c>
      <c r="F843" s="356">
        <v>1</v>
      </c>
      <c r="G843" s="356" t="s">
        <v>811</v>
      </c>
      <c r="H843" s="515"/>
      <c r="I843" s="515"/>
      <c r="J843" s="515"/>
      <c r="K843" s="684"/>
      <c r="L843" s="535"/>
      <c r="M843" s="552" t="str">
        <f t="shared" si="97"/>
        <v/>
      </c>
      <c r="N843" s="552"/>
      <c r="O843" s="552" t="str">
        <f t="shared" si="98"/>
        <v/>
      </c>
      <c r="P843" s="39"/>
    </row>
    <row r="844" spans="1:16" x14ac:dyDescent="0.35">
      <c r="A844" s="535" t="str">
        <f t="shared" si="90"/>
        <v/>
      </c>
      <c r="B844" s="337"/>
      <c r="C844" s="337"/>
      <c r="D844" s="326" t="s">
        <v>371</v>
      </c>
      <c r="E844" s="419" t="s">
        <v>808</v>
      </c>
      <c r="F844" s="335">
        <v>10</v>
      </c>
      <c r="G844" s="335" t="s">
        <v>73</v>
      </c>
      <c r="H844" s="335">
        <v>10</v>
      </c>
      <c r="I844" s="335" t="s">
        <v>73</v>
      </c>
      <c r="J844" s="337"/>
      <c r="K844" s="680">
        <f t="shared" si="99"/>
        <v>10</v>
      </c>
      <c r="L844" s="535"/>
      <c r="M844" s="552" t="str">
        <f t="shared" si="97"/>
        <v/>
      </c>
      <c r="N844" s="552"/>
      <c r="O844" s="552" t="str">
        <f t="shared" si="98"/>
        <v/>
      </c>
      <c r="P844" s="39"/>
    </row>
    <row r="845" spans="1:16" x14ac:dyDescent="0.35">
      <c r="A845" s="535" t="str">
        <f t="shared" si="90"/>
        <v/>
      </c>
      <c r="B845" s="330"/>
      <c r="C845" s="330"/>
      <c r="D845" s="326" t="s">
        <v>369</v>
      </c>
      <c r="E845" s="475" t="s">
        <v>802</v>
      </c>
      <c r="F845" s="328">
        <v>15</v>
      </c>
      <c r="G845" s="328" t="s">
        <v>73</v>
      </c>
      <c r="H845" s="328">
        <v>15</v>
      </c>
      <c r="I845" s="328" t="s">
        <v>73</v>
      </c>
      <c r="J845" s="330"/>
      <c r="K845" s="681">
        <f t="shared" si="99"/>
        <v>15</v>
      </c>
      <c r="L845" s="535"/>
      <c r="M845" s="552" t="str">
        <f t="shared" si="97"/>
        <v/>
      </c>
      <c r="N845" s="552"/>
      <c r="O845" s="552" t="str">
        <f t="shared" si="98"/>
        <v/>
      </c>
      <c r="P845" s="39"/>
    </row>
    <row r="846" spans="1:16" x14ac:dyDescent="0.35">
      <c r="A846" s="535" t="str">
        <f t="shared" si="90"/>
        <v/>
      </c>
      <c r="B846" s="337"/>
      <c r="C846" s="337"/>
      <c r="D846" s="326" t="s">
        <v>48</v>
      </c>
      <c r="E846" s="419" t="s">
        <v>809</v>
      </c>
      <c r="F846" s="335">
        <v>5</v>
      </c>
      <c r="G846" s="335" t="s">
        <v>73</v>
      </c>
      <c r="H846" s="335">
        <v>5</v>
      </c>
      <c r="I846" s="335" t="s">
        <v>73</v>
      </c>
      <c r="J846" s="337"/>
      <c r="K846" s="680">
        <f t="shared" si="99"/>
        <v>5</v>
      </c>
      <c r="L846" s="535"/>
      <c r="M846" s="552" t="str">
        <f t="shared" si="97"/>
        <v/>
      </c>
      <c r="N846" s="552"/>
      <c r="O846" s="552" t="str">
        <f t="shared" si="98"/>
        <v/>
      </c>
      <c r="P846" s="39"/>
    </row>
    <row r="847" spans="1:16" x14ac:dyDescent="0.35">
      <c r="A847" s="535" t="str">
        <f t="shared" si="90"/>
        <v/>
      </c>
      <c r="B847" s="330"/>
      <c r="C847" s="330"/>
      <c r="D847" s="355"/>
      <c r="E847" s="355" t="s">
        <v>820</v>
      </c>
      <c r="F847" s="356">
        <v>30</v>
      </c>
      <c r="G847" s="356" t="s">
        <v>73</v>
      </c>
      <c r="H847" s="515"/>
      <c r="I847" s="356"/>
      <c r="J847" s="515"/>
      <c r="K847" s="684"/>
      <c r="L847" s="535"/>
      <c r="M847" s="552" t="str">
        <f t="shared" si="97"/>
        <v/>
      </c>
      <c r="N847" s="552"/>
      <c r="O847" s="552" t="str">
        <f t="shared" si="98"/>
        <v/>
      </c>
      <c r="P847" s="39"/>
    </row>
    <row r="848" spans="1:16" x14ac:dyDescent="0.35">
      <c r="A848" s="535" t="str">
        <f t="shared" si="90"/>
        <v/>
      </c>
      <c r="B848" s="337"/>
      <c r="C848" s="337"/>
      <c r="D848" s="326" t="s">
        <v>400</v>
      </c>
      <c r="E848" s="419" t="s">
        <v>401</v>
      </c>
      <c r="F848" s="335">
        <v>30</v>
      </c>
      <c r="G848" s="335" t="s">
        <v>73</v>
      </c>
      <c r="H848" s="335">
        <f>ROUND(($F$847)*(($F$848)/($F$848+$F$849+$F$850+$F$851)),2)</f>
        <v>10.71</v>
      </c>
      <c r="I848" s="335" t="s">
        <v>73</v>
      </c>
      <c r="J848" s="337"/>
      <c r="K848" s="680">
        <f t="shared" si="99"/>
        <v>10.71</v>
      </c>
      <c r="L848" s="535"/>
      <c r="M848" s="552" t="str">
        <f t="shared" si="97"/>
        <v/>
      </c>
      <c r="N848" s="552"/>
      <c r="O848" s="552" t="str">
        <f t="shared" si="98"/>
        <v/>
      </c>
      <c r="P848" s="39"/>
    </row>
    <row r="849" spans="1:16" x14ac:dyDescent="0.35">
      <c r="A849" s="535" t="str">
        <f t="shared" si="90"/>
        <v/>
      </c>
      <c r="B849" s="330"/>
      <c r="C849" s="330"/>
      <c r="D849" s="326" t="s">
        <v>50</v>
      </c>
      <c r="E849" s="475" t="s">
        <v>394</v>
      </c>
      <c r="F849" s="328">
        <v>18</v>
      </c>
      <c r="G849" s="328" t="s">
        <v>73</v>
      </c>
      <c r="H849" s="328">
        <f>ROUND(($F$847)*(($F$849)/($F$848+$F$849+$F$850+$F$851)),2)</f>
        <v>6.43</v>
      </c>
      <c r="I849" s="328" t="s">
        <v>73</v>
      </c>
      <c r="J849" s="330"/>
      <c r="K849" s="681">
        <f t="shared" si="99"/>
        <v>6.43</v>
      </c>
      <c r="L849" s="535"/>
      <c r="M849" s="552" t="str">
        <f t="shared" si="97"/>
        <v/>
      </c>
      <c r="N849" s="552"/>
      <c r="O849" s="552" t="str">
        <f t="shared" si="98"/>
        <v/>
      </c>
      <c r="P849" s="39"/>
    </row>
    <row r="850" spans="1:16" x14ac:dyDescent="0.35">
      <c r="A850" s="535" t="str">
        <f t="shared" si="90"/>
        <v/>
      </c>
      <c r="B850" s="337"/>
      <c r="C850" s="337"/>
      <c r="D850" s="326" t="s">
        <v>371</v>
      </c>
      <c r="E850" s="419" t="s">
        <v>808</v>
      </c>
      <c r="F850" s="335">
        <v>18</v>
      </c>
      <c r="G850" s="335" t="s">
        <v>73</v>
      </c>
      <c r="H850" s="335">
        <f>ROUND(($F$847)*(($F$850)/($F$848+$F$849+$F$850+$F$851)),2)</f>
        <v>6.43</v>
      </c>
      <c r="I850" s="335" t="s">
        <v>73</v>
      </c>
      <c r="J850" s="337"/>
      <c r="K850" s="680">
        <f t="shared" si="99"/>
        <v>6.43</v>
      </c>
      <c r="L850" s="535"/>
      <c r="M850" s="552" t="str">
        <f t="shared" si="97"/>
        <v/>
      </c>
      <c r="N850" s="552"/>
      <c r="O850" s="552" t="str">
        <f t="shared" si="98"/>
        <v/>
      </c>
      <c r="P850" s="39"/>
    </row>
    <row r="851" spans="1:16" x14ac:dyDescent="0.35">
      <c r="A851" s="593" t="str">
        <f t="shared" ref="A851:A856" si="100">IFERROR(INDEX($Q$17:$Q$41,MATCH(B851,$R$17:$R$41, 0)), "")</f>
        <v/>
      </c>
      <c r="B851" s="330"/>
      <c r="C851" s="330"/>
      <c r="D851" s="326" t="s">
        <v>48</v>
      </c>
      <c r="E851" s="475" t="s">
        <v>716</v>
      </c>
      <c r="F851" s="328">
        <v>18</v>
      </c>
      <c r="G851" s="328" t="s">
        <v>73</v>
      </c>
      <c r="H851" s="328">
        <f>ROUND(($F$847)*(($F$851)/($F$848+$F$849+$F$850+$F$851)),2)</f>
        <v>6.43</v>
      </c>
      <c r="I851" s="328" t="s">
        <v>73</v>
      </c>
      <c r="J851" s="330"/>
      <c r="K851" s="681">
        <f t="shared" si="99"/>
        <v>6.43</v>
      </c>
      <c r="L851" s="535"/>
      <c r="M851" s="595" t="str">
        <f t="shared" ref="M851:M856" si="101">IF(Q858&gt;0, Q858, "")</f>
        <v/>
      </c>
      <c r="N851" s="595"/>
      <c r="O851" s="595" t="str">
        <f t="shared" ref="O851:O856" si="102">IF(V859&gt;0, V859, "")</f>
        <v/>
      </c>
      <c r="P851" s="39"/>
    </row>
    <row r="852" spans="1:16" x14ac:dyDescent="0.35">
      <c r="A852" s="593" t="str">
        <f t="shared" si="100"/>
        <v/>
      </c>
      <c r="B852" s="337"/>
      <c r="C852" s="337"/>
      <c r="D852" s="355"/>
      <c r="E852" s="355" t="s">
        <v>853</v>
      </c>
      <c r="F852" s="356">
        <v>85</v>
      </c>
      <c r="G852" s="356" t="s">
        <v>73</v>
      </c>
      <c r="H852" s="515"/>
      <c r="I852" s="356"/>
      <c r="J852" s="515"/>
      <c r="K852" s="684"/>
      <c r="L852" s="535"/>
      <c r="M852" s="595" t="str">
        <f t="shared" si="101"/>
        <v/>
      </c>
      <c r="N852" s="595"/>
      <c r="O852" s="595" t="str">
        <f t="shared" si="102"/>
        <v/>
      </c>
      <c r="P852" s="39"/>
    </row>
    <row r="853" spans="1:16" x14ac:dyDescent="0.35">
      <c r="A853" s="593" t="str">
        <f t="shared" si="100"/>
        <v/>
      </c>
      <c r="B853" s="330"/>
      <c r="C853" s="330"/>
      <c r="D853" s="326" t="s">
        <v>1068</v>
      </c>
      <c r="E853" s="366" t="s">
        <v>1069</v>
      </c>
      <c r="F853" s="328">
        <v>60</v>
      </c>
      <c r="G853" s="328" t="s">
        <v>73</v>
      </c>
      <c r="H853" s="328">
        <f>ROUND(($F$852)*(($F$853)/($F$853+$F$854+$F$855+$F$856)),2)</f>
        <v>24.61</v>
      </c>
      <c r="I853" s="328" t="s">
        <v>73</v>
      </c>
      <c r="J853" s="330"/>
      <c r="K853" s="681">
        <f t="shared" si="99"/>
        <v>24.61</v>
      </c>
      <c r="L853" s="535"/>
      <c r="M853" s="595" t="str">
        <f t="shared" si="101"/>
        <v/>
      </c>
      <c r="N853" s="595"/>
      <c r="O853" s="595" t="str">
        <f t="shared" si="102"/>
        <v/>
      </c>
      <c r="P853" s="39"/>
    </row>
    <row r="854" spans="1:16" x14ac:dyDescent="0.35">
      <c r="A854" s="593" t="str">
        <f t="shared" si="100"/>
        <v/>
      </c>
      <c r="B854" s="337"/>
      <c r="C854" s="337"/>
      <c r="D854" s="342"/>
      <c r="E854" s="362" t="s">
        <v>854</v>
      </c>
      <c r="F854" s="343">
        <v>90</v>
      </c>
      <c r="G854" s="343" t="s">
        <v>73</v>
      </c>
      <c r="H854" s="343">
        <f>ROUND(($F$852)*(($F$854)/($F$853+$F$854+$F$855+$F$856)),2)</f>
        <v>36.909999999999997</v>
      </c>
      <c r="I854" s="343"/>
      <c r="J854" s="345"/>
      <c r="K854" s="685"/>
      <c r="L854" s="535"/>
      <c r="M854" s="595" t="str">
        <f t="shared" si="101"/>
        <v/>
      </c>
      <c r="N854" s="595"/>
      <c r="O854" s="595" t="str">
        <f t="shared" si="102"/>
        <v/>
      </c>
      <c r="P854" s="39"/>
    </row>
    <row r="855" spans="1:16" x14ac:dyDescent="0.35">
      <c r="A855" s="593" t="str">
        <f t="shared" si="100"/>
        <v/>
      </c>
      <c r="B855" s="330"/>
      <c r="C855" s="330"/>
      <c r="D855" s="326" t="s">
        <v>45</v>
      </c>
      <c r="E855" s="366" t="s">
        <v>101</v>
      </c>
      <c r="F855" s="328">
        <v>1.5</v>
      </c>
      <c r="G855" s="328" t="s">
        <v>73</v>
      </c>
      <c r="H855" s="328">
        <f>ROUND(($F$852)*(($F$855)/($F$853+$F$854+$F$855+$F$856)),2)</f>
        <v>0.62</v>
      </c>
      <c r="I855" s="328" t="s">
        <v>73</v>
      </c>
      <c r="J855" s="330"/>
      <c r="K855" s="681">
        <f t="shared" si="99"/>
        <v>0.62</v>
      </c>
      <c r="L855" s="535"/>
      <c r="M855" s="595" t="str">
        <f t="shared" si="101"/>
        <v/>
      </c>
      <c r="N855" s="595"/>
      <c r="O855" s="595" t="str">
        <f t="shared" si="102"/>
        <v/>
      </c>
      <c r="P855" s="39"/>
    </row>
    <row r="856" spans="1:16" ht="15" thickBot="1" x14ac:dyDescent="0.4">
      <c r="A856" s="593" t="str">
        <f t="shared" si="100"/>
        <v/>
      </c>
      <c r="B856" s="337"/>
      <c r="C856" s="337"/>
      <c r="D856" s="326" t="s">
        <v>521</v>
      </c>
      <c r="E856" s="360" t="s">
        <v>855</v>
      </c>
      <c r="F856" s="335">
        <v>55.75</v>
      </c>
      <c r="G856" s="335" t="s">
        <v>73</v>
      </c>
      <c r="H856" s="335">
        <f>ROUND(($F$852)*(($F$856)/($F$853+$F$854+$F$855+$F$856)),2)</f>
        <v>22.86</v>
      </c>
      <c r="I856" s="335" t="s">
        <v>73</v>
      </c>
      <c r="J856" s="337"/>
      <c r="K856" s="680">
        <f t="shared" si="99"/>
        <v>22.86</v>
      </c>
      <c r="L856" s="535"/>
      <c r="M856" s="595" t="str">
        <f t="shared" si="101"/>
        <v/>
      </c>
      <c r="N856" s="595"/>
      <c r="O856" s="595" t="str">
        <f t="shared" si="102"/>
        <v/>
      </c>
      <c r="P856" s="39"/>
    </row>
    <row r="857" spans="1:16" ht="15.5" thickTop="1" thickBot="1" x14ac:dyDescent="0.4">
      <c r="A857" s="545" t="str">
        <f t="shared" si="90"/>
        <v/>
      </c>
      <c r="B857" s="546"/>
      <c r="C857" s="546"/>
      <c r="D857" s="547"/>
      <c r="E857" s="546"/>
      <c r="F857" s="579"/>
      <c r="G857" s="546"/>
      <c r="H857" s="546"/>
      <c r="I857" s="546"/>
      <c r="J857" s="546"/>
      <c r="K857" s="676"/>
      <c r="L857" s="535"/>
      <c r="M857" s="552" t="str">
        <f>IF(Q846&gt;0, Q846, "")</f>
        <v/>
      </c>
      <c r="N857" s="552"/>
      <c r="O857" s="552" t="str">
        <f>IF(V847&gt;0, V847, "")</f>
        <v/>
      </c>
      <c r="P857" s="39"/>
    </row>
    <row r="858" spans="1:16" ht="15" thickTop="1" x14ac:dyDescent="0.35">
      <c r="A858" s="565">
        <f>IFERROR(INDEX($Q$17:$Q$150,MATCH(B858,$R$17:$R$150, 0)), "")</f>
        <v>1</v>
      </c>
      <c r="B858" s="382" t="s">
        <v>1371</v>
      </c>
      <c r="C858" s="325" t="s">
        <v>822</v>
      </c>
      <c r="D858" s="347" t="s">
        <v>260</v>
      </c>
      <c r="E858" s="334" t="s">
        <v>804</v>
      </c>
      <c r="F858" s="335">
        <v>33</v>
      </c>
      <c r="G858" s="335" t="s">
        <v>73</v>
      </c>
      <c r="H858" s="335">
        <v>33</v>
      </c>
      <c r="I858" s="335" t="s">
        <v>73</v>
      </c>
      <c r="J858" s="337"/>
      <c r="K858" s="680">
        <f>$A$858*H858</f>
        <v>33</v>
      </c>
      <c r="L858" s="535"/>
      <c r="M858" s="552" t="str">
        <f>IF(Q847&gt;0, Q847, "")</f>
        <v/>
      </c>
      <c r="N858" s="552"/>
      <c r="O858" s="552" t="str">
        <f>IF(V848&gt;0, V848, "")</f>
        <v/>
      </c>
      <c r="P858" s="39"/>
    </row>
    <row r="859" spans="1:16" x14ac:dyDescent="0.35">
      <c r="A859" s="535" t="str">
        <f t="shared" si="90"/>
        <v/>
      </c>
      <c r="B859" s="330"/>
      <c r="C859" s="330"/>
      <c r="D859" s="326" t="s">
        <v>618</v>
      </c>
      <c r="E859" s="327" t="s">
        <v>619</v>
      </c>
      <c r="F859" s="328">
        <v>60</v>
      </c>
      <c r="G859" s="328" t="s">
        <v>73</v>
      </c>
      <c r="H859" s="328">
        <v>60</v>
      </c>
      <c r="I859" s="328" t="s">
        <v>73</v>
      </c>
      <c r="J859" s="330"/>
      <c r="K859" s="681">
        <f t="shared" ref="K859:K868" si="103">$A$858*H859</f>
        <v>60</v>
      </c>
      <c r="L859" s="535"/>
      <c r="M859" s="552" t="str">
        <f t="shared" ref="M859:M922" si="104">IF(Q848&gt;0, Q848, "")</f>
        <v/>
      </c>
      <c r="N859" s="552"/>
      <c r="O859" s="552" t="str">
        <f t="shared" ref="O859:O922" si="105">IF(V849&gt;0, V849, "")</f>
        <v/>
      </c>
      <c r="P859" s="39"/>
    </row>
    <row r="860" spans="1:16" x14ac:dyDescent="0.35">
      <c r="A860" s="535" t="str">
        <f t="shared" si="90"/>
        <v/>
      </c>
      <c r="B860" s="337"/>
      <c r="C860" s="337"/>
      <c r="D860" s="326" t="s">
        <v>563</v>
      </c>
      <c r="E860" s="334" t="s">
        <v>805</v>
      </c>
      <c r="F860" s="335">
        <v>70</v>
      </c>
      <c r="G860" s="335" t="s">
        <v>73</v>
      </c>
      <c r="H860" s="335">
        <v>70</v>
      </c>
      <c r="I860" s="335" t="s">
        <v>73</v>
      </c>
      <c r="J860" s="337"/>
      <c r="K860" s="680">
        <f t="shared" si="103"/>
        <v>70</v>
      </c>
      <c r="L860" s="535"/>
      <c r="M860" s="552" t="str">
        <f t="shared" si="104"/>
        <v/>
      </c>
      <c r="N860" s="552"/>
      <c r="O860" s="552" t="str">
        <f t="shared" si="105"/>
        <v/>
      </c>
      <c r="P860" s="39"/>
    </row>
    <row r="861" spans="1:16" x14ac:dyDescent="0.35">
      <c r="A861" s="535" t="str">
        <f t="shared" si="90"/>
        <v/>
      </c>
      <c r="B861" s="330"/>
      <c r="C861" s="330"/>
      <c r="D861" s="326" t="s">
        <v>505</v>
      </c>
      <c r="E861" s="327" t="s">
        <v>806</v>
      </c>
      <c r="F861" s="328">
        <v>0.5</v>
      </c>
      <c r="G861" s="328" t="s">
        <v>73</v>
      </c>
      <c r="H861" s="328">
        <v>0.5</v>
      </c>
      <c r="I861" s="328" t="s">
        <v>73</v>
      </c>
      <c r="J861" s="330"/>
      <c r="K861" s="681">
        <f t="shared" si="103"/>
        <v>0.5</v>
      </c>
      <c r="L861" s="535"/>
      <c r="M861" s="552" t="str">
        <f t="shared" si="104"/>
        <v/>
      </c>
      <c r="N861" s="552"/>
      <c r="O861" s="552" t="str">
        <f t="shared" si="105"/>
        <v/>
      </c>
      <c r="P861" s="39"/>
    </row>
    <row r="862" spans="1:16" ht="15" thickBot="1" x14ac:dyDescent="0.4">
      <c r="A862" s="535" t="str">
        <f t="shared" si="90"/>
        <v/>
      </c>
      <c r="B862" s="337"/>
      <c r="C862" s="337"/>
      <c r="D862" s="326" t="s">
        <v>125</v>
      </c>
      <c r="E862" s="597" t="s">
        <v>126</v>
      </c>
      <c r="F862" s="596">
        <v>75</v>
      </c>
      <c r="G862" s="335" t="s">
        <v>73</v>
      </c>
      <c r="H862" s="335">
        <v>75</v>
      </c>
      <c r="I862" s="335" t="s">
        <v>73</v>
      </c>
      <c r="J862" s="337"/>
      <c r="K862" s="680">
        <f t="shared" si="103"/>
        <v>75</v>
      </c>
      <c r="L862" s="535"/>
      <c r="M862" s="552" t="str">
        <f t="shared" si="104"/>
        <v/>
      </c>
      <c r="N862" s="552"/>
      <c r="O862" s="552" t="str">
        <f t="shared" si="105"/>
        <v/>
      </c>
      <c r="P862" s="39"/>
    </row>
    <row r="863" spans="1:16" x14ac:dyDescent="0.35">
      <c r="A863" s="535" t="str">
        <f t="shared" si="90"/>
        <v/>
      </c>
      <c r="B863" s="330"/>
      <c r="C863" s="330"/>
      <c r="D863" s="326" t="s">
        <v>392</v>
      </c>
      <c r="E863" s="598" t="s">
        <v>798</v>
      </c>
      <c r="F863" s="328">
        <v>0.3</v>
      </c>
      <c r="G863" s="328" t="s">
        <v>73</v>
      </c>
      <c r="H863" s="328">
        <v>0.3</v>
      </c>
      <c r="I863" s="328" t="s">
        <v>73</v>
      </c>
      <c r="J863" s="330"/>
      <c r="K863" s="681">
        <f t="shared" si="103"/>
        <v>0.3</v>
      </c>
      <c r="L863" s="535"/>
      <c r="M863" s="552" t="str">
        <f t="shared" si="104"/>
        <v/>
      </c>
      <c r="N863" s="552"/>
      <c r="O863" s="552" t="str">
        <f t="shared" si="105"/>
        <v/>
      </c>
      <c r="P863" s="39"/>
    </row>
    <row r="864" spans="1:16" x14ac:dyDescent="0.35">
      <c r="A864" s="535" t="str">
        <f t="shared" si="90"/>
        <v/>
      </c>
      <c r="B864" s="337"/>
      <c r="C864" s="337"/>
      <c r="D864" s="326" t="s">
        <v>489</v>
      </c>
      <c r="E864" s="334" t="s">
        <v>807</v>
      </c>
      <c r="F864" s="335">
        <v>100</v>
      </c>
      <c r="G864" s="335" t="s">
        <v>73</v>
      </c>
      <c r="H864" s="335">
        <v>100</v>
      </c>
      <c r="I864" s="335" t="s">
        <v>73</v>
      </c>
      <c r="J864" s="337"/>
      <c r="K864" s="680">
        <f t="shared" si="103"/>
        <v>100</v>
      </c>
      <c r="L864" s="535"/>
      <c r="M864" s="552" t="str">
        <f t="shared" si="104"/>
        <v/>
      </c>
      <c r="N864" s="552"/>
      <c r="O864" s="552" t="str">
        <f t="shared" si="105"/>
        <v/>
      </c>
      <c r="P864" s="39"/>
    </row>
    <row r="865" spans="1:16" x14ac:dyDescent="0.35">
      <c r="A865" s="535" t="str">
        <f t="shared" ref="A865:A869" si="106">IFERROR(INDEX($Q$17:$Q$41,MATCH(B865,$R$17:$R$41, 0)), "")</f>
        <v/>
      </c>
      <c r="B865" s="330"/>
      <c r="C865" s="330"/>
      <c r="D865" s="355"/>
      <c r="E865" s="355" t="s">
        <v>801</v>
      </c>
      <c r="F865" s="356">
        <v>1</v>
      </c>
      <c r="G865" s="356" t="s">
        <v>811</v>
      </c>
      <c r="H865" s="515"/>
      <c r="I865" s="515"/>
      <c r="J865" s="515"/>
      <c r="K865" s="684"/>
      <c r="L865" s="535"/>
      <c r="M865" s="552" t="str">
        <f t="shared" si="104"/>
        <v/>
      </c>
      <c r="N865" s="552"/>
      <c r="O865" s="552" t="str">
        <f t="shared" si="105"/>
        <v/>
      </c>
      <c r="P865" s="39"/>
    </row>
    <row r="866" spans="1:16" x14ac:dyDescent="0.35">
      <c r="A866" s="535" t="str">
        <f t="shared" si="106"/>
        <v/>
      </c>
      <c r="B866" s="337"/>
      <c r="C866" s="337"/>
      <c r="D866" s="326" t="s">
        <v>371</v>
      </c>
      <c r="E866" s="419" t="s">
        <v>808</v>
      </c>
      <c r="F866" s="335">
        <v>10</v>
      </c>
      <c r="G866" s="335" t="s">
        <v>73</v>
      </c>
      <c r="H866" s="335">
        <v>10</v>
      </c>
      <c r="I866" s="335" t="s">
        <v>73</v>
      </c>
      <c r="J866" s="337"/>
      <c r="K866" s="680">
        <f t="shared" si="103"/>
        <v>10</v>
      </c>
      <c r="L866" s="535"/>
      <c r="M866" s="552" t="str">
        <f t="shared" si="104"/>
        <v/>
      </c>
      <c r="N866" s="552"/>
      <c r="O866" s="552" t="str">
        <f t="shared" si="105"/>
        <v/>
      </c>
      <c r="P866" s="39"/>
    </row>
    <row r="867" spans="1:16" x14ac:dyDescent="0.35">
      <c r="A867" s="535" t="str">
        <f t="shared" si="106"/>
        <v/>
      </c>
      <c r="B867" s="330"/>
      <c r="C867" s="330"/>
      <c r="D867" s="326" t="s">
        <v>369</v>
      </c>
      <c r="E867" s="475" t="s">
        <v>802</v>
      </c>
      <c r="F867" s="328">
        <v>15</v>
      </c>
      <c r="G867" s="328" t="s">
        <v>73</v>
      </c>
      <c r="H867" s="328">
        <v>15</v>
      </c>
      <c r="I867" s="328" t="s">
        <v>73</v>
      </c>
      <c r="J867" s="330"/>
      <c r="K867" s="681">
        <f t="shared" si="103"/>
        <v>15</v>
      </c>
      <c r="L867" s="535"/>
      <c r="M867" s="552" t="str">
        <f t="shared" si="104"/>
        <v/>
      </c>
      <c r="N867" s="552"/>
      <c r="O867" s="552" t="str">
        <f t="shared" si="105"/>
        <v/>
      </c>
      <c r="P867" s="39"/>
    </row>
    <row r="868" spans="1:16" ht="15" thickBot="1" x14ac:dyDescent="0.4">
      <c r="A868" s="535" t="str">
        <f t="shared" si="106"/>
        <v/>
      </c>
      <c r="B868" s="337"/>
      <c r="C868" s="337"/>
      <c r="D868" s="326" t="s">
        <v>48</v>
      </c>
      <c r="E868" s="419" t="s">
        <v>809</v>
      </c>
      <c r="F868" s="335">
        <v>5</v>
      </c>
      <c r="G868" s="335" t="s">
        <v>73</v>
      </c>
      <c r="H868" s="335">
        <v>5</v>
      </c>
      <c r="I868" s="335" t="s">
        <v>73</v>
      </c>
      <c r="J868" s="337"/>
      <c r="K868" s="680">
        <f t="shared" si="103"/>
        <v>5</v>
      </c>
      <c r="L868" s="535"/>
      <c r="M868" s="552" t="str">
        <f t="shared" si="104"/>
        <v/>
      </c>
      <c r="N868" s="552"/>
      <c r="O868" s="552" t="str">
        <f t="shared" si="105"/>
        <v/>
      </c>
      <c r="P868" s="39"/>
    </row>
    <row r="869" spans="1:16" ht="15.5" thickTop="1" thickBot="1" x14ac:dyDescent="0.4">
      <c r="A869" s="545" t="str">
        <f t="shared" si="106"/>
        <v/>
      </c>
      <c r="B869" s="546"/>
      <c r="C869" s="546"/>
      <c r="D869" s="547"/>
      <c r="E869" s="546"/>
      <c r="F869" s="579"/>
      <c r="G869" s="546"/>
      <c r="H869" s="546"/>
      <c r="I869" s="546"/>
      <c r="J869" s="546"/>
      <c r="K869" s="676"/>
      <c r="L869" s="535"/>
      <c r="M869" s="552" t="str">
        <f t="shared" si="104"/>
        <v/>
      </c>
      <c r="N869" s="552"/>
      <c r="O869" s="552" t="str">
        <f t="shared" si="105"/>
        <v/>
      </c>
      <c r="P869" s="39"/>
    </row>
    <row r="870" spans="1:16" ht="15" thickTop="1" x14ac:dyDescent="0.35">
      <c r="A870" s="565">
        <f>IFERROR(INDEX($Q$17:$Q$150,MATCH(B870,$R$17:$R$150, 0)), "")</f>
        <v>8</v>
      </c>
      <c r="B870" s="382" t="s">
        <v>1370</v>
      </c>
      <c r="C870" s="325" t="s">
        <v>823</v>
      </c>
      <c r="D870" s="347" t="s">
        <v>489</v>
      </c>
      <c r="E870" s="334" t="s">
        <v>797</v>
      </c>
      <c r="F870" s="335">
        <v>200</v>
      </c>
      <c r="G870" s="335" t="s">
        <v>73</v>
      </c>
      <c r="H870" s="335">
        <v>200</v>
      </c>
      <c r="I870" s="335" t="s">
        <v>73</v>
      </c>
      <c r="J870" s="337"/>
      <c r="K870" s="680">
        <f>$A$870*H870</f>
        <v>1600</v>
      </c>
      <c r="L870" s="535"/>
      <c r="M870" s="552" t="str">
        <f t="shared" si="104"/>
        <v/>
      </c>
      <c r="N870" s="552"/>
      <c r="O870" s="552" t="str">
        <f t="shared" si="105"/>
        <v/>
      </c>
      <c r="P870" s="39"/>
    </row>
    <row r="871" spans="1:16" x14ac:dyDescent="0.35">
      <c r="A871" s="535" t="str">
        <f t="shared" ref="A871:A873" si="107">IFERROR(INDEX($Q$17:$Q$41,MATCH(B871,$R$17:$R$41, 0)), "")</f>
        <v/>
      </c>
      <c r="B871" s="330"/>
      <c r="C871" s="330"/>
      <c r="D871" s="326" t="s">
        <v>618</v>
      </c>
      <c r="E871" s="327" t="s">
        <v>619</v>
      </c>
      <c r="F871" s="328">
        <v>60</v>
      </c>
      <c r="G871" s="328" t="s">
        <v>73</v>
      </c>
      <c r="H871" s="328">
        <v>60</v>
      </c>
      <c r="I871" s="328" t="s">
        <v>73</v>
      </c>
      <c r="J871" s="330"/>
      <c r="K871" s="681">
        <f t="shared" ref="K871:K885" si="108">$A$870*H871</f>
        <v>480</v>
      </c>
      <c r="L871" s="535"/>
      <c r="M871" s="552" t="str">
        <f t="shared" si="104"/>
        <v/>
      </c>
      <c r="N871" s="552"/>
      <c r="O871" s="552" t="str">
        <f t="shared" si="105"/>
        <v/>
      </c>
      <c r="P871" s="39"/>
    </row>
    <row r="872" spans="1:16" x14ac:dyDescent="0.35">
      <c r="A872" s="535" t="str">
        <f t="shared" si="107"/>
        <v/>
      </c>
      <c r="B872" s="337"/>
      <c r="C872" s="337"/>
      <c r="D872" s="326" t="s">
        <v>392</v>
      </c>
      <c r="E872" s="334" t="s">
        <v>798</v>
      </c>
      <c r="F872" s="335">
        <v>0.3</v>
      </c>
      <c r="G872" s="335" t="s">
        <v>73</v>
      </c>
      <c r="H872" s="335">
        <v>0.3</v>
      </c>
      <c r="I872" s="335" t="s">
        <v>73</v>
      </c>
      <c r="J872" s="337"/>
      <c r="K872" s="680">
        <f t="shared" si="108"/>
        <v>2.4</v>
      </c>
      <c r="L872" s="535"/>
      <c r="M872" s="552" t="str">
        <f t="shared" si="104"/>
        <v/>
      </c>
      <c r="N872" s="552"/>
      <c r="O872" s="552" t="str">
        <f t="shared" si="105"/>
        <v/>
      </c>
      <c r="P872" s="39"/>
    </row>
    <row r="873" spans="1:16" x14ac:dyDescent="0.35">
      <c r="A873" s="535" t="str">
        <f t="shared" si="107"/>
        <v/>
      </c>
      <c r="B873" s="330"/>
      <c r="C873" s="330"/>
      <c r="D873" s="326" t="s">
        <v>454</v>
      </c>
      <c r="E873" s="327" t="s">
        <v>455</v>
      </c>
      <c r="F873" s="328">
        <v>20</v>
      </c>
      <c r="G873" s="328" t="s">
        <v>73</v>
      </c>
      <c r="H873" s="328">
        <v>20</v>
      </c>
      <c r="I873" s="328" t="s">
        <v>73</v>
      </c>
      <c r="J873" s="330"/>
      <c r="K873" s="681">
        <f t="shared" si="108"/>
        <v>160</v>
      </c>
      <c r="L873" s="535"/>
      <c r="M873" s="552" t="str">
        <f t="shared" si="104"/>
        <v/>
      </c>
      <c r="N873" s="552"/>
      <c r="O873" s="552" t="str">
        <f t="shared" si="105"/>
        <v/>
      </c>
      <c r="P873" s="39"/>
    </row>
    <row r="874" spans="1:16" x14ac:dyDescent="0.35">
      <c r="A874" s="535" t="str">
        <f t="shared" ref="A874:A929" si="109">IFERROR(INDEX($Q$17:$Q$41,MATCH(B874,$R$17:$R$41, 0)), "")</f>
        <v/>
      </c>
      <c r="B874" s="337"/>
      <c r="C874" s="337"/>
      <c r="D874" s="326" t="s">
        <v>505</v>
      </c>
      <c r="E874" s="334" t="s">
        <v>806</v>
      </c>
      <c r="F874" s="335">
        <v>0.5</v>
      </c>
      <c r="G874" s="335" t="s">
        <v>73</v>
      </c>
      <c r="H874" s="335">
        <v>0.5</v>
      </c>
      <c r="I874" s="335" t="s">
        <v>73</v>
      </c>
      <c r="J874" s="337"/>
      <c r="K874" s="680">
        <f t="shared" si="108"/>
        <v>4</v>
      </c>
      <c r="L874" s="535"/>
      <c r="M874" s="552" t="str">
        <f t="shared" si="104"/>
        <v/>
      </c>
      <c r="N874" s="552"/>
      <c r="O874" s="552" t="str">
        <f t="shared" si="105"/>
        <v/>
      </c>
      <c r="P874" s="39"/>
    </row>
    <row r="875" spans="1:16" x14ac:dyDescent="0.35">
      <c r="A875" s="535" t="str">
        <f t="shared" si="109"/>
        <v/>
      </c>
      <c r="B875" s="330"/>
      <c r="C875" s="330"/>
      <c r="D875" s="326" t="s">
        <v>50</v>
      </c>
      <c r="E875" s="327" t="s">
        <v>813</v>
      </c>
      <c r="F875" s="328">
        <v>25</v>
      </c>
      <c r="G875" s="328" t="s">
        <v>73</v>
      </c>
      <c r="H875" s="328">
        <v>25</v>
      </c>
      <c r="I875" s="328" t="s">
        <v>73</v>
      </c>
      <c r="J875" s="330"/>
      <c r="K875" s="681">
        <f t="shared" si="108"/>
        <v>200</v>
      </c>
      <c r="L875" s="535"/>
      <c r="M875" s="552" t="str">
        <f t="shared" si="104"/>
        <v/>
      </c>
      <c r="N875" s="552"/>
      <c r="O875" s="552" t="str">
        <f t="shared" si="105"/>
        <v/>
      </c>
      <c r="P875" s="39"/>
    </row>
    <row r="876" spans="1:16" x14ac:dyDescent="0.35">
      <c r="A876" s="535" t="str">
        <f t="shared" si="109"/>
        <v/>
      </c>
      <c r="B876" s="337"/>
      <c r="C876" s="337"/>
      <c r="D876" s="326" t="s">
        <v>49</v>
      </c>
      <c r="E876" s="334" t="s">
        <v>395</v>
      </c>
      <c r="F876" s="335">
        <v>3</v>
      </c>
      <c r="G876" s="335" t="s">
        <v>73</v>
      </c>
      <c r="H876" s="335">
        <v>3</v>
      </c>
      <c r="I876" s="335" t="s">
        <v>73</v>
      </c>
      <c r="J876" s="337"/>
      <c r="K876" s="680">
        <f t="shared" si="108"/>
        <v>24</v>
      </c>
      <c r="L876" s="535"/>
      <c r="M876" s="552" t="str">
        <f t="shared" si="104"/>
        <v/>
      </c>
      <c r="N876" s="552"/>
      <c r="O876" s="552" t="str">
        <f t="shared" si="105"/>
        <v/>
      </c>
      <c r="P876" s="39"/>
    </row>
    <row r="877" spans="1:16" x14ac:dyDescent="0.35">
      <c r="A877" s="535" t="str">
        <f t="shared" si="109"/>
        <v/>
      </c>
      <c r="B877" s="330"/>
      <c r="C877" s="330"/>
      <c r="D877" s="326" t="s">
        <v>260</v>
      </c>
      <c r="E877" s="327" t="s">
        <v>261</v>
      </c>
      <c r="F877" s="328">
        <v>33</v>
      </c>
      <c r="G877" s="328" t="s">
        <v>73</v>
      </c>
      <c r="H877" s="328">
        <v>33</v>
      </c>
      <c r="I877" s="328" t="s">
        <v>73</v>
      </c>
      <c r="J877" s="330"/>
      <c r="K877" s="681">
        <f t="shared" si="108"/>
        <v>264</v>
      </c>
      <c r="L877" s="535"/>
      <c r="M877" s="552" t="str">
        <f t="shared" si="104"/>
        <v/>
      </c>
      <c r="N877" s="552"/>
      <c r="O877" s="552" t="str">
        <f t="shared" si="105"/>
        <v/>
      </c>
      <c r="P877" s="39"/>
    </row>
    <row r="878" spans="1:16" x14ac:dyDescent="0.35">
      <c r="A878" s="535" t="str">
        <f t="shared" si="109"/>
        <v/>
      </c>
      <c r="B878" s="337"/>
      <c r="C878" s="337"/>
      <c r="D878" s="355"/>
      <c r="E878" s="355" t="s">
        <v>814</v>
      </c>
      <c r="F878" s="356">
        <v>205</v>
      </c>
      <c r="G878" s="356" t="s">
        <v>73</v>
      </c>
      <c r="H878" s="515"/>
      <c r="I878" s="515"/>
      <c r="J878" s="515"/>
      <c r="K878" s="684"/>
      <c r="L878" s="535"/>
      <c r="M878" s="552" t="str">
        <f t="shared" si="104"/>
        <v/>
      </c>
      <c r="N878" s="552"/>
      <c r="O878" s="552" t="str">
        <f t="shared" si="105"/>
        <v/>
      </c>
      <c r="P878" s="39"/>
    </row>
    <row r="879" spans="1:16" x14ac:dyDescent="0.35">
      <c r="A879" s="535" t="str">
        <f t="shared" si="109"/>
        <v/>
      </c>
      <c r="B879" s="330"/>
      <c r="C879" s="330"/>
      <c r="D879" s="326" t="s">
        <v>698</v>
      </c>
      <c r="E879" s="475" t="s">
        <v>699</v>
      </c>
      <c r="F879" s="328">
        <v>24</v>
      </c>
      <c r="G879" s="328" t="s">
        <v>73</v>
      </c>
      <c r="H879" s="328">
        <v>24</v>
      </c>
      <c r="I879" s="328" t="s">
        <v>73</v>
      </c>
      <c r="J879" s="330"/>
      <c r="K879" s="681">
        <f t="shared" si="108"/>
        <v>192</v>
      </c>
      <c r="L879" s="535"/>
      <c r="M879" s="552" t="str">
        <f t="shared" si="104"/>
        <v/>
      </c>
      <c r="N879" s="552"/>
      <c r="O879" s="552" t="str">
        <f t="shared" si="105"/>
        <v/>
      </c>
      <c r="P879" s="39"/>
    </row>
    <row r="880" spans="1:16" x14ac:dyDescent="0.35">
      <c r="A880" s="535" t="str">
        <f t="shared" si="109"/>
        <v/>
      </c>
      <c r="B880" s="337"/>
      <c r="C880" s="337"/>
      <c r="D880" s="326" t="s">
        <v>495</v>
      </c>
      <c r="E880" s="419" t="s">
        <v>815</v>
      </c>
      <c r="F880" s="335">
        <v>108</v>
      </c>
      <c r="G880" s="335" t="s">
        <v>73</v>
      </c>
      <c r="H880" s="335">
        <v>108</v>
      </c>
      <c r="I880" s="335" t="s">
        <v>73</v>
      </c>
      <c r="J880" s="337"/>
      <c r="K880" s="680">
        <f t="shared" si="108"/>
        <v>864</v>
      </c>
      <c r="L880" s="535"/>
      <c r="M880" s="552" t="str">
        <f t="shared" si="104"/>
        <v/>
      </c>
      <c r="N880" s="552"/>
      <c r="O880" s="552" t="str">
        <f t="shared" si="105"/>
        <v/>
      </c>
      <c r="P880" s="39"/>
    </row>
    <row r="881" spans="1:16" x14ac:dyDescent="0.35">
      <c r="A881" s="535" t="str">
        <f t="shared" si="109"/>
        <v/>
      </c>
      <c r="B881" s="330"/>
      <c r="C881" s="330"/>
      <c r="D881" s="326" t="s">
        <v>493</v>
      </c>
      <c r="E881" s="475" t="s">
        <v>494</v>
      </c>
      <c r="F881" s="328">
        <v>36</v>
      </c>
      <c r="G881" s="328" t="s">
        <v>73</v>
      </c>
      <c r="H881" s="328">
        <v>36</v>
      </c>
      <c r="I881" s="328" t="s">
        <v>73</v>
      </c>
      <c r="J881" s="330"/>
      <c r="K881" s="681">
        <f t="shared" si="108"/>
        <v>288</v>
      </c>
      <c r="L881" s="535"/>
      <c r="M881" s="552" t="str">
        <f t="shared" si="104"/>
        <v/>
      </c>
      <c r="N881" s="552"/>
      <c r="O881" s="552" t="str">
        <f t="shared" si="105"/>
        <v/>
      </c>
      <c r="P881" s="39"/>
    </row>
    <row r="882" spans="1:16" x14ac:dyDescent="0.35">
      <c r="A882" s="535" t="str">
        <f t="shared" si="109"/>
        <v/>
      </c>
      <c r="B882" s="337"/>
      <c r="C882" s="337"/>
      <c r="D882" s="326" t="s">
        <v>125</v>
      </c>
      <c r="E882" s="419" t="s">
        <v>799</v>
      </c>
      <c r="F882" s="335">
        <v>36</v>
      </c>
      <c r="G882" s="335" t="s">
        <v>73</v>
      </c>
      <c r="H882" s="335">
        <v>36</v>
      </c>
      <c r="I882" s="335" t="s">
        <v>73</v>
      </c>
      <c r="J882" s="337"/>
      <c r="K882" s="680">
        <f t="shared" si="108"/>
        <v>288</v>
      </c>
      <c r="L882" s="535"/>
      <c r="M882" s="552" t="str">
        <f t="shared" si="104"/>
        <v/>
      </c>
      <c r="N882" s="552"/>
      <c r="O882" s="552" t="str">
        <f t="shared" si="105"/>
        <v/>
      </c>
      <c r="P882" s="39"/>
    </row>
    <row r="883" spans="1:16" x14ac:dyDescent="0.35">
      <c r="A883" s="535" t="str">
        <f t="shared" si="109"/>
        <v/>
      </c>
      <c r="B883" s="330"/>
      <c r="C883" s="330"/>
      <c r="D883" s="326" t="s">
        <v>43</v>
      </c>
      <c r="E883" s="475" t="s">
        <v>817</v>
      </c>
      <c r="F883" s="328">
        <v>0.6</v>
      </c>
      <c r="G883" s="328" t="s">
        <v>73</v>
      </c>
      <c r="H883" s="328">
        <v>0.6</v>
      </c>
      <c r="I883" s="328" t="s">
        <v>73</v>
      </c>
      <c r="J883" s="330"/>
      <c r="K883" s="681">
        <f t="shared" si="108"/>
        <v>4.8</v>
      </c>
      <c r="L883" s="535"/>
      <c r="M883" s="552" t="str">
        <f t="shared" si="104"/>
        <v/>
      </c>
      <c r="N883" s="552"/>
      <c r="O883" s="552" t="str">
        <f t="shared" si="105"/>
        <v/>
      </c>
      <c r="P883" s="39"/>
    </row>
    <row r="884" spans="1:16" x14ac:dyDescent="0.35">
      <c r="A884" s="535" t="str">
        <f t="shared" si="109"/>
        <v/>
      </c>
      <c r="B884" s="337"/>
      <c r="C884" s="337"/>
      <c r="D884" s="326" t="s">
        <v>42</v>
      </c>
      <c r="E884" s="419" t="s">
        <v>330</v>
      </c>
      <c r="F884" s="335">
        <v>0.6</v>
      </c>
      <c r="G884" s="335" t="s">
        <v>73</v>
      </c>
      <c r="H884" s="335">
        <v>0.6</v>
      </c>
      <c r="I884" s="335" t="s">
        <v>73</v>
      </c>
      <c r="J884" s="337"/>
      <c r="K884" s="680">
        <f t="shared" si="108"/>
        <v>4.8</v>
      </c>
      <c r="L884" s="535"/>
      <c r="M884" s="552" t="str">
        <f t="shared" si="104"/>
        <v/>
      </c>
      <c r="N884" s="552"/>
      <c r="O884" s="552" t="str">
        <f t="shared" si="105"/>
        <v/>
      </c>
      <c r="P884" s="39"/>
    </row>
    <row r="885" spans="1:16" ht="15" thickBot="1" x14ac:dyDescent="0.4">
      <c r="A885" s="535" t="str">
        <f t="shared" si="109"/>
        <v/>
      </c>
      <c r="B885" s="330"/>
      <c r="C885" s="330"/>
      <c r="D885" s="326" t="s">
        <v>55</v>
      </c>
      <c r="E885" s="475" t="s">
        <v>324</v>
      </c>
      <c r="F885" s="328">
        <v>0.1</v>
      </c>
      <c r="G885" s="328" t="s">
        <v>73</v>
      </c>
      <c r="H885" s="328">
        <v>0.1</v>
      </c>
      <c r="I885" s="328" t="s">
        <v>73</v>
      </c>
      <c r="J885" s="330"/>
      <c r="K885" s="681">
        <f t="shared" si="108"/>
        <v>0.8</v>
      </c>
      <c r="L885" s="535"/>
      <c r="M885" s="552" t="str">
        <f t="shared" si="104"/>
        <v/>
      </c>
      <c r="N885" s="552"/>
      <c r="O885" s="552" t="str">
        <f t="shared" si="105"/>
        <v/>
      </c>
      <c r="P885" s="39"/>
    </row>
    <row r="886" spans="1:16" ht="15.5" thickTop="1" thickBot="1" x14ac:dyDescent="0.4">
      <c r="A886" s="545" t="str">
        <f t="shared" si="109"/>
        <v/>
      </c>
      <c r="B886" s="546"/>
      <c r="C886" s="546"/>
      <c r="D886" s="547"/>
      <c r="E886" s="546"/>
      <c r="F886" s="579"/>
      <c r="G886" s="546"/>
      <c r="H886" s="546"/>
      <c r="I886" s="546"/>
      <c r="J886" s="546"/>
      <c r="K886" s="676"/>
      <c r="L886" s="535"/>
      <c r="M886" s="552" t="str">
        <f t="shared" si="104"/>
        <v/>
      </c>
      <c r="N886" s="552"/>
      <c r="O886" s="552" t="str">
        <f t="shared" si="105"/>
        <v/>
      </c>
      <c r="P886" s="39"/>
    </row>
    <row r="887" spans="1:16" ht="15" thickTop="1" x14ac:dyDescent="0.35">
      <c r="A887" s="565">
        <f>IFERROR(INDEX($Q$17:$Q$150,MATCH(B887,$R$17:$R$150, 0)), "")</f>
        <v>4</v>
      </c>
      <c r="B887" s="382" t="s">
        <v>1369</v>
      </c>
      <c r="C887" s="325" t="s">
        <v>824</v>
      </c>
      <c r="D887" s="347" t="s">
        <v>489</v>
      </c>
      <c r="E887" s="327" t="s">
        <v>797</v>
      </c>
      <c r="F887" s="328">
        <v>200</v>
      </c>
      <c r="G887" s="328" t="s">
        <v>73</v>
      </c>
      <c r="H887" s="328">
        <v>200</v>
      </c>
      <c r="I887" s="328" t="s">
        <v>73</v>
      </c>
      <c r="J887" s="330"/>
      <c r="K887" s="681">
        <f>$A$887*H887</f>
        <v>800</v>
      </c>
      <c r="L887" s="535"/>
      <c r="M887" s="552" t="str">
        <f t="shared" si="104"/>
        <v/>
      </c>
      <c r="N887" s="552"/>
      <c r="O887" s="552" t="str">
        <f t="shared" si="105"/>
        <v/>
      </c>
      <c r="P887" s="49"/>
    </row>
    <row r="888" spans="1:16" x14ac:dyDescent="0.35">
      <c r="A888" s="593" t="str">
        <f>IFERROR(INDEX($Q$17:$Q$41,MATCH(B888,$R$17:$R$41, 0)), "")</f>
        <v/>
      </c>
      <c r="B888" s="337"/>
      <c r="C888" s="337"/>
      <c r="D888" s="326" t="s">
        <v>618</v>
      </c>
      <c r="E888" s="334" t="s">
        <v>619</v>
      </c>
      <c r="F888" s="335">
        <v>60</v>
      </c>
      <c r="G888" s="335" t="s">
        <v>73</v>
      </c>
      <c r="H888" s="335">
        <v>60</v>
      </c>
      <c r="I888" s="335" t="s">
        <v>73</v>
      </c>
      <c r="J888" s="337"/>
      <c r="K888" s="680">
        <f t="shared" ref="K888:K895" si="110">$A$887*H888</f>
        <v>240</v>
      </c>
      <c r="L888" s="535"/>
      <c r="M888" s="552" t="str">
        <f t="shared" si="104"/>
        <v/>
      </c>
      <c r="N888" s="552"/>
      <c r="O888" s="552" t="str">
        <f t="shared" si="105"/>
        <v/>
      </c>
      <c r="P888" s="39"/>
    </row>
    <row r="889" spans="1:16" x14ac:dyDescent="0.35">
      <c r="A889" s="535" t="str">
        <f t="shared" si="109"/>
        <v/>
      </c>
      <c r="B889" s="330"/>
      <c r="C889" s="330"/>
      <c r="D889" s="326" t="s">
        <v>260</v>
      </c>
      <c r="E889" s="544" t="s">
        <v>261</v>
      </c>
      <c r="F889" s="328">
        <v>33</v>
      </c>
      <c r="G889" s="328" t="s">
        <v>73</v>
      </c>
      <c r="H889" s="328">
        <v>33</v>
      </c>
      <c r="I889" s="328" t="s">
        <v>73</v>
      </c>
      <c r="J889" s="330"/>
      <c r="K889" s="681">
        <f t="shared" si="110"/>
        <v>132</v>
      </c>
      <c r="L889" s="535"/>
      <c r="M889" s="552" t="str">
        <f t="shared" si="104"/>
        <v/>
      </c>
      <c r="N889" s="552"/>
      <c r="O889" s="552" t="str">
        <f t="shared" si="105"/>
        <v/>
      </c>
      <c r="P889" s="39"/>
    </row>
    <row r="890" spans="1:16" x14ac:dyDescent="0.35">
      <c r="A890" s="535" t="str">
        <f t="shared" si="109"/>
        <v/>
      </c>
      <c r="B890" s="337"/>
      <c r="C890" s="337"/>
      <c r="D890" s="326" t="s">
        <v>392</v>
      </c>
      <c r="E890" s="334" t="s">
        <v>798</v>
      </c>
      <c r="F890" s="335">
        <v>0.3</v>
      </c>
      <c r="G890" s="335" t="s">
        <v>73</v>
      </c>
      <c r="H890" s="335">
        <v>0.3</v>
      </c>
      <c r="I890" s="335" t="s">
        <v>73</v>
      </c>
      <c r="J890" s="337"/>
      <c r="K890" s="680">
        <f t="shared" si="110"/>
        <v>1.2</v>
      </c>
      <c r="L890" s="535"/>
      <c r="M890" s="552" t="str">
        <f t="shared" si="104"/>
        <v/>
      </c>
      <c r="N890" s="552"/>
      <c r="O890" s="552" t="str">
        <f t="shared" si="105"/>
        <v/>
      </c>
      <c r="P890" s="39"/>
    </row>
    <row r="891" spans="1:16" x14ac:dyDescent="0.35">
      <c r="A891" s="535" t="str">
        <f t="shared" si="109"/>
        <v/>
      </c>
      <c r="B891" s="330"/>
      <c r="C891" s="330"/>
      <c r="D891" s="326" t="s">
        <v>125</v>
      </c>
      <c r="E891" s="327" t="s">
        <v>799</v>
      </c>
      <c r="F891" s="328">
        <v>60</v>
      </c>
      <c r="G891" s="328" t="s">
        <v>73</v>
      </c>
      <c r="H891" s="328">
        <v>60</v>
      </c>
      <c r="I891" s="328" t="s">
        <v>73</v>
      </c>
      <c r="J891" s="330"/>
      <c r="K891" s="681">
        <f t="shared" si="110"/>
        <v>240</v>
      </c>
      <c r="L891" s="535"/>
      <c r="M891" s="552" t="str">
        <f t="shared" si="104"/>
        <v/>
      </c>
      <c r="N891" s="552"/>
      <c r="O891" s="552" t="str">
        <f t="shared" si="105"/>
        <v/>
      </c>
      <c r="P891" s="39"/>
    </row>
    <row r="892" spans="1:16" x14ac:dyDescent="0.35">
      <c r="A892" s="535" t="str">
        <f t="shared" si="109"/>
        <v/>
      </c>
      <c r="B892" s="337"/>
      <c r="C892" s="337"/>
      <c r="D892" s="326" t="s">
        <v>505</v>
      </c>
      <c r="E892" s="334" t="s">
        <v>800</v>
      </c>
      <c r="F892" s="335">
        <v>0.5</v>
      </c>
      <c r="G892" s="335" t="s">
        <v>73</v>
      </c>
      <c r="H892" s="335">
        <v>0.5</v>
      </c>
      <c r="I892" s="335" t="s">
        <v>73</v>
      </c>
      <c r="J892" s="337"/>
      <c r="K892" s="680">
        <f t="shared" si="110"/>
        <v>2</v>
      </c>
      <c r="L892" s="535"/>
      <c r="M892" s="552" t="str">
        <f t="shared" si="104"/>
        <v/>
      </c>
      <c r="N892" s="552"/>
      <c r="O892" s="552" t="str">
        <f t="shared" si="105"/>
        <v/>
      </c>
      <c r="P892" s="39"/>
    </row>
    <row r="893" spans="1:16" x14ac:dyDescent="0.35">
      <c r="A893" s="535" t="str">
        <f t="shared" si="109"/>
        <v/>
      </c>
      <c r="B893" s="330"/>
      <c r="C893" s="330"/>
      <c r="D893" s="355"/>
      <c r="E893" s="355" t="s">
        <v>801</v>
      </c>
      <c r="F893" s="356">
        <v>1</v>
      </c>
      <c r="G893" s="356" t="s">
        <v>73</v>
      </c>
      <c r="H893" s="515"/>
      <c r="I893" s="515"/>
      <c r="J893" s="515"/>
      <c r="K893" s="684"/>
      <c r="L893" s="535"/>
      <c r="M893" s="552" t="str">
        <f t="shared" si="104"/>
        <v/>
      </c>
      <c r="N893" s="552"/>
      <c r="O893" s="552" t="str">
        <f t="shared" si="105"/>
        <v/>
      </c>
      <c r="P893" s="39"/>
    </row>
    <row r="894" spans="1:16" x14ac:dyDescent="0.35">
      <c r="A894" s="535" t="str">
        <f t="shared" si="109"/>
        <v/>
      </c>
      <c r="B894" s="337"/>
      <c r="C894" s="337"/>
      <c r="D894" s="326" t="s">
        <v>371</v>
      </c>
      <c r="E894" s="360" t="s">
        <v>372</v>
      </c>
      <c r="F894" s="335">
        <v>10</v>
      </c>
      <c r="G894" s="335" t="s">
        <v>73</v>
      </c>
      <c r="H894" s="335">
        <v>10</v>
      </c>
      <c r="I894" s="335" t="s">
        <v>73</v>
      </c>
      <c r="J894" s="337"/>
      <c r="K894" s="680">
        <f t="shared" si="110"/>
        <v>40</v>
      </c>
      <c r="L894" s="535"/>
      <c r="M894" s="552" t="str">
        <f t="shared" si="104"/>
        <v/>
      </c>
      <c r="N894" s="552"/>
      <c r="O894" s="552" t="str">
        <f t="shared" si="105"/>
        <v/>
      </c>
      <c r="P894" s="39"/>
    </row>
    <row r="895" spans="1:16" x14ac:dyDescent="0.35">
      <c r="A895" s="535" t="str">
        <f t="shared" si="109"/>
        <v/>
      </c>
      <c r="B895" s="330"/>
      <c r="C895" s="330"/>
      <c r="D895" s="326" t="s">
        <v>369</v>
      </c>
      <c r="E895" s="366" t="s">
        <v>802</v>
      </c>
      <c r="F895" s="328">
        <v>15</v>
      </c>
      <c r="G895" s="328" t="s">
        <v>73</v>
      </c>
      <c r="H895" s="328">
        <v>15</v>
      </c>
      <c r="I895" s="328" t="s">
        <v>73</v>
      </c>
      <c r="J895" s="330"/>
      <c r="K895" s="681">
        <f t="shared" si="110"/>
        <v>60</v>
      </c>
      <c r="L895" s="535"/>
      <c r="M895" s="552" t="str">
        <f t="shared" si="104"/>
        <v/>
      </c>
      <c r="N895" s="552"/>
      <c r="O895" s="552" t="str">
        <f t="shared" si="105"/>
        <v/>
      </c>
      <c r="P895" s="39"/>
    </row>
    <row r="896" spans="1:16" ht="15" thickBot="1" x14ac:dyDescent="0.4">
      <c r="A896" s="535" t="str">
        <f t="shared" si="109"/>
        <v/>
      </c>
      <c r="B896" s="337"/>
      <c r="C896" s="337"/>
      <c r="D896" s="326" t="s">
        <v>48</v>
      </c>
      <c r="E896" s="360" t="s">
        <v>391</v>
      </c>
      <c r="F896" s="335">
        <v>5</v>
      </c>
      <c r="G896" s="335" t="s">
        <v>73</v>
      </c>
      <c r="H896" s="335">
        <v>5</v>
      </c>
      <c r="I896" s="335" t="s">
        <v>73</v>
      </c>
      <c r="J896" s="337"/>
      <c r="K896" s="680">
        <f>$A$887*H896</f>
        <v>20</v>
      </c>
      <c r="L896" s="535"/>
      <c r="M896" s="552" t="str">
        <f t="shared" si="104"/>
        <v/>
      </c>
      <c r="N896" s="552"/>
      <c r="O896" s="552" t="str">
        <f t="shared" si="105"/>
        <v/>
      </c>
      <c r="P896" s="39"/>
    </row>
    <row r="897" spans="1:16" ht="15.5" thickTop="1" thickBot="1" x14ac:dyDescent="0.4">
      <c r="A897" s="599" t="str">
        <f t="shared" si="109"/>
        <v/>
      </c>
      <c r="B897" s="600"/>
      <c r="C897" s="600"/>
      <c r="D897" s="601"/>
      <c r="E897" s="600"/>
      <c r="F897" s="602"/>
      <c r="G897" s="600"/>
      <c r="H897" s="600"/>
      <c r="I897" s="600"/>
      <c r="J897" s="600"/>
      <c r="K897" s="688"/>
      <c r="L897" s="603"/>
      <c r="M897" s="604" t="str">
        <f t="shared" si="104"/>
        <v/>
      </c>
      <c r="N897" s="604"/>
      <c r="O897" s="604" t="str">
        <f t="shared" si="105"/>
        <v/>
      </c>
      <c r="P897" s="39"/>
    </row>
    <row r="898" spans="1:16" ht="15" thickTop="1" x14ac:dyDescent="0.35">
      <c r="A898" s="565">
        <f>IFERROR(INDEX($Q$17:$Q$150,MATCH(B898,$R$17:$R$150, 0)), "")</f>
        <v>20</v>
      </c>
      <c r="B898" s="382" t="s">
        <v>1360</v>
      </c>
      <c r="C898" s="325" t="s">
        <v>825</v>
      </c>
      <c r="D898" s="468"/>
      <c r="E898" s="355" t="s">
        <v>826</v>
      </c>
      <c r="F898" s="356"/>
      <c r="G898" s="356"/>
      <c r="H898" s="515"/>
      <c r="I898" s="515"/>
      <c r="J898" s="515"/>
      <c r="K898" s="684"/>
      <c r="L898" s="535"/>
      <c r="M898" s="552" t="str">
        <f t="shared" si="104"/>
        <v/>
      </c>
      <c r="N898" s="552"/>
      <c r="O898" s="552" t="str">
        <f t="shared" si="105"/>
        <v/>
      </c>
      <c r="P898" s="39"/>
    </row>
    <row r="899" spans="1:16" x14ac:dyDescent="0.35">
      <c r="A899" s="535" t="str">
        <f t="shared" si="109"/>
        <v/>
      </c>
      <c r="B899" s="330"/>
      <c r="C899" s="330"/>
      <c r="D899" s="326" t="s">
        <v>1971</v>
      </c>
      <c r="E899" s="366" t="s">
        <v>1972</v>
      </c>
      <c r="F899" s="328">
        <v>70</v>
      </c>
      <c r="G899" s="328" t="s">
        <v>73</v>
      </c>
      <c r="H899" s="328">
        <v>70</v>
      </c>
      <c r="I899" s="328" t="s">
        <v>73</v>
      </c>
      <c r="J899" s="330"/>
      <c r="K899" s="681">
        <f t="shared" ref="K899:K906" si="111">$A$898*H899</f>
        <v>1400</v>
      </c>
      <c r="L899" s="535"/>
      <c r="M899" s="552" t="str">
        <f t="shared" si="104"/>
        <v/>
      </c>
      <c r="N899" s="552"/>
      <c r="O899" s="552" t="str">
        <f t="shared" si="105"/>
        <v/>
      </c>
      <c r="P899" s="39"/>
    </row>
    <row r="900" spans="1:16" x14ac:dyDescent="0.35">
      <c r="A900" s="535" t="str">
        <f t="shared" si="109"/>
        <v/>
      </c>
      <c r="B900" s="337"/>
      <c r="C900" s="337"/>
      <c r="D900" s="326" t="s">
        <v>511</v>
      </c>
      <c r="E900" s="334" t="s">
        <v>512</v>
      </c>
      <c r="F900" s="335">
        <v>15</v>
      </c>
      <c r="G900" s="335" t="s">
        <v>73</v>
      </c>
      <c r="H900" s="335">
        <v>15</v>
      </c>
      <c r="I900" s="335" t="s">
        <v>73</v>
      </c>
      <c r="J900" s="337"/>
      <c r="K900" s="680">
        <f t="shared" si="111"/>
        <v>300</v>
      </c>
      <c r="L900" s="535"/>
      <c r="M900" s="552" t="str">
        <f t="shared" si="104"/>
        <v/>
      </c>
      <c r="N900" s="552"/>
      <c r="O900" s="552" t="str">
        <f t="shared" si="105"/>
        <v/>
      </c>
      <c r="P900" s="39"/>
    </row>
    <row r="901" spans="1:16" x14ac:dyDescent="0.35">
      <c r="A901" s="535" t="str">
        <f t="shared" si="109"/>
        <v/>
      </c>
      <c r="B901" s="330"/>
      <c r="C901" s="330"/>
      <c r="D901" s="326" t="s">
        <v>640</v>
      </c>
      <c r="E901" s="327" t="s">
        <v>641</v>
      </c>
      <c r="F901" s="328">
        <v>45</v>
      </c>
      <c r="G901" s="328" t="s">
        <v>73</v>
      </c>
      <c r="H901" s="328">
        <v>45</v>
      </c>
      <c r="I901" s="328" t="s">
        <v>73</v>
      </c>
      <c r="J901" s="330"/>
      <c r="K901" s="681">
        <f t="shared" si="111"/>
        <v>900</v>
      </c>
      <c r="L901" s="535"/>
      <c r="M901" s="552" t="str">
        <f t="shared" si="104"/>
        <v/>
      </c>
      <c r="N901" s="552"/>
      <c r="O901" s="552" t="str">
        <f t="shared" si="105"/>
        <v/>
      </c>
      <c r="P901" s="39"/>
    </row>
    <row r="902" spans="1:16" x14ac:dyDescent="0.35">
      <c r="A902" s="535" t="str">
        <f t="shared" si="109"/>
        <v/>
      </c>
      <c r="B902" s="337"/>
      <c r="C902" s="337"/>
      <c r="D902" s="355"/>
      <c r="E902" s="355" t="s">
        <v>725</v>
      </c>
      <c r="F902" s="356"/>
      <c r="G902" s="356" t="s">
        <v>73</v>
      </c>
      <c r="H902" s="515"/>
      <c r="I902" s="356"/>
      <c r="J902" s="515"/>
      <c r="K902" s="684"/>
      <c r="L902" s="535"/>
      <c r="M902" s="552" t="str">
        <f t="shared" si="104"/>
        <v/>
      </c>
      <c r="N902" s="552"/>
      <c r="O902" s="552" t="str">
        <f t="shared" si="105"/>
        <v/>
      </c>
      <c r="P902" s="39"/>
    </row>
    <row r="903" spans="1:16" x14ac:dyDescent="0.35">
      <c r="A903" s="535" t="str">
        <f t="shared" si="109"/>
        <v/>
      </c>
      <c r="B903" s="330"/>
      <c r="C903" s="330"/>
      <c r="D903" s="326" t="s">
        <v>521</v>
      </c>
      <c r="E903" s="366" t="s">
        <v>831</v>
      </c>
      <c r="F903" s="328">
        <v>20</v>
      </c>
      <c r="G903" s="328" t="s">
        <v>73</v>
      </c>
      <c r="H903" s="328">
        <v>20</v>
      </c>
      <c r="I903" s="328" t="s">
        <v>73</v>
      </c>
      <c r="J903" s="330"/>
      <c r="K903" s="681">
        <f t="shared" si="111"/>
        <v>400</v>
      </c>
      <c r="L903" s="535"/>
      <c r="M903" s="552" t="str">
        <f t="shared" si="104"/>
        <v/>
      </c>
      <c r="N903" s="552"/>
      <c r="O903" s="552" t="str">
        <f t="shared" si="105"/>
        <v/>
      </c>
      <c r="P903" s="39"/>
    </row>
    <row r="904" spans="1:16" x14ac:dyDescent="0.35">
      <c r="A904" s="535" t="str">
        <f t="shared" si="109"/>
        <v/>
      </c>
      <c r="B904" s="337"/>
      <c r="C904" s="337"/>
      <c r="D904" s="355"/>
      <c r="E904" s="355" t="s">
        <v>10</v>
      </c>
      <c r="F904" s="356">
        <v>1.5</v>
      </c>
      <c r="G904" s="356" t="s">
        <v>73</v>
      </c>
      <c r="H904" s="515"/>
      <c r="I904" s="356"/>
      <c r="J904" s="515"/>
      <c r="K904" s="684"/>
      <c r="L904" s="535"/>
      <c r="M904" s="552" t="str">
        <f t="shared" si="104"/>
        <v/>
      </c>
      <c r="N904" s="552"/>
      <c r="O904" s="552" t="str">
        <f t="shared" si="105"/>
        <v/>
      </c>
      <c r="P904" s="39"/>
    </row>
    <row r="905" spans="1:16" x14ac:dyDescent="0.35">
      <c r="A905" s="535" t="str">
        <f t="shared" si="109"/>
        <v/>
      </c>
      <c r="B905" s="330"/>
      <c r="C905" s="330"/>
      <c r="D905" s="326" t="s">
        <v>43</v>
      </c>
      <c r="E905" s="366" t="s">
        <v>105</v>
      </c>
      <c r="F905" s="328">
        <v>15</v>
      </c>
      <c r="G905" s="328" t="s">
        <v>73</v>
      </c>
      <c r="H905" s="328">
        <f>ROUND((($F$904)*(($F$905)/($F$905+$F$906))),2)</f>
        <v>0.23</v>
      </c>
      <c r="I905" s="328" t="s">
        <v>73</v>
      </c>
      <c r="J905" s="330"/>
      <c r="K905" s="681">
        <f t="shared" si="111"/>
        <v>4.6000000000000005</v>
      </c>
      <c r="L905" s="535"/>
      <c r="M905" s="552" t="str">
        <f t="shared" si="104"/>
        <v/>
      </c>
      <c r="N905" s="552"/>
      <c r="O905" s="552" t="str">
        <f t="shared" si="105"/>
        <v/>
      </c>
      <c r="P905" s="39"/>
    </row>
    <row r="906" spans="1:16" ht="15" thickBot="1" x14ac:dyDescent="0.4">
      <c r="A906" s="535" t="str">
        <f t="shared" si="109"/>
        <v/>
      </c>
      <c r="B906" s="337"/>
      <c r="C906" s="337"/>
      <c r="D906" s="326" t="s">
        <v>42</v>
      </c>
      <c r="E906" s="360" t="s">
        <v>95</v>
      </c>
      <c r="F906" s="335">
        <v>85</v>
      </c>
      <c r="G906" s="335" t="s">
        <v>73</v>
      </c>
      <c r="H906" s="335">
        <f>ROUND((($F$904)*(($F$906)/($F$905+$F$906))),2)</f>
        <v>1.28</v>
      </c>
      <c r="I906" s="335" t="s">
        <v>73</v>
      </c>
      <c r="J906" s="337"/>
      <c r="K906" s="680">
        <f t="shared" si="111"/>
        <v>25.6</v>
      </c>
      <c r="L906" s="535"/>
      <c r="M906" s="552" t="str">
        <f t="shared" si="104"/>
        <v/>
      </c>
      <c r="N906" s="552"/>
      <c r="O906" s="552" t="str">
        <f t="shared" si="105"/>
        <v/>
      </c>
      <c r="P906" s="39"/>
    </row>
    <row r="907" spans="1:16" ht="15.5" thickTop="1" thickBot="1" x14ac:dyDescent="0.4">
      <c r="A907" s="545" t="str">
        <f t="shared" si="109"/>
        <v/>
      </c>
      <c r="B907" s="546"/>
      <c r="C907" s="546"/>
      <c r="D907" s="547"/>
      <c r="E907" s="546"/>
      <c r="F907" s="579"/>
      <c r="G907" s="546"/>
      <c r="H907" s="546"/>
      <c r="I907" s="546"/>
      <c r="J907" s="546"/>
      <c r="K907" s="676"/>
      <c r="L907" s="535"/>
      <c r="M907" s="552" t="str">
        <f t="shared" si="104"/>
        <v/>
      </c>
      <c r="N907" s="552"/>
      <c r="O907" s="552" t="str">
        <f t="shared" si="105"/>
        <v/>
      </c>
      <c r="P907" s="39"/>
    </row>
    <row r="908" spans="1:16" ht="15" thickTop="1" x14ac:dyDescent="0.35">
      <c r="A908" s="565">
        <f>IFERROR(INDEX($Q$17:$Q$150,MATCH(B908,$R$17:$R$150, 0)), "")</f>
        <v>22</v>
      </c>
      <c r="B908" s="382" t="s">
        <v>1361</v>
      </c>
      <c r="C908" s="325" t="s">
        <v>829</v>
      </c>
      <c r="D908" s="347" t="s">
        <v>203</v>
      </c>
      <c r="E908" s="334" t="s">
        <v>204</v>
      </c>
      <c r="F908" s="335">
        <v>11</v>
      </c>
      <c r="G908" s="335" t="s">
        <v>73</v>
      </c>
      <c r="H908" s="335">
        <v>11</v>
      </c>
      <c r="I908" s="335" t="s">
        <v>73</v>
      </c>
      <c r="J908" s="337"/>
      <c r="K908" s="680">
        <f>$A$908*H908</f>
        <v>242</v>
      </c>
      <c r="L908" s="535"/>
      <c r="M908" s="552" t="str">
        <f t="shared" si="104"/>
        <v/>
      </c>
      <c r="N908" s="552"/>
      <c r="O908" s="552" t="str">
        <f t="shared" si="105"/>
        <v/>
      </c>
      <c r="P908" s="39"/>
    </row>
    <row r="909" spans="1:16" x14ac:dyDescent="0.35">
      <c r="A909" s="535" t="str">
        <f t="shared" si="109"/>
        <v/>
      </c>
      <c r="B909" s="330"/>
      <c r="C909" s="330"/>
      <c r="D909" s="355"/>
      <c r="E909" s="355" t="s">
        <v>826</v>
      </c>
      <c r="F909" s="356"/>
      <c r="G909" s="356" t="s">
        <v>73</v>
      </c>
      <c r="H909" s="356"/>
      <c r="I909" s="356"/>
      <c r="J909" s="515"/>
      <c r="K909" s="684"/>
      <c r="L909" s="535"/>
      <c r="M909" s="552" t="str">
        <f t="shared" si="104"/>
        <v/>
      </c>
      <c r="N909" s="552"/>
      <c r="O909" s="552" t="str">
        <f t="shared" si="105"/>
        <v/>
      </c>
      <c r="P909" s="39"/>
    </row>
    <row r="910" spans="1:16" x14ac:dyDescent="0.35">
      <c r="A910" s="535" t="str">
        <f t="shared" si="109"/>
        <v/>
      </c>
      <c r="B910" s="337"/>
      <c r="C910" s="337"/>
      <c r="D910" s="326" t="s">
        <v>1971</v>
      </c>
      <c r="E910" s="360" t="s">
        <v>1972</v>
      </c>
      <c r="F910" s="335">
        <v>70</v>
      </c>
      <c r="G910" s="335" t="s">
        <v>73</v>
      </c>
      <c r="H910" s="335">
        <v>70</v>
      </c>
      <c r="I910" s="335" t="s">
        <v>73</v>
      </c>
      <c r="J910" s="337"/>
      <c r="K910" s="680">
        <f t="shared" ref="K910:K917" si="112">$A$908*H910</f>
        <v>1540</v>
      </c>
      <c r="L910" s="535"/>
      <c r="M910" s="552" t="str">
        <f t="shared" si="104"/>
        <v/>
      </c>
      <c r="N910" s="552"/>
      <c r="O910" s="552" t="str">
        <f t="shared" si="105"/>
        <v/>
      </c>
      <c r="P910" s="39"/>
    </row>
    <row r="911" spans="1:16" x14ac:dyDescent="0.35">
      <c r="A911" s="535" t="str">
        <f t="shared" si="109"/>
        <v/>
      </c>
      <c r="B911" s="330"/>
      <c r="C911" s="330"/>
      <c r="D911" s="326" t="s">
        <v>511</v>
      </c>
      <c r="E911" s="327" t="s">
        <v>512</v>
      </c>
      <c r="F911" s="328">
        <v>15</v>
      </c>
      <c r="G911" s="328" t="s">
        <v>73</v>
      </c>
      <c r="H911" s="328">
        <v>15</v>
      </c>
      <c r="I911" s="328" t="s">
        <v>73</v>
      </c>
      <c r="J911" s="330"/>
      <c r="K911" s="681">
        <f t="shared" si="112"/>
        <v>330</v>
      </c>
      <c r="L911" s="535"/>
      <c r="M911" s="552" t="str">
        <f t="shared" si="104"/>
        <v/>
      </c>
      <c r="N911" s="552"/>
      <c r="O911" s="552" t="str">
        <f t="shared" si="105"/>
        <v/>
      </c>
      <c r="P911" s="39"/>
    </row>
    <row r="912" spans="1:16" x14ac:dyDescent="0.35">
      <c r="A912" s="535" t="str">
        <f t="shared" si="109"/>
        <v/>
      </c>
      <c r="B912" s="337"/>
      <c r="C912" s="337"/>
      <c r="D912" s="326" t="s">
        <v>640</v>
      </c>
      <c r="E912" s="334" t="s">
        <v>641</v>
      </c>
      <c r="F912" s="335">
        <v>45</v>
      </c>
      <c r="G912" s="335" t="s">
        <v>73</v>
      </c>
      <c r="H912" s="335">
        <v>45</v>
      </c>
      <c r="I912" s="335" t="s">
        <v>73</v>
      </c>
      <c r="J912" s="337"/>
      <c r="K912" s="680">
        <f t="shared" si="112"/>
        <v>990</v>
      </c>
      <c r="L912" s="535"/>
      <c r="M912" s="552" t="str">
        <f t="shared" si="104"/>
        <v/>
      </c>
      <c r="N912" s="552"/>
      <c r="O912" s="552" t="str">
        <f t="shared" si="105"/>
        <v/>
      </c>
      <c r="P912" s="39"/>
    </row>
    <row r="913" spans="1:16" x14ac:dyDescent="0.35">
      <c r="A913" s="535" t="str">
        <f t="shared" si="109"/>
        <v/>
      </c>
      <c r="B913" s="330"/>
      <c r="C913" s="330"/>
      <c r="D913" s="355"/>
      <c r="E913" s="355" t="s">
        <v>725</v>
      </c>
      <c r="F913" s="356"/>
      <c r="G913" s="356"/>
      <c r="H913" s="356"/>
      <c r="I913" s="356"/>
      <c r="J913" s="515"/>
      <c r="K913" s="684"/>
      <c r="L913" s="535"/>
      <c r="M913" s="552" t="str">
        <f t="shared" si="104"/>
        <v/>
      </c>
      <c r="N913" s="552"/>
      <c r="O913" s="552" t="str">
        <f t="shared" si="105"/>
        <v/>
      </c>
      <c r="P913" s="39"/>
    </row>
    <row r="914" spans="1:16" x14ac:dyDescent="0.35">
      <c r="A914" s="535" t="str">
        <f t="shared" si="109"/>
        <v/>
      </c>
      <c r="B914" s="337"/>
      <c r="C914" s="337"/>
      <c r="D914" s="326" t="s">
        <v>521</v>
      </c>
      <c r="E914" s="360" t="s">
        <v>831</v>
      </c>
      <c r="F914" s="335">
        <v>20</v>
      </c>
      <c r="G914" s="335" t="s">
        <v>73</v>
      </c>
      <c r="H914" s="335">
        <v>20</v>
      </c>
      <c r="I914" s="335" t="s">
        <v>73</v>
      </c>
      <c r="J914" s="337"/>
      <c r="K914" s="680">
        <f t="shared" si="112"/>
        <v>440</v>
      </c>
      <c r="L914" s="535"/>
      <c r="M914" s="552" t="str">
        <f t="shared" si="104"/>
        <v/>
      </c>
      <c r="N914" s="552"/>
      <c r="O914" s="552" t="str">
        <f t="shared" si="105"/>
        <v/>
      </c>
      <c r="P914" s="39"/>
    </row>
    <row r="915" spans="1:16" x14ac:dyDescent="0.35">
      <c r="A915" s="535" t="str">
        <f t="shared" si="109"/>
        <v/>
      </c>
      <c r="B915" s="330"/>
      <c r="C915" s="330"/>
      <c r="D915" s="355"/>
      <c r="E915" s="355" t="s">
        <v>10</v>
      </c>
      <c r="F915" s="356">
        <v>1.5</v>
      </c>
      <c r="G915" s="356" t="s">
        <v>73</v>
      </c>
      <c r="H915" s="356"/>
      <c r="I915" s="356"/>
      <c r="J915" s="515"/>
      <c r="K915" s="684"/>
      <c r="L915" s="535"/>
      <c r="M915" s="552" t="str">
        <f t="shared" si="104"/>
        <v/>
      </c>
      <c r="N915" s="552"/>
      <c r="O915" s="552" t="str">
        <f t="shared" si="105"/>
        <v/>
      </c>
      <c r="P915" s="39"/>
    </row>
    <row r="916" spans="1:16" x14ac:dyDescent="0.35">
      <c r="A916" s="535" t="str">
        <f t="shared" si="109"/>
        <v/>
      </c>
      <c r="B916" s="337"/>
      <c r="C916" s="337"/>
      <c r="D916" s="326" t="s">
        <v>43</v>
      </c>
      <c r="E916" s="360" t="s">
        <v>105</v>
      </c>
      <c r="F916" s="335">
        <v>15</v>
      </c>
      <c r="G916" s="335" t="s">
        <v>73</v>
      </c>
      <c r="H916" s="335">
        <f>ROUND((($F$915)*(($F$916)/($F$916+$F$917))),2)</f>
        <v>0.23</v>
      </c>
      <c r="I916" s="335" t="s">
        <v>73</v>
      </c>
      <c r="J916" s="337"/>
      <c r="K916" s="680">
        <f t="shared" si="112"/>
        <v>5.0600000000000005</v>
      </c>
      <c r="L916" s="535"/>
      <c r="M916" s="552" t="str">
        <f t="shared" si="104"/>
        <v/>
      </c>
      <c r="N916" s="552"/>
      <c r="O916" s="552" t="str">
        <f t="shared" si="105"/>
        <v/>
      </c>
      <c r="P916" s="39"/>
    </row>
    <row r="917" spans="1:16" ht="15" thickBot="1" x14ac:dyDescent="0.4">
      <c r="A917" s="535" t="str">
        <f t="shared" si="109"/>
        <v/>
      </c>
      <c r="B917" s="330"/>
      <c r="C917" s="330"/>
      <c r="D917" s="326" t="s">
        <v>42</v>
      </c>
      <c r="E917" s="366" t="s">
        <v>95</v>
      </c>
      <c r="F917" s="328">
        <v>85</v>
      </c>
      <c r="G917" s="328" t="s">
        <v>73</v>
      </c>
      <c r="H917" s="328">
        <f>ROUND((($F$915)*(($F$917)/($F$916+$F$917))),2)</f>
        <v>1.28</v>
      </c>
      <c r="I917" s="328" t="s">
        <v>73</v>
      </c>
      <c r="J917" s="330"/>
      <c r="K917" s="681">
        <f t="shared" si="112"/>
        <v>28.16</v>
      </c>
      <c r="L917" s="535"/>
      <c r="M917" s="552" t="str">
        <f t="shared" si="104"/>
        <v/>
      </c>
      <c r="N917" s="552"/>
      <c r="O917" s="552" t="str">
        <f t="shared" si="105"/>
        <v/>
      </c>
      <c r="P917" s="39"/>
    </row>
    <row r="918" spans="1:16" ht="15.5" thickTop="1" thickBot="1" x14ac:dyDescent="0.4">
      <c r="A918" s="545" t="str">
        <f t="shared" si="109"/>
        <v/>
      </c>
      <c r="B918" s="546"/>
      <c r="C918" s="546"/>
      <c r="D918" s="547"/>
      <c r="E918" s="546"/>
      <c r="F918" s="579"/>
      <c r="G918" s="546"/>
      <c r="H918" s="546"/>
      <c r="I918" s="546"/>
      <c r="J918" s="546"/>
      <c r="K918" s="676"/>
      <c r="L918" s="535"/>
      <c r="M918" s="552" t="str">
        <f t="shared" si="104"/>
        <v/>
      </c>
      <c r="N918" s="552"/>
      <c r="O918" s="552" t="str">
        <f t="shared" si="105"/>
        <v/>
      </c>
      <c r="P918" s="39"/>
    </row>
    <row r="919" spans="1:16" ht="15" thickTop="1" x14ac:dyDescent="0.35">
      <c r="A919" s="565">
        <f>IFERROR(INDEX($Q$17:$Q$150,MATCH(B919,$R$17:$R$150, 0)), "")</f>
        <v>12</v>
      </c>
      <c r="B919" s="382" t="s">
        <v>1362</v>
      </c>
      <c r="C919" s="325" t="s">
        <v>830</v>
      </c>
      <c r="D919" s="347" t="s">
        <v>207</v>
      </c>
      <c r="E919" s="327" t="s">
        <v>208</v>
      </c>
      <c r="F919" s="328">
        <v>11</v>
      </c>
      <c r="G919" s="328" t="s">
        <v>73</v>
      </c>
      <c r="H919" s="328">
        <v>11</v>
      </c>
      <c r="I919" s="328" t="s">
        <v>73</v>
      </c>
      <c r="J919" s="330"/>
      <c r="K919" s="681">
        <f>$A$919*H919</f>
        <v>132</v>
      </c>
      <c r="L919" s="535"/>
      <c r="M919" s="552" t="str">
        <f t="shared" si="104"/>
        <v/>
      </c>
      <c r="N919" s="552"/>
      <c r="O919" s="552" t="str">
        <f t="shared" si="105"/>
        <v/>
      </c>
      <c r="P919" s="39"/>
    </row>
    <row r="920" spans="1:16" x14ac:dyDescent="0.35">
      <c r="A920" s="535" t="str">
        <f t="shared" si="109"/>
        <v/>
      </c>
      <c r="B920" s="337"/>
      <c r="C920" s="337"/>
      <c r="D920" s="355"/>
      <c r="E920" s="355" t="s">
        <v>826</v>
      </c>
      <c r="F920" s="356"/>
      <c r="G920" s="356"/>
      <c r="H920" s="356"/>
      <c r="I920" s="356"/>
      <c r="J920" s="515"/>
      <c r="K920" s="684"/>
      <c r="L920" s="535"/>
      <c r="M920" s="552" t="str">
        <f t="shared" si="104"/>
        <v/>
      </c>
      <c r="N920" s="552"/>
      <c r="O920" s="552" t="str">
        <f t="shared" si="105"/>
        <v/>
      </c>
      <c r="P920" s="39"/>
    </row>
    <row r="921" spans="1:16" x14ac:dyDescent="0.35">
      <c r="A921" s="535" t="str">
        <f t="shared" si="109"/>
        <v/>
      </c>
      <c r="B921" s="330"/>
      <c r="C921" s="330"/>
      <c r="D921" s="326" t="s">
        <v>1971</v>
      </c>
      <c r="E921" s="366" t="s">
        <v>1972</v>
      </c>
      <c r="F921" s="328">
        <v>70</v>
      </c>
      <c r="G921" s="328" t="s">
        <v>73</v>
      </c>
      <c r="H921" s="328">
        <v>70</v>
      </c>
      <c r="I921" s="328" t="s">
        <v>73</v>
      </c>
      <c r="J921" s="330"/>
      <c r="K921" s="681">
        <f t="shared" ref="K921:K928" si="113">$A$919*H921</f>
        <v>840</v>
      </c>
      <c r="L921" s="535"/>
      <c r="M921" s="552" t="str">
        <f t="shared" si="104"/>
        <v/>
      </c>
      <c r="N921" s="552"/>
      <c r="O921" s="552" t="str">
        <f t="shared" si="105"/>
        <v/>
      </c>
      <c r="P921" s="39"/>
    </row>
    <row r="922" spans="1:16" x14ac:dyDescent="0.35">
      <c r="A922" s="535" t="str">
        <f t="shared" si="109"/>
        <v/>
      </c>
      <c r="B922" s="337"/>
      <c r="C922" s="337"/>
      <c r="D922" s="326" t="s">
        <v>511</v>
      </c>
      <c r="E922" s="334" t="s">
        <v>512</v>
      </c>
      <c r="F922" s="335">
        <v>15</v>
      </c>
      <c r="G922" s="335" t="s">
        <v>73</v>
      </c>
      <c r="H922" s="335">
        <v>15</v>
      </c>
      <c r="I922" s="335" t="s">
        <v>73</v>
      </c>
      <c r="J922" s="337"/>
      <c r="K922" s="680">
        <f t="shared" si="113"/>
        <v>180</v>
      </c>
      <c r="L922" s="535"/>
      <c r="M922" s="552" t="str">
        <f t="shared" si="104"/>
        <v/>
      </c>
      <c r="N922" s="552"/>
      <c r="O922" s="552" t="str">
        <f t="shared" si="105"/>
        <v/>
      </c>
      <c r="P922" s="39"/>
    </row>
    <row r="923" spans="1:16" x14ac:dyDescent="0.35">
      <c r="A923" s="535" t="str">
        <f t="shared" si="109"/>
        <v/>
      </c>
      <c r="B923" s="330"/>
      <c r="C923" s="330"/>
      <c r="D923" s="326" t="s">
        <v>640</v>
      </c>
      <c r="E923" s="327" t="s">
        <v>641</v>
      </c>
      <c r="F923" s="328">
        <v>45</v>
      </c>
      <c r="G923" s="328" t="s">
        <v>73</v>
      </c>
      <c r="H923" s="328">
        <v>45</v>
      </c>
      <c r="I923" s="328" t="s">
        <v>73</v>
      </c>
      <c r="J923" s="330"/>
      <c r="K923" s="681">
        <f t="shared" si="113"/>
        <v>540</v>
      </c>
      <c r="L923" s="535"/>
      <c r="M923" s="552" t="str">
        <f t="shared" ref="M923:M986" si="114">IF(Q912&gt;0, Q912, "")</f>
        <v/>
      </c>
      <c r="N923" s="552"/>
      <c r="O923" s="552" t="str">
        <f t="shared" ref="O923:O986" si="115">IF(V913&gt;0, V913, "")</f>
        <v/>
      </c>
      <c r="P923" s="39"/>
    </row>
    <row r="924" spans="1:16" x14ac:dyDescent="0.35">
      <c r="A924" s="535" t="str">
        <f t="shared" si="109"/>
        <v/>
      </c>
      <c r="B924" s="337"/>
      <c r="C924" s="337"/>
      <c r="D924" s="355"/>
      <c r="E924" s="355" t="s">
        <v>725</v>
      </c>
      <c r="F924" s="356"/>
      <c r="G924" s="356"/>
      <c r="H924" s="356"/>
      <c r="I924" s="356"/>
      <c r="J924" s="515"/>
      <c r="K924" s="684"/>
      <c r="L924" s="535"/>
      <c r="M924" s="552" t="str">
        <f t="shared" si="114"/>
        <v/>
      </c>
      <c r="N924" s="552"/>
      <c r="O924" s="552" t="str">
        <f t="shared" si="115"/>
        <v/>
      </c>
      <c r="P924" s="39"/>
    </row>
    <row r="925" spans="1:16" x14ac:dyDescent="0.35">
      <c r="A925" s="535" t="str">
        <f t="shared" si="109"/>
        <v/>
      </c>
      <c r="B925" s="330"/>
      <c r="C925" s="330"/>
      <c r="D925" s="326" t="s">
        <v>521</v>
      </c>
      <c r="E925" s="366" t="s">
        <v>831</v>
      </c>
      <c r="F925" s="328">
        <v>20</v>
      </c>
      <c r="G925" s="328" t="s">
        <v>73</v>
      </c>
      <c r="H925" s="328">
        <v>20</v>
      </c>
      <c r="I925" s="328" t="s">
        <v>73</v>
      </c>
      <c r="J925" s="330"/>
      <c r="K925" s="681">
        <f t="shared" si="113"/>
        <v>240</v>
      </c>
      <c r="L925" s="535"/>
      <c r="M925" s="552" t="str">
        <f t="shared" si="114"/>
        <v/>
      </c>
      <c r="N925" s="552"/>
      <c r="O925" s="552" t="str">
        <f t="shared" si="115"/>
        <v/>
      </c>
      <c r="P925" s="39"/>
    </row>
    <row r="926" spans="1:16" x14ac:dyDescent="0.35">
      <c r="A926" s="535" t="str">
        <f t="shared" si="109"/>
        <v/>
      </c>
      <c r="B926" s="337"/>
      <c r="C926" s="337"/>
      <c r="D926" s="355"/>
      <c r="E926" s="355" t="s">
        <v>10</v>
      </c>
      <c r="F926" s="356">
        <v>1.5</v>
      </c>
      <c r="G926" s="356" t="s">
        <v>73</v>
      </c>
      <c r="H926" s="356"/>
      <c r="I926" s="356"/>
      <c r="J926" s="515"/>
      <c r="K926" s="684"/>
      <c r="L926" s="535"/>
      <c r="M926" s="552" t="str">
        <f t="shared" si="114"/>
        <v/>
      </c>
      <c r="N926" s="552"/>
      <c r="O926" s="552" t="str">
        <f t="shared" si="115"/>
        <v/>
      </c>
      <c r="P926" s="39"/>
    </row>
    <row r="927" spans="1:16" x14ac:dyDescent="0.35">
      <c r="A927" s="535" t="str">
        <f t="shared" si="109"/>
        <v/>
      </c>
      <c r="B927" s="330"/>
      <c r="C927" s="330"/>
      <c r="D927" s="326" t="s">
        <v>43</v>
      </c>
      <c r="E927" s="366" t="s">
        <v>105</v>
      </c>
      <c r="F927" s="328">
        <v>15</v>
      </c>
      <c r="G927" s="328" t="s">
        <v>73</v>
      </c>
      <c r="H927" s="328">
        <f>ROUND((($F$926)*(($F$927)/($F$927+$F$928))),2)</f>
        <v>0.23</v>
      </c>
      <c r="I927" s="328" t="s">
        <v>73</v>
      </c>
      <c r="J927" s="330"/>
      <c r="K927" s="681">
        <f t="shared" si="113"/>
        <v>2.7600000000000002</v>
      </c>
      <c r="L927" s="535"/>
      <c r="M927" s="552" t="str">
        <f t="shared" si="114"/>
        <v/>
      </c>
      <c r="N927" s="552"/>
      <c r="O927" s="552" t="str">
        <f t="shared" si="115"/>
        <v/>
      </c>
      <c r="P927" s="39"/>
    </row>
    <row r="928" spans="1:16" ht="15" thickBot="1" x14ac:dyDescent="0.4">
      <c r="A928" s="535" t="str">
        <f t="shared" si="109"/>
        <v/>
      </c>
      <c r="B928" s="337"/>
      <c r="C928" s="337"/>
      <c r="D928" s="326" t="s">
        <v>42</v>
      </c>
      <c r="E928" s="360" t="s">
        <v>95</v>
      </c>
      <c r="F928" s="335">
        <v>85</v>
      </c>
      <c r="G928" s="335" t="s">
        <v>73</v>
      </c>
      <c r="H928" s="335">
        <f>ROUND((($F$926)*(($F$928)/($F$927+$F$928))),2)</f>
        <v>1.28</v>
      </c>
      <c r="I928" s="335" t="s">
        <v>73</v>
      </c>
      <c r="J928" s="337"/>
      <c r="K928" s="680">
        <f t="shared" si="113"/>
        <v>15.36</v>
      </c>
      <c r="L928" s="535"/>
      <c r="M928" s="552" t="str">
        <f t="shared" si="114"/>
        <v/>
      </c>
      <c r="N928" s="552"/>
      <c r="O928" s="552" t="str">
        <f t="shared" si="115"/>
        <v/>
      </c>
      <c r="P928" s="39"/>
    </row>
    <row r="929" spans="1:16" ht="15.5" thickTop="1" thickBot="1" x14ac:dyDescent="0.4">
      <c r="A929" s="545" t="str">
        <f t="shared" si="109"/>
        <v/>
      </c>
      <c r="B929" s="546"/>
      <c r="C929" s="546"/>
      <c r="D929" s="547"/>
      <c r="E929" s="546"/>
      <c r="F929" s="546"/>
      <c r="G929" s="546"/>
      <c r="H929" s="546"/>
      <c r="I929" s="546"/>
      <c r="J929" s="546"/>
      <c r="K929" s="676"/>
      <c r="L929" s="535"/>
      <c r="M929" s="552" t="str">
        <f t="shared" si="114"/>
        <v/>
      </c>
      <c r="N929" s="552"/>
      <c r="O929" s="552" t="str">
        <f t="shared" si="115"/>
        <v/>
      </c>
      <c r="P929" s="39"/>
    </row>
    <row r="930" spans="1:16" ht="15" thickTop="1" x14ac:dyDescent="0.35">
      <c r="A930" s="565">
        <f>IFERROR(INDEX($Q$17:$Q$150,MATCH(B930,$R$17:$R$150, 0)), "")</f>
        <v>52</v>
      </c>
      <c r="B930" s="382" t="s">
        <v>1351</v>
      </c>
      <c r="C930" s="325" t="s">
        <v>832</v>
      </c>
      <c r="D930" s="347" t="s">
        <v>392</v>
      </c>
      <c r="E930" s="334" t="s">
        <v>798</v>
      </c>
      <c r="F930" s="335">
        <v>20</v>
      </c>
      <c r="G930" s="335" t="s">
        <v>73</v>
      </c>
      <c r="H930" s="335">
        <v>20</v>
      </c>
      <c r="I930" s="335" t="s">
        <v>73</v>
      </c>
      <c r="J930" s="337"/>
      <c r="K930" s="680">
        <f>$A$930*H930</f>
        <v>1040</v>
      </c>
      <c r="L930" s="535"/>
      <c r="M930" s="552" t="str">
        <f t="shared" si="114"/>
        <v/>
      </c>
      <c r="N930" s="552"/>
      <c r="O930" s="552" t="str">
        <f t="shared" si="115"/>
        <v/>
      </c>
      <c r="P930" s="39"/>
    </row>
    <row r="931" spans="1:16" x14ac:dyDescent="0.35">
      <c r="A931" s="535" t="str">
        <f t="shared" ref="A931:A994" si="116">IFERROR(INDEX($Q$17:$Q$41,MATCH(B931,$R$17:$R$41, 0)), "")</f>
        <v/>
      </c>
      <c r="B931" s="330"/>
      <c r="C931" s="330"/>
      <c r="D931" s="326" t="s">
        <v>371</v>
      </c>
      <c r="E931" s="327" t="s">
        <v>833</v>
      </c>
      <c r="F931" s="328">
        <v>10</v>
      </c>
      <c r="G931" s="328" t="s">
        <v>73</v>
      </c>
      <c r="H931" s="328">
        <v>10</v>
      </c>
      <c r="I931" s="328" t="s">
        <v>73</v>
      </c>
      <c r="J931" s="330"/>
      <c r="K931" s="681">
        <f t="shared" ref="K931:K948" si="117">$A$930*H931</f>
        <v>520</v>
      </c>
      <c r="L931" s="535"/>
      <c r="M931" s="552" t="str">
        <f t="shared" si="114"/>
        <v/>
      </c>
      <c r="N931" s="552"/>
      <c r="O931" s="552" t="str">
        <f t="shared" si="115"/>
        <v/>
      </c>
      <c r="P931" s="39"/>
    </row>
    <row r="932" spans="1:16" x14ac:dyDescent="0.35">
      <c r="A932" s="535" t="str">
        <f t="shared" si="116"/>
        <v/>
      </c>
      <c r="B932" s="337"/>
      <c r="C932" s="337"/>
      <c r="D932" s="326" t="s">
        <v>50</v>
      </c>
      <c r="E932" s="334" t="s">
        <v>813</v>
      </c>
      <c r="F932" s="335">
        <v>25</v>
      </c>
      <c r="G932" s="335" t="s">
        <v>73</v>
      </c>
      <c r="H932" s="335">
        <v>25</v>
      </c>
      <c r="I932" s="335" t="s">
        <v>73</v>
      </c>
      <c r="J932" s="337"/>
      <c r="K932" s="680">
        <f t="shared" si="117"/>
        <v>1300</v>
      </c>
      <c r="L932" s="535"/>
      <c r="M932" s="552" t="str">
        <f t="shared" si="114"/>
        <v/>
      </c>
      <c r="N932" s="552"/>
      <c r="O932" s="552" t="str">
        <f t="shared" si="115"/>
        <v/>
      </c>
      <c r="P932" s="39"/>
    </row>
    <row r="933" spans="1:16" x14ac:dyDescent="0.35">
      <c r="A933" s="535" t="str">
        <f t="shared" si="116"/>
        <v/>
      </c>
      <c r="B933" s="330"/>
      <c r="C933" s="330"/>
      <c r="D933" s="326" t="s">
        <v>379</v>
      </c>
      <c r="E933" s="327" t="s">
        <v>834</v>
      </c>
      <c r="F933" s="328">
        <v>5</v>
      </c>
      <c r="G933" s="328" t="s">
        <v>73</v>
      </c>
      <c r="H933" s="328">
        <v>5</v>
      </c>
      <c r="I933" s="328" t="s">
        <v>73</v>
      </c>
      <c r="J933" s="330"/>
      <c r="K933" s="681">
        <f t="shared" si="117"/>
        <v>260</v>
      </c>
      <c r="L933" s="535"/>
      <c r="M933" s="552" t="str">
        <f t="shared" si="114"/>
        <v/>
      </c>
      <c r="N933" s="552"/>
      <c r="O933" s="552" t="str">
        <f t="shared" si="115"/>
        <v/>
      </c>
      <c r="P933" s="39"/>
    </row>
    <row r="934" spans="1:16" x14ac:dyDescent="0.35">
      <c r="A934" s="535" t="str">
        <f t="shared" si="116"/>
        <v/>
      </c>
      <c r="B934" s="337"/>
      <c r="C934" s="337"/>
      <c r="D934" s="326" t="s">
        <v>171</v>
      </c>
      <c r="E934" s="334" t="s">
        <v>835</v>
      </c>
      <c r="F934" s="335">
        <v>4</v>
      </c>
      <c r="G934" s="335" t="s">
        <v>73</v>
      </c>
      <c r="H934" s="335">
        <v>4</v>
      </c>
      <c r="I934" s="335" t="s">
        <v>73</v>
      </c>
      <c r="J934" s="337"/>
      <c r="K934" s="680">
        <f t="shared" si="117"/>
        <v>208</v>
      </c>
      <c r="L934" s="535"/>
      <c r="M934" s="552" t="str">
        <f t="shared" si="114"/>
        <v/>
      </c>
      <c r="N934" s="552"/>
      <c r="O934" s="552" t="str">
        <f t="shared" si="115"/>
        <v/>
      </c>
      <c r="P934" s="39"/>
    </row>
    <row r="935" spans="1:16" x14ac:dyDescent="0.35">
      <c r="A935" s="535" t="str">
        <f t="shared" si="116"/>
        <v/>
      </c>
      <c r="B935" s="330"/>
      <c r="C935" s="330"/>
      <c r="D935" s="326" t="s">
        <v>521</v>
      </c>
      <c r="E935" s="327" t="s">
        <v>725</v>
      </c>
      <c r="F935" s="328">
        <v>25</v>
      </c>
      <c r="G935" s="328" t="s">
        <v>73</v>
      </c>
      <c r="H935" s="328">
        <v>25</v>
      </c>
      <c r="I935" s="328" t="s">
        <v>73</v>
      </c>
      <c r="J935" s="330"/>
      <c r="K935" s="681">
        <f t="shared" si="117"/>
        <v>1300</v>
      </c>
      <c r="L935" s="535"/>
      <c r="M935" s="552" t="str">
        <f t="shared" si="114"/>
        <v/>
      </c>
      <c r="N935" s="552"/>
      <c r="O935" s="552" t="str">
        <f t="shared" si="115"/>
        <v/>
      </c>
      <c r="P935" s="39"/>
    </row>
    <row r="936" spans="1:16" x14ac:dyDescent="0.35">
      <c r="A936" s="535" t="str">
        <f t="shared" si="116"/>
        <v/>
      </c>
      <c r="B936" s="337"/>
      <c r="C936" s="337"/>
      <c r="D936" s="355"/>
      <c r="E936" s="355" t="s">
        <v>836</v>
      </c>
      <c r="F936" s="356">
        <v>30</v>
      </c>
      <c r="G936" s="356" t="s">
        <v>73</v>
      </c>
      <c r="H936" s="515"/>
      <c r="I936" s="515"/>
      <c r="J936" s="515"/>
      <c r="K936" s="684"/>
      <c r="L936" s="535"/>
      <c r="M936" s="552" t="str">
        <f t="shared" si="114"/>
        <v/>
      </c>
      <c r="N936" s="552"/>
      <c r="O936" s="552" t="str">
        <f t="shared" si="115"/>
        <v/>
      </c>
      <c r="P936" s="39"/>
    </row>
    <row r="937" spans="1:16" x14ac:dyDescent="0.35">
      <c r="A937" s="535" t="str">
        <f t="shared" si="116"/>
        <v/>
      </c>
      <c r="B937" s="330"/>
      <c r="C937" s="330"/>
      <c r="D937" s="326" t="s">
        <v>41</v>
      </c>
      <c r="E937" s="366" t="s">
        <v>837</v>
      </c>
      <c r="F937" s="328">
        <v>30</v>
      </c>
      <c r="G937" s="328" t="s">
        <v>73</v>
      </c>
      <c r="H937" s="328">
        <f>ROUND(($F$936)*((F937)/($F$937+$F$938)),2)</f>
        <v>9</v>
      </c>
      <c r="I937" s="328" t="s">
        <v>73</v>
      </c>
      <c r="J937" s="330"/>
      <c r="K937" s="681">
        <f t="shared" si="117"/>
        <v>468</v>
      </c>
      <c r="L937" s="535"/>
      <c r="M937" s="552" t="str">
        <f t="shared" si="114"/>
        <v/>
      </c>
      <c r="N937" s="552"/>
      <c r="O937" s="552" t="str">
        <f t="shared" si="115"/>
        <v/>
      </c>
      <c r="P937" s="39"/>
    </row>
    <row r="938" spans="1:16" x14ac:dyDescent="0.35">
      <c r="A938" s="535" t="str">
        <f t="shared" si="116"/>
        <v/>
      </c>
      <c r="B938" s="337"/>
      <c r="C938" s="337"/>
      <c r="D938" s="326" t="s">
        <v>47</v>
      </c>
      <c r="E938" s="360" t="s">
        <v>838</v>
      </c>
      <c r="F938" s="335">
        <v>70</v>
      </c>
      <c r="G938" s="335" t="s">
        <v>73</v>
      </c>
      <c r="H938" s="335">
        <f>ROUND(($F$936)*((F938)/($F$937+$F$938)),2)</f>
        <v>21</v>
      </c>
      <c r="I938" s="335" t="s">
        <v>73</v>
      </c>
      <c r="J938" s="337"/>
      <c r="K938" s="680">
        <f t="shared" si="117"/>
        <v>1092</v>
      </c>
      <c r="L938" s="535"/>
      <c r="M938" s="552" t="str">
        <f t="shared" si="114"/>
        <v/>
      </c>
      <c r="N938" s="552"/>
      <c r="O938" s="552" t="str">
        <f t="shared" si="115"/>
        <v/>
      </c>
      <c r="P938" s="39"/>
    </row>
    <row r="939" spans="1:16" x14ac:dyDescent="0.35">
      <c r="A939" s="535" t="str">
        <f t="shared" si="116"/>
        <v/>
      </c>
      <c r="B939" s="330"/>
      <c r="C939" s="330"/>
      <c r="D939" s="355"/>
      <c r="E939" s="355" t="s">
        <v>839</v>
      </c>
      <c r="F939" s="356">
        <v>190</v>
      </c>
      <c r="G939" s="356" t="s">
        <v>73</v>
      </c>
      <c r="H939" s="515"/>
      <c r="I939" s="356"/>
      <c r="J939" s="515"/>
      <c r="K939" s="684"/>
      <c r="L939" s="535"/>
      <c r="M939" s="552" t="str">
        <f t="shared" si="114"/>
        <v/>
      </c>
      <c r="N939" s="552"/>
      <c r="O939" s="552" t="str">
        <f t="shared" si="115"/>
        <v/>
      </c>
      <c r="P939" s="39"/>
    </row>
    <row r="940" spans="1:16" x14ac:dyDescent="0.35">
      <c r="A940" s="535" t="str">
        <f t="shared" si="116"/>
        <v/>
      </c>
      <c r="B940" s="337"/>
      <c r="C940" s="337"/>
      <c r="D940" s="326" t="s">
        <v>193</v>
      </c>
      <c r="E940" s="360" t="s">
        <v>840</v>
      </c>
      <c r="F940" s="335">
        <v>60</v>
      </c>
      <c r="G940" s="335" t="s">
        <v>73</v>
      </c>
      <c r="H940" s="335">
        <f>ROUND(($F$939)*(F940/($F$940+$F$941+$F$942+$F$943+$F$944)),2)</f>
        <v>58.16</v>
      </c>
      <c r="I940" s="335" t="s">
        <v>73</v>
      </c>
      <c r="J940" s="337"/>
      <c r="K940" s="680">
        <f t="shared" si="117"/>
        <v>3024.3199999999997</v>
      </c>
      <c r="L940" s="535"/>
      <c r="M940" s="552" t="str">
        <f t="shared" si="114"/>
        <v/>
      </c>
      <c r="N940" s="552"/>
      <c r="O940" s="552" t="str">
        <f t="shared" si="115"/>
        <v/>
      </c>
      <c r="P940" s="39"/>
    </row>
    <row r="941" spans="1:16" x14ac:dyDescent="0.35">
      <c r="A941" s="535" t="str">
        <f t="shared" si="116"/>
        <v/>
      </c>
      <c r="B941" s="330"/>
      <c r="C941" s="330"/>
      <c r="D941" s="342"/>
      <c r="E941" s="362" t="s">
        <v>81</v>
      </c>
      <c r="F941" s="343">
        <v>80</v>
      </c>
      <c r="G941" s="343" t="s">
        <v>73</v>
      </c>
      <c r="H941" s="343">
        <f t="shared" ref="H941:H944" si="118">ROUND(($F$939)*(F941/($F$940+$F$941+$F$942+$F$943+$F$944)),2)</f>
        <v>77.55</v>
      </c>
      <c r="I941" s="343"/>
      <c r="J941" s="345"/>
      <c r="K941" s="685"/>
      <c r="L941" s="535"/>
      <c r="M941" s="552" t="str">
        <f t="shared" si="114"/>
        <v/>
      </c>
      <c r="N941" s="552"/>
      <c r="O941" s="552" t="str">
        <f t="shared" si="115"/>
        <v/>
      </c>
      <c r="P941" s="39"/>
    </row>
    <row r="942" spans="1:16" x14ac:dyDescent="0.35">
      <c r="A942" s="535" t="str">
        <f t="shared" si="116"/>
        <v/>
      </c>
      <c r="B942" s="337"/>
      <c r="C942" s="337"/>
      <c r="D942" s="326" t="s">
        <v>521</v>
      </c>
      <c r="E942" s="360" t="s">
        <v>1120</v>
      </c>
      <c r="F942" s="335">
        <v>50</v>
      </c>
      <c r="G942" s="335" t="s">
        <v>73</v>
      </c>
      <c r="H942" s="335">
        <f t="shared" si="118"/>
        <v>48.47</v>
      </c>
      <c r="I942" s="335" t="s">
        <v>73</v>
      </c>
      <c r="J942" s="337"/>
      <c r="K942" s="680">
        <f t="shared" si="117"/>
        <v>2520.44</v>
      </c>
      <c r="L942" s="535"/>
      <c r="M942" s="552" t="str">
        <f t="shared" si="114"/>
        <v/>
      </c>
      <c r="N942" s="552"/>
      <c r="O942" s="552" t="str">
        <f t="shared" si="115"/>
        <v/>
      </c>
      <c r="P942" s="39"/>
    </row>
    <row r="943" spans="1:16" x14ac:dyDescent="0.35">
      <c r="A943" s="535" t="str">
        <f t="shared" si="116"/>
        <v/>
      </c>
      <c r="B943" s="330"/>
      <c r="C943" s="330"/>
      <c r="D943" s="326" t="s">
        <v>674</v>
      </c>
      <c r="E943" s="366" t="s">
        <v>841</v>
      </c>
      <c r="F943" s="328">
        <v>2</v>
      </c>
      <c r="G943" s="328" t="s">
        <v>73</v>
      </c>
      <c r="H943" s="328">
        <f t="shared" si="118"/>
        <v>1.94</v>
      </c>
      <c r="I943" s="328" t="s">
        <v>73</v>
      </c>
      <c r="J943" s="330"/>
      <c r="K943" s="681">
        <f t="shared" si="117"/>
        <v>100.88</v>
      </c>
      <c r="L943" s="535"/>
      <c r="M943" s="552" t="str">
        <f t="shared" si="114"/>
        <v/>
      </c>
      <c r="N943" s="552"/>
      <c r="O943" s="552" t="str">
        <f t="shared" si="115"/>
        <v/>
      </c>
      <c r="P943" s="39"/>
    </row>
    <row r="944" spans="1:16" x14ac:dyDescent="0.35">
      <c r="A944" s="535" t="str">
        <f t="shared" si="116"/>
        <v/>
      </c>
      <c r="B944" s="337"/>
      <c r="C944" s="337"/>
      <c r="D944" s="326" t="s">
        <v>45</v>
      </c>
      <c r="E944" s="360" t="s">
        <v>101</v>
      </c>
      <c r="F944" s="335">
        <v>4</v>
      </c>
      <c r="G944" s="335" t="s">
        <v>73</v>
      </c>
      <c r="H944" s="335">
        <f t="shared" si="118"/>
        <v>3.88</v>
      </c>
      <c r="I944" s="335" t="s">
        <v>73</v>
      </c>
      <c r="J944" s="337"/>
      <c r="K944" s="680">
        <f t="shared" si="117"/>
        <v>201.76</v>
      </c>
      <c r="L944" s="535"/>
      <c r="M944" s="552" t="str">
        <f t="shared" si="114"/>
        <v/>
      </c>
      <c r="N944" s="552"/>
      <c r="O944" s="552" t="str">
        <f t="shared" si="115"/>
        <v/>
      </c>
      <c r="P944" s="39"/>
    </row>
    <row r="945" spans="1:16" x14ac:dyDescent="0.35">
      <c r="A945" s="535" t="str">
        <f t="shared" si="116"/>
        <v/>
      </c>
      <c r="B945" s="330"/>
      <c r="C945" s="330"/>
      <c r="D945" s="355"/>
      <c r="E945" s="355" t="s">
        <v>842</v>
      </c>
      <c r="F945" s="356">
        <v>20</v>
      </c>
      <c r="G945" s="356" t="s">
        <v>73</v>
      </c>
      <c r="H945" s="515"/>
      <c r="I945" s="356"/>
      <c r="J945" s="515"/>
      <c r="K945" s="684"/>
      <c r="L945" s="535"/>
      <c r="M945" s="552" t="str">
        <f t="shared" si="114"/>
        <v/>
      </c>
      <c r="N945" s="552"/>
      <c r="O945" s="552" t="str">
        <f t="shared" si="115"/>
        <v/>
      </c>
      <c r="P945" s="39"/>
    </row>
    <row r="946" spans="1:16" x14ac:dyDescent="0.35">
      <c r="A946" s="535" t="str">
        <f t="shared" si="116"/>
        <v/>
      </c>
      <c r="B946" s="337"/>
      <c r="C946" s="337"/>
      <c r="D946" s="326" t="s">
        <v>147</v>
      </c>
      <c r="E946" s="360" t="s">
        <v>843</v>
      </c>
      <c r="F946" s="335">
        <v>18.5</v>
      </c>
      <c r="G946" s="335" t="s">
        <v>73</v>
      </c>
      <c r="H946" s="335">
        <f>ROUND(($F$945)*((F946)/($F$946+$F$947+$F$948)),2)</f>
        <v>18.5</v>
      </c>
      <c r="I946" s="335" t="s">
        <v>73</v>
      </c>
      <c r="J946" s="337"/>
      <c r="K946" s="680">
        <f t="shared" si="117"/>
        <v>962</v>
      </c>
      <c r="L946" s="535"/>
      <c r="M946" s="552" t="str">
        <f t="shared" si="114"/>
        <v/>
      </c>
      <c r="N946" s="552"/>
      <c r="O946" s="552" t="str">
        <f t="shared" si="115"/>
        <v/>
      </c>
      <c r="P946" s="39"/>
    </row>
    <row r="947" spans="1:16" x14ac:dyDescent="0.35">
      <c r="A947" s="535" t="str">
        <f t="shared" si="116"/>
        <v/>
      </c>
      <c r="B947" s="330"/>
      <c r="C947" s="330"/>
      <c r="D947" s="326" t="s">
        <v>385</v>
      </c>
      <c r="E947" s="366" t="s">
        <v>845</v>
      </c>
      <c r="F947" s="328">
        <v>0.5</v>
      </c>
      <c r="G947" s="328" t="s">
        <v>73</v>
      </c>
      <c r="H947" s="328">
        <f t="shared" ref="H947:H948" si="119">ROUND(($F$945)*((F947)/($F$946+$F$947+$F$948)),2)</f>
        <v>0.5</v>
      </c>
      <c r="I947" s="328" t="s">
        <v>73</v>
      </c>
      <c r="J947" s="330"/>
      <c r="K947" s="681">
        <f t="shared" si="117"/>
        <v>26</v>
      </c>
      <c r="L947" s="535"/>
      <c r="M947" s="552" t="str">
        <f t="shared" si="114"/>
        <v/>
      </c>
      <c r="N947" s="552"/>
      <c r="O947" s="552" t="str">
        <f t="shared" si="115"/>
        <v/>
      </c>
      <c r="P947" s="39"/>
    </row>
    <row r="948" spans="1:16" ht="15" thickBot="1" x14ac:dyDescent="0.4">
      <c r="A948" s="535" t="str">
        <f t="shared" si="116"/>
        <v/>
      </c>
      <c r="B948" s="337"/>
      <c r="C948" s="337"/>
      <c r="D948" s="326" t="s">
        <v>392</v>
      </c>
      <c r="E948" s="360" t="s">
        <v>844</v>
      </c>
      <c r="F948" s="335">
        <v>1</v>
      </c>
      <c r="G948" s="335" t="s">
        <v>73</v>
      </c>
      <c r="H948" s="335">
        <f t="shared" si="119"/>
        <v>1</v>
      </c>
      <c r="I948" s="335" t="s">
        <v>73</v>
      </c>
      <c r="J948" s="337"/>
      <c r="K948" s="680">
        <f t="shared" si="117"/>
        <v>52</v>
      </c>
      <c r="L948" s="535"/>
      <c r="M948" s="552" t="str">
        <f t="shared" si="114"/>
        <v/>
      </c>
      <c r="N948" s="552"/>
      <c r="O948" s="552" t="str">
        <f t="shared" si="115"/>
        <v/>
      </c>
      <c r="P948" s="39"/>
    </row>
    <row r="949" spans="1:16" ht="15.5" thickTop="1" thickBot="1" x14ac:dyDescent="0.4">
      <c r="A949" s="545" t="str">
        <f t="shared" si="116"/>
        <v/>
      </c>
      <c r="B949" s="546"/>
      <c r="C949" s="546"/>
      <c r="D949" s="547"/>
      <c r="E949" s="546"/>
      <c r="F949" s="546"/>
      <c r="G949" s="546"/>
      <c r="H949" s="546"/>
      <c r="I949" s="546"/>
      <c r="J949" s="546"/>
      <c r="K949" s="676"/>
      <c r="L949" s="535"/>
      <c r="M949" s="552" t="str">
        <f t="shared" si="114"/>
        <v/>
      </c>
      <c r="N949" s="552"/>
      <c r="O949" s="552" t="str">
        <f t="shared" si="115"/>
        <v/>
      </c>
      <c r="P949" s="39"/>
    </row>
    <row r="950" spans="1:16" ht="15" thickTop="1" x14ac:dyDescent="0.35">
      <c r="A950" s="565">
        <f>IFERROR(INDEX($Q$17:$Q$150,MATCH(B950,$R$17:$R$150, 0)), "")</f>
        <v>22</v>
      </c>
      <c r="B950" s="382" t="s">
        <v>1353</v>
      </c>
      <c r="C950" s="325" t="s">
        <v>846</v>
      </c>
      <c r="D950" s="347" t="s">
        <v>50</v>
      </c>
      <c r="E950" s="334" t="s">
        <v>847</v>
      </c>
      <c r="F950" s="335">
        <v>18</v>
      </c>
      <c r="G950" s="335" t="s">
        <v>73</v>
      </c>
      <c r="H950" s="335">
        <v>18</v>
      </c>
      <c r="I950" s="335" t="s">
        <v>73</v>
      </c>
      <c r="J950" s="337"/>
      <c r="K950" s="680">
        <f>$A$950*H950</f>
        <v>396</v>
      </c>
      <c r="L950" s="535"/>
      <c r="M950" s="552" t="str">
        <f t="shared" si="114"/>
        <v/>
      </c>
      <c r="N950" s="552"/>
      <c r="O950" s="552" t="str">
        <f t="shared" si="115"/>
        <v/>
      </c>
      <c r="P950" s="39"/>
    </row>
    <row r="951" spans="1:16" x14ac:dyDescent="0.35">
      <c r="A951" s="535" t="str">
        <f t="shared" si="116"/>
        <v/>
      </c>
      <c r="B951" s="330"/>
      <c r="C951" s="330"/>
      <c r="D951" s="326" t="s">
        <v>371</v>
      </c>
      <c r="E951" s="327" t="s">
        <v>848</v>
      </c>
      <c r="F951" s="328">
        <v>18</v>
      </c>
      <c r="G951" s="328" t="s">
        <v>73</v>
      </c>
      <c r="H951" s="328">
        <v>18</v>
      </c>
      <c r="I951" s="328" t="s">
        <v>73</v>
      </c>
      <c r="J951" s="330"/>
      <c r="K951" s="681">
        <f t="shared" ref="K951:K963" si="120">$A$950*H951</f>
        <v>396</v>
      </c>
      <c r="L951" s="535"/>
      <c r="M951" s="552" t="str">
        <f t="shared" si="114"/>
        <v/>
      </c>
      <c r="N951" s="552"/>
      <c r="O951" s="552" t="str">
        <f t="shared" si="115"/>
        <v/>
      </c>
      <c r="P951" s="39"/>
    </row>
    <row r="952" spans="1:16" x14ac:dyDescent="0.35">
      <c r="A952" s="535" t="str">
        <f t="shared" si="116"/>
        <v/>
      </c>
      <c r="B952" s="337"/>
      <c r="C952" s="337"/>
      <c r="D952" s="326" t="s">
        <v>48</v>
      </c>
      <c r="E952" s="334" t="s">
        <v>849</v>
      </c>
      <c r="F952" s="335">
        <v>18</v>
      </c>
      <c r="G952" s="335" t="s">
        <v>73</v>
      </c>
      <c r="H952" s="335">
        <v>18</v>
      </c>
      <c r="I952" s="335" t="s">
        <v>73</v>
      </c>
      <c r="J952" s="337"/>
      <c r="K952" s="680">
        <f t="shared" si="120"/>
        <v>396</v>
      </c>
      <c r="L952" s="535"/>
      <c r="M952" s="552" t="str">
        <f t="shared" si="114"/>
        <v/>
      </c>
      <c r="N952" s="552"/>
      <c r="O952" s="552" t="str">
        <f t="shared" si="115"/>
        <v/>
      </c>
      <c r="P952" s="39"/>
    </row>
    <row r="953" spans="1:16" x14ac:dyDescent="0.35">
      <c r="A953" s="535" t="str">
        <f t="shared" si="116"/>
        <v/>
      </c>
      <c r="B953" s="330"/>
      <c r="C953" s="330"/>
      <c r="D953" s="326" t="s">
        <v>400</v>
      </c>
      <c r="E953" s="327" t="s">
        <v>850</v>
      </c>
      <c r="F953" s="328">
        <v>30</v>
      </c>
      <c r="G953" s="328" t="s">
        <v>73</v>
      </c>
      <c r="H953" s="328">
        <v>30</v>
      </c>
      <c r="I953" s="328" t="s">
        <v>73</v>
      </c>
      <c r="J953" s="330"/>
      <c r="K953" s="681">
        <f t="shared" si="120"/>
        <v>660</v>
      </c>
      <c r="L953" s="535"/>
      <c r="M953" s="552" t="str">
        <f t="shared" si="114"/>
        <v/>
      </c>
      <c r="N953" s="552"/>
      <c r="O953" s="552" t="str">
        <f t="shared" si="115"/>
        <v/>
      </c>
      <c r="P953" s="39"/>
    </row>
    <row r="954" spans="1:16" x14ac:dyDescent="0.35">
      <c r="A954" s="535" t="str">
        <f t="shared" si="116"/>
        <v/>
      </c>
      <c r="B954" s="337"/>
      <c r="C954" s="337"/>
      <c r="D954" s="326" t="s">
        <v>511</v>
      </c>
      <c r="E954" s="334" t="s">
        <v>851</v>
      </c>
      <c r="F954" s="335">
        <v>15</v>
      </c>
      <c r="G954" s="335" t="s">
        <v>73</v>
      </c>
      <c r="H954" s="335">
        <v>15</v>
      </c>
      <c r="I954" s="335" t="s">
        <v>73</v>
      </c>
      <c r="J954" s="337"/>
      <c r="K954" s="680">
        <f t="shared" si="120"/>
        <v>330</v>
      </c>
      <c r="L954" s="535"/>
      <c r="M954" s="552" t="str">
        <f t="shared" si="114"/>
        <v/>
      </c>
      <c r="N954" s="552"/>
      <c r="O954" s="552" t="str">
        <f t="shared" si="115"/>
        <v/>
      </c>
      <c r="P954" s="49"/>
    </row>
    <row r="955" spans="1:16" x14ac:dyDescent="0.35">
      <c r="A955" s="535" t="str">
        <f t="shared" si="116"/>
        <v/>
      </c>
      <c r="B955" s="330"/>
      <c r="C955" s="330"/>
      <c r="D955" s="355"/>
      <c r="E955" s="355" t="s">
        <v>852</v>
      </c>
      <c r="F955" s="356">
        <v>20</v>
      </c>
      <c r="G955" s="356" t="s">
        <v>73</v>
      </c>
      <c r="H955" s="515"/>
      <c r="I955" s="515"/>
      <c r="J955" s="515"/>
      <c r="K955" s="684"/>
      <c r="L955" s="535"/>
      <c r="M955" s="552" t="str">
        <f t="shared" si="114"/>
        <v/>
      </c>
      <c r="N955" s="552"/>
      <c r="O955" s="552" t="str">
        <f t="shared" si="115"/>
        <v/>
      </c>
      <c r="P955" s="39"/>
    </row>
    <row r="956" spans="1:16" x14ac:dyDescent="0.35">
      <c r="A956" s="535" t="str">
        <f t="shared" si="116"/>
        <v/>
      </c>
      <c r="B956" s="337"/>
      <c r="C956" s="337"/>
      <c r="D956" s="326" t="s">
        <v>147</v>
      </c>
      <c r="E956" s="360" t="s">
        <v>843</v>
      </c>
      <c r="F956" s="335">
        <v>18.5</v>
      </c>
      <c r="G956" s="335" t="s">
        <v>73</v>
      </c>
      <c r="H956" s="335">
        <f>ROUND(($F$955)*((F956)/($F$956+$F$957+$F$958)),2)</f>
        <v>18.5</v>
      </c>
      <c r="I956" s="335" t="s">
        <v>73</v>
      </c>
      <c r="J956" s="337"/>
      <c r="K956" s="680">
        <f t="shared" si="120"/>
        <v>407</v>
      </c>
      <c r="L956" s="535"/>
      <c r="M956" s="552" t="str">
        <f t="shared" si="114"/>
        <v/>
      </c>
      <c r="N956" s="552"/>
      <c r="O956" s="552" t="str">
        <f t="shared" si="115"/>
        <v/>
      </c>
      <c r="P956" s="39"/>
    </row>
    <row r="957" spans="1:16" x14ac:dyDescent="0.35">
      <c r="A957" s="535" t="str">
        <f t="shared" si="116"/>
        <v/>
      </c>
      <c r="B957" s="330"/>
      <c r="C957" s="330"/>
      <c r="D957" s="326" t="s">
        <v>385</v>
      </c>
      <c r="E957" s="366" t="s">
        <v>845</v>
      </c>
      <c r="F957" s="328">
        <v>0.5</v>
      </c>
      <c r="G957" s="328" t="s">
        <v>73</v>
      </c>
      <c r="H957" s="328">
        <f t="shared" ref="H957:H958" si="121">ROUND(($F$955)*((F957)/($F$956+$F$957+$F$958)),2)</f>
        <v>0.5</v>
      </c>
      <c r="I957" s="328" t="s">
        <v>73</v>
      </c>
      <c r="J957" s="330"/>
      <c r="K957" s="681">
        <f t="shared" si="120"/>
        <v>11</v>
      </c>
      <c r="L957" s="535"/>
      <c r="M957" s="552" t="str">
        <f t="shared" si="114"/>
        <v/>
      </c>
      <c r="N957" s="552"/>
      <c r="O957" s="552" t="str">
        <f t="shared" si="115"/>
        <v/>
      </c>
      <c r="P957" s="39"/>
    </row>
    <row r="958" spans="1:16" x14ac:dyDescent="0.35">
      <c r="A958" s="535" t="str">
        <f t="shared" si="116"/>
        <v/>
      </c>
      <c r="B958" s="337"/>
      <c r="C958" s="337"/>
      <c r="D958" s="326" t="s">
        <v>392</v>
      </c>
      <c r="E958" s="360" t="s">
        <v>844</v>
      </c>
      <c r="F958" s="335">
        <v>1</v>
      </c>
      <c r="G958" s="335" t="s">
        <v>73</v>
      </c>
      <c r="H958" s="335">
        <f t="shared" si="121"/>
        <v>1</v>
      </c>
      <c r="I958" s="335" t="s">
        <v>73</v>
      </c>
      <c r="J958" s="337"/>
      <c r="K958" s="680">
        <f t="shared" si="120"/>
        <v>22</v>
      </c>
      <c r="L958" s="535"/>
      <c r="M958" s="552" t="str">
        <f t="shared" si="114"/>
        <v/>
      </c>
      <c r="N958" s="552"/>
      <c r="O958" s="552" t="str">
        <f t="shared" si="115"/>
        <v/>
      </c>
      <c r="P958" s="39"/>
    </row>
    <row r="959" spans="1:16" x14ac:dyDescent="0.35">
      <c r="A959" s="535" t="str">
        <f t="shared" si="116"/>
        <v/>
      </c>
      <c r="B959" s="330"/>
      <c r="C959" s="330"/>
      <c r="D959" s="355"/>
      <c r="E959" s="355" t="s">
        <v>853</v>
      </c>
      <c r="F959" s="356">
        <v>100</v>
      </c>
      <c r="G959" s="356" t="s">
        <v>73</v>
      </c>
      <c r="H959" s="515"/>
      <c r="I959" s="356"/>
      <c r="J959" s="515"/>
      <c r="K959" s="684"/>
      <c r="L959" s="535"/>
      <c r="M959" s="552" t="str">
        <f t="shared" si="114"/>
        <v/>
      </c>
      <c r="N959" s="552"/>
      <c r="O959" s="552" t="str">
        <f t="shared" si="115"/>
        <v/>
      </c>
      <c r="P959" s="39"/>
    </row>
    <row r="960" spans="1:16" x14ac:dyDescent="0.35">
      <c r="A960" s="535" t="str">
        <f t="shared" si="116"/>
        <v/>
      </c>
      <c r="B960" s="337"/>
      <c r="C960" s="337"/>
      <c r="D960" s="326" t="s">
        <v>1068</v>
      </c>
      <c r="E960" s="360" t="s">
        <v>1069</v>
      </c>
      <c r="F960" s="335">
        <v>60</v>
      </c>
      <c r="G960" s="335" t="s">
        <v>73</v>
      </c>
      <c r="H960" s="335">
        <f>ROUND(($F$959)*((F960)/($F$960+$F$961+F$962+$F$963)),2)</f>
        <v>28.95</v>
      </c>
      <c r="I960" s="335" t="s">
        <v>73</v>
      </c>
      <c r="J960" s="337"/>
      <c r="K960" s="680">
        <f t="shared" si="120"/>
        <v>636.9</v>
      </c>
      <c r="L960" s="535"/>
      <c r="M960" s="552" t="str">
        <f t="shared" si="114"/>
        <v/>
      </c>
      <c r="N960" s="552"/>
      <c r="O960" s="552" t="str">
        <f t="shared" si="115"/>
        <v/>
      </c>
      <c r="P960" s="39"/>
    </row>
    <row r="961" spans="1:16" x14ac:dyDescent="0.35">
      <c r="A961" s="535" t="str">
        <f t="shared" si="116"/>
        <v/>
      </c>
      <c r="B961" s="330"/>
      <c r="C961" s="330"/>
      <c r="D961" s="342"/>
      <c r="E961" s="362" t="s">
        <v>854</v>
      </c>
      <c r="F961" s="343">
        <v>90</v>
      </c>
      <c r="G961" s="343" t="s">
        <v>73</v>
      </c>
      <c r="H961" s="343">
        <f t="shared" ref="H961:H963" si="122">ROUND(($F$959)*((F961)/($F$960+$F$961+F$962+$F$963)),2)</f>
        <v>43.43</v>
      </c>
      <c r="I961" s="343"/>
      <c r="J961" s="345"/>
      <c r="K961" s="685"/>
      <c r="L961" s="535"/>
      <c r="M961" s="552" t="str">
        <f t="shared" si="114"/>
        <v/>
      </c>
      <c r="N961" s="552"/>
      <c r="O961" s="552" t="str">
        <f t="shared" si="115"/>
        <v/>
      </c>
      <c r="P961" s="39"/>
    </row>
    <row r="962" spans="1:16" x14ac:dyDescent="0.35">
      <c r="A962" s="535" t="str">
        <f t="shared" si="116"/>
        <v/>
      </c>
      <c r="B962" s="337"/>
      <c r="C962" s="337"/>
      <c r="D962" s="326" t="s">
        <v>45</v>
      </c>
      <c r="E962" s="360" t="s">
        <v>101</v>
      </c>
      <c r="F962" s="335">
        <v>1.5</v>
      </c>
      <c r="G962" s="335" t="s">
        <v>73</v>
      </c>
      <c r="H962" s="335">
        <f t="shared" si="122"/>
        <v>0.72</v>
      </c>
      <c r="I962" s="335" t="s">
        <v>73</v>
      </c>
      <c r="J962" s="337"/>
      <c r="K962" s="680">
        <f t="shared" si="120"/>
        <v>15.84</v>
      </c>
      <c r="L962" s="535"/>
      <c r="M962" s="552" t="str">
        <f t="shared" si="114"/>
        <v/>
      </c>
      <c r="N962" s="552"/>
      <c r="O962" s="552" t="str">
        <f t="shared" si="115"/>
        <v/>
      </c>
      <c r="P962" s="39"/>
    </row>
    <row r="963" spans="1:16" x14ac:dyDescent="0.35">
      <c r="A963" s="535" t="str">
        <f t="shared" si="116"/>
        <v/>
      </c>
      <c r="B963" s="330"/>
      <c r="C963" s="330"/>
      <c r="D963" s="326" t="s">
        <v>521</v>
      </c>
      <c r="E963" s="366" t="s">
        <v>855</v>
      </c>
      <c r="F963" s="328">
        <v>55.75</v>
      </c>
      <c r="G963" s="328" t="s">
        <v>73</v>
      </c>
      <c r="H963" s="328">
        <f t="shared" si="122"/>
        <v>26.9</v>
      </c>
      <c r="I963" s="328" t="s">
        <v>73</v>
      </c>
      <c r="J963" s="330"/>
      <c r="K963" s="681">
        <f t="shared" si="120"/>
        <v>591.79999999999995</v>
      </c>
      <c r="L963" s="535"/>
      <c r="M963" s="552" t="str">
        <f t="shared" si="114"/>
        <v/>
      </c>
      <c r="N963" s="552"/>
      <c r="O963" s="552" t="str">
        <f t="shared" si="115"/>
        <v/>
      </c>
      <c r="P963" s="39"/>
    </row>
    <row r="964" spans="1:16" x14ac:dyDescent="0.35">
      <c r="A964" s="599" t="str">
        <f t="shared" si="116"/>
        <v/>
      </c>
      <c r="B964" s="600"/>
      <c r="C964" s="600"/>
      <c r="D964" s="599"/>
      <c r="E964" s="599"/>
      <c r="F964" s="602"/>
      <c r="G964" s="600"/>
      <c r="H964" s="600"/>
      <c r="I964" s="600"/>
      <c r="J964" s="600"/>
      <c r="K964" s="688"/>
      <c r="L964" s="603"/>
      <c r="M964" s="604" t="str">
        <f t="shared" si="114"/>
        <v/>
      </c>
      <c r="N964" s="604"/>
      <c r="O964" s="604" t="str">
        <f t="shared" si="115"/>
        <v/>
      </c>
      <c r="P964" s="39"/>
    </row>
    <row r="965" spans="1:16" x14ac:dyDescent="0.35">
      <c r="A965" s="565">
        <f>IFERROR(INDEX($Q$17:$Q$150,MATCH(B965,$R$17:$R$150, 0)), "")</f>
        <v>25</v>
      </c>
      <c r="B965" s="382" t="s">
        <v>1354</v>
      </c>
      <c r="C965" s="325" t="s">
        <v>857</v>
      </c>
      <c r="D965" s="326" t="s">
        <v>54</v>
      </c>
      <c r="E965" s="327" t="s">
        <v>707</v>
      </c>
      <c r="F965" s="328">
        <v>40</v>
      </c>
      <c r="G965" s="328" t="s">
        <v>73</v>
      </c>
      <c r="H965" s="328">
        <v>40</v>
      </c>
      <c r="I965" s="328" t="s">
        <v>73</v>
      </c>
      <c r="J965" s="330"/>
      <c r="K965" s="681">
        <f>$A$965*H965</f>
        <v>1000</v>
      </c>
      <c r="L965" s="535"/>
      <c r="M965" s="552" t="str">
        <f t="shared" si="114"/>
        <v/>
      </c>
      <c r="N965" s="552"/>
      <c r="O965" s="552" t="str">
        <f t="shared" si="115"/>
        <v/>
      </c>
      <c r="P965" s="39"/>
    </row>
    <row r="966" spans="1:16" x14ac:dyDescent="0.35">
      <c r="A966" s="535" t="str">
        <f t="shared" si="116"/>
        <v/>
      </c>
      <c r="B966" s="337"/>
      <c r="C966" s="337"/>
      <c r="D966" s="326" t="s">
        <v>511</v>
      </c>
      <c r="E966" s="334" t="s">
        <v>851</v>
      </c>
      <c r="F966" s="335">
        <v>15</v>
      </c>
      <c r="G966" s="335" t="s">
        <v>73</v>
      </c>
      <c r="H966" s="335">
        <v>15</v>
      </c>
      <c r="I966" s="335" t="s">
        <v>73</v>
      </c>
      <c r="J966" s="337"/>
      <c r="K966" s="680">
        <f t="shared" ref="K966:K975" si="123">$A$965*H966</f>
        <v>375</v>
      </c>
      <c r="L966" s="535"/>
      <c r="M966" s="552" t="str">
        <f t="shared" si="114"/>
        <v/>
      </c>
      <c r="N966" s="552"/>
      <c r="O966" s="552" t="str">
        <f t="shared" si="115"/>
        <v/>
      </c>
      <c r="P966" s="39"/>
    </row>
    <row r="967" spans="1:16" x14ac:dyDescent="0.35">
      <c r="A967" s="535" t="str">
        <f t="shared" si="116"/>
        <v/>
      </c>
      <c r="B967" s="330"/>
      <c r="C967" s="330"/>
      <c r="D967" s="355"/>
      <c r="E967" s="355" t="s">
        <v>853</v>
      </c>
      <c r="F967" s="356">
        <v>80</v>
      </c>
      <c r="G967" s="356" t="s">
        <v>73</v>
      </c>
      <c r="H967" s="515"/>
      <c r="I967" s="356"/>
      <c r="J967" s="515"/>
      <c r="K967" s="684"/>
      <c r="L967" s="535"/>
      <c r="M967" s="552" t="str">
        <f t="shared" si="114"/>
        <v/>
      </c>
      <c r="N967" s="552"/>
      <c r="O967" s="552" t="str">
        <f t="shared" si="115"/>
        <v/>
      </c>
      <c r="P967" s="39"/>
    </row>
    <row r="968" spans="1:16" x14ac:dyDescent="0.35">
      <c r="A968" s="535" t="str">
        <f t="shared" si="116"/>
        <v/>
      </c>
      <c r="B968" s="337"/>
      <c r="C968" s="337"/>
      <c r="D968" s="326" t="s">
        <v>1068</v>
      </c>
      <c r="E968" s="360" t="s">
        <v>1069</v>
      </c>
      <c r="F968" s="335">
        <v>60</v>
      </c>
      <c r="G968" s="335" t="s">
        <v>73</v>
      </c>
      <c r="H968" s="335">
        <f>ROUND(($F$967)*((F968)/($F$968+$F$969+F$970+$F$971)),2)</f>
        <v>23.16</v>
      </c>
      <c r="I968" s="335" t="s">
        <v>73</v>
      </c>
      <c r="J968" s="337"/>
      <c r="K968" s="680">
        <f t="shared" si="123"/>
        <v>579</v>
      </c>
      <c r="L968" s="535"/>
      <c r="M968" s="552" t="str">
        <f t="shared" si="114"/>
        <v/>
      </c>
      <c r="N968" s="552"/>
      <c r="O968" s="552" t="str">
        <f t="shared" si="115"/>
        <v/>
      </c>
      <c r="P968" s="39"/>
    </row>
    <row r="969" spans="1:16" x14ac:dyDescent="0.35">
      <c r="A969" s="535" t="str">
        <f t="shared" si="116"/>
        <v/>
      </c>
      <c r="B969" s="330"/>
      <c r="C969" s="330"/>
      <c r="D969" s="605"/>
      <c r="E969" s="606" t="s">
        <v>854</v>
      </c>
      <c r="F969" s="607">
        <v>90</v>
      </c>
      <c r="G969" s="607" t="s">
        <v>73</v>
      </c>
      <c r="H969" s="607">
        <f t="shared" ref="H969:H971" si="124">ROUND(($F$967)*((F969)/($F$968+$F$969+F$970+$F$971)),2)</f>
        <v>34.74</v>
      </c>
      <c r="I969" s="607"/>
      <c r="J969" s="608"/>
      <c r="K969" s="689"/>
      <c r="L969" s="535"/>
      <c r="M969" s="552" t="str">
        <f t="shared" si="114"/>
        <v/>
      </c>
      <c r="N969" s="552"/>
      <c r="O969" s="552" t="str">
        <f t="shared" si="115"/>
        <v/>
      </c>
      <c r="P969" s="39"/>
    </row>
    <row r="970" spans="1:16" x14ac:dyDescent="0.35">
      <c r="A970" s="535" t="str">
        <f t="shared" si="116"/>
        <v/>
      </c>
      <c r="B970" s="337"/>
      <c r="C970" s="337"/>
      <c r="D970" s="326" t="s">
        <v>45</v>
      </c>
      <c r="E970" s="360" t="s">
        <v>101</v>
      </c>
      <c r="F970" s="335">
        <v>1.5</v>
      </c>
      <c r="G970" s="335" t="s">
        <v>73</v>
      </c>
      <c r="H970" s="335">
        <f t="shared" si="124"/>
        <v>0.57999999999999996</v>
      </c>
      <c r="I970" s="335" t="s">
        <v>73</v>
      </c>
      <c r="J970" s="337"/>
      <c r="K970" s="680">
        <f t="shared" si="123"/>
        <v>14.499999999999998</v>
      </c>
      <c r="L970" s="535"/>
      <c r="M970" s="552" t="str">
        <f t="shared" si="114"/>
        <v/>
      </c>
      <c r="N970" s="552"/>
      <c r="O970" s="552" t="str">
        <f t="shared" si="115"/>
        <v/>
      </c>
      <c r="P970" s="39"/>
    </row>
    <row r="971" spans="1:16" x14ac:dyDescent="0.35">
      <c r="A971" s="535" t="str">
        <f t="shared" si="116"/>
        <v/>
      </c>
      <c r="B971" s="330"/>
      <c r="C971" s="330"/>
      <c r="D971" s="326" t="s">
        <v>521</v>
      </c>
      <c r="E971" s="366" t="s">
        <v>855</v>
      </c>
      <c r="F971" s="328">
        <v>55.75</v>
      </c>
      <c r="G971" s="328" t="s">
        <v>73</v>
      </c>
      <c r="H971" s="328">
        <f t="shared" si="124"/>
        <v>21.52</v>
      </c>
      <c r="I971" s="328" t="s">
        <v>73</v>
      </c>
      <c r="J971" s="330"/>
      <c r="K971" s="681">
        <f t="shared" si="123"/>
        <v>538</v>
      </c>
      <c r="L971" s="535"/>
      <c r="M971" s="552" t="str">
        <f t="shared" si="114"/>
        <v/>
      </c>
      <c r="N971" s="552"/>
      <c r="O971" s="552" t="str">
        <f t="shared" si="115"/>
        <v/>
      </c>
      <c r="P971" s="39"/>
    </row>
    <row r="972" spans="1:16" x14ac:dyDescent="0.35">
      <c r="A972" s="535" t="str">
        <f t="shared" si="116"/>
        <v/>
      </c>
      <c r="B972" s="337"/>
      <c r="C972" s="337"/>
      <c r="D972" s="355"/>
      <c r="E972" s="355" t="s">
        <v>852</v>
      </c>
      <c r="F972" s="356">
        <v>20</v>
      </c>
      <c r="G972" s="356" t="s">
        <v>73</v>
      </c>
      <c r="H972" s="515"/>
      <c r="I972" s="356"/>
      <c r="J972" s="515"/>
      <c r="K972" s="684"/>
      <c r="L972" s="535"/>
      <c r="M972" s="552" t="str">
        <f t="shared" si="114"/>
        <v/>
      </c>
      <c r="N972" s="552"/>
      <c r="O972" s="552" t="str">
        <f t="shared" si="115"/>
        <v/>
      </c>
      <c r="P972" s="39"/>
    </row>
    <row r="973" spans="1:16" x14ac:dyDescent="0.35">
      <c r="A973" s="535" t="str">
        <f t="shared" si="116"/>
        <v/>
      </c>
      <c r="B973" s="330"/>
      <c r="C973" s="330"/>
      <c r="D973" s="326" t="s">
        <v>147</v>
      </c>
      <c r="E973" s="366" t="s">
        <v>843</v>
      </c>
      <c r="F973" s="328">
        <v>18.5</v>
      </c>
      <c r="G973" s="328" t="s">
        <v>73</v>
      </c>
      <c r="H973" s="328">
        <f>ROUND(($F$972)*((F973)/($F$973+$F$974+$F$975)),2)</f>
        <v>18.5</v>
      </c>
      <c r="I973" s="328" t="s">
        <v>73</v>
      </c>
      <c r="J973" s="330"/>
      <c r="K973" s="681">
        <f t="shared" si="123"/>
        <v>462.5</v>
      </c>
      <c r="L973" s="535"/>
      <c r="M973" s="552" t="str">
        <f t="shared" si="114"/>
        <v/>
      </c>
      <c r="N973" s="552"/>
      <c r="O973" s="552" t="str">
        <f t="shared" si="115"/>
        <v/>
      </c>
      <c r="P973" s="39"/>
    </row>
    <row r="974" spans="1:16" x14ac:dyDescent="0.35">
      <c r="A974" s="535" t="str">
        <f t="shared" si="116"/>
        <v/>
      </c>
      <c r="B974" s="337"/>
      <c r="C974" s="337"/>
      <c r="D974" s="326" t="s">
        <v>385</v>
      </c>
      <c r="E974" s="360" t="s">
        <v>845</v>
      </c>
      <c r="F974" s="335">
        <v>0.5</v>
      </c>
      <c r="G974" s="335" t="s">
        <v>73</v>
      </c>
      <c r="H974" s="335">
        <f t="shared" ref="H974:H975" si="125">ROUND(($F$972)*((F974)/($F$973+$F$974+$F$975)),2)</f>
        <v>0.5</v>
      </c>
      <c r="I974" s="335" t="s">
        <v>73</v>
      </c>
      <c r="J974" s="337"/>
      <c r="K974" s="680">
        <f t="shared" si="123"/>
        <v>12.5</v>
      </c>
      <c r="L974" s="535"/>
      <c r="M974" s="552" t="str">
        <f t="shared" si="114"/>
        <v/>
      </c>
      <c r="N974" s="552"/>
      <c r="O974" s="552" t="str">
        <f t="shared" si="115"/>
        <v/>
      </c>
      <c r="P974" s="39"/>
    </row>
    <row r="975" spans="1:16" x14ac:dyDescent="0.35">
      <c r="A975" s="535" t="str">
        <f t="shared" si="116"/>
        <v/>
      </c>
      <c r="B975" s="330"/>
      <c r="C975" s="330"/>
      <c r="D975" s="326" t="s">
        <v>392</v>
      </c>
      <c r="E975" s="366" t="s">
        <v>844</v>
      </c>
      <c r="F975" s="328">
        <v>1</v>
      </c>
      <c r="G975" s="328" t="s">
        <v>73</v>
      </c>
      <c r="H975" s="328">
        <f t="shared" si="125"/>
        <v>1</v>
      </c>
      <c r="I975" s="328" t="s">
        <v>73</v>
      </c>
      <c r="J975" s="330"/>
      <c r="K975" s="681">
        <f t="shared" si="123"/>
        <v>25</v>
      </c>
      <c r="L975" s="535"/>
      <c r="M975" s="552" t="str">
        <f t="shared" si="114"/>
        <v/>
      </c>
      <c r="N975" s="552"/>
      <c r="O975" s="552" t="str">
        <f t="shared" si="115"/>
        <v/>
      </c>
      <c r="P975" s="39"/>
    </row>
    <row r="976" spans="1:16" x14ac:dyDescent="0.35">
      <c r="A976" s="545" t="str">
        <f t="shared" si="116"/>
        <v/>
      </c>
      <c r="B976" s="546"/>
      <c r="C976" s="546"/>
      <c r="D976" s="545"/>
      <c r="E976" s="545"/>
      <c r="F976" s="579"/>
      <c r="G976" s="546"/>
      <c r="H976" s="546"/>
      <c r="I976" s="546"/>
      <c r="J976" s="546"/>
      <c r="K976" s="676"/>
      <c r="L976" s="535"/>
      <c r="M976" s="552" t="str">
        <f t="shared" si="114"/>
        <v/>
      </c>
      <c r="N976" s="552"/>
      <c r="O976" s="552" t="str">
        <f t="shared" si="115"/>
        <v/>
      </c>
      <c r="P976" s="39"/>
    </row>
    <row r="977" spans="1:16" x14ac:dyDescent="0.35">
      <c r="A977" s="565">
        <f>IFERROR(INDEX($Q$17:$Q$150,MATCH(B977,$R$17:$R$150, 0)), "")</f>
        <v>74</v>
      </c>
      <c r="B977" s="382" t="s">
        <v>1355</v>
      </c>
      <c r="C977" s="325" t="s">
        <v>858</v>
      </c>
      <c r="D977" s="326" t="s">
        <v>50</v>
      </c>
      <c r="E977" s="327" t="s">
        <v>717</v>
      </c>
      <c r="F977" s="328">
        <v>9</v>
      </c>
      <c r="G977" s="328" t="s">
        <v>73</v>
      </c>
      <c r="H977" s="328">
        <v>9</v>
      </c>
      <c r="I977" s="328" t="s">
        <v>73</v>
      </c>
      <c r="J977" s="330"/>
      <c r="K977" s="681">
        <f>$A$977*H977</f>
        <v>666</v>
      </c>
      <c r="L977" s="535"/>
      <c r="M977" s="552" t="str">
        <f t="shared" si="114"/>
        <v/>
      </c>
      <c r="N977" s="552"/>
      <c r="O977" s="552" t="str">
        <f t="shared" si="115"/>
        <v/>
      </c>
      <c r="P977" s="39"/>
    </row>
    <row r="978" spans="1:16" x14ac:dyDescent="0.35">
      <c r="A978" s="535" t="str">
        <f t="shared" si="116"/>
        <v/>
      </c>
      <c r="B978" s="337"/>
      <c r="C978" s="337"/>
      <c r="D978" s="326" t="s">
        <v>371</v>
      </c>
      <c r="E978" s="334" t="s">
        <v>918</v>
      </c>
      <c r="F978" s="335">
        <v>9</v>
      </c>
      <c r="G978" s="335" t="s">
        <v>73</v>
      </c>
      <c r="H978" s="335">
        <v>9</v>
      </c>
      <c r="I978" s="335" t="s">
        <v>73</v>
      </c>
      <c r="J978" s="337"/>
      <c r="K978" s="680">
        <f t="shared" ref="K978:K998" si="126">$A$977*H978</f>
        <v>666</v>
      </c>
      <c r="L978" s="535"/>
      <c r="M978" s="552" t="str">
        <f t="shared" si="114"/>
        <v/>
      </c>
      <c r="N978" s="552"/>
      <c r="O978" s="552" t="str">
        <f t="shared" si="115"/>
        <v/>
      </c>
      <c r="P978" s="39"/>
    </row>
    <row r="979" spans="1:16" x14ac:dyDescent="0.35">
      <c r="A979" s="535" t="str">
        <f t="shared" si="116"/>
        <v/>
      </c>
      <c r="B979" s="330"/>
      <c r="C979" s="330"/>
      <c r="D979" s="326" t="s">
        <v>48</v>
      </c>
      <c r="E979" s="327" t="s">
        <v>809</v>
      </c>
      <c r="F979" s="328">
        <v>9</v>
      </c>
      <c r="G979" s="328" t="s">
        <v>73</v>
      </c>
      <c r="H979" s="328">
        <v>9</v>
      </c>
      <c r="I979" s="328" t="s">
        <v>73</v>
      </c>
      <c r="J979" s="330"/>
      <c r="K979" s="681">
        <f t="shared" si="126"/>
        <v>666</v>
      </c>
      <c r="L979" s="535"/>
      <c r="M979" s="552" t="str">
        <f t="shared" si="114"/>
        <v/>
      </c>
      <c r="N979" s="552"/>
      <c r="O979" s="552" t="str">
        <f t="shared" si="115"/>
        <v/>
      </c>
      <c r="P979" s="39"/>
    </row>
    <row r="980" spans="1:16" x14ac:dyDescent="0.35">
      <c r="A980" s="535" t="str">
        <f t="shared" si="116"/>
        <v/>
      </c>
      <c r="B980" s="337"/>
      <c r="C980" s="337"/>
      <c r="D980" s="326" t="s">
        <v>400</v>
      </c>
      <c r="E980" s="334" t="s">
        <v>974</v>
      </c>
      <c r="F980" s="335">
        <v>15</v>
      </c>
      <c r="G980" s="335" t="s">
        <v>73</v>
      </c>
      <c r="H980" s="335">
        <v>15</v>
      </c>
      <c r="I980" s="335" t="s">
        <v>73</v>
      </c>
      <c r="J980" s="337"/>
      <c r="K980" s="680">
        <f t="shared" si="126"/>
        <v>1110</v>
      </c>
      <c r="L980" s="535"/>
      <c r="M980" s="552" t="str">
        <f t="shared" si="114"/>
        <v/>
      </c>
      <c r="N980" s="552"/>
      <c r="O980" s="552" t="str">
        <f t="shared" si="115"/>
        <v/>
      </c>
      <c r="P980" s="39"/>
    </row>
    <row r="981" spans="1:16" x14ac:dyDescent="0.35">
      <c r="A981" s="535" t="str">
        <f t="shared" si="116"/>
        <v/>
      </c>
      <c r="B981" s="330"/>
      <c r="C981" s="330"/>
      <c r="D981" s="326" t="s">
        <v>511</v>
      </c>
      <c r="E981" s="327" t="s">
        <v>851</v>
      </c>
      <c r="F981" s="328">
        <v>7.5</v>
      </c>
      <c r="G981" s="328" t="s">
        <v>73</v>
      </c>
      <c r="H981" s="328">
        <v>7.5</v>
      </c>
      <c r="I981" s="328" t="s">
        <v>73</v>
      </c>
      <c r="J981" s="330"/>
      <c r="K981" s="681">
        <f t="shared" si="126"/>
        <v>555</v>
      </c>
      <c r="L981" s="535"/>
      <c r="M981" s="552" t="str">
        <f t="shared" si="114"/>
        <v/>
      </c>
      <c r="N981" s="552"/>
      <c r="O981" s="552" t="str">
        <f t="shared" si="115"/>
        <v/>
      </c>
      <c r="P981" s="39"/>
    </row>
    <row r="982" spans="1:16" x14ac:dyDescent="0.35">
      <c r="A982" s="535" t="str">
        <f t="shared" si="116"/>
        <v/>
      </c>
      <c r="B982" s="337"/>
      <c r="C982" s="337"/>
      <c r="D982" s="355"/>
      <c r="E982" s="355" t="s">
        <v>852</v>
      </c>
      <c r="F982" s="356">
        <v>20</v>
      </c>
      <c r="G982" s="356" t="s">
        <v>73</v>
      </c>
      <c r="H982" s="515"/>
      <c r="I982" s="515"/>
      <c r="J982" s="515"/>
      <c r="K982" s="684"/>
      <c r="L982" s="535"/>
      <c r="M982" s="552" t="str">
        <f t="shared" si="114"/>
        <v/>
      </c>
      <c r="N982" s="552"/>
      <c r="O982" s="552" t="str">
        <f t="shared" si="115"/>
        <v/>
      </c>
      <c r="P982" s="39"/>
    </row>
    <row r="983" spans="1:16" x14ac:dyDescent="0.35">
      <c r="A983" s="535" t="str">
        <f t="shared" si="116"/>
        <v/>
      </c>
      <c r="B983" s="330"/>
      <c r="C983" s="330"/>
      <c r="D983" s="326" t="s">
        <v>147</v>
      </c>
      <c r="E983" s="366" t="s">
        <v>843</v>
      </c>
      <c r="F983" s="328">
        <v>18.5</v>
      </c>
      <c r="G983" s="328" t="s">
        <v>73</v>
      </c>
      <c r="H983" s="328">
        <f>ROUND(($F$982)*((F983)/($F$983+$F$984+$F$985)),2)</f>
        <v>18.5</v>
      </c>
      <c r="I983" s="328" t="s">
        <v>73</v>
      </c>
      <c r="J983" s="330"/>
      <c r="K983" s="681">
        <f t="shared" si="126"/>
        <v>1369</v>
      </c>
      <c r="L983" s="535"/>
      <c r="M983" s="552" t="str">
        <f t="shared" si="114"/>
        <v/>
      </c>
      <c r="N983" s="552"/>
      <c r="O983" s="552" t="str">
        <f t="shared" si="115"/>
        <v/>
      </c>
      <c r="P983" s="39"/>
    </row>
    <row r="984" spans="1:16" x14ac:dyDescent="0.35">
      <c r="A984" s="535" t="str">
        <f t="shared" si="116"/>
        <v/>
      </c>
      <c r="B984" s="337"/>
      <c r="C984" s="337"/>
      <c r="D984" s="326" t="s">
        <v>385</v>
      </c>
      <c r="E984" s="360" t="s">
        <v>845</v>
      </c>
      <c r="F984" s="335">
        <v>0.5</v>
      </c>
      <c r="G984" s="335" t="s">
        <v>73</v>
      </c>
      <c r="H984" s="335">
        <f t="shared" ref="H984:H985" si="127">ROUND(($F$982)*((F984)/($F$983+$F$984+$F$985)),2)</f>
        <v>0.5</v>
      </c>
      <c r="I984" s="335" t="s">
        <v>73</v>
      </c>
      <c r="J984" s="337"/>
      <c r="K984" s="680">
        <f t="shared" si="126"/>
        <v>37</v>
      </c>
      <c r="L984" s="535"/>
      <c r="M984" s="552" t="str">
        <f t="shared" si="114"/>
        <v/>
      </c>
      <c r="N984" s="552"/>
      <c r="O984" s="552" t="str">
        <f t="shared" si="115"/>
        <v/>
      </c>
      <c r="P984" s="39"/>
    </row>
    <row r="985" spans="1:16" x14ac:dyDescent="0.35">
      <c r="A985" s="535" t="str">
        <f t="shared" si="116"/>
        <v/>
      </c>
      <c r="B985" s="330"/>
      <c r="C985" s="330"/>
      <c r="D985" s="326" t="s">
        <v>392</v>
      </c>
      <c r="E985" s="366" t="s">
        <v>844</v>
      </c>
      <c r="F985" s="328">
        <v>1</v>
      </c>
      <c r="G985" s="328" t="s">
        <v>73</v>
      </c>
      <c r="H985" s="328">
        <f t="shared" si="127"/>
        <v>1</v>
      </c>
      <c r="I985" s="328" t="s">
        <v>73</v>
      </c>
      <c r="J985" s="330"/>
      <c r="K985" s="681">
        <f t="shared" si="126"/>
        <v>74</v>
      </c>
      <c r="L985" s="535"/>
      <c r="M985" s="552" t="str">
        <f t="shared" si="114"/>
        <v/>
      </c>
      <c r="N985" s="552"/>
      <c r="O985" s="552" t="str">
        <f t="shared" si="115"/>
        <v/>
      </c>
      <c r="P985" s="39"/>
    </row>
    <row r="986" spans="1:16" x14ac:dyDescent="0.35">
      <c r="A986" s="535" t="str">
        <f t="shared" si="116"/>
        <v/>
      </c>
      <c r="B986" s="337"/>
      <c r="C986" s="337"/>
      <c r="D986" s="355"/>
      <c r="E986" s="355" t="s">
        <v>853</v>
      </c>
      <c r="F986" s="356">
        <v>50</v>
      </c>
      <c r="G986" s="356" t="s">
        <v>73</v>
      </c>
      <c r="H986" s="515"/>
      <c r="I986" s="356"/>
      <c r="J986" s="515"/>
      <c r="K986" s="684"/>
      <c r="L986" s="535"/>
      <c r="M986" s="552" t="str">
        <f t="shared" si="114"/>
        <v/>
      </c>
      <c r="N986" s="552"/>
      <c r="O986" s="552" t="str">
        <f t="shared" si="115"/>
        <v/>
      </c>
      <c r="P986" s="39"/>
    </row>
    <row r="987" spans="1:16" x14ac:dyDescent="0.35">
      <c r="A987" s="535" t="str">
        <f t="shared" si="116"/>
        <v/>
      </c>
      <c r="B987" s="330"/>
      <c r="C987" s="330"/>
      <c r="D987" s="326" t="s">
        <v>1068</v>
      </c>
      <c r="E987" s="366" t="s">
        <v>1069</v>
      </c>
      <c r="F987" s="328">
        <v>60</v>
      </c>
      <c r="G987" s="328" t="s">
        <v>73</v>
      </c>
      <c r="H987" s="328">
        <f>ROUND(($F$986)*((F987)/($F$987+$F$988+F$989+$F$990)),2)</f>
        <v>14.48</v>
      </c>
      <c r="I987" s="328" t="s">
        <v>73</v>
      </c>
      <c r="J987" s="330"/>
      <c r="K987" s="681">
        <f t="shared" si="126"/>
        <v>1071.52</v>
      </c>
      <c r="L987" s="535"/>
      <c r="M987" s="552" t="str">
        <f t="shared" ref="M987:M1021" si="128">IF(Q976&gt;0, Q976, "")</f>
        <v/>
      </c>
      <c r="N987" s="552"/>
      <c r="O987" s="552" t="str">
        <f t="shared" ref="O987:O1021" si="129">IF(V977&gt;0, V977, "")</f>
        <v/>
      </c>
      <c r="P987" s="39"/>
    </row>
    <row r="988" spans="1:16" x14ac:dyDescent="0.35">
      <c r="A988" s="535" t="str">
        <f t="shared" si="116"/>
        <v/>
      </c>
      <c r="B988" s="337"/>
      <c r="C988" s="337"/>
      <c r="D988" s="342"/>
      <c r="E988" s="362" t="s">
        <v>854</v>
      </c>
      <c r="F988" s="343">
        <v>90</v>
      </c>
      <c r="G988" s="343" t="s">
        <v>73</v>
      </c>
      <c r="H988" s="343">
        <f t="shared" ref="H988:H990" si="130">ROUND(($F$986)*((F988)/($F$987+$F$988+F$989+$F$990)),2)</f>
        <v>21.71</v>
      </c>
      <c r="I988" s="343"/>
      <c r="J988" s="345"/>
      <c r="K988" s="685"/>
      <c r="L988" s="535"/>
      <c r="M988" s="552" t="str">
        <f t="shared" si="128"/>
        <v/>
      </c>
      <c r="N988" s="552"/>
      <c r="O988" s="552" t="str">
        <f t="shared" si="129"/>
        <v/>
      </c>
      <c r="P988" s="39"/>
    </row>
    <row r="989" spans="1:16" x14ac:dyDescent="0.35">
      <c r="A989" s="535" t="str">
        <f t="shared" si="116"/>
        <v/>
      </c>
      <c r="B989" s="330"/>
      <c r="C989" s="330"/>
      <c r="D989" s="326" t="s">
        <v>45</v>
      </c>
      <c r="E989" s="366" t="s">
        <v>101</v>
      </c>
      <c r="F989" s="328">
        <v>1.5</v>
      </c>
      <c r="G989" s="328" t="s">
        <v>73</v>
      </c>
      <c r="H989" s="328">
        <f t="shared" si="130"/>
        <v>0.36</v>
      </c>
      <c r="I989" s="328" t="s">
        <v>73</v>
      </c>
      <c r="J989" s="330"/>
      <c r="K989" s="681">
        <f t="shared" si="126"/>
        <v>26.64</v>
      </c>
      <c r="L989" s="535"/>
      <c r="M989" s="552" t="str">
        <f t="shared" si="128"/>
        <v/>
      </c>
      <c r="N989" s="552"/>
      <c r="O989" s="552" t="str">
        <f t="shared" si="129"/>
        <v/>
      </c>
      <c r="P989" s="39"/>
    </row>
    <row r="990" spans="1:16" x14ac:dyDescent="0.35">
      <c r="A990" s="535" t="str">
        <f t="shared" si="116"/>
        <v/>
      </c>
      <c r="B990" s="337"/>
      <c r="C990" s="337"/>
      <c r="D990" s="326" t="s">
        <v>521</v>
      </c>
      <c r="E990" s="360" t="s">
        <v>855</v>
      </c>
      <c r="F990" s="335">
        <v>55.75</v>
      </c>
      <c r="G990" s="335" t="s">
        <v>73</v>
      </c>
      <c r="H990" s="335">
        <f t="shared" si="130"/>
        <v>13.45</v>
      </c>
      <c r="I990" s="335" t="s">
        <v>73</v>
      </c>
      <c r="J990" s="337"/>
      <c r="K990" s="680">
        <f t="shared" si="126"/>
        <v>995.3</v>
      </c>
      <c r="L990" s="535"/>
      <c r="M990" s="552" t="str">
        <f t="shared" si="128"/>
        <v/>
      </c>
      <c r="N990" s="552"/>
      <c r="O990" s="552" t="str">
        <f t="shared" si="129"/>
        <v/>
      </c>
      <c r="P990" s="39"/>
    </row>
    <row r="991" spans="1:16" x14ac:dyDescent="0.35">
      <c r="A991" s="535" t="str">
        <f t="shared" si="116"/>
        <v/>
      </c>
      <c r="B991" s="330"/>
      <c r="C991" s="330"/>
      <c r="D991" s="326" t="s">
        <v>54</v>
      </c>
      <c r="E991" s="327" t="s">
        <v>856</v>
      </c>
      <c r="F991" s="328">
        <v>30</v>
      </c>
      <c r="G991" s="328" t="s">
        <v>73</v>
      </c>
      <c r="H991" s="328">
        <v>30</v>
      </c>
      <c r="I991" s="328" t="s">
        <v>73</v>
      </c>
      <c r="J991" s="330"/>
      <c r="K991" s="681">
        <f t="shared" si="126"/>
        <v>2220</v>
      </c>
      <c r="L991" s="535"/>
      <c r="M991" s="552" t="str">
        <f t="shared" si="128"/>
        <v/>
      </c>
      <c r="N991" s="552"/>
      <c r="O991" s="552" t="str">
        <f t="shared" si="129"/>
        <v/>
      </c>
      <c r="P991" s="39"/>
    </row>
    <row r="992" spans="1:16" x14ac:dyDescent="0.35">
      <c r="A992" s="535" t="str">
        <f t="shared" si="116"/>
        <v/>
      </c>
      <c r="B992" s="337"/>
      <c r="C992" s="337"/>
      <c r="D992" s="326" t="s">
        <v>511</v>
      </c>
      <c r="E992" s="334" t="s">
        <v>851</v>
      </c>
      <c r="F992" s="335">
        <v>7.5</v>
      </c>
      <c r="G992" s="335" t="s">
        <v>73</v>
      </c>
      <c r="H992" s="335">
        <v>7.5</v>
      </c>
      <c r="I992" s="335" t="s">
        <v>73</v>
      </c>
      <c r="J992" s="337"/>
      <c r="K992" s="680">
        <f t="shared" si="126"/>
        <v>555</v>
      </c>
      <c r="L992" s="535"/>
      <c r="M992" s="552" t="str">
        <f t="shared" si="128"/>
        <v/>
      </c>
      <c r="N992" s="552"/>
      <c r="O992" s="552" t="str">
        <f t="shared" si="129"/>
        <v/>
      </c>
      <c r="P992" s="39"/>
    </row>
    <row r="993" spans="1:16" x14ac:dyDescent="0.35">
      <c r="A993" s="535" t="str">
        <f t="shared" si="116"/>
        <v/>
      </c>
      <c r="B993" s="330"/>
      <c r="C993" s="330"/>
      <c r="D993" s="355"/>
      <c r="E993" s="355" t="s">
        <v>853</v>
      </c>
      <c r="F993" s="356">
        <v>40</v>
      </c>
      <c r="G993" s="356" t="s">
        <v>73</v>
      </c>
      <c r="H993" s="515"/>
      <c r="I993" s="356"/>
      <c r="J993" s="515"/>
      <c r="K993" s="684"/>
      <c r="L993" s="535"/>
      <c r="M993" s="552" t="str">
        <f t="shared" si="128"/>
        <v/>
      </c>
      <c r="N993" s="552"/>
      <c r="O993" s="552" t="str">
        <f t="shared" si="129"/>
        <v/>
      </c>
      <c r="P993" s="39"/>
    </row>
    <row r="994" spans="1:16" x14ac:dyDescent="0.35">
      <c r="A994" s="535" t="str">
        <f t="shared" si="116"/>
        <v/>
      </c>
      <c r="B994" s="337"/>
      <c r="C994" s="337"/>
      <c r="D994" s="326" t="s">
        <v>1068</v>
      </c>
      <c r="E994" s="360" t="s">
        <v>1069</v>
      </c>
      <c r="F994" s="335">
        <v>60</v>
      </c>
      <c r="G994" s="335" t="s">
        <v>73</v>
      </c>
      <c r="H994" s="335">
        <f>ROUND(($F$993)*((F994)/($F$994+$F$995+F$996+$F$997)),2)</f>
        <v>11.58</v>
      </c>
      <c r="I994" s="335" t="s">
        <v>73</v>
      </c>
      <c r="J994" s="337"/>
      <c r="K994" s="680">
        <f t="shared" si="126"/>
        <v>856.92</v>
      </c>
      <c r="L994" s="535"/>
      <c r="M994" s="552" t="str">
        <f t="shared" si="128"/>
        <v/>
      </c>
      <c r="N994" s="552"/>
      <c r="O994" s="552" t="str">
        <f t="shared" si="129"/>
        <v/>
      </c>
      <c r="P994" s="39"/>
    </row>
    <row r="995" spans="1:16" x14ac:dyDescent="0.35">
      <c r="A995" s="535" t="str">
        <f>IFERROR(INDEX($Q$17:$Q$41,MATCH(B995,$R$17:$R$41, 0)), "")</f>
        <v/>
      </c>
      <c r="B995" s="330"/>
      <c r="C995" s="330"/>
      <c r="D995" s="342"/>
      <c r="E995" s="362" t="s">
        <v>854</v>
      </c>
      <c r="F995" s="343">
        <v>90</v>
      </c>
      <c r="G995" s="343" t="s">
        <v>73</v>
      </c>
      <c r="H995" s="343">
        <f t="shared" ref="H995:H997" si="131">ROUND(($F$993)*((F995)/($F$994+$F$995+F$996+$F$997)),2)</f>
        <v>17.37</v>
      </c>
      <c r="I995" s="343"/>
      <c r="J995" s="345"/>
      <c r="K995" s="685"/>
      <c r="L995" s="535"/>
      <c r="M995" s="552" t="str">
        <f t="shared" si="128"/>
        <v/>
      </c>
      <c r="N995" s="552"/>
      <c r="O995" s="552" t="str">
        <f t="shared" si="129"/>
        <v/>
      </c>
      <c r="P995" s="39"/>
    </row>
    <row r="996" spans="1:16" x14ac:dyDescent="0.35">
      <c r="A996" s="535" t="str">
        <f>IFERROR(INDEX($Q$17:$Q$41,MATCH(B996,$R$17:$R$41, 0)), "")</f>
        <v/>
      </c>
      <c r="B996" s="337"/>
      <c r="C996" s="337"/>
      <c r="D996" s="326" t="s">
        <v>45</v>
      </c>
      <c r="E996" s="360" t="s">
        <v>101</v>
      </c>
      <c r="F996" s="335">
        <v>1.5</v>
      </c>
      <c r="G996" s="335" t="s">
        <v>73</v>
      </c>
      <c r="H996" s="335">
        <f t="shared" si="131"/>
        <v>0.28999999999999998</v>
      </c>
      <c r="I996" s="335" t="s">
        <v>73</v>
      </c>
      <c r="J996" s="337"/>
      <c r="K996" s="680">
        <f t="shared" si="126"/>
        <v>21.459999999999997</v>
      </c>
      <c r="L996" s="535"/>
      <c r="M996" s="552" t="str">
        <f t="shared" si="128"/>
        <v/>
      </c>
      <c r="N996" s="552"/>
      <c r="O996" s="552" t="str">
        <f t="shared" si="129"/>
        <v/>
      </c>
      <c r="P996" s="39"/>
    </row>
    <row r="997" spans="1:16" x14ac:dyDescent="0.35">
      <c r="A997" s="535" t="str">
        <f>IFERROR(INDEX($Q$17:$Q$41,MATCH(B997,$R$17:$R$41, 0)), "")</f>
        <v/>
      </c>
      <c r="B997" s="330"/>
      <c r="C997" s="330"/>
      <c r="D997" s="326" t="s">
        <v>521</v>
      </c>
      <c r="E997" s="366" t="s">
        <v>855</v>
      </c>
      <c r="F997" s="328">
        <v>55.75</v>
      </c>
      <c r="G997" s="328" t="s">
        <v>73</v>
      </c>
      <c r="H997" s="328">
        <f t="shared" si="131"/>
        <v>10.76</v>
      </c>
      <c r="I997" s="328" t="s">
        <v>73</v>
      </c>
      <c r="J997" s="330"/>
      <c r="K997" s="681">
        <f t="shared" si="126"/>
        <v>796.24</v>
      </c>
      <c r="L997" s="535"/>
      <c r="M997" s="552" t="str">
        <f t="shared" si="128"/>
        <v/>
      </c>
      <c r="N997" s="552"/>
      <c r="O997" s="552" t="str">
        <f t="shared" si="129"/>
        <v/>
      </c>
      <c r="P997" s="39"/>
    </row>
    <row r="998" spans="1:16" x14ac:dyDescent="0.35">
      <c r="A998" s="535" t="str">
        <f>IFERROR(INDEX($Q$17:$Q$41,MATCH(B998,$R$17:$R$41, 0)), "")</f>
        <v/>
      </c>
      <c r="B998" s="337"/>
      <c r="C998" s="337"/>
      <c r="D998" s="326" t="s">
        <v>143</v>
      </c>
      <c r="E998" s="334" t="s">
        <v>144</v>
      </c>
      <c r="F998" s="335">
        <v>2</v>
      </c>
      <c r="G998" s="335" t="s">
        <v>74</v>
      </c>
      <c r="H998" s="335">
        <v>2</v>
      </c>
      <c r="I998" s="335" t="s">
        <v>73</v>
      </c>
      <c r="J998" s="337"/>
      <c r="K998" s="680">
        <f t="shared" si="126"/>
        <v>148</v>
      </c>
      <c r="L998" s="535"/>
      <c r="M998" s="552" t="str">
        <f t="shared" si="128"/>
        <v/>
      </c>
      <c r="N998" s="552"/>
      <c r="O998" s="552" t="str">
        <f t="shared" si="129"/>
        <v/>
      </c>
      <c r="P998" s="39"/>
    </row>
    <row r="999" spans="1:16" x14ac:dyDescent="0.35">
      <c r="A999" s="545" t="str">
        <f>IFERROR(INDEX($Q$17:$Q$41,MATCH(B999,$R$17:$R$41, 0)), "")</f>
        <v/>
      </c>
      <c r="B999" s="546"/>
      <c r="C999" s="546"/>
      <c r="D999" s="545"/>
      <c r="E999" s="545"/>
      <c r="F999" s="579"/>
      <c r="G999" s="546"/>
      <c r="H999" s="546"/>
      <c r="I999" s="546"/>
      <c r="J999" s="546"/>
      <c r="K999" s="676"/>
      <c r="L999" s="535"/>
      <c r="M999" s="552" t="str">
        <f t="shared" si="128"/>
        <v/>
      </c>
      <c r="N999" s="552"/>
      <c r="O999" s="552" t="str">
        <f t="shared" si="129"/>
        <v/>
      </c>
      <c r="P999" s="39"/>
    </row>
    <row r="1000" spans="1:16" x14ac:dyDescent="0.35">
      <c r="A1000" s="565">
        <f>IFERROR(INDEX($Q$17:$Q$150,MATCH(B1000,$R$17:$R$150, 0)), "")</f>
        <v>31</v>
      </c>
      <c r="B1000" s="382" t="s">
        <v>1352</v>
      </c>
      <c r="C1000" s="325" t="s">
        <v>859</v>
      </c>
      <c r="D1000" s="355"/>
      <c r="E1000" s="355" t="s">
        <v>852</v>
      </c>
      <c r="F1000" s="356">
        <v>20</v>
      </c>
      <c r="G1000" s="356" t="s">
        <v>73</v>
      </c>
      <c r="H1000" s="515"/>
      <c r="I1000" s="515"/>
      <c r="J1000" s="515"/>
      <c r="K1000" s="684"/>
      <c r="L1000" s="535"/>
      <c r="M1000" s="552" t="str">
        <f t="shared" si="128"/>
        <v/>
      </c>
      <c r="N1000" s="552"/>
      <c r="O1000" s="552" t="str">
        <f t="shared" si="129"/>
        <v/>
      </c>
      <c r="P1000" s="39"/>
    </row>
    <row r="1001" spans="1:16" x14ac:dyDescent="0.35">
      <c r="A1001" s="535" t="str">
        <f>IFERROR(INDEX($Q$17:$Q$41,MATCH(B1001,$R$17:$R$41, 0)), "")</f>
        <v/>
      </c>
      <c r="B1001" s="330"/>
      <c r="C1001" s="330"/>
      <c r="D1001" s="326" t="s">
        <v>147</v>
      </c>
      <c r="E1001" s="366" t="s">
        <v>843</v>
      </c>
      <c r="F1001" s="328">
        <v>18.5</v>
      </c>
      <c r="G1001" s="328" t="s">
        <v>73</v>
      </c>
      <c r="H1001" s="328">
        <f>ROUND(($F$1000)*((F1001)/($F$1001+$F$1002+$F$1003)),2)</f>
        <v>18.5</v>
      </c>
      <c r="I1001" s="328" t="s">
        <v>73</v>
      </c>
      <c r="J1001" s="330"/>
      <c r="K1001" s="681">
        <f t="shared" ref="K1001:K1004" si="132">$A$1000*H1001</f>
        <v>573.5</v>
      </c>
      <c r="L1001" s="535"/>
      <c r="M1001" s="552" t="str">
        <f t="shared" si="128"/>
        <v/>
      </c>
      <c r="N1001" s="552"/>
      <c r="O1001" s="552" t="str">
        <f t="shared" si="129"/>
        <v/>
      </c>
      <c r="P1001" s="39"/>
    </row>
    <row r="1002" spans="1:16" x14ac:dyDescent="0.35">
      <c r="A1002" s="535" t="str">
        <f>IFERROR(INDEX($Q$17:$Q$41,MATCH(B1002,$R$17:$R$41, 0)), "")</f>
        <v/>
      </c>
      <c r="B1002" s="337"/>
      <c r="C1002" s="337"/>
      <c r="D1002" s="326" t="s">
        <v>385</v>
      </c>
      <c r="E1002" s="360" t="s">
        <v>845</v>
      </c>
      <c r="F1002" s="335">
        <v>0.5</v>
      </c>
      <c r="G1002" s="335" t="s">
        <v>73</v>
      </c>
      <c r="H1002" s="335">
        <f t="shared" ref="H1002:H1003" si="133">ROUND(($F$1000)*((F1002)/($F$1001+$F$1002+$F$1003)),2)</f>
        <v>0.5</v>
      </c>
      <c r="I1002" s="335" t="s">
        <v>73</v>
      </c>
      <c r="J1002" s="337"/>
      <c r="K1002" s="680">
        <f t="shared" si="132"/>
        <v>15.5</v>
      </c>
      <c r="L1002" s="535"/>
      <c r="M1002" s="552" t="str">
        <f t="shared" si="128"/>
        <v/>
      </c>
      <c r="N1002" s="552"/>
      <c r="O1002" s="552" t="str">
        <f t="shared" si="129"/>
        <v/>
      </c>
      <c r="P1002" s="39"/>
    </row>
    <row r="1003" spans="1:16" x14ac:dyDescent="0.35">
      <c r="A1003" s="535" t="str">
        <f>IFERROR(INDEX($Q$17:$Q$41,MATCH(B1003,$R$17:$R$41, 0)), "")</f>
        <v/>
      </c>
      <c r="B1003" s="330"/>
      <c r="C1003" s="330"/>
      <c r="D1003" s="326" t="s">
        <v>392</v>
      </c>
      <c r="E1003" s="366" t="s">
        <v>844</v>
      </c>
      <c r="F1003" s="328">
        <v>1</v>
      </c>
      <c r="G1003" s="328" t="s">
        <v>73</v>
      </c>
      <c r="H1003" s="328">
        <f t="shared" si="133"/>
        <v>1</v>
      </c>
      <c r="I1003" s="328" t="s">
        <v>73</v>
      </c>
      <c r="J1003" s="330"/>
      <c r="K1003" s="681">
        <f t="shared" si="132"/>
        <v>31</v>
      </c>
      <c r="L1003" s="535"/>
      <c r="M1003" s="552" t="str">
        <f t="shared" si="128"/>
        <v/>
      </c>
      <c r="N1003" s="552"/>
      <c r="O1003" s="552" t="str">
        <f t="shared" si="129"/>
        <v/>
      </c>
      <c r="P1003" s="39"/>
    </row>
    <row r="1004" spans="1:16" x14ac:dyDescent="0.35">
      <c r="A1004" s="535" t="str">
        <f>IFERROR(INDEX($Q$17:$Q$41,MATCH(B1004,$R$17:$R$41, 0)), "")</f>
        <v/>
      </c>
      <c r="B1004" s="337"/>
      <c r="C1004" s="337"/>
      <c r="D1004" s="326" t="s">
        <v>143</v>
      </c>
      <c r="E1004" s="334" t="s">
        <v>144</v>
      </c>
      <c r="F1004" s="335">
        <v>6</v>
      </c>
      <c r="G1004" s="335" t="s">
        <v>74</v>
      </c>
      <c r="H1004" s="335">
        <v>6</v>
      </c>
      <c r="I1004" s="335" t="s">
        <v>74</v>
      </c>
      <c r="J1004" s="337"/>
      <c r="K1004" s="680">
        <f t="shared" si="132"/>
        <v>186</v>
      </c>
      <c r="L1004" s="535"/>
      <c r="M1004" s="552" t="str">
        <f t="shared" si="128"/>
        <v/>
      </c>
      <c r="N1004" s="552"/>
      <c r="O1004" s="552" t="str">
        <f t="shared" si="129"/>
        <v/>
      </c>
      <c r="P1004" s="39"/>
    </row>
    <row r="1005" spans="1:16" x14ac:dyDescent="0.35">
      <c r="A1005" s="545" t="str">
        <f>IFERROR(INDEX($Q$17:$Q$41,MATCH(B1005,$R$17:$R$41, 0)), "")</f>
        <v/>
      </c>
      <c r="B1005" s="546"/>
      <c r="C1005" s="546"/>
      <c r="D1005" s="545"/>
      <c r="E1005" s="545"/>
      <c r="F1005" s="546"/>
      <c r="G1005" s="546"/>
      <c r="H1005" s="546"/>
      <c r="I1005" s="546"/>
      <c r="J1005" s="546"/>
      <c r="K1005" s="676"/>
      <c r="L1005" s="535"/>
      <c r="M1005" s="552" t="str">
        <f t="shared" si="128"/>
        <v/>
      </c>
      <c r="N1005" s="552"/>
      <c r="O1005" s="552" t="str">
        <f t="shared" si="129"/>
        <v/>
      </c>
      <c r="P1005" s="39"/>
    </row>
    <row r="1006" spans="1:16" x14ac:dyDescent="0.35">
      <c r="A1006" s="565">
        <f>IFERROR(INDEX($Q$17:$Q$150,MATCH(B1006,$R$17:$R$150, 0)), "")</f>
        <v>26</v>
      </c>
      <c r="B1006" s="382" t="s">
        <v>1363</v>
      </c>
      <c r="C1006" s="325" t="s">
        <v>860</v>
      </c>
      <c r="D1006" s="326" t="s">
        <v>491</v>
      </c>
      <c r="E1006" s="334" t="s">
        <v>861</v>
      </c>
      <c r="F1006" s="335">
        <v>1.5</v>
      </c>
      <c r="G1006" s="335" t="s">
        <v>1072</v>
      </c>
      <c r="H1006" s="335">
        <v>1.5</v>
      </c>
      <c r="I1006" s="335" t="s">
        <v>1072</v>
      </c>
      <c r="J1006" s="337"/>
      <c r="K1006" s="680">
        <f>$A$1006*H1006</f>
        <v>39</v>
      </c>
      <c r="L1006" s="535"/>
      <c r="M1006" s="552" t="str">
        <f t="shared" si="128"/>
        <v/>
      </c>
      <c r="N1006" s="552"/>
      <c r="O1006" s="552" t="str">
        <f t="shared" si="129"/>
        <v/>
      </c>
      <c r="P1006" s="39"/>
    </row>
    <row r="1007" spans="1:16" x14ac:dyDescent="0.35">
      <c r="A1007" s="535" t="str">
        <f t="shared" ref="A1007:A1012" si="134">IFERROR(INDEX($Q$17:$Q$41,MATCH(B1007,$R$17:$R$41, 0)), "")</f>
        <v/>
      </c>
      <c r="B1007" s="330"/>
      <c r="C1007" s="330"/>
      <c r="D1007" s="355"/>
      <c r="E1007" s="549" t="s">
        <v>853</v>
      </c>
      <c r="F1007" s="356">
        <v>24</v>
      </c>
      <c r="G1007" s="356" t="s">
        <v>73</v>
      </c>
      <c r="H1007" s="515"/>
      <c r="I1007" s="515"/>
      <c r="J1007" s="515"/>
      <c r="K1007" s="684"/>
      <c r="L1007" s="535"/>
      <c r="M1007" s="552" t="str">
        <f t="shared" si="128"/>
        <v/>
      </c>
      <c r="N1007" s="552"/>
      <c r="O1007" s="552" t="str">
        <f t="shared" si="129"/>
        <v/>
      </c>
      <c r="P1007" s="39"/>
    </row>
    <row r="1008" spans="1:16" x14ac:dyDescent="0.35">
      <c r="A1008" s="535" t="str">
        <f t="shared" si="134"/>
        <v/>
      </c>
      <c r="B1008" s="337"/>
      <c r="C1008" s="337"/>
      <c r="D1008" s="326" t="s">
        <v>1068</v>
      </c>
      <c r="E1008" s="360" t="s">
        <v>1069</v>
      </c>
      <c r="F1008" s="335">
        <v>60</v>
      </c>
      <c r="G1008" s="335" t="s">
        <v>73</v>
      </c>
      <c r="H1008" s="335">
        <f>ROUND(($F$1007)*((F1008)/($F$1008+$F$1009+F$1010+$F$1011)),2)</f>
        <v>6.95</v>
      </c>
      <c r="I1008" s="335" t="s">
        <v>73</v>
      </c>
      <c r="J1008" s="337"/>
      <c r="K1008" s="680">
        <f t="shared" ref="K1008:K1011" si="135">$A$1006*H1008</f>
        <v>180.70000000000002</v>
      </c>
      <c r="L1008" s="535"/>
      <c r="M1008" s="552" t="str">
        <f t="shared" si="128"/>
        <v/>
      </c>
      <c r="N1008" s="552"/>
      <c r="O1008" s="552" t="str">
        <f t="shared" si="129"/>
        <v/>
      </c>
      <c r="P1008" s="39"/>
    </row>
    <row r="1009" spans="1:16" x14ac:dyDescent="0.35">
      <c r="A1009" s="535" t="str">
        <f t="shared" si="134"/>
        <v/>
      </c>
      <c r="B1009" s="330"/>
      <c r="C1009" s="330"/>
      <c r="D1009" s="342"/>
      <c r="E1009" s="362" t="s">
        <v>854</v>
      </c>
      <c r="F1009" s="343">
        <v>90</v>
      </c>
      <c r="G1009" s="343" t="s">
        <v>73</v>
      </c>
      <c r="H1009" s="343">
        <f t="shared" ref="H1009:H1011" si="136">ROUND(($F$1007)*((F1009)/($F$1008+$F$1009+F$1010+$F$1011)),2)</f>
        <v>10.42</v>
      </c>
      <c r="I1009" s="343"/>
      <c r="J1009" s="345"/>
      <c r="K1009" s="685"/>
      <c r="L1009" s="535"/>
      <c r="M1009" s="552" t="str">
        <f t="shared" si="128"/>
        <v/>
      </c>
      <c r="N1009" s="552"/>
      <c r="O1009" s="552" t="str">
        <f t="shared" si="129"/>
        <v/>
      </c>
      <c r="P1009" s="39"/>
    </row>
    <row r="1010" spans="1:16" x14ac:dyDescent="0.35">
      <c r="A1010" s="535" t="str">
        <f t="shared" si="134"/>
        <v/>
      </c>
      <c r="B1010" s="337"/>
      <c r="C1010" s="337"/>
      <c r="D1010" s="326" t="s">
        <v>45</v>
      </c>
      <c r="E1010" s="360" t="s">
        <v>101</v>
      </c>
      <c r="F1010" s="335">
        <v>1.5</v>
      </c>
      <c r="G1010" s="335" t="s">
        <v>73</v>
      </c>
      <c r="H1010" s="335">
        <f t="shared" si="136"/>
        <v>0.17</v>
      </c>
      <c r="I1010" s="335" t="s">
        <v>73</v>
      </c>
      <c r="J1010" s="337"/>
      <c r="K1010" s="680">
        <f t="shared" si="135"/>
        <v>4.42</v>
      </c>
      <c r="L1010" s="535"/>
      <c r="M1010" s="552" t="str">
        <f t="shared" si="128"/>
        <v/>
      </c>
      <c r="N1010" s="552"/>
      <c r="O1010" s="552" t="str">
        <f t="shared" si="129"/>
        <v/>
      </c>
      <c r="P1010" s="39"/>
    </row>
    <row r="1011" spans="1:16" ht="15" thickBot="1" x14ac:dyDescent="0.4">
      <c r="A1011" s="609" t="str">
        <f t="shared" si="134"/>
        <v/>
      </c>
      <c r="B1011" s="610"/>
      <c r="C1011" s="610"/>
      <c r="D1011" s="326" t="s">
        <v>521</v>
      </c>
      <c r="E1011" s="611" t="s">
        <v>855</v>
      </c>
      <c r="F1011" s="612">
        <v>55.75</v>
      </c>
      <c r="G1011" s="612" t="s">
        <v>73</v>
      </c>
      <c r="H1011" s="328">
        <f t="shared" si="136"/>
        <v>6.46</v>
      </c>
      <c r="I1011" s="328" t="s">
        <v>73</v>
      </c>
      <c r="J1011" s="610"/>
      <c r="K1011" s="681">
        <f t="shared" si="135"/>
        <v>167.96</v>
      </c>
      <c r="L1011" s="535"/>
      <c r="M1011" s="552" t="str">
        <f t="shared" si="128"/>
        <v/>
      </c>
      <c r="N1011" s="552"/>
      <c r="O1011" s="552" t="str">
        <f t="shared" si="129"/>
        <v/>
      </c>
      <c r="P1011" s="39"/>
    </row>
    <row r="1012" spans="1:16" ht="15.5" thickTop="1" thickBot="1" x14ac:dyDescent="0.4">
      <c r="A1012" s="613" t="str">
        <f t="shared" si="134"/>
        <v/>
      </c>
      <c r="B1012" s="546"/>
      <c r="C1012" s="546"/>
      <c r="D1012" s="547"/>
      <c r="E1012" s="562"/>
      <c r="F1012" s="546"/>
      <c r="G1012" s="546"/>
      <c r="H1012" s="546"/>
      <c r="I1012" s="546"/>
      <c r="J1012" s="546"/>
      <c r="K1012" s="676"/>
      <c r="L1012" s="535"/>
      <c r="M1012" s="552" t="str">
        <f t="shared" si="128"/>
        <v/>
      </c>
      <c r="N1012" s="552"/>
      <c r="O1012" s="552" t="str">
        <f t="shared" si="129"/>
        <v/>
      </c>
      <c r="P1012" s="39"/>
    </row>
    <row r="1013" spans="1:16" ht="15" thickTop="1" x14ac:dyDescent="0.35">
      <c r="A1013" s="565">
        <f>IFERROR(INDEX($Q$17:$Q$150,MATCH(B1013,$R$17:$R$150, 0)), "")</f>
        <v>16</v>
      </c>
      <c r="B1013" s="382" t="s">
        <v>1356</v>
      </c>
      <c r="C1013" s="325" t="s">
        <v>862</v>
      </c>
      <c r="D1013" s="347" t="s">
        <v>402</v>
      </c>
      <c r="E1013" s="327" t="s">
        <v>403</v>
      </c>
      <c r="F1013" s="328">
        <v>180</v>
      </c>
      <c r="G1013" s="328" t="s">
        <v>73</v>
      </c>
      <c r="H1013" s="328">
        <v>180</v>
      </c>
      <c r="I1013" s="328" t="s">
        <v>73</v>
      </c>
      <c r="J1013" s="330"/>
      <c r="K1013" s="681">
        <f>$A$1013*H1013</f>
        <v>2880</v>
      </c>
      <c r="L1013" s="535"/>
      <c r="M1013" s="552" t="str">
        <f t="shared" si="128"/>
        <v/>
      </c>
      <c r="N1013" s="552"/>
      <c r="O1013" s="552" t="str">
        <f t="shared" si="129"/>
        <v/>
      </c>
      <c r="P1013" s="39"/>
    </row>
    <row r="1014" spans="1:16" x14ac:dyDescent="0.35">
      <c r="A1014" s="535" t="str">
        <f t="shared" ref="A1014:A1035" si="137">IFERROR(INDEX($Q$17:$Q$41,MATCH(B1014,$R$17:$R$41, 0)), "")</f>
        <v/>
      </c>
      <c r="B1014" s="337"/>
      <c r="C1014" s="337"/>
      <c r="D1014" s="326" t="s">
        <v>505</v>
      </c>
      <c r="E1014" s="334" t="s">
        <v>806</v>
      </c>
      <c r="F1014" s="335">
        <v>0.3</v>
      </c>
      <c r="G1014" s="335" t="s">
        <v>73</v>
      </c>
      <c r="H1014" s="335">
        <v>0.3</v>
      </c>
      <c r="I1014" s="335" t="s">
        <v>73</v>
      </c>
      <c r="J1014" s="337"/>
      <c r="K1014" s="680">
        <f t="shared" ref="K1014:K1028" si="138">$A$1013*H1014</f>
        <v>4.8</v>
      </c>
      <c r="L1014" s="535"/>
      <c r="M1014" s="552" t="str">
        <f t="shared" si="128"/>
        <v/>
      </c>
      <c r="N1014" s="552"/>
      <c r="O1014" s="552" t="str">
        <f t="shared" si="129"/>
        <v/>
      </c>
      <c r="P1014" s="39"/>
    </row>
    <row r="1015" spans="1:16" x14ac:dyDescent="0.35">
      <c r="A1015" s="535" t="str">
        <f t="shared" si="137"/>
        <v/>
      </c>
      <c r="B1015" s="330"/>
      <c r="C1015" s="330"/>
      <c r="D1015" s="326" t="s">
        <v>392</v>
      </c>
      <c r="E1015" s="327" t="s">
        <v>798</v>
      </c>
      <c r="F1015" s="328">
        <v>0.3</v>
      </c>
      <c r="G1015" s="328" t="s">
        <v>73</v>
      </c>
      <c r="H1015" s="328">
        <v>0.3</v>
      </c>
      <c r="I1015" s="328" t="s">
        <v>73</v>
      </c>
      <c r="J1015" s="330"/>
      <c r="K1015" s="681">
        <f t="shared" si="138"/>
        <v>4.8</v>
      </c>
      <c r="L1015" s="535"/>
      <c r="M1015" s="552" t="str">
        <f t="shared" si="128"/>
        <v/>
      </c>
      <c r="N1015" s="552"/>
      <c r="O1015" s="552" t="str">
        <f t="shared" si="129"/>
        <v/>
      </c>
      <c r="P1015" s="39"/>
    </row>
    <row r="1016" spans="1:16" x14ac:dyDescent="0.35">
      <c r="A1016" s="535" t="str">
        <f t="shared" si="137"/>
        <v/>
      </c>
      <c r="B1016" s="337"/>
      <c r="C1016" s="337"/>
      <c r="D1016" s="355"/>
      <c r="E1016" s="355" t="s">
        <v>863</v>
      </c>
      <c r="F1016" s="356">
        <v>10</v>
      </c>
      <c r="G1016" s="356" t="s">
        <v>73</v>
      </c>
      <c r="H1016" s="515"/>
      <c r="I1016" s="515"/>
      <c r="J1016" s="515"/>
      <c r="K1016" s="684"/>
      <c r="L1016" s="535"/>
      <c r="M1016" s="552" t="str">
        <f t="shared" si="128"/>
        <v/>
      </c>
      <c r="N1016" s="552"/>
      <c r="O1016" s="552" t="str">
        <f t="shared" si="129"/>
        <v/>
      </c>
      <c r="P1016" s="39"/>
    </row>
    <row r="1017" spans="1:16" x14ac:dyDescent="0.35">
      <c r="A1017" s="535" t="str">
        <f t="shared" si="137"/>
        <v/>
      </c>
      <c r="B1017" s="330"/>
      <c r="C1017" s="330"/>
      <c r="D1017" s="326" t="s">
        <v>59</v>
      </c>
      <c r="E1017" s="366" t="s">
        <v>864</v>
      </c>
      <c r="F1017" s="328">
        <v>100</v>
      </c>
      <c r="G1017" s="328" t="s">
        <v>73</v>
      </c>
      <c r="H1017" s="328">
        <f>ROUND(($F$1016)*((F1017)/($F$1017+$F$1018+$F$1019+$F$1020+$F$1021)),2)</f>
        <v>6.76</v>
      </c>
      <c r="I1017" s="328" t="s">
        <v>73</v>
      </c>
      <c r="J1017" s="330"/>
      <c r="K1017" s="681">
        <f t="shared" si="138"/>
        <v>108.16</v>
      </c>
      <c r="L1017" s="535"/>
      <c r="M1017" s="552" t="str">
        <f t="shared" si="128"/>
        <v/>
      </c>
      <c r="N1017" s="552"/>
      <c r="O1017" s="552" t="str">
        <f t="shared" si="129"/>
        <v/>
      </c>
      <c r="P1017" s="39"/>
    </row>
    <row r="1018" spans="1:16" x14ac:dyDescent="0.35">
      <c r="A1018" s="535" t="str">
        <f t="shared" si="137"/>
        <v/>
      </c>
      <c r="B1018" s="337"/>
      <c r="C1018" s="337"/>
      <c r="D1018" s="326" t="s">
        <v>45</v>
      </c>
      <c r="E1018" s="360" t="s">
        <v>321</v>
      </c>
      <c r="F1018" s="335">
        <v>3</v>
      </c>
      <c r="G1018" s="335" t="s">
        <v>73</v>
      </c>
      <c r="H1018" s="335">
        <f t="shared" ref="H1018:H1021" si="139">ROUND(($F$1016)*((F1018)/($F$1017+$F$1018+$F$1019+$F$1020+$F$1021)),2)</f>
        <v>0.2</v>
      </c>
      <c r="I1018" s="335" t="s">
        <v>73</v>
      </c>
      <c r="J1018" s="337"/>
      <c r="K1018" s="680">
        <f t="shared" si="138"/>
        <v>3.2</v>
      </c>
      <c r="L1018" s="535"/>
      <c r="M1018" s="552" t="str">
        <f t="shared" si="128"/>
        <v/>
      </c>
      <c r="N1018" s="552"/>
      <c r="O1018" s="552" t="str">
        <f t="shared" si="129"/>
        <v/>
      </c>
      <c r="P1018" s="39"/>
    </row>
    <row r="1019" spans="1:16" x14ac:dyDescent="0.35">
      <c r="A1019" s="535" t="str">
        <f t="shared" si="137"/>
        <v/>
      </c>
      <c r="B1019" s="330"/>
      <c r="C1019" s="330"/>
      <c r="D1019" s="326" t="s">
        <v>42</v>
      </c>
      <c r="E1019" s="366" t="s">
        <v>330</v>
      </c>
      <c r="F1019" s="328">
        <v>3</v>
      </c>
      <c r="G1019" s="328" t="s">
        <v>73</v>
      </c>
      <c r="H1019" s="328">
        <f t="shared" si="139"/>
        <v>0.2</v>
      </c>
      <c r="I1019" s="328" t="s">
        <v>73</v>
      </c>
      <c r="J1019" s="330"/>
      <c r="K1019" s="681">
        <f t="shared" si="138"/>
        <v>3.2</v>
      </c>
      <c r="L1019" s="535"/>
      <c r="M1019" s="552" t="str">
        <f t="shared" si="128"/>
        <v/>
      </c>
      <c r="N1019" s="552"/>
      <c r="O1019" s="552" t="str">
        <f t="shared" si="129"/>
        <v/>
      </c>
      <c r="P1019" s="39"/>
    </row>
    <row r="1020" spans="1:16" x14ac:dyDescent="0.35">
      <c r="A1020" s="593" t="str">
        <f t="shared" si="137"/>
        <v/>
      </c>
      <c r="B1020" s="337"/>
      <c r="C1020" s="337"/>
      <c r="D1020" s="326" t="s">
        <v>333</v>
      </c>
      <c r="E1020" s="360" t="s">
        <v>334</v>
      </c>
      <c r="F1020" s="335">
        <v>6</v>
      </c>
      <c r="G1020" s="335" t="s">
        <v>73</v>
      </c>
      <c r="H1020" s="335">
        <f t="shared" si="139"/>
        <v>0.41</v>
      </c>
      <c r="I1020" s="335" t="s">
        <v>73</v>
      </c>
      <c r="J1020" s="337"/>
      <c r="K1020" s="680">
        <f t="shared" si="138"/>
        <v>6.56</v>
      </c>
      <c r="L1020" s="535"/>
      <c r="M1020" s="552" t="str">
        <f t="shared" si="128"/>
        <v/>
      </c>
      <c r="N1020" s="552"/>
      <c r="O1020" s="552" t="str">
        <f t="shared" si="129"/>
        <v/>
      </c>
      <c r="P1020" s="49"/>
    </row>
    <row r="1021" spans="1:16" x14ac:dyDescent="0.35">
      <c r="A1021" s="593" t="str">
        <f t="shared" si="137"/>
        <v/>
      </c>
      <c r="B1021" s="330"/>
      <c r="C1021" s="330"/>
      <c r="D1021" s="342"/>
      <c r="E1021" s="362" t="s">
        <v>950</v>
      </c>
      <c r="F1021" s="343">
        <v>36</v>
      </c>
      <c r="G1021" s="343" t="s">
        <v>73</v>
      </c>
      <c r="H1021" s="343">
        <f t="shared" si="139"/>
        <v>2.4300000000000002</v>
      </c>
      <c r="I1021" s="343"/>
      <c r="J1021" s="345"/>
      <c r="K1021" s="685"/>
      <c r="L1021" s="535"/>
      <c r="M1021" s="552" t="str">
        <f t="shared" si="128"/>
        <v/>
      </c>
      <c r="N1021" s="552"/>
      <c r="O1021" s="552" t="str">
        <f t="shared" si="129"/>
        <v/>
      </c>
      <c r="P1021" s="39"/>
    </row>
    <row r="1022" spans="1:16" x14ac:dyDescent="0.35">
      <c r="A1022" s="535" t="str">
        <f t="shared" si="137"/>
        <v/>
      </c>
      <c r="B1022" s="337"/>
      <c r="C1022" s="337"/>
      <c r="D1022" s="539"/>
      <c r="E1022" s="355" t="s">
        <v>84</v>
      </c>
      <c r="F1022" s="378">
        <v>70</v>
      </c>
      <c r="G1022" s="378" t="s">
        <v>73</v>
      </c>
      <c r="H1022" s="515"/>
      <c r="I1022" s="356"/>
      <c r="J1022" s="515"/>
      <c r="K1022" s="684"/>
      <c r="L1022" s="535"/>
      <c r="M1022" s="552" t="str">
        <f t="shared" ref="M1022:M1064" si="140">IF(Q1012&gt;0, Q1012, "")</f>
        <v/>
      </c>
      <c r="N1022" s="552"/>
      <c r="O1022" s="552" t="str">
        <f t="shared" ref="O1022:O1064" si="141">IF(V1013&gt;0, V1013, "")</f>
        <v/>
      </c>
      <c r="P1022" s="39"/>
    </row>
    <row r="1023" spans="1:16" x14ac:dyDescent="0.35">
      <c r="A1023" s="535" t="str">
        <f t="shared" si="137"/>
        <v/>
      </c>
      <c r="B1023" s="330"/>
      <c r="C1023" s="330"/>
      <c r="D1023" s="539"/>
      <c r="E1023" s="416" t="s">
        <v>26</v>
      </c>
      <c r="F1023" s="378">
        <v>1000</v>
      </c>
      <c r="G1023" s="378" t="s">
        <v>73</v>
      </c>
      <c r="H1023" s="515"/>
      <c r="I1023" s="356"/>
      <c r="J1023" s="515"/>
      <c r="K1023" s="684"/>
      <c r="L1023" s="535"/>
      <c r="M1023" s="552" t="str">
        <f t="shared" si="140"/>
        <v/>
      </c>
      <c r="N1023" s="552"/>
      <c r="O1023" s="552" t="str">
        <f t="shared" si="141"/>
        <v/>
      </c>
      <c r="P1023" s="39"/>
    </row>
    <row r="1024" spans="1:16" x14ac:dyDescent="0.35">
      <c r="A1024" s="535" t="str">
        <f t="shared" si="137"/>
        <v/>
      </c>
      <c r="B1024" s="337"/>
      <c r="C1024" s="337"/>
      <c r="D1024" s="417" t="s">
        <v>60</v>
      </c>
      <c r="E1024" s="614" t="s">
        <v>121</v>
      </c>
      <c r="F1024" s="18">
        <v>1000</v>
      </c>
      <c r="G1024" s="18" t="s">
        <v>73</v>
      </c>
      <c r="H1024" s="335">
        <f>ROUND(($F$1022)*((($F$1023)*(($F$1024)/($F$1024+$F$1025)))
/((($F$1023)*(($F$1024)/($F$1024+$F$1025)))+(($F$1023)*(($F$1025)/($F$1024+$F$1025)))+($F$1027)+($F$1028))),2)</f>
        <v>46.87</v>
      </c>
      <c r="I1024" s="335" t="s">
        <v>73</v>
      </c>
      <c r="J1024" s="337"/>
      <c r="K1024" s="680">
        <f t="shared" si="138"/>
        <v>749.92</v>
      </c>
      <c r="L1024" s="535"/>
      <c r="M1024" s="552" t="str">
        <f t="shared" si="140"/>
        <v/>
      </c>
      <c r="N1024" s="552"/>
      <c r="O1024" s="552" t="str">
        <f t="shared" si="141"/>
        <v/>
      </c>
      <c r="P1024" s="39"/>
    </row>
    <row r="1025" spans="1:16" x14ac:dyDescent="0.35">
      <c r="A1025" s="535" t="str">
        <f t="shared" si="137"/>
        <v/>
      </c>
      <c r="B1025" s="330"/>
      <c r="C1025" s="330"/>
      <c r="D1025" s="417" t="s">
        <v>43</v>
      </c>
      <c r="E1025" s="475" t="s">
        <v>94</v>
      </c>
      <c r="F1025" s="22">
        <v>30</v>
      </c>
      <c r="G1025" s="22" t="s">
        <v>73</v>
      </c>
      <c r="H1025" s="328">
        <f>ROUND(($F$1022)*((($F$1023)*(($F$1025)/($F$1024+$F$1025)))
/((($F$1023)*(($F$1024)/($F$1024+$F$1025)))+(($F$1023)*(($F$1025)/($F$1024+$F$1025)))+($F$1027)+($F$1028))),2)</f>
        <v>1.41</v>
      </c>
      <c r="I1025" s="328" t="s">
        <v>73</v>
      </c>
      <c r="J1025" s="330"/>
      <c r="K1025" s="681">
        <f t="shared" si="138"/>
        <v>22.56</v>
      </c>
      <c r="L1025" s="535"/>
      <c r="M1025" s="552" t="str">
        <f t="shared" si="140"/>
        <v/>
      </c>
      <c r="N1025" s="552"/>
      <c r="O1025" s="552" t="str">
        <f t="shared" si="141"/>
        <v/>
      </c>
      <c r="P1025" s="39"/>
    </row>
    <row r="1026" spans="1:16" x14ac:dyDescent="0.35">
      <c r="A1026" s="535" t="str">
        <f t="shared" si="137"/>
        <v/>
      </c>
      <c r="B1026" s="337"/>
      <c r="C1026" s="337"/>
      <c r="D1026" s="420"/>
      <c r="E1026" s="421" t="s">
        <v>81</v>
      </c>
      <c r="F1026" s="404">
        <v>400</v>
      </c>
      <c r="G1026" s="404" t="s">
        <v>73</v>
      </c>
      <c r="H1026" s="343"/>
      <c r="I1026" s="343"/>
      <c r="J1026" s="345"/>
      <c r="K1026" s="685"/>
      <c r="L1026" s="535"/>
      <c r="M1026" s="552" t="str">
        <f t="shared" si="140"/>
        <v/>
      </c>
      <c r="N1026" s="552"/>
      <c r="O1026" s="552" t="str">
        <f t="shared" si="141"/>
        <v/>
      </c>
      <c r="P1026" s="39"/>
    </row>
    <row r="1027" spans="1:16" x14ac:dyDescent="0.35">
      <c r="A1027" s="535" t="str">
        <f t="shared" si="137"/>
        <v/>
      </c>
      <c r="B1027" s="330"/>
      <c r="C1027" s="330"/>
      <c r="D1027" s="417" t="s">
        <v>59</v>
      </c>
      <c r="E1027" s="426" t="s">
        <v>27</v>
      </c>
      <c r="F1027" s="22">
        <v>350</v>
      </c>
      <c r="G1027" s="22" t="s">
        <v>73</v>
      </c>
      <c r="H1027" s="328">
        <f>ROUND(($F$1022)*(($F$1027)/((($F$1023)*(($F$1024)/($F$1024+$F$1025)))+(($F$1023)*(($F$1025)/($F$1024+$F$1025)))+($F$1027)+($F$1028))),2)</f>
        <v>16.899999999999999</v>
      </c>
      <c r="I1027" s="328" t="s">
        <v>73</v>
      </c>
      <c r="J1027" s="330"/>
      <c r="K1027" s="681">
        <f t="shared" si="138"/>
        <v>270.39999999999998</v>
      </c>
      <c r="L1027" s="535"/>
      <c r="M1027" s="552" t="str">
        <f t="shared" si="140"/>
        <v/>
      </c>
      <c r="N1027" s="552"/>
      <c r="O1027" s="552" t="str">
        <f t="shared" si="141"/>
        <v/>
      </c>
      <c r="P1027" s="39"/>
    </row>
    <row r="1028" spans="1:16" x14ac:dyDescent="0.35">
      <c r="A1028" s="535" t="str">
        <f t="shared" si="137"/>
        <v/>
      </c>
      <c r="B1028" s="337"/>
      <c r="C1028" s="337"/>
      <c r="D1028" s="417" t="s">
        <v>48</v>
      </c>
      <c r="E1028" s="425" t="s">
        <v>91</v>
      </c>
      <c r="F1028" s="18">
        <v>100</v>
      </c>
      <c r="G1028" s="18" t="s">
        <v>73</v>
      </c>
      <c r="H1028" s="335">
        <f>ROUND(($F$1022)*(($F$1028)/((($F$1023)*(($F$1024)/($F$1024+$F$1025)))+(($F$1023)*(($F$1025)/($F$1024+$F$1025)))+($F$1027)+($F$1028))),2)</f>
        <v>4.83</v>
      </c>
      <c r="I1028" s="335" t="s">
        <v>73</v>
      </c>
      <c r="J1028" s="337"/>
      <c r="K1028" s="680">
        <f t="shared" si="138"/>
        <v>77.28</v>
      </c>
      <c r="L1028" s="535"/>
      <c r="M1028" s="552" t="str">
        <f>IF(Q1018&gt;0, Q1018, "")</f>
        <v/>
      </c>
      <c r="N1028" s="552"/>
      <c r="O1028" s="552" t="str">
        <f>IF(V1019&gt;0, V1019, "")</f>
        <v/>
      </c>
      <c r="P1028" s="39"/>
    </row>
    <row r="1029" spans="1:16" x14ac:dyDescent="0.35">
      <c r="A1029" s="615" t="str">
        <f>IFERROR(INDEX($Q$17:$Q$41,MATCH(B1029,$R$17:$R$41, 0)), "")</f>
        <v/>
      </c>
      <c r="B1029" s="574"/>
      <c r="C1029" s="574"/>
      <c r="D1029" s="616"/>
      <c r="E1029" s="617"/>
      <c r="F1029" s="577"/>
      <c r="G1029" s="577"/>
      <c r="H1029" s="618"/>
      <c r="I1029" s="618"/>
      <c r="J1029" s="574"/>
      <c r="K1029" s="690"/>
      <c r="L1029" s="535"/>
      <c r="M1029" s="595" t="str">
        <f>IF(Q1028&gt;0, Q1028, "")</f>
        <v/>
      </c>
      <c r="N1029" s="595">
        <f t="shared" ref="N1029:N1034" si="142">V1029+ROW()/10000</f>
        <v>0.10290000000000001</v>
      </c>
      <c r="O1029" s="595" t="str">
        <f t="shared" ref="O1029:O1034" si="143">IF(V1029&gt;0, V1029, "")</f>
        <v/>
      </c>
      <c r="P1029" s="39"/>
    </row>
    <row r="1030" spans="1:16" x14ac:dyDescent="0.35">
      <c r="A1030" s="619">
        <f>IFERROR(INDEX($Q$17:$Q$150,MATCH(B1030,$R$17:$R$150, 0)), "")</f>
        <v>6</v>
      </c>
      <c r="B1030" s="382" t="s">
        <v>1890</v>
      </c>
      <c r="C1030" s="325" t="s">
        <v>1228</v>
      </c>
      <c r="D1030" s="417" t="s">
        <v>1756</v>
      </c>
      <c r="E1030" s="536" t="s">
        <v>1757</v>
      </c>
      <c r="F1030" s="18">
        <v>6</v>
      </c>
      <c r="G1030" s="18" t="s">
        <v>74</v>
      </c>
      <c r="H1030" s="335">
        <v>6</v>
      </c>
      <c r="I1030" s="335" t="s">
        <v>74</v>
      </c>
      <c r="J1030" s="337"/>
      <c r="K1030" s="680"/>
      <c r="L1030" s="535"/>
      <c r="M1030" s="595" t="str">
        <f>IF(Q1029&gt;0, Q1029, "")</f>
        <v/>
      </c>
      <c r="N1030" s="595">
        <f t="shared" si="142"/>
        <v>0.10299999999999999</v>
      </c>
      <c r="O1030" s="595" t="str">
        <f t="shared" si="143"/>
        <v/>
      </c>
      <c r="P1030" s="39"/>
    </row>
    <row r="1031" spans="1:16" x14ac:dyDescent="0.35">
      <c r="A1031" s="593" t="str">
        <f>IFERROR(INDEX($Q$17:$Q$41,MATCH(B1031,$R$17:$R$41, 0)), "")</f>
        <v/>
      </c>
      <c r="B1031" s="330"/>
      <c r="C1031" s="330"/>
      <c r="D1031" s="539"/>
      <c r="E1031" s="549" t="s">
        <v>1225</v>
      </c>
      <c r="F1031" s="378">
        <v>20</v>
      </c>
      <c r="G1031" s="378" t="s">
        <v>73</v>
      </c>
      <c r="H1031" s="356"/>
      <c r="I1031" s="356"/>
      <c r="J1031" s="515"/>
      <c r="K1031" s="684"/>
      <c r="L1031" s="535"/>
      <c r="M1031" s="595" t="str">
        <f>IF(Q1030&gt;0, Q1030, "")</f>
        <v/>
      </c>
      <c r="N1031" s="595">
        <f t="shared" si="142"/>
        <v>0.1031</v>
      </c>
      <c r="O1031" s="595" t="str">
        <f t="shared" si="143"/>
        <v/>
      </c>
      <c r="P1031" s="39"/>
    </row>
    <row r="1032" spans="1:16" x14ac:dyDescent="0.35">
      <c r="A1032" s="593" t="str">
        <f>IFERROR(INDEX($Q$17:$Q$41,MATCH(B1032,$R$17:$R$41, 0)), "")</f>
        <v/>
      </c>
      <c r="B1032" s="337"/>
      <c r="C1032" s="337"/>
      <c r="D1032" s="417" t="s">
        <v>147</v>
      </c>
      <c r="E1032" s="379" t="s">
        <v>148</v>
      </c>
      <c r="F1032" s="18"/>
      <c r="G1032" s="18" t="s">
        <v>73</v>
      </c>
      <c r="H1032" s="335"/>
      <c r="I1032" s="335"/>
      <c r="J1032" s="337"/>
      <c r="K1032" s="680"/>
      <c r="L1032" s="535"/>
      <c r="M1032" s="595" t="str">
        <f>IF(Q1030&gt;0, Q1030, "")</f>
        <v/>
      </c>
      <c r="N1032" s="595">
        <f t="shared" si="142"/>
        <v>0.1032</v>
      </c>
      <c r="O1032" s="595" t="str">
        <f t="shared" si="143"/>
        <v/>
      </c>
      <c r="P1032" s="39"/>
    </row>
    <row r="1033" spans="1:16" x14ac:dyDescent="0.35">
      <c r="A1033" s="593" t="str">
        <f>IFERROR(INDEX($Q$17:$Q$41,MATCH(B1033,$R$17:$R$41, 0)), "")</f>
        <v/>
      </c>
      <c r="B1033" s="330"/>
      <c r="C1033" s="330"/>
      <c r="D1033" s="417" t="s">
        <v>385</v>
      </c>
      <c r="E1033" s="380" t="s">
        <v>1953</v>
      </c>
      <c r="F1033" s="22"/>
      <c r="G1033" s="22" t="s">
        <v>73</v>
      </c>
      <c r="H1033" s="328"/>
      <c r="I1033" s="328"/>
      <c r="J1033" s="330"/>
      <c r="K1033" s="681"/>
      <c r="L1033" s="535"/>
      <c r="M1033" s="595" t="str">
        <f>IF(Q1030&gt;0, Q1030, "")</f>
        <v/>
      </c>
      <c r="N1033" s="595">
        <f t="shared" si="142"/>
        <v>0.1033</v>
      </c>
      <c r="O1033" s="595" t="str">
        <f t="shared" si="143"/>
        <v/>
      </c>
      <c r="P1033" s="39"/>
    </row>
    <row r="1034" spans="1:16" x14ac:dyDescent="0.35">
      <c r="A1034" s="593" t="str">
        <f>IFERROR(INDEX($Q$17:$Q$41,MATCH(B1034,$R$17:$R$41, 0)), "")</f>
        <v/>
      </c>
      <c r="B1034" s="337"/>
      <c r="C1034" s="337"/>
      <c r="D1034" s="417" t="s">
        <v>1955</v>
      </c>
      <c r="E1034" s="379" t="s">
        <v>1954</v>
      </c>
      <c r="F1034" s="18"/>
      <c r="G1034" s="18" t="s">
        <v>73</v>
      </c>
      <c r="H1034" s="335"/>
      <c r="I1034" s="335"/>
      <c r="J1034" s="337"/>
      <c r="K1034" s="680"/>
      <c r="L1034" s="535"/>
      <c r="M1034" s="595" t="str">
        <f>IF(Q1028&gt;0, Q1028, "")</f>
        <v/>
      </c>
      <c r="N1034" s="595">
        <f t="shared" si="142"/>
        <v>0.10340000000000001</v>
      </c>
      <c r="O1034" s="595" t="str">
        <f t="shared" si="143"/>
        <v/>
      </c>
      <c r="P1034" s="39"/>
    </row>
    <row r="1035" spans="1:16" x14ac:dyDescent="0.35">
      <c r="A1035" s="599" t="str">
        <f t="shared" si="137"/>
        <v/>
      </c>
      <c r="B1035" s="600"/>
      <c r="C1035" s="600"/>
      <c r="D1035" s="599"/>
      <c r="E1035" s="599"/>
      <c r="F1035" s="600"/>
      <c r="G1035" s="600"/>
      <c r="H1035" s="600"/>
      <c r="I1035" s="600"/>
      <c r="J1035" s="600"/>
      <c r="K1035" s="688"/>
      <c r="L1035" s="603"/>
      <c r="M1035" s="604" t="str">
        <f>IF(Q1019&gt;0, Q1019, "")</f>
        <v/>
      </c>
      <c r="N1035" s="604"/>
      <c r="O1035" s="604" t="str">
        <f>IF(V1020&gt;0, V1020, "")</f>
        <v/>
      </c>
      <c r="P1035" s="39"/>
    </row>
    <row r="1036" spans="1:16" x14ac:dyDescent="0.35">
      <c r="A1036" s="565">
        <f>IFERROR(INDEX($Q$17:$Q$150,MATCH(B1036,$R$17:$R$150, 0)), "")</f>
        <v>0</v>
      </c>
      <c r="B1036" s="382" t="s">
        <v>1282</v>
      </c>
      <c r="C1036" s="325" t="s">
        <v>865</v>
      </c>
      <c r="D1036" s="326" t="s">
        <v>676</v>
      </c>
      <c r="E1036" s="334" t="s">
        <v>677</v>
      </c>
      <c r="F1036" s="335">
        <v>15</v>
      </c>
      <c r="G1036" s="335" t="s">
        <v>73</v>
      </c>
      <c r="H1036" s="335">
        <v>15</v>
      </c>
      <c r="I1036" s="335" t="s">
        <v>73</v>
      </c>
      <c r="J1036" s="337"/>
      <c r="K1036" s="680">
        <f>$A$1036*H1036</f>
        <v>0</v>
      </c>
      <c r="L1036" s="535"/>
      <c r="M1036" s="552" t="str">
        <f>IF(Q1020&gt;0, Q1020, "")</f>
        <v/>
      </c>
      <c r="N1036" s="552"/>
      <c r="O1036" s="552" t="str">
        <f>IF(V1021&gt;0, V1021, "")</f>
        <v/>
      </c>
      <c r="P1036" s="39"/>
    </row>
    <row r="1037" spans="1:16" x14ac:dyDescent="0.35">
      <c r="A1037" s="615" t="str">
        <f>IFERROR(INDEX($Q$17:$Q$41,MATCH(B1037,$R$17:$R$41, 0)), "")</f>
        <v/>
      </c>
      <c r="B1037" s="577"/>
      <c r="C1037" s="574"/>
      <c r="D1037" s="585"/>
      <c r="E1037" s="585"/>
      <c r="F1037" s="618"/>
      <c r="G1037" s="618"/>
      <c r="H1037" s="618"/>
      <c r="I1037" s="618"/>
      <c r="J1037" s="574"/>
      <c r="K1037" s="690"/>
      <c r="L1037" s="535"/>
      <c r="M1037" s="595" t="str">
        <f>IF(Q1036&gt;0, Q1036, "")</f>
        <v/>
      </c>
      <c r="N1037" s="595">
        <f>V1037+ROW()/10000</f>
        <v>0.1037</v>
      </c>
      <c r="O1037" s="595" t="str">
        <f>IF(V1037&gt;0, V1037, "")</f>
        <v/>
      </c>
      <c r="P1037" s="39"/>
    </row>
    <row r="1038" spans="1:16" x14ac:dyDescent="0.35">
      <c r="A1038" s="619">
        <f>IFERROR(INDEX($Q$17:$Q$150,MATCH(B1038,$R$17:$R$150, 0)), "")</f>
        <v>305</v>
      </c>
      <c r="B1038" s="382" t="s">
        <v>1266</v>
      </c>
      <c r="C1038" s="325" t="s">
        <v>1901</v>
      </c>
      <c r="D1038" s="355"/>
      <c r="E1038" s="567" t="s">
        <v>754</v>
      </c>
      <c r="F1038" s="356">
        <v>180</v>
      </c>
      <c r="G1038" s="378" t="s">
        <v>73</v>
      </c>
      <c r="H1038" s="513"/>
      <c r="I1038" s="513"/>
      <c r="J1038" s="513"/>
      <c r="K1038" s="684"/>
      <c r="L1038" s="535"/>
      <c r="M1038" s="595" t="str">
        <f>IF(Q1037&gt;0, Q1037, "")</f>
        <v/>
      </c>
      <c r="N1038" s="595">
        <f>V1038+ROW()/10000</f>
        <v>0.1038</v>
      </c>
      <c r="O1038" s="595" t="str">
        <f>IF(V1038&gt;0, V1038, "")</f>
        <v/>
      </c>
      <c r="P1038" s="39"/>
    </row>
    <row r="1039" spans="1:16" x14ac:dyDescent="0.35">
      <c r="A1039" s="620" t="str">
        <f>IFERROR(INDEX($Q$17:$Q$41,MATCH(B1039,$R$17:$R$41, 0)), "")</f>
        <v/>
      </c>
      <c r="B1039" s="22"/>
      <c r="C1039" s="330"/>
      <c r="D1039" s="342"/>
      <c r="E1039" s="561" t="s">
        <v>81</v>
      </c>
      <c r="F1039" s="404">
        <v>1300</v>
      </c>
      <c r="G1039" s="404" t="s">
        <v>73</v>
      </c>
      <c r="H1039" s="343">
        <f>ROUND(($F$1038*(F1039/($F$1039+$F$1040))),2)</f>
        <v>101.74</v>
      </c>
      <c r="I1039" s="345"/>
      <c r="J1039" s="345"/>
      <c r="K1039" s="685"/>
      <c r="L1039" s="535"/>
      <c r="M1039" s="595" t="str">
        <f>IF(Q1037&gt;0, Q1037, "")</f>
        <v/>
      </c>
      <c r="N1039" s="595">
        <f>V1039+ROW()/10000</f>
        <v>0.10390000000000001</v>
      </c>
      <c r="O1039" s="595" t="str">
        <f>IF(V1039&gt;0, V1039, "")</f>
        <v/>
      </c>
      <c r="P1039" s="39"/>
    </row>
    <row r="1040" spans="1:16" x14ac:dyDescent="0.35">
      <c r="A1040" s="621" t="str">
        <f>IFERROR(INDEX($Q$17:$Q$41,MATCH(B1040,$R$17:$R$41, 0)), "")</f>
        <v/>
      </c>
      <c r="B1040" s="18"/>
      <c r="C1040" s="337"/>
      <c r="D1040" s="326" t="s">
        <v>1660</v>
      </c>
      <c r="E1040" s="560" t="s">
        <v>1897</v>
      </c>
      <c r="F1040" s="18">
        <v>1000</v>
      </c>
      <c r="G1040" s="18" t="s">
        <v>73</v>
      </c>
      <c r="H1040" s="335">
        <f>ROUND(($F$1038*(F1040/($F$1039+$F$1040))),2)</f>
        <v>78.260000000000005</v>
      </c>
      <c r="I1040" s="335" t="s">
        <v>73</v>
      </c>
      <c r="J1040" s="337"/>
      <c r="K1040" s="680">
        <f>(A1038*H1039)</f>
        <v>31030.699999999997</v>
      </c>
      <c r="L1040" s="535"/>
      <c r="M1040" s="595" t="str">
        <f>IF(Q1039&gt;0, Q1039, "")</f>
        <v/>
      </c>
      <c r="N1040" s="595">
        <f>V1040+ROW()/10000</f>
        <v>0.104</v>
      </c>
      <c r="O1040" s="595" t="str">
        <f>IF(V1040&gt;0, V1040, "")</f>
        <v/>
      </c>
      <c r="P1040" s="39"/>
    </row>
    <row r="1041" spans="1:16" x14ac:dyDescent="0.35">
      <c r="A1041" s="620" t="str">
        <f>IFERROR(INDEX($Q$17:$Q$41,MATCH(B1041,$R$17:$R$41, 0)), "")</f>
        <v/>
      </c>
      <c r="B1041" s="22"/>
      <c r="C1041" s="330"/>
      <c r="D1041" s="326"/>
      <c r="E1041" s="495" t="s">
        <v>753</v>
      </c>
      <c r="F1041" s="22">
        <v>0</v>
      </c>
      <c r="G1041" s="22" t="s">
        <v>73</v>
      </c>
      <c r="H1041" s="328"/>
      <c r="I1041" s="328" t="s">
        <v>73</v>
      </c>
      <c r="J1041" s="330"/>
      <c r="K1041" s="681">
        <f>(A1038*H1040)</f>
        <v>23869.300000000003</v>
      </c>
      <c r="L1041" s="535"/>
      <c r="M1041" s="595" t="str">
        <f>IF(Q1036&gt;0, Q1036, "")</f>
        <v/>
      </c>
      <c r="N1041" s="595">
        <f>V1041+ROW()/10000</f>
        <v>0.1041</v>
      </c>
      <c r="O1041" s="595" t="str">
        <f>IF(V1041&gt;0, V1041, "")</f>
        <v/>
      </c>
      <c r="P1041" s="39"/>
    </row>
    <row r="1042" spans="1:16" x14ac:dyDescent="0.35">
      <c r="A1042" s="545" t="str">
        <f>IFERROR(INDEX($Q$17:$Q$41,MATCH(B1042,$R$17:$R$41, 0)), "")</f>
        <v/>
      </c>
      <c r="B1042" s="546"/>
      <c r="C1042" s="546"/>
      <c r="D1042" s="545"/>
      <c r="E1042" s="545"/>
      <c r="F1042" s="546"/>
      <c r="G1042" s="546"/>
      <c r="H1042" s="546"/>
      <c r="I1042" s="546"/>
      <c r="J1042" s="546"/>
      <c r="K1042" s="676"/>
      <c r="L1042" s="535"/>
      <c r="M1042" s="552" t="str">
        <f t="shared" ref="M1042:M1049" si="144">IF(Q1021&gt;0, Q1021, "")</f>
        <v/>
      </c>
      <c r="N1042" s="552"/>
      <c r="O1042" s="552" t="str">
        <f t="shared" ref="O1042:O1048" si="145">IF(V1022&gt;0, V1022, "")</f>
        <v/>
      </c>
      <c r="P1042" s="39"/>
    </row>
    <row r="1043" spans="1:16" x14ac:dyDescent="0.35">
      <c r="A1043" s="565">
        <f>IFERROR(INDEX($Q$17:$Q$150,MATCH(B1043,$R$17:$R$150, 0)), "")</f>
        <v>49</v>
      </c>
      <c r="B1043" s="382" t="s">
        <v>1267</v>
      </c>
      <c r="C1043" s="325" t="s">
        <v>866</v>
      </c>
      <c r="D1043" s="539"/>
      <c r="E1043" s="355" t="s">
        <v>84</v>
      </c>
      <c r="F1043" s="378">
        <v>100</v>
      </c>
      <c r="G1043" s="378" t="s">
        <v>73</v>
      </c>
      <c r="H1043" s="515"/>
      <c r="I1043" s="515"/>
      <c r="J1043" s="515"/>
      <c r="K1043" s="684"/>
      <c r="L1043" s="535"/>
      <c r="M1043" s="552" t="str">
        <f t="shared" si="144"/>
        <v/>
      </c>
      <c r="N1043" s="552"/>
      <c r="O1043" s="552" t="str">
        <f t="shared" si="145"/>
        <v/>
      </c>
      <c r="P1043" s="39"/>
    </row>
    <row r="1044" spans="1:16" x14ac:dyDescent="0.35">
      <c r="A1044" s="535" t="str">
        <f t="shared" ref="A1044:A1050" si="146">IFERROR(INDEX($Q$17:$Q$41,MATCH(B1044,$R$17:$R$41, 0)), "")</f>
        <v/>
      </c>
      <c r="B1044" s="337"/>
      <c r="C1044" s="337"/>
      <c r="D1044" s="539"/>
      <c r="E1044" s="416" t="s">
        <v>26</v>
      </c>
      <c r="F1044" s="378">
        <v>1000</v>
      </c>
      <c r="G1044" s="378" t="s">
        <v>73</v>
      </c>
      <c r="H1044" s="515"/>
      <c r="I1044" s="515"/>
      <c r="J1044" s="515"/>
      <c r="K1044" s="684"/>
      <c r="L1044" s="535"/>
      <c r="M1044" s="552" t="str">
        <f t="shared" si="144"/>
        <v/>
      </c>
      <c r="N1044" s="552"/>
      <c r="O1044" s="552" t="str">
        <f t="shared" si="145"/>
        <v/>
      </c>
      <c r="P1044" s="39"/>
    </row>
    <row r="1045" spans="1:16" x14ac:dyDescent="0.35">
      <c r="A1045" s="535" t="str">
        <f t="shared" si="146"/>
        <v/>
      </c>
      <c r="B1045" s="330"/>
      <c r="C1045" s="330"/>
      <c r="D1045" s="417" t="s">
        <v>60</v>
      </c>
      <c r="E1045" s="622" t="s">
        <v>121</v>
      </c>
      <c r="F1045" s="22">
        <v>1000</v>
      </c>
      <c r="G1045" s="22" t="s">
        <v>73</v>
      </c>
      <c r="H1045" s="328">
        <f>ROUND(($F$1043)*((($F$1044)*(($F$1045)/($F$1045+$F$1046)))
/((($F$1044)*(($F$1046)/($F$1045+$F$1046)))+(($F$1044)*(($F$1045)/($F$1045+$F$1046)))+($F$1048)+($F$1049))),2)</f>
        <v>66.959999999999994</v>
      </c>
      <c r="I1045" s="328" t="s">
        <v>73</v>
      </c>
      <c r="J1045" s="330"/>
      <c r="K1045" s="681">
        <f t="shared" ref="K1045:K1049" si="147">$A$1043*H1045</f>
        <v>3281.0399999999995</v>
      </c>
      <c r="L1045" s="535"/>
      <c r="M1045" s="552" t="str">
        <f t="shared" si="144"/>
        <v/>
      </c>
      <c r="N1045" s="552"/>
      <c r="O1045" s="552" t="str">
        <f t="shared" si="145"/>
        <v/>
      </c>
      <c r="P1045" s="39"/>
    </row>
    <row r="1046" spans="1:16" x14ac:dyDescent="0.35">
      <c r="A1046" s="535" t="str">
        <f t="shared" si="146"/>
        <v/>
      </c>
      <c r="B1046" s="337"/>
      <c r="C1046" s="337"/>
      <c r="D1046" s="417" t="s">
        <v>43</v>
      </c>
      <c r="E1046" s="474" t="s">
        <v>94</v>
      </c>
      <c r="F1046" s="18">
        <v>30</v>
      </c>
      <c r="G1046" s="18" t="s">
        <v>73</v>
      </c>
      <c r="H1046" s="335">
        <f>ROUND(($F$1043)*((($F$1044)*(($F$1046)/($F$1045+$F$1046)))
/((($F$1044)*(($F$1046)/($F$1045+$F$1046)))+(($F$1044)*(($F$1045)/($F$1045+$F$1046)))+($F$1048)+($F$1049))),2)</f>
        <v>2.0099999999999998</v>
      </c>
      <c r="I1046" s="335" t="s">
        <v>73</v>
      </c>
      <c r="J1046" s="337"/>
      <c r="K1046" s="680">
        <f t="shared" si="147"/>
        <v>98.49</v>
      </c>
      <c r="L1046" s="535"/>
      <c r="M1046" s="552" t="str">
        <f t="shared" si="144"/>
        <v/>
      </c>
      <c r="N1046" s="552"/>
      <c r="O1046" s="552" t="str">
        <f t="shared" si="145"/>
        <v/>
      </c>
      <c r="P1046" s="39"/>
    </row>
    <row r="1047" spans="1:16" x14ac:dyDescent="0.35">
      <c r="A1047" s="535" t="str">
        <f t="shared" si="146"/>
        <v/>
      </c>
      <c r="B1047" s="330"/>
      <c r="C1047" s="330"/>
      <c r="D1047" s="420"/>
      <c r="E1047" s="623" t="s">
        <v>81</v>
      </c>
      <c r="F1047" s="404">
        <v>400</v>
      </c>
      <c r="G1047" s="404" t="s">
        <v>73</v>
      </c>
      <c r="H1047" s="343"/>
      <c r="I1047" s="343"/>
      <c r="J1047" s="345"/>
      <c r="K1047" s="685"/>
      <c r="L1047" s="535"/>
      <c r="M1047" s="552" t="str">
        <f t="shared" si="144"/>
        <v/>
      </c>
      <c r="N1047" s="552"/>
      <c r="O1047" s="552" t="str">
        <f t="shared" si="145"/>
        <v/>
      </c>
      <c r="P1047" s="39"/>
    </row>
    <row r="1048" spans="1:16" x14ac:dyDescent="0.35">
      <c r="A1048" s="535" t="str">
        <f t="shared" si="146"/>
        <v/>
      </c>
      <c r="B1048" s="337"/>
      <c r="C1048" s="337"/>
      <c r="D1048" s="417" t="s">
        <v>59</v>
      </c>
      <c r="E1048" s="425" t="s">
        <v>27</v>
      </c>
      <c r="F1048" s="18">
        <v>350</v>
      </c>
      <c r="G1048" s="18" t="s">
        <v>73</v>
      </c>
      <c r="H1048" s="335">
        <f>ROUND(($F$1043)*(($F$1048)/((($F$1044)*(($F$1046)/($F$1045+$F$1046)))+(($F$1044)*(($F$1045)/($F$1045+$F$1046)))+($F$1048)+($F$1049))),2)</f>
        <v>24.14</v>
      </c>
      <c r="I1048" s="335" t="s">
        <v>73</v>
      </c>
      <c r="J1048" s="337"/>
      <c r="K1048" s="680">
        <f t="shared" si="147"/>
        <v>1182.8600000000001</v>
      </c>
      <c r="L1048" s="535"/>
      <c r="M1048" s="552" t="str">
        <f t="shared" si="144"/>
        <v/>
      </c>
      <c r="N1048" s="552"/>
      <c r="O1048" s="552" t="str">
        <f t="shared" si="145"/>
        <v/>
      </c>
      <c r="P1048" s="39"/>
    </row>
    <row r="1049" spans="1:16" ht="15" thickBot="1" x14ac:dyDescent="0.4">
      <c r="A1049" s="535" t="str">
        <f t="shared" si="146"/>
        <v/>
      </c>
      <c r="B1049" s="330"/>
      <c r="C1049" s="330"/>
      <c r="D1049" s="417" t="s">
        <v>48</v>
      </c>
      <c r="E1049" s="426" t="s">
        <v>91</v>
      </c>
      <c r="F1049" s="22">
        <v>100</v>
      </c>
      <c r="G1049" s="22" t="s">
        <v>73</v>
      </c>
      <c r="H1049" s="328">
        <f>ROUND(($F$1043)*(($F$1049)/((($F$1044)*(($F$1046)/($F$1045+$F$1046)))+(($F$1044)*(($F$1045)/($F$1045+$F$1046)))+($F$1048)+($F$1049))),2)</f>
        <v>6.9</v>
      </c>
      <c r="I1049" s="328" t="s">
        <v>73</v>
      </c>
      <c r="J1049" s="330"/>
      <c r="K1049" s="681">
        <f t="shared" si="147"/>
        <v>338.1</v>
      </c>
      <c r="L1049" s="535"/>
      <c r="M1049" s="552" t="str">
        <f t="shared" si="144"/>
        <v/>
      </c>
      <c r="N1049" s="552"/>
      <c r="O1049" s="552" t="str">
        <f>IF(V1035&gt;0, V1035, "")</f>
        <v/>
      </c>
      <c r="P1049" s="39"/>
    </row>
    <row r="1050" spans="1:16" ht="15.5" thickTop="1" thickBot="1" x14ac:dyDescent="0.4">
      <c r="A1050" s="545" t="str">
        <f t="shared" si="146"/>
        <v/>
      </c>
      <c r="B1050" s="546"/>
      <c r="C1050" s="546"/>
      <c r="D1050" s="547"/>
      <c r="E1050" s="546"/>
      <c r="F1050" s="546"/>
      <c r="G1050" s="546"/>
      <c r="H1050" s="546"/>
      <c r="I1050" s="546"/>
      <c r="J1050" s="546"/>
      <c r="K1050" s="676"/>
      <c r="L1050" s="535"/>
      <c r="M1050" s="552" t="str">
        <f>IF(Q1035&gt;0, Q1035, "")</f>
        <v/>
      </c>
      <c r="N1050" s="552"/>
      <c r="O1050" s="552" t="str">
        <f>IF(V1036&gt;0, V1036, "")</f>
        <v/>
      </c>
      <c r="P1050" s="39"/>
    </row>
    <row r="1051" spans="1:16" ht="15" thickTop="1" x14ac:dyDescent="0.35">
      <c r="A1051" s="565">
        <f>IFERROR(INDEX($Q$17:$Q$150,MATCH(B1051,$R$17:$R$150, 0)), "")</f>
        <v>8</v>
      </c>
      <c r="B1051" s="382" t="s">
        <v>1268</v>
      </c>
      <c r="C1051" s="325" t="s">
        <v>867</v>
      </c>
      <c r="D1051" s="347" t="s">
        <v>521</v>
      </c>
      <c r="E1051" s="327" t="s">
        <v>828</v>
      </c>
      <c r="F1051" s="328">
        <v>65</v>
      </c>
      <c r="G1051" s="328" t="s">
        <v>73</v>
      </c>
      <c r="H1051" s="328">
        <v>65</v>
      </c>
      <c r="I1051" s="328" t="s">
        <v>73</v>
      </c>
      <c r="J1051" s="330"/>
      <c r="K1051" s="681">
        <f>$A$1051*H1051</f>
        <v>520</v>
      </c>
      <c r="L1051" s="535"/>
      <c r="M1051" s="552" t="str">
        <f>IF(Q1036&gt;0, Q1036, "")</f>
        <v/>
      </c>
      <c r="N1051" s="552"/>
      <c r="O1051" s="552" t="str">
        <f t="shared" si="141"/>
        <v/>
      </c>
      <c r="P1051" s="39"/>
    </row>
    <row r="1052" spans="1:16" x14ac:dyDescent="0.35">
      <c r="A1052" s="545" t="str">
        <f>IFERROR(INDEX($Q$17:$Q$41,MATCH(B1052,$R$17:$R$41, 0)), "")</f>
        <v/>
      </c>
      <c r="B1052" s="546"/>
      <c r="C1052" s="546"/>
      <c r="D1052" s="545"/>
      <c r="E1052" s="545"/>
      <c r="F1052" s="546"/>
      <c r="G1052" s="579"/>
      <c r="H1052" s="546"/>
      <c r="I1052" s="546"/>
      <c r="J1052" s="546"/>
      <c r="K1052" s="686"/>
      <c r="L1052" s="535"/>
      <c r="M1052" s="552" t="str">
        <f t="shared" si="140"/>
        <v/>
      </c>
      <c r="N1052" s="552"/>
      <c r="O1052" s="552" t="str">
        <f t="shared" si="141"/>
        <v/>
      </c>
      <c r="P1052" s="39"/>
    </row>
    <row r="1053" spans="1:16" x14ac:dyDescent="0.35">
      <c r="A1053" s="565">
        <f>IFERROR(INDEX($Q$17:$Q$150,MATCH(B1053,$R$17:$R$150, 0)), "")</f>
        <v>3</v>
      </c>
      <c r="B1053" s="382" t="s">
        <v>1269</v>
      </c>
      <c r="C1053" s="325" t="s">
        <v>868</v>
      </c>
      <c r="D1053" s="326" t="s">
        <v>53</v>
      </c>
      <c r="E1053" s="327" t="s">
        <v>364</v>
      </c>
      <c r="F1053" s="328">
        <v>50</v>
      </c>
      <c r="G1053" s="328" t="s">
        <v>73</v>
      </c>
      <c r="H1053" s="328">
        <v>50</v>
      </c>
      <c r="I1053" s="328" t="s">
        <v>73</v>
      </c>
      <c r="J1053" s="330"/>
      <c r="K1053" s="681">
        <f>$A$1053*H1053</f>
        <v>150</v>
      </c>
      <c r="L1053" s="535"/>
      <c r="M1053" s="552" t="str">
        <f t="shared" si="140"/>
        <v/>
      </c>
      <c r="N1053" s="552"/>
      <c r="O1053" s="552" t="str">
        <f t="shared" si="141"/>
        <v/>
      </c>
      <c r="P1053" s="39"/>
    </row>
    <row r="1054" spans="1:16" x14ac:dyDescent="0.35">
      <c r="A1054" s="545" t="str">
        <f>IFERROR(INDEX($Q$17:$Q$41,MATCH(B1054,$R$17:$R$41, 0)), "")</f>
        <v/>
      </c>
      <c r="B1054" s="546"/>
      <c r="C1054" s="546"/>
      <c r="D1054" s="545"/>
      <c r="E1054" s="545"/>
      <c r="F1054" s="579"/>
      <c r="G1054" s="579"/>
      <c r="H1054" s="546"/>
      <c r="I1054" s="546"/>
      <c r="J1054" s="546"/>
      <c r="K1054" s="686"/>
      <c r="L1054" s="535"/>
      <c r="M1054" s="552" t="str">
        <f t="shared" si="140"/>
        <v/>
      </c>
      <c r="N1054" s="552"/>
      <c r="O1054" s="552" t="str">
        <f t="shared" si="141"/>
        <v/>
      </c>
      <c r="P1054" s="39"/>
    </row>
    <row r="1055" spans="1:16" x14ac:dyDescent="0.35">
      <c r="A1055" s="565">
        <f>IFERROR(INDEX($Q$17:$Q$150,MATCH(B1055,$R$17:$R$150, 0)), "")</f>
        <v>1</v>
      </c>
      <c r="B1055" s="382" t="s">
        <v>1270</v>
      </c>
      <c r="C1055" s="325" t="s">
        <v>869</v>
      </c>
      <c r="D1055" s="326" t="s">
        <v>54</v>
      </c>
      <c r="E1055" s="327" t="s">
        <v>870</v>
      </c>
      <c r="F1055" s="328">
        <v>50</v>
      </c>
      <c r="G1055" s="328" t="s">
        <v>73</v>
      </c>
      <c r="H1055" s="328">
        <v>50</v>
      </c>
      <c r="I1055" s="328" t="s">
        <v>73</v>
      </c>
      <c r="J1055" s="330"/>
      <c r="K1055" s="681">
        <f>$A$1055*H1055</f>
        <v>50</v>
      </c>
      <c r="L1055" s="535"/>
      <c r="M1055" s="552" t="str">
        <f t="shared" si="140"/>
        <v/>
      </c>
      <c r="N1055" s="552"/>
      <c r="O1055" s="552" t="str">
        <f t="shared" si="141"/>
        <v/>
      </c>
      <c r="P1055" s="39"/>
    </row>
    <row r="1056" spans="1:16" x14ac:dyDescent="0.35">
      <c r="A1056" s="545" t="str">
        <f>IFERROR(INDEX($Q$17:$Q$41,MATCH(B1056,$R$17:$R$41, 0)), "")</f>
        <v/>
      </c>
      <c r="B1056" s="546"/>
      <c r="C1056" s="546"/>
      <c r="D1056" s="545"/>
      <c r="E1056" s="545"/>
      <c r="F1056" s="579"/>
      <c r="G1056" s="579"/>
      <c r="H1056" s="546"/>
      <c r="I1056" s="546"/>
      <c r="J1056" s="546"/>
      <c r="K1056" s="686"/>
      <c r="L1056" s="535"/>
      <c r="M1056" s="552" t="str">
        <f t="shared" si="140"/>
        <v/>
      </c>
      <c r="N1056" s="552"/>
      <c r="O1056" s="552" t="str">
        <f t="shared" si="141"/>
        <v/>
      </c>
      <c r="P1056" s="39"/>
    </row>
    <row r="1057" spans="1:16" ht="15" thickBot="1" x14ac:dyDescent="0.4">
      <c r="A1057" s="565">
        <f>IFERROR(INDEX($Q$17:$Q$150,MATCH(B1057,$R$17:$R$150, 0)), "")</f>
        <v>0</v>
      </c>
      <c r="B1057" s="382" t="s">
        <v>1537</v>
      </c>
      <c r="C1057" s="325" t="s">
        <v>871</v>
      </c>
      <c r="D1057" s="326" t="s">
        <v>48</v>
      </c>
      <c r="E1057" s="327" t="s">
        <v>872</v>
      </c>
      <c r="F1057" s="328">
        <v>50</v>
      </c>
      <c r="G1057" s="328" t="s">
        <v>73</v>
      </c>
      <c r="H1057" s="328">
        <v>50</v>
      </c>
      <c r="I1057" s="328" t="s">
        <v>73</v>
      </c>
      <c r="J1057" s="330"/>
      <c r="K1057" s="681">
        <f>$A$1057*H1057</f>
        <v>0</v>
      </c>
      <c r="L1057" s="535"/>
      <c r="M1057" s="552" t="str">
        <f t="shared" si="140"/>
        <v/>
      </c>
      <c r="N1057" s="552"/>
      <c r="O1057" s="552" t="str">
        <f t="shared" si="141"/>
        <v/>
      </c>
      <c r="P1057" s="39"/>
    </row>
    <row r="1058" spans="1:16" ht="15.5" thickTop="1" thickBot="1" x14ac:dyDescent="0.4">
      <c r="A1058" s="545" t="str">
        <f>IFERROR(INDEX($Q$17:$Q$41,MATCH(B1058,$R$17:$R$41, 0)), "")</f>
        <v/>
      </c>
      <c r="B1058" s="546"/>
      <c r="C1058" s="546"/>
      <c r="D1058" s="547"/>
      <c r="E1058" s="546"/>
      <c r="F1058" s="546"/>
      <c r="G1058" s="546"/>
      <c r="H1058" s="546"/>
      <c r="I1058" s="546"/>
      <c r="J1058" s="546"/>
      <c r="K1058" s="676"/>
      <c r="L1058" s="535"/>
      <c r="M1058" s="552" t="str">
        <f t="shared" si="140"/>
        <v/>
      </c>
      <c r="N1058" s="552"/>
      <c r="O1058" s="552" t="str">
        <f t="shared" si="141"/>
        <v/>
      </c>
      <c r="P1058" s="39"/>
    </row>
    <row r="1059" spans="1:16" ht="15" thickTop="1" x14ac:dyDescent="0.35">
      <c r="A1059" s="565">
        <f>IFERROR(INDEX($Q$17:$Q$150,MATCH(B1059,$R$17:$R$150, 0)), "")</f>
        <v>0</v>
      </c>
      <c r="B1059" s="382" t="s">
        <v>1538</v>
      </c>
      <c r="C1059" s="325" t="s">
        <v>873</v>
      </c>
      <c r="D1059" s="468"/>
      <c r="E1059" s="355" t="s">
        <v>90</v>
      </c>
      <c r="F1059" s="378">
        <v>50</v>
      </c>
      <c r="G1059" s="356" t="s">
        <v>73</v>
      </c>
      <c r="H1059" s="356"/>
      <c r="I1059" s="515"/>
      <c r="J1059" s="515"/>
      <c r="K1059" s="684"/>
      <c r="L1059" s="535"/>
      <c r="M1059" s="552" t="str">
        <f t="shared" si="140"/>
        <v/>
      </c>
      <c r="N1059" s="552"/>
      <c r="O1059" s="552" t="str">
        <f t="shared" si="141"/>
        <v/>
      </c>
      <c r="P1059" s="39"/>
    </row>
    <row r="1060" spans="1:16" x14ac:dyDescent="0.35">
      <c r="A1060" s="535" t="str">
        <f t="shared" ref="A1060:A1066" si="148">IFERROR(INDEX($Q$17:$Q$41,MATCH(B1060,$R$17:$R$41, 0)), "")</f>
        <v/>
      </c>
      <c r="B1060" s="337"/>
      <c r="C1060" s="337"/>
      <c r="D1060" s="417" t="s">
        <v>39</v>
      </c>
      <c r="E1060" s="425" t="s">
        <v>20</v>
      </c>
      <c r="F1060" s="18">
        <v>1000</v>
      </c>
      <c r="G1060" s="335" t="s">
        <v>73</v>
      </c>
      <c r="H1060" s="335">
        <f>ROUND(($F$1059)*(($F$1060)/((($F$1063)*(($F$1064)/($F$1064+$F$1065)))+(($F$1063)*(($F$1065)/($F$1064+$F$1065)))+($F$1060)+($F$1061)+($F$1062))),2)</f>
        <v>46.95</v>
      </c>
      <c r="I1060" s="335" t="s">
        <v>73</v>
      </c>
      <c r="J1060" s="337"/>
      <c r="K1060" s="680">
        <f t="shared" ref="K1060:K1065" si="149">$A$1059*H1060</f>
        <v>0</v>
      </c>
      <c r="L1060" s="535"/>
      <c r="M1060" s="552" t="str">
        <f t="shared" si="140"/>
        <v/>
      </c>
      <c r="N1060" s="552"/>
      <c r="O1060" s="552" t="str">
        <f t="shared" si="141"/>
        <v/>
      </c>
      <c r="P1060" s="39"/>
    </row>
    <row r="1061" spans="1:16" x14ac:dyDescent="0.35">
      <c r="A1061" s="535" t="str">
        <f t="shared" si="148"/>
        <v/>
      </c>
      <c r="B1061" s="330"/>
      <c r="C1061" s="330"/>
      <c r="D1061" s="417" t="s">
        <v>40</v>
      </c>
      <c r="E1061" s="426" t="s">
        <v>21</v>
      </c>
      <c r="F1061" s="22">
        <v>15</v>
      </c>
      <c r="G1061" s="328" t="s">
        <v>73</v>
      </c>
      <c r="H1061" s="328">
        <f>ROUND(($F$1059)*(($F$1061)/((($F$1063)*(($F$1064)/($F$1064+$F$1065)))+(($F$1063)*(($F$1065)/($F$1064+$F$1065)))+($F$1060)+($F$1061)+($F$1062))),2)</f>
        <v>0.7</v>
      </c>
      <c r="I1061" s="328" t="s">
        <v>73</v>
      </c>
      <c r="J1061" s="330"/>
      <c r="K1061" s="681">
        <f t="shared" si="149"/>
        <v>0</v>
      </c>
      <c r="L1061" s="535"/>
      <c r="M1061" s="552" t="str">
        <f t="shared" si="140"/>
        <v/>
      </c>
      <c r="N1061" s="552"/>
      <c r="O1061" s="552" t="str">
        <f t="shared" si="141"/>
        <v/>
      </c>
      <c r="P1061" s="39"/>
    </row>
    <row r="1062" spans="1:16" x14ac:dyDescent="0.35">
      <c r="A1062" s="535" t="str">
        <f t="shared" si="148"/>
        <v/>
      </c>
      <c r="B1062" s="337"/>
      <c r="C1062" s="337"/>
      <c r="D1062" s="417" t="s">
        <v>41</v>
      </c>
      <c r="E1062" s="425" t="s">
        <v>22</v>
      </c>
      <c r="F1062" s="18">
        <v>30</v>
      </c>
      <c r="G1062" s="335" t="s">
        <v>73</v>
      </c>
      <c r="H1062" s="335">
        <f>ROUND(($F$1059)*(($F$1062)/((($F$1063)*(($F$1064)/($F$1064+$F$1065)))+(($F$1063)*(($F$1065)/($F$1064+$F$1065)))+($F$1060)+($F$1061)+($F$1062))),2)</f>
        <v>1.41</v>
      </c>
      <c r="I1062" s="335" t="s">
        <v>73</v>
      </c>
      <c r="J1062" s="337"/>
      <c r="K1062" s="680">
        <f t="shared" si="149"/>
        <v>0</v>
      </c>
      <c r="L1062" s="535"/>
      <c r="M1062" s="552" t="str">
        <f t="shared" si="140"/>
        <v/>
      </c>
      <c r="N1062" s="552"/>
      <c r="O1062" s="552" t="str">
        <f t="shared" si="141"/>
        <v/>
      </c>
      <c r="P1062" s="39"/>
    </row>
    <row r="1063" spans="1:16" x14ac:dyDescent="0.35">
      <c r="A1063" s="535" t="str">
        <f t="shared" si="148"/>
        <v/>
      </c>
      <c r="B1063" s="330"/>
      <c r="C1063" s="330"/>
      <c r="D1063" s="355"/>
      <c r="E1063" s="416" t="s">
        <v>23</v>
      </c>
      <c r="F1063" s="378">
        <v>20</v>
      </c>
      <c r="G1063" s="356" t="s">
        <v>73</v>
      </c>
      <c r="H1063" s="356"/>
      <c r="I1063" s="356"/>
      <c r="J1063" s="515"/>
      <c r="K1063" s="684"/>
      <c r="L1063" s="535"/>
      <c r="M1063" s="552" t="str">
        <f t="shared" si="140"/>
        <v/>
      </c>
      <c r="N1063" s="552"/>
      <c r="O1063" s="552" t="str">
        <f t="shared" si="141"/>
        <v/>
      </c>
      <c r="P1063" s="39"/>
    </row>
    <row r="1064" spans="1:16" x14ac:dyDescent="0.35">
      <c r="A1064" s="535" t="str">
        <f t="shared" si="148"/>
        <v/>
      </c>
      <c r="B1064" s="337"/>
      <c r="C1064" s="337"/>
      <c r="D1064" s="326" t="s">
        <v>43</v>
      </c>
      <c r="E1064" s="419" t="s">
        <v>24</v>
      </c>
      <c r="F1064" s="18">
        <v>15</v>
      </c>
      <c r="G1064" s="335" t="s">
        <v>73</v>
      </c>
      <c r="H1064" s="335">
        <f>ROUND(($F$1059)*((($F$1063)*(($F$1064)/($F$1064+$F$1065)))
/((($F$1063)*(($F$1064)/($F$1064+$F$1065)))+(($F$1063)*(($F$1065)/($F$1064+$F$1065)))+($F$1060)+($F$1061)+($F$1062))),2)</f>
        <v>0.14000000000000001</v>
      </c>
      <c r="I1064" s="335" t="s">
        <v>73</v>
      </c>
      <c r="J1064" s="337"/>
      <c r="K1064" s="680">
        <f t="shared" si="149"/>
        <v>0</v>
      </c>
      <c r="L1064" s="535"/>
      <c r="M1064" s="552" t="str">
        <f t="shared" si="140"/>
        <v/>
      </c>
      <c r="N1064" s="552"/>
      <c r="O1064" s="552" t="str">
        <f t="shared" si="141"/>
        <v/>
      </c>
      <c r="P1064" s="39"/>
    </row>
    <row r="1065" spans="1:16" x14ac:dyDescent="0.35">
      <c r="A1065" s="535" t="str">
        <f t="shared" si="148"/>
        <v/>
      </c>
      <c r="B1065" s="330"/>
      <c r="C1065" s="330"/>
      <c r="D1065" s="326" t="s">
        <v>42</v>
      </c>
      <c r="E1065" s="475" t="s">
        <v>9</v>
      </c>
      <c r="F1065" s="22">
        <v>85</v>
      </c>
      <c r="G1065" s="328" t="s">
        <v>73</v>
      </c>
      <c r="H1065" s="328">
        <f>ROUND(($F$1059)*((($F$1063)*(($F$1065)/($F$1064+$F$1065)))
/((($F$1063)*(($F$1064)/($F$1064+$F$1065)))+(($F$1063)*(($F$1065)/($F$1064+$F$1065)))+($F$1060)+($F$1061)+($F$1062))),2)</f>
        <v>0.8</v>
      </c>
      <c r="I1065" s="328" t="s">
        <v>73</v>
      </c>
      <c r="J1065" s="330"/>
      <c r="K1065" s="681">
        <f t="shared" si="149"/>
        <v>0</v>
      </c>
      <c r="L1065" s="535"/>
      <c r="M1065" s="552" t="str">
        <f t="shared" ref="M1065:M1072" si="150">IF(Q1055&gt;0, Q1055, "")</f>
        <v/>
      </c>
      <c r="N1065" s="552"/>
      <c r="O1065" s="552" t="str">
        <f t="shared" ref="O1065:O1072" si="151">IF(V1056&gt;0, V1056, "")</f>
        <v/>
      </c>
      <c r="P1065" s="39"/>
    </row>
    <row r="1066" spans="1:16" x14ac:dyDescent="0.35">
      <c r="A1066" s="545" t="str">
        <f t="shared" si="148"/>
        <v/>
      </c>
      <c r="B1066" s="546"/>
      <c r="C1066" s="546"/>
      <c r="D1066" s="545"/>
      <c r="E1066" s="545"/>
      <c r="F1066" s="546"/>
      <c r="G1066" s="546"/>
      <c r="H1066" s="546"/>
      <c r="I1066" s="546"/>
      <c r="J1066" s="546"/>
      <c r="K1066" s="676"/>
      <c r="L1066" s="535"/>
      <c r="M1066" s="552" t="str">
        <f t="shared" si="150"/>
        <v/>
      </c>
      <c r="N1066" s="552"/>
      <c r="O1066" s="552" t="str">
        <f t="shared" si="151"/>
        <v/>
      </c>
      <c r="P1066" s="39"/>
    </row>
    <row r="1067" spans="1:16" x14ac:dyDescent="0.35">
      <c r="A1067" s="565">
        <f>IFERROR(INDEX($Q$17:$Q$150,MATCH(B1067,$R$17:$R$150, 0)), "")</f>
        <v>0</v>
      </c>
      <c r="B1067" s="382" t="s">
        <v>1271</v>
      </c>
      <c r="C1067" s="325" t="s">
        <v>874</v>
      </c>
      <c r="D1067" s="355"/>
      <c r="E1067" s="355" t="s">
        <v>5</v>
      </c>
      <c r="F1067" s="378">
        <v>30</v>
      </c>
      <c r="G1067" s="378" t="s">
        <v>73</v>
      </c>
      <c r="H1067" s="356"/>
      <c r="I1067" s="515"/>
      <c r="J1067" s="515"/>
      <c r="K1067" s="684"/>
      <c r="L1067" s="535"/>
      <c r="M1067" s="552" t="str">
        <f t="shared" si="150"/>
        <v/>
      </c>
      <c r="N1067" s="552"/>
      <c r="O1067" s="552" t="str">
        <f t="shared" si="151"/>
        <v/>
      </c>
      <c r="P1067" s="39"/>
    </row>
    <row r="1068" spans="1:16" x14ac:dyDescent="0.35">
      <c r="A1068" s="535" t="str">
        <f>IFERROR(INDEX($Q$17:$Q$41,MATCH(B1068,$R$17:$R$41, 0)), "")</f>
        <v/>
      </c>
      <c r="B1068" s="337"/>
      <c r="C1068" s="337"/>
      <c r="D1068" s="326" t="s">
        <v>57</v>
      </c>
      <c r="E1068" s="379" t="s">
        <v>6</v>
      </c>
      <c r="F1068" s="18">
        <v>100</v>
      </c>
      <c r="G1068" s="18" t="s">
        <v>73</v>
      </c>
      <c r="H1068" s="335">
        <f>ROUND(($F$1067)*(($F$1068)/((($F$1070)*(($F$1071)/($F$1071+$F$1072)))+(($F$1070)*(($F$1072)/($F$1071+$F$1072)))+($F$1068)+($F$1069))),2)</f>
        <v>28.85</v>
      </c>
      <c r="I1068" s="335" t="s">
        <v>73</v>
      </c>
      <c r="J1068" s="337"/>
      <c r="K1068" s="680">
        <f t="shared" ref="K1068:K1072" si="152">$A$1067*H1068</f>
        <v>0</v>
      </c>
      <c r="L1068" s="535"/>
      <c r="M1068" s="552" t="str">
        <f t="shared" si="150"/>
        <v/>
      </c>
      <c r="N1068" s="552"/>
      <c r="O1068" s="552" t="str">
        <f t="shared" si="151"/>
        <v/>
      </c>
      <c r="P1068" s="39"/>
    </row>
    <row r="1069" spans="1:16" x14ac:dyDescent="0.35">
      <c r="A1069" s="535" t="str">
        <f t="shared" ref="A1069:A1206" si="153">IFERROR(INDEX($Q$17:$Q$41,MATCH(B1069,$R$17:$R$41, 0)), "")</f>
        <v/>
      </c>
      <c r="B1069" s="330"/>
      <c r="C1069" s="330"/>
      <c r="D1069" s="326" t="s">
        <v>41</v>
      </c>
      <c r="E1069" s="380" t="s">
        <v>22</v>
      </c>
      <c r="F1069" s="22">
        <v>3</v>
      </c>
      <c r="G1069" s="22" t="s">
        <v>73</v>
      </c>
      <c r="H1069" s="328">
        <f>ROUND(($F$1067)*(($F$1069)/((($F$1070)*(($F$1071)/($F$1071+$F$1072)))+(($F$1070)*(($F$1072)/($F$1071+$F$1072)))+($F$1068)+($F$1069))),2)</f>
        <v>0.87</v>
      </c>
      <c r="I1069" s="328" t="s">
        <v>73</v>
      </c>
      <c r="J1069" s="330"/>
      <c r="K1069" s="681">
        <f t="shared" si="152"/>
        <v>0</v>
      </c>
      <c r="L1069" s="535"/>
      <c r="M1069" s="552" t="str">
        <f t="shared" si="150"/>
        <v/>
      </c>
      <c r="N1069" s="552"/>
      <c r="O1069" s="552" t="str">
        <f t="shared" si="151"/>
        <v/>
      </c>
      <c r="P1069" s="39"/>
    </row>
    <row r="1070" spans="1:16" x14ac:dyDescent="0.35">
      <c r="A1070" s="535" t="str">
        <f t="shared" si="153"/>
        <v/>
      </c>
      <c r="B1070" s="337"/>
      <c r="C1070" s="337"/>
      <c r="D1070" s="355"/>
      <c r="E1070" s="540" t="s">
        <v>712</v>
      </c>
      <c r="F1070" s="378">
        <v>1</v>
      </c>
      <c r="G1070" s="378" t="s">
        <v>73</v>
      </c>
      <c r="H1070" s="356"/>
      <c r="I1070" s="356"/>
      <c r="J1070" s="515"/>
      <c r="K1070" s="684"/>
      <c r="L1070" s="535"/>
      <c r="M1070" s="552" t="str">
        <f t="shared" si="150"/>
        <v/>
      </c>
      <c r="N1070" s="552"/>
      <c r="O1070" s="552" t="str">
        <f t="shared" si="151"/>
        <v/>
      </c>
      <c r="P1070" s="39"/>
    </row>
    <row r="1071" spans="1:16" x14ac:dyDescent="0.35">
      <c r="A1071" s="535" t="str">
        <f t="shared" si="153"/>
        <v/>
      </c>
      <c r="B1071" s="330"/>
      <c r="C1071" s="330"/>
      <c r="D1071" s="326" t="s">
        <v>43</v>
      </c>
      <c r="E1071" s="475" t="s">
        <v>8</v>
      </c>
      <c r="F1071" s="22">
        <v>85</v>
      </c>
      <c r="G1071" s="22" t="s">
        <v>73</v>
      </c>
      <c r="H1071" s="328">
        <f>ROUND(($F$1067)*((($F$1070)*(($F$1071)/($F$1071+$F$1072)))
/((($F$1070)*(($F$1071)/($F$1071+$F$1072)))+(($F$1070)*(($F$1072)/($F$1071+$F$1072)))+($F$1068)+($F$1069))),2)</f>
        <v>0.25</v>
      </c>
      <c r="I1071" s="328" t="s">
        <v>73</v>
      </c>
      <c r="J1071" s="330"/>
      <c r="K1071" s="681">
        <f t="shared" si="152"/>
        <v>0</v>
      </c>
      <c r="L1071" s="535"/>
      <c r="M1071" s="552" t="str">
        <f t="shared" si="150"/>
        <v/>
      </c>
      <c r="N1071" s="552"/>
      <c r="O1071" s="552" t="str">
        <f t="shared" si="151"/>
        <v/>
      </c>
      <c r="P1071" s="39"/>
    </row>
    <row r="1072" spans="1:16" ht="15" thickBot="1" x14ac:dyDescent="0.4">
      <c r="A1072" s="535" t="str">
        <f t="shared" si="153"/>
        <v/>
      </c>
      <c r="B1072" s="337"/>
      <c r="C1072" s="337"/>
      <c r="D1072" s="326" t="s">
        <v>42</v>
      </c>
      <c r="E1072" s="419" t="s">
        <v>9</v>
      </c>
      <c r="F1072" s="18">
        <v>15</v>
      </c>
      <c r="G1072" s="18" t="s">
        <v>73</v>
      </c>
      <c r="H1072" s="335">
        <f>ROUND(($F$1067)*((($F$1070)*(($F$1072)/($F$1071+$F$1072)))
/((($F$1070)*(($F$1071)/($F$1071+$F$1072)))+(($F$1070)*(($F$1072)/($F$1071+$F$1072)))+($F$1068)+($F$1069))),2)</f>
        <v>0.04</v>
      </c>
      <c r="I1072" s="335" t="s">
        <v>73</v>
      </c>
      <c r="J1072" s="337"/>
      <c r="K1072" s="680">
        <f t="shared" si="152"/>
        <v>0</v>
      </c>
      <c r="L1072" s="535"/>
      <c r="M1072" s="552" t="str">
        <f t="shared" si="150"/>
        <v/>
      </c>
      <c r="N1072" s="552"/>
      <c r="O1072" s="552" t="str">
        <f t="shared" si="151"/>
        <v/>
      </c>
      <c r="P1072" s="39"/>
    </row>
    <row r="1073" spans="1:16" ht="15" thickTop="1" x14ac:dyDescent="0.35">
      <c r="A1073" s="615" t="str">
        <f>IFERROR(INDEX($Q$17:$Q$41,MATCH(B1073,$R$17:$R$41, 0)), "")</f>
        <v/>
      </c>
      <c r="B1073" s="574"/>
      <c r="C1073" s="574"/>
      <c r="D1073" s="624"/>
      <c r="E1073" s="625"/>
      <c r="F1073" s="577"/>
      <c r="G1073" s="577"/>
      <c r="H1073" s="618"/>
      <c r="I1073" s="618"/>
      <c r="J1073" s="574"/>
      <c r="K1073" s="690"/>
      <c r="L1073" s="535"/>
      <c r="M1073" s="595" t="str">
        <f>IF(Q1072&gt;0, Q1072, "")</f>
        <v/>
      </c>
      <c r="N1073" s="595">
        <f>V1073+ROW()/10000</f>
        <v>0.10730000000000001</v>
      </c>
      <c r="O1073" s="595" t="str">
        <f>IF(V1073&gt;0, V1073, "")</f>
        <v/>
      </c>
      <c r="P1073" s="39"/>
    </row>
    <row r="1074" spans="1:16" x14ac:dyDescent="0.35">
      <c r="A1074" s="593">
        <f>IFERROR(INDEX($Q$17:$Q$150,MATCH(B1074,$R$17:$R$150, 0)), "")</f>
        <v>17</v>
      </c>
      <c r="B1074" s="626" t="s">
        <v>1528</v>
      </c>
      <c r="C1074" s="325" t="s">
        <v>1529</v>
      </c>
      <c r="D1074" s="446"/>
      <c r="E1074" s="447" t="s">
        <v>1909</v>
      </c>
      <c r="F1074" s="378">
        <v>180</v>
      </c>
      <c r="G1074" s="378" t="s">
        <v>73</v>
      </c>
      <c r="H1074" s="358"/>
      <c r="I1074" s="358"/>
      <c r="J1074" s="358"/>
      <c r="K1074" s="511"/>
      <c r="L1074" s="535"/>
      <c r="M1074" s="595" t="str">
        <f>IF(Q1073&gt;0, Q1073, "")</f>
        <v/>
      </c>
      <c r="N1074" s="595">
        <f>V1074+ROW()/10000</f>
        <v>0.1074</v>
      </c>
      <c r="O1074" s="595" t="str">
        <f>IF(V1074&gt;0, V1074, "")</f>
        <v/>
      </c>
      <c r="P1074" s="39"/>
    </row>
    <row r="1075" spans="1:16" x14ac:dyDescent="0.35">
      <c r="A1075" s="593" t="str">
        <f>IFERROR(INDEX($Q$17:$Q$41,MATCH(B1075,$R$17:$R$41, 0)), "")</f>
        <v/>
      </c>
      <c r="B1075" s="330"/>
      <c r="C1075" s="330"/>
      <c r="D1075" s="449" t="s">
        <v>1660</v>
      </c>
      <c r="E1075" s="450" t="s">
        <v>1897</v>
      </c>
      <c r="F1075" s="22">
        <v>1000</v>
      </c>
      <c r="G1075" s="22" t="s">
        <v>73</v>
      </c>
      <c r="H1075" s="340"/>
      <c r="I1075" s="328" t="s">
        <v>73</v>
      </c>
      <c r="J1075" s="340"/>
      <c r="K1075" s="497"/>
      <c r="L1075" s="535"/>
      <c r="M1075" s="595" t="str">
        <f>IF(Q1072&gt;0, Q1072, "")</f>
        <v/>
      </c>
      <c r="N1075" s="595">
        <f>V1075+ROW()/10000</f>
        <v>0.1075</v>
      </c>
      <c r="O1075" s="595" t="str">
        <f>IF(V1075&gt;0, V1075, "")</f>
        <v/>
      </c>
      <c r="P1075" s="39"/>
    </row>
    <row r="1076" spans="1:16" x14ac:dyDescent="0.35">
      <c r="A1076" s="593" t="str">
        <f>IFERROR(INDEX($Q$17:$Q$41,MATCH(B1076,$R$17:$R$41, 0)), "")</f>
        <v/>
      </c>
      <c r="B1076" s="337"/>
      <c r="C1076" s="337"/>
      <c r="D1076" s="449" t="s">
        <v>1871</v>
      </c>
      <c r="E1076" s="451" t="s">
        <v>1910</v>
      </c>
      <c r="F1076" s="18">
        <v>60</v>
      </c>
      <c r="G1076" s="18" t="s">
        <v>73</v>
      </c>
      <c r="H1076" s="333"/>
      <c r="I1076" s="335" t="s">
        <v>73</v>
      </c>
      <c r="J1076" s="333"/>
      <c r="K1076" s="496"/>
      <c r="L1076" s="535"/>
      <c r="M1076" s="595" t="str">
        <f>IF(Q1072&gt;0, Q1072, "")</f>
        <v/>
      </c>
      <c r="N1076" s="595">
        <f>V1076+ROW()/10000</f>
        <v>0.1076</v>
      </c>
      <c r="O1076" s="595" t="str">
        <f>IF(V1076&gt;0, V1076, "")</f>
        <v/>
      </c>
      <c r="P1076" s="39"/>
    </row>
    <row r="1077" spans="1:16" x14ac:dyDescent="0.35">
      <c r="A1077" s="593" t="str">
        <f>IFERROR(INDEX($Q$17:$Q$41,MATCH(B1077,$R$17:$R$41, 0)), "")</f>
        <v/>
      </c>
      <c r="B1077" s="330"/>
      <c r="C1077" s="330"/>
      <c r="D1077" s="449"/>
      <c r="E1077" s="450" t="s">
        <v>81</v>
      </c>
      <c r="F1077" s="22">
        <v>1300</v>
      </c>
      <c r="G1077" s="22" t="s">
        <v>73</v>
      </c>
      <c r="H1077" s="340"/>
      <c r="I1077" s="328" t="s">
        <v>73</v>
      </c>
      <c r="J1077" s="340"/>
      <c r="K1077" s="497"/>
      <c r="L1077" s="535"/>
      <c r="M1077" s="595" t="str">
        <f>IF(Q1072&gt;0, Q1072, "")</f>
        <v/>
      </c>
      <c r="N1077" s="595">
        <f>V1077+ROW()/10000</f>
        <v>0.1077</v>
      </c>
      <c r="O1077" s="595" t="str">
        <f>IF(V1077&gt;0, V1077, "")</f>
        <v/>
      </c>
      <c r="P1077" s="39"/>
    </row>
    <row r="1078" spans="1:16" ht="15" thickBot="1" x14ac:dyDescent="0.4">
      <c r="A1078" s="545" t="str">
        <f t="shared" si="153"/>
        <v/>
      </c>
      <c r="B1078" s="546"/>
      <c r="C1078" s="546"/>
      <c r="D1078" s="545"/>
      <c r="E1078" s="545"/>
      <c r="F1078" s="546"/>
      <c r="G1078" s="546"/>
      <c r="H1078" s="546"/>
      <c r="I1078" s="546"/>
      <c r="J1078" s="546"/>
      <c r="K1078" s="676"/>
      <c r="L1078" s="535"/>
      <c r="M1078" s="552" t="str">
        <f t="shared" ref="M1078:M1085" si="154">IF(Q1063&gt;0, Q1063, "")</f>
        <v/>
      </c>
      <c r="N1078" s="552"/>
      <c r="O1078" s="552" t="str">
        <f t="shared" ref="O1078:O1085" si="155">IF(V1064&gt;0, V1064, "")</f>
        <v/>
      </c>
      <c r="P1078" s="39"/>
    </row>
    <row r="1079" spans="1:16" ht="15" thickTop="1" x14ac:dyDescent="0.35">
      <c r="A1079" s="565">
        <f>IFERROR(INDEX($Q$17:$Q$150,MATCH(B1079,$R$17:$R$150, 0)), "")</f>
        <v>14</v>
      </c>
      <c r="B1079" s="382" t="s">
        <v>1272</v>
      </c>
      <c r="C1079" s="325" t="s">
        <v>875</v>
      </c>
      <c r="D1079" s="347" t="s">
        <v>398</v>
      </c>
      <c r="E1079" s="327" t="s">
        <v>399</v>
      </c>
      <c r="F1079" s="328">
        <v>60</v>
      </c>
      <c r="G1079" s="328" t="s">
        <v>73</v>
      </c>
      <c r="H1079" s="328">
        <v>60</v>
      </c>
      <c r="I1079" s="328" t="s">
        <v>73</v>
      </c>
      <c r="J1079" s="330"/>
      <c r="K1079" s="681">
        <f>$A$1079*H1079</f>
        <v>840</v>
      </c>
      <c r="L1079" s="535"/>
      <c r="M1079" s="552" t="str">
        <f t="shared" si="154"/>
        <v/>
      </c>
      <c r="N1079" s="552"/>
      <c r="O1079" s="552" t="str">
        <f t="shared" si="155"/>
        <v/>
      </c>
      <c r="P1079" s="39"/>
    </row>
    <row r="1080" spans="1:16" x14ac:dyDescent="0.35">
      <c r="A1080" s="545" t="str">
        <f t="shared" si="153"/>
        <v/>
      </c>
      <c r="B1080" s="546"/>
      <c r="C1080" s="546"/>
      <c r="D1080" s="545"/>
      <c r="E1080" s="545"/>
      <c r="F1080" s="579"/>
      <c r="G1080" s="579"/>
      <c r="H1080" s="579"/>
      <c r="I1080" s="546"/>
      <c r="J1080" s="546"/>
      <c r="K1080" s="676"/>
      <c r="L1080" s="535"/>
      <c r="M1080" s="552" t="str">
        <f t="shared" si="154"/>
        <v/>
      </c>
      <c r="N1080" s="552"/>
      <c r="O1080" s="552" t="str">
        <f t="shared" si="155"/>
        <v/>
      </c>
      <c r="P1080" s="39"/>
    </row>
    <row r="1081" spans="1:16" x14ac:dyDescent="0.35">
      <c r="A1081" s="565">
        <f>IFERROR(INDEX($Q$17:$Q$150,MATCH(B1081,$R$17:$R$150, 0)), "")</f>
        <v>25</v>
      </c>
      <c r="B1081" s="382" t="s">
        <v>1273</v>
      </c>
      <c r="C1081" s="325" t="s">
        <v>876</v>
      </c>
      <c r="D1081" s="326" t="s">
        <v>56</v>
      </c>
      <c r="E1081" s="327" t="s">
        <v>877</v>
      </c>
      <c r="F1081" s="627">
        <v>8</v>
      </c>
      <c r="G1081" s="328" t="s">
        <v>74</v>
      </c>
      <c r="H1081" s="328">
        <v>8</v>
      </c>
      <c r="I1081" s="328" t="s">
        <v>74</v>
      </c>
      <c r="J1081" s="330"/>
      <c r="K1081" s="681">
        <f>$A$1081*H1081</f>
        <v>200</v>
      </c>
      <c r="L1081" s="535"/>
      <c r="M1081" s="552" t="str">
        <f t="shared" si="154"/>
        <v/>
      </c>
      <c r="N1081" s="552"/>
      <c r="O1081" s="552" t="str">
        <f t="shared" si="155"/>
        <v/>
      </c>
      <c r="P1081" s="39"/>
    </row>
    <row r="1082" spans="1:16" x14ac:dyDescent="0.35">
      <c r="A1082" s="545" t="str">
        <f t="shared" si="153"/>
        <v/>
      </c>
      <c r="B1082" s="546"/>
      <c r="C1082" s="546"/>
      <c r="D1082" s="545"/>
      <c r="E1082" s="545"/>
      <c r="F1082" s="579"/>
      <c r="G1082" s="579"/>
      <c r="H1082" s="579"/>
      <c r="I1082" s="546"/>
      <c r="J1082" s="546"/>
      <c r="K1082" s="676"/>
      <c r="L1082" s="535"/>
      <c r="M1082" s="552" t="str">
        <f t="shared" si="154"/>
        <v/>
      </c>
      <c r="N1082" s="552"/>
      <c r="O1082" s="552" t="str">
        <f t="shared" si="155"/>
        <v/>
      </c>
      <c r="P1082" s="39"/>
    </row>
    <row r="1083" spans="1:16" x14ac:dyDescent="0.35">
      <c r="A1083" s="565">
        <f>IFERROR(INDEX($Q$17:$Q$150,MATCH(B1083,$R$17:$R$150, 0)), "")</f>
        <v>9</v>
      </c>
      <c r="B1083" s="382" t="s">
        <v>1274</v>
      </c>
      <c r="C1083" s="325" t="s">
        <v>878</v>
      </c>
      <c r="D1083" s="326" t="s">
        <v>63</v>
      </c>
      <c r="E1083" s="327" t="s">
        <v>879</v>
      </c>
      <c r="F1083" s="328">
        <v>100</v>
      </c>
      <c r="G1083" s="328" t="s">
        <v>73</v>
      </c>
      <c r="H1083" s="328">
        <v>100</v>
      </c>
      <c r="I1083" s="328" t="s">
        <v>73</v>
      </c>
      <c r="J1083" s="330"/>
      <c r="K1083" s="681">
        <f>$A$1083*H1083</f>
        <v>900</v>
      </c>
      <c r="L1083" s="535"/>
      <c r="M1083" s="552" t="str">
        <f t="shared" si="154"/>
        <v/>
      </c>
      <c r="N1083" s="552"/>
      <c r="O1083" s="552" t="str">
        <f t="shared" si="155"/>
        <v/>
      </c>
      <c r="P1083" s="39"/>
    </row>
    <row r="1084" spans="1:16" x14ac:dyDescent="0.35">
      <c r="A1084" s="545" t="str">
        <f t="shared" si="153"/>
        <v/>
      </c>
      <c r="B1084" s="546"/>
      <c r="C1084" s="546"/>
      <c r="D1084" s="545"/>
      <c r="E1084" s="545"/>
      <c r="F1084" s="579"/>
      <c r="G1084" s="579"/>
      <c r="H1084" s="579"/>
      <c r="I1084" s="546"/>
      <c r="J1084" s="546"/>
      <c r="K1084" s="676"/>
      <c r="L1084" s="535"/>
      <c r="M1084" s="552" t="str">
        <f t="shared" si="154"/>
        <v/>
      </c>
      <c r="N1084" s="552"/>
      <c r="O1084" s="552" t="str">
        <f t="shared" si="155"/>
        <v/>
      </c>
      <c r="P1084" s="39"/>
    </row>
    <row r="1085" spans="1:16" ht="15" thickBot="1" x14ac:dyDescent="0.4">
      <c r="A1085" s="565">
        <f>IFERROR(INDEX($Q$17:$Q$150,MATCH(B1085,$R$17:$R$150, 0)), "")</f>
        <v>1</v>
      </c>
      <c r="B1085" s="382" t="s">
        <v>1275</v>
      </c>
      <c r="C1085" s="325" t="s">
        <v>971</v>
      </c>
      <c r="D1085" s="326" t="s">
        <v>61</v>
      </c>
      <c r="E1085" s="327" t="s">
        <v>880</v>
      </c>
      <c r="F1085" s="328">
        <v>100</v>
      </c>
      <c r="G1085" s="328" t="s">
        <v>73</v>
      </c>
      <c r="H1085" s="328">
        <v>100</v>
      </c>
      <c r="I1085" s="328" t="s">
        <v>73</v>
      </c>
      <c r="J1085" s="330"/>
      <c r="K1085" s="681">
        <f>$A$1085*H1085</f>
        <v>100</v>
      </c>
      <c r="L1085" s="535"/>
      <c r="M1085" s="552" t="str">
        <f t="shared" si="154"/>
        <v/>
      </c>
      <c r="N1085" s="552"/>
      <c r="O1085" s="552" t="str">
        <f t="shared" si="155"/>
        <v/>
      </c>
      <c r="P1085" s="39"/>
    </row>
    <row r="1086" spans="1:16" ht="15.5" thickTop="1" thickBot="1" x14ac:dyDescent="0.4">
      <c r="A1086" s="315" t="str">
        <f>IFERROR(INDEX($Q$17:$Q$41,MATCH(B1086,$R$17:$R$41, 0)), "")</f>
        <v/>
      </c>
      <c r="B1086" s="316"/>
      <c r="C1086" s="317"/>
      <c r="D1086" s="575"/>
      <c r="E1086" s="574"/>
      <c r="F1086" s="618"/>
      <c r="G1086" s="618"/>
      <c r="H1086" s="618"/>
      <c r="I1086" s="618"/>
      <c r="J1086" s="574"/>
      <c r="K1086" s="690"/>
      <c r="L1086" s="535"/>
      <c r="M1086" s="595" t="str">
        <f>IF(Q1085&gt;0, Q1085, "")</f>
        <v/>
      </c>
      <c r="N1086" s="595">
        <f t="shared" ref="N1086:N1128" si="156">V1086+ROW()/10000</f>
        <v>0.1086</v>
      </c>
      <c r="O1086" s="595" t="str">
        <f t="shared" ref="O1086:O1128" si="157">IF(V1086&gt;0, V1086, "")</f>
        <v/>
      </c>
      <c r="P1086" s="39"/>
    </row>
    <row r="1087" spans="1:16" x14ac:dyDescent="0.35">
      <c r="A1087" s="619">
        <f>IFERROR(INDEX($Q$17:$Q$150,MATCH(B1087,$R$17:$R$150, 0)), "")</f>
        <v>2</v>
      </c>
      <c r="B1087" s="382" t="s">
        <v>1276</v>
      </c>
      <c r="C1087" s="325" t="s">
        <v>1902</v>
      </c>
      <c r="D1087" s="628"/>
      <c r="E1087" s="629" t="s">
        <v>1903</v>
      </c>
      <c r="F1087" s="356">
        <v>150</v>
      </c>
      <c r="G1087" s="356" t="s">
        <v>73</v>
      </c>
      <c r="H1087" s="356"/>
      <c r="I1087" s="356"/>
      <c r="J1087" s="515"/>
      <c r="K1087" s="684"/>
      <c r="L1087" s="535"/>
      <c r="M1087" s="595" t="str">
        <f>IF(Q1086&gt;0, Q1086, "")</f>
        <v/>
      </c>
      <c r="N1087" s="595">
        <f t="shared" si="156"/>
        <v>0.1087</v>
      </c>
      <c r="O1087" s="595" t="str">
        <f t="shared" si="157"/>
        <v/>
      </c>
      <c r="P1087" s="39"/>
    </row>
    <row r="1088" spans="1:16" x14ac:dyDescent="0.35">
      <c r="A1088" s="621" t="str">
        <f t="shared" ref="A1088:A1093" si="158">IFERROR(INDEX($Q$17:$Q$41,MATCH(B1088,$R$17:$R$41, 0)), "")</f>
        <v/>
      </c>
      <c r="B1088" s="18"/>
      <c r="C1088" s="337"/>
      <c r="D1088" s="630" t="s">
        <v>525</v>
      </c>
      <c r="E1088" s="631" t="s">
        <v>526</v>
      </c>
      <c r="F1088" s="335">
        <v>15</v>
      </c>
      <c r="G1088" s="335" t="s">
        <v>73</v>
      </c>
      <c r="H1088" s="335">
        <f>ROUND(($F$1087*((F1088)/($F$1088+$F$1089))),2)</f>
        <v>2.2200000000000002</v>
      </c>
      <c r="I1088" s="335" t="s">
        <v>73</v>
      </c>
      <c r="J1088" s="337"/>
      <c r="K1088" s="680">
        <f t="shared" ref="K1088:K1092" si="159">$A$1087*H1088</f>
        <v>4.4400000000000004</v>
      </c>
      <c r="L1088" s="535"/>
      <c r="M1088" s="595" t="str">
        <f>IF(Q1087&gt;0, Q1087, "")</f>
        <v/>
      </c>
      <c r="N1088" s="595">
        <f t="shared" si="156"/>
        <v>0.10879999999999999</v>
      </c>
      <c r="O1088" s="595" t="str">
        <f t="shared" si="157"/>
        <v/>
      </c>
      <c r="P1088" s="39"/>
    </row>
    <row r="1089" spans="1:16" x14ac:dyDescent="0.35">
      <c r="A1089" s="620" t="str">
        <f t="shared" si="158"/>
        <v/>
      </c>
      <c r="B1089" s="22"/>
      <c r="C1089" s="330"/>
      <c r="D1089" s="630" t="s">
        <v>63</v>
      </c>
      <c r="E1089" s="632" t="s">
        <v>978</v>
      </c>
      <c r="F1089" s="328">
        <v>1000</v>
      </c>
      <c r="G1089" s="328" t="s">
        <v>73</v>
      </c>
      <c r="H1089" s="328">
        <f>ROUND(($F$1087*((F1089)/($F$1088+$F$1089))),2)</f>
        <v>147.78</v>
      </c>
      <c r="I1089" s="328" t="s">
        <v>73</v>
      </c>
      <c r="J1089" s="330"/>
      <c r="K1089" s="681">
        <f t="shared" si="159"/>
        <v>295.56</v>
      </c>
      <c r="L1089" s="535"/>
      <c r="M1089" s="595" t="str">
        <f>IF(Q1087&gt;0, Q1087, "")</f>
        <v/>
      </c>
      <c r="N1089" s="595">
        <f t="shared" si="156"/>
        <v>0.1089</v>
      </c>
      <c r="O1089" s="595" t="str">
        <f t="shared" si="157"/>
        <v/>
      </c>
      <c r="P1089" s="39"/>
    </row>
    <row r="1090" spans="1:16" x14ac:dyDescent="0.35">
      <c r="A1090" s="621" t="str">
        <f t="shared" si="158"/>
        <v/>
      </c>
      <c r="B1090" s="18"/>
      <c r="C1090" s="337"/>
      <c r="D1090" s="630" t="s">
        <v>41</v>
      </c>
      <c r="E1090" s="633" t="s">
        <v>320</v>
      </c>
      <c r="F1090" s="335">
        <v>2</v>
      </c>
      <c r="G1090" s="335" t="s">
        <v>73</v>
      </c>
      <c r="H1090" s="335">
        <v>2</v>
      </c>
      <c r="I1090" s="335" t="s">
        <v>73</v>
      </c>
      <c r="J1090" s="337"/>
      <c r="K1090" s="680">
        <f t="shared" si="159"/>
        <v>4</v>
      </c>
      <c r="L1090" s="535"/>
      <c r="M1090" s="595" t="str">
        <f>IF(Q1086&gt;0, Q1086, "")</f>
        <v/>
      </c>
      <c r="N1090" s="595">
        <f t="shared" si="156"/>
        <v>0.109</v>
      </c>
      <c r="O1090" s="595" t="str">
        <f t="shared" si="157"/>
        <v/>
      </c>
      <c r="P1090" s="39"/>
    </row>
    <row r="1091" spans="1:16" x14ac:dyDescent="0.35">
      <c r="A1091" s="620" t="str">
        <f t="shared" si="158"/>
        <v/>
      </c>
      <c r="B1091" s="22"/>
      <c r="C1091" s="330"/>
      <c r="D1091" s="630" t="s">
        <v>55</v>
      </c>
      <c r="E1091" s="634" t="s">
        <v>324</v>
      </c>
      <c r="F1091" s="328">
        <v>0.1</v>
      </c>
      <c r="G1091" s="328" t="s">
        <v>73</v>
      </c>
      <c r="H1091" s="328">
        <v>0.1</v>
      </c>
      <c r="I1091" s="328" t="s">
        <v>73</v>
      </c>
      <c r="J1091" s="330"/>
      <c r="K1091" s="681">
        <f t="shared" si="159"/>
        <v>0.2</v>
      </c>
      <c r="L1091" s="535"/>
      <c r="M1091" s="595" t="str">
        <f>IF(Q1090&gt;0, Q1090, "")</f>
        <v/>
      </c>
      <c r="N1091" s="595">
        <f t="shared" si="156"/>
        <v>0.1091</v>
      </c>
      <c r="O1091" s="595" t="str">
        <f t="shared" si="157"/>
        <v/>
      </c>
      <c r="P1091" s="39"/>
    </row>
    <row r="1092" spans="1:16" ht="15" thickBot="1" x14ac:dyDescent="0.4">
      <c r="A1092" s="621" t="str">
        <f t="shared" si="158"/>
        <v/>
      </c>
      <c r="B1092" s="18"/>
      <c r="C1092" s="337"/>
      <c r="D1092" s="630" t="s">
        <v>129</v>
      </c>
      <c r="E1092" s="633" t="s">
        <v>130</v>
      </c>
      <c r="F1092" s="335">
        <v>60</v>
      </c>
      <c r="G1092" s="335" t="s">
        <v>73</v>
      </c>
      <c r="H1092" s="335">
        <v>60</v>
      </c>
      <c r="I1092" s="335" t="s">
        <v>73</v>
      </c>
      <c r="J1092" s="337"/>
      <c r="K1092" s="680">
        <f t="shared" si="159"/>
        <v>120</v>
      </c>
      <c r="L1092" s="535"/>
      <c r="M1092" s="595" t="str">
        <f>IF(Q1086&gt;0, Q1086, "")</f>
        <v/>
      </c>
      <c r="N1092" s="595">
        <f t="shared" si="156"/>
        <v>0.10920000000000001</v>
      </c>
      <c r="O1092" s="595" t="str">
        <f t="shared" si="157"/>
        <v/>
      </c>
      <c r="P1092" s="39"/>
    </row>
    <row r="1093" spans="1:16" x14ac:dyDescent="0.35">
      <c r="A1093" s="635" t="str">
        <f t="shared" si="158"/>
        <v/>
      </c>
      <c r="B1093" s="636"/>
      <c r="C1093" s="637"/>
      <c r="D1093" s="638"/>
      <c r="E1093" s="638"/>
      <c r="F1093" s="639"/>
      <c r="G1093" s="639"/>
      <c r="H1093" s="639"/>
      <c r="I1093" s="639"/>
      <c r="J1093" s="640"/>
      <c r="K1093" s="691"/>
      <c r="L1093" s="535"/>
      <c r="M1093" s="595" t="str">
        <f>IF(Q1092&gt;0, Q1092, "")</f>
        <v/>
      </c>
      <c r="N1093" s="595">
        <f t="shared" si="156"/>
        <v>0.10929999999999999</v>
      </c>
      <c r="O1093" s="595" t="str">
        <f t="shared" si="157"/>
        <v/>
      </c>
      <c r="P1093" s="39"/>
    </row>
    <row r="1094" spans="1:16" x14ac:dyDescent="0.35">
      <c r="A1094" s="619">
        <f>IFERROR(INDEX($Q$17:$Q$150,MATCH(B1094,$R$17:$R$150, 0)), "")</f>
        <v>3</v>
      </c>
      <c r="B1094" s="382" t="s">
        <v>1891</v>
      </c>
      <c r="C1094" s="325" t="s">
        <v>1958</v>
      </c>
      <c r="D1094" s="447"/>
      <c r="E1094" s="452" t="s">
        <v>1916</v>
      </c>
      <c r="F1094" s="378">
        <v>150</v>
      </c>
      <c r="G1094" s="358"/>
      <c r="H1094" s="358"/>
      <c r="I1094" s="358"/>
      <c r="J1094" s="358"/>
      <c r="K1094" s="511"/>
      <c r="L1094" s="535"/>
      <c r="M1094" s="595" t="str">
        <f>IF(Q1093&gt;0, Q1093, "")</f>
        <v/>
      </c>
      <c r="N1094" s="595">
        <f t="shared" si="156"/>
        <v>0.1094</v>
      </c>
      <c r="O1094" s="595" t="str">
        <f t="shared" si="157"/>
        <v/>
      </c>
      <c r="P1094" s="39"/>
    </row>
    <row r="1095" spans="1:16" x14ac:dyDescent="0.35">
      <c r="A1095" s="620" t="str">
        <f t="shared" ref="A1095:A1104" si="160">IFERROR(INDEX($Q$17:$Q$41,MATCH(B1095,$R$17:$R$41, 0)), "")</f>
        <v/>
      </c>
      <c r="B1095" s="22"/>
      <c r="C1095" s="330"/>
      <c r="D1095" s="449"/>
      <c r="E1095" s="450" t="s">
        <v>81</v>
      </c>
      <c r="F1095" s="22">
        <v>1000</v>
      </c>
      <c r="G1095" s="328" t="s">
        <v>73</v>
      </c>
      <c r="H1095" s="340"/>
      <c r="I1095" s="328" t="s">
        <v>73</v>
      </c>
      <c r="J1095" s="340"/>
      <c r="K1095" s="497"/>
      <c r="L1095" s="535"/>
      <c r="M1095" s="595" t="str">
        <f>IF(Q1094&gt;0, Q1094, "")</f>
        <v/>
      </c>
      <c r="N1095" s="595">
        <f t="shared" si="156"/>
        <v>0.1095</v>
      </c>
      <c r="O1095" s="595" t="str">
        <f t="shared" si="157"/>
        <v/>
      </c>
      <c r="P1095" s="39"/>
    </row>
    <row r="1096" spans="1:16" x14ac:dyDescent="0.35">
      <c r="A1096" s="621" t="str">
        <f t="shared" si="160"/>
        <v/>
      </c>
      <c r="B1096" s="18"/>
      <c r="C1096" s="337"/>
      <c r="D1096" s="390" t="s">
        <v>45</v>
      </c>
      <c r="E1096" s="453" t="s">
        <v>101</v>
      </c>
      <c r="F1096" s="18">
        <v>15</v>
      </c>
      <c r="G1096" s="335" t="s">
        <v>73</v>
      </c>
      <c r="H1096" s="333"/>
      <c r="I1096" s="335" t="s">
        <v>73</v>
      </c>
      <c r="J1096" s="333"/>
      <c r="K1096" s="496"/>
      <c r="L1096" s="535"/>
      <c r="M1096" s="595" t="str">
        <f>IF(Q1094&gt;0, Q1094, "")</f>
        <v/>
      </c>
      <c r="N1096" s="595">
        <f t="shared" si="156"/>
        <v>0.1096</v>
      </c>
      <c r="O1096" s="595" t="str">
        <f t="shared" si="157"/>
        <v/>
      </c>
      <c r="P1096" s="39"/>
    </row>
    <row r="1097" spans="1:16" x14ac:dyDescent="0.35">
      <c r="A1097" s="620" t="str">
        <f t="shared" si="160"/>
        <v/>
      </c>
      <c r="B1097" s="22"/>
      <c r="C1097" s="330"/>
      <c r="D1097" s="390" t="s">
        <v>43</v>
      </c>
      <c r="E1097" s="454" t="s">
        <v>105</v>
      </c>
      <c r="F1097" s="22">
        <v>4</v>
      </c>
      <c r="G1097" s="328" t="s">
        <v>73</v>
      </c>
      <c r="H1097" s="340"/>
      <c r="I1097" s="328" t="s">
        <v>73</v>
      </c>
      <c r="J1097" s="340"/>
      <c r="K1097" s="497"/>
      <c r="L1097" s="535"/>
      <c r="M1097" s="595" t="str">
        <f>IF(Q1094&gt;0, Q1094, "")</f>
        <v/>
      </c>
      <c r="N1097" s="595">
        <f t="shared" si="156"/>
        <v>0.10970000000000001</v>
      </c>
      <c r="O1097" s="595" t="str">
        <f t="shared" si="157"/>
        <v/>
      </c>
      <c r="P1097" s="39"/>
    </row>
    <row r="1098" spans="1:16" x14ac:dyDescent="0.35">
      <c r="A1098" s="621" t="str">
        <f t="shared" si="160"/>
        <v/>
      </c>
      <c r="B1098" s="18"/>
      <c r="C1098" s="337"/>
      <c r="D1098" s="390" t="s">
        <v>46</v>
      </c>
      <c r="E1098" s="453" t="s">
        <v>1911</v>
      </c>
      <c r="F1098" s="18">
        <v>2</v>
      </c>
      <c r="G1098" s="335" t="s">
        <v>73</v>
      </c>
      <c r="H1098" s="333"/>
      <c r="I1098" s="335" t="s">
        <v>73</v>
      </c>
      <c r="J1098" s="333"/>
      <c r="K1098" s="496"/>
      <c r="L1098" s="535"/>
      <c r="M1098" s="595" t="str">
        <f>IF(Q1094&gt;0, Q1094, "")</f>
        <v/>
      </c>
      <c r="N1098" s="595">
        <f t="shared" si="156"/>
        <v>0.10979999999999999</v>
      </c>
      <c r="O1098" s="595" t="str">
        <f t="shared" si="157"/>
        <v/>
      </c>
      <c r="P1098" s="39"/>
    </row>
    <row r="1099" spans="1:16" x14ac:dyDescent="0.35">
      <c r="A1099" s="620" t="str">
        <f t="shared" si="160"/>
        <v/>
      </c>
      <c r="B1099" s="22"/>
      <c r="C1099" s="330"/>
      <c r="D1099" s="390" t="s">
        <v>42</v>
      </c>
      <c r="E1099" s="454" t="s">
        <v>66</v>
      </c>
      <c r="F1099" s="22">
        <v>5</v>
      </c>
      <c r="G1099" s="328" t="s">
        <v>73</v>
      </c>
      <c r="H1099" s="340"/>
      <c r="I1099" s="328" t="s">
        <v>73</v>
      </c>
      <c r="J1099" s="340"/>
      <c r="K1099" s="497"/>
      <c r="L1099" s="535"/>
      <c r="M1099" s="595" t="str">
        <f>IF(Q1094&gt;0, Q1094, "")</f>
        <v/>
      </c>
      <c r="N1099" s="595">
        <f t="shared" si="156"/>
        <v>0.1099</v>
      </c>
      <c r="O1099" s="595" t="str">
        <f t="shared" si="157"/>
        <v/>
      </c>
      <c r="P1099" s="39"/>
    </row>
    <row r="1100" spans="1:16" x14ac:dyDescent="0.35">
      <c r="A1100" s="621" t="str">
        <f t="shared" si="160"/>
        <v/>
      </c>
      <c r="B1100" s="18"/>
      <c r="C1100" s="337"/>
      <c r="D1100" s="326" t="s">
        <v>41</v>
      </c>
      <c r="E1100" s="379" t="s">
        <v>1912</v>
      </c>
      <c r="F1100" s="18">
        <v>3</v>
      </c>
      <c r="G1100" s="335" t="s">
        <v>73</v>
      </c>
      <c r="H1100" s="333"/>
      <c r="I1100" s="335" t="s">
        <v>73</v>
      </c>
      <c r="J1100" s="333"/>
      <c r="K1100" s="496"/>
      <c r="L1100" s="535"/>
      <c r="M1100" s="595" t="str">
        <f>IF(Q1093&gt;0, Q1093, "")</f>
        <v/>
      </c>
      <c r="N1100" s="595">
        <f t="shared" si="156"/>
        <v>0.11</v>
      </c>
      <c r="O1100" s="595" t="str">
        <f t="shared" si="157"/>
        <v/>
      </c>
      <c r="P1100" s="39"/>
    </row>
    <row r="1101" spans="1:16" x14ac:dyDescent="0.35">
      <c r="A1101" s="620" t="str">
        <f t="shared" si="160"/>
        <v/>
      </c>
      <c r="B1101" s="22"/>
      <c r="C1101" s="330"/>
      <c r="D1101" s="326" t="s">
        <v>521</v>
      </c>
      <c r="E1101" s="380" t="s">
        <v>1913</v>
      </c>
      <c r="F1101" s="22">
        <v>59</v>
      </c>
      <c r="G1101" s="328" t="s">
        <v>73</v>
      </c>
      <c r="H1101" s="340"/>
      <c r="I1101" s="328" t="s">
        <v>73</v>
      </c>
      <c r="J1101" s="340"/>
      <c r="K1101" s="497"/>
      <c r="L1101" s="535"/>
      <c r="M1101" s="595" t="str">
        <f>IF(Q1093&gt;0, Q1093, "")</f>
        <v/>
      </c>
      <c r="N1101" s="595">
        <f t="shared" si="156"/>
        <v>0.1101</v>
      </c>
      <c r="O1101" s="595" t="str">
        <f t="shared" si="157"/>
        <v/>
      </c>
      <c r="P1101" s="39"/>
    </row>
    <row r="1102" spans="1:16" x14ac:dyDescent="0.35">
      <c r="A1102" s="621" t="str">
        <f t="shared" si="160"/>
        <v/>
      </c>
      <c r="B1102" s="18"/>
      <c r="C1102" s="337"/>
      <c r="D1102" s="449" t="s">
        <v>1915</v>
      </c>
      <c r="E1102" s="451" t="s">
        <v>1941</v>
      </c>
      <c r="F1102" s="18">
        <v>0.5</v>
      </c>
      <c r="G1102" s="335" t="s">
        <v>73</v>
      </c>
      <c r="H1102" s="333"/>
      <c r="I1102" s="335" t="s">
        <v>73</v>
      </c>
      <c r="J1102" s="333"/>
      <c r="K1102" s="496"/>
      <c r="L1102" s="535"/>
      <c r="M1102" s="595" t="str">
        <f>IF(Q1093&gt;0, Q1093, "")</f>
        <v/>
      </c>
      <c r="N1102" s="595">
        <f t="shared" si="156"/>
        <v>0.11020000000000001</v>
      </c>
      <c r="O1102" s="595" t="str">
        <f t="shared" si="157"/>
        <v/>
      </c>
      <c r="P1102" s="39"/>
    </row>
    <row r="1103" spans="1:16" x14ac:dyDescent="0.35">
      <c r="A1103" s="620" t="str">
        <f t="shared" si="160"/>
        <v/>
      </c>
      <c r="B1103" s="22"/>
      <c r="C1103" s="330"/>
      <c r="D1103" s="390" t="s">
        <v>48</v>
      </c>
      <c r="E1103" s="454" t="s">
        <v>1914</v>
      </c>
      <c r="F1103" s="22">
        <v>3</v>
      </c>
      <c r="G1103" s="328" t="s">
        <v>73</v>
      </c>
      <c r="H1103" s="340"/>
      <c r="I1103" s="328" t="s">
        <v>73</v>
      </c>
      <c r="J1103" s="340"/>
      <c r="K1103" s="497"/>
      <c r="L1103" s="535"/>
      <c r="M1103" s="595" t="str">
        <f>IF(Q1092&gt;0, Q1092, "")</f>
        <v/>
      </c>
      <c r="N1103" s="595">
        <f t="shared" si="156"/>
        <v>0.1103</v>
      </c>
      <c r="O1103" s="595" t="str">
        <f t="shared" si="157"/>
        <v/>
      </c>
      <c r="P1103" s="39"/>
    </row>
    <row r="1104" spans="1:16" x14ac:dyDescent="0.35">
      <c r="A1104" s="615" t="str">
        <f t="shared" si="160"/>
        <v/>
      </c>
      <c r="B1104" s="577"/>
      <c r="C1104" s="574"/>
      <c r="D1104" s="641"/>
      <c r="E1104" s="641"/>
      <c r="F1104" s="618"/>
      <c r="G1104" s="618"/>
      <c r="H1104" s="618"/>
      <c r="I1104" s="618"/>
      <c r="J1104" s="574"/>
      <c r="K1104" s="690"/>
      <c r="L1104" s="535"/>
      <c r="M1104" s="595" t="str">
        <f>IF(Q1092&gt;0, Q1092, "")</f>
        <v/>
      </c>
      <c r="N1104" s="595">
        <f t="shared" si="156"/>
        <v>0.1104</v>
      </c>
      <c r="O1104" s="595" t="str">
        <f t="shared" si="157"/>
        <v/>
      </c>
      <c r="P1104" s="39"/>
    </row>
    <row r="1105" spans="1:16" x14ac:dyDescent="0.35">
      <c r="A1105" s="619">
        <f>IFERROR(INDEX($Q$17:$Q$150,MATCH(B1105,$R$17:$R$150, 0)), "")</f>
        <v>0</v>
      </c>
      <c r="B1105" s="382" t="s">
        <v>1937</v>
      </c>
      <c r="C1105" s="325" t="s">
        <v>1959</v>
      </c>
      <c r="D1105" s="398"/>
      <c r="E1105" s="388" t="s">
        <v>1191</v>
      </c>
      <c r="F1105" s="459">
        <v>30</v>
      </c>
      <c r="G1105" s="460" t="s">
        <v>73</v>
      </c>
      <c r="H1105" s="358"/>
      <c r="I1105" s="356" t="s">
        <v>73</v>
      </c>
      <c r="J1105" s="358"/>
      <c r="K1105" s="511"/>
      <c r="L1105" s="535"/>
      <c r="M1105" s="595" t="str">
        <f>IF(Q1104&gt;0, Q1104, "")</f>
        <v/>
      </c>
      <c r="N1105" s="595">
        <f t="shared" si="156"/>
        <v>0.1105</v>
      </c>
      <c r="O1105" s="595" t="str">
        <f t="shared" si="157"/>
        <v/>
      </c>
      <c r="P1105" s="39"/>
    </row>
    <row r="1106" spans="1:16" x14ac:dyDescent="0.35">
      <c r="A1106" s="621" t="str">
        <f t="shared" ref="A1106:A1114" si="161">IFERROR(INDEX($Q$17:$Q$41,MATCH(B1106,$R$17:$R$41, 0)), "")</f>
        <v/>
      </c>
      <c r="B1106" s="18"/>
      <c r="C1106" s="337"/>
      <c r="D1106" s="390" t="s">
        <v>47</v>
      </c>
      <c r="E1106" s="395" t="s">
        <v>1192</v>
      </c>
      <c r="F1106" s="335">
        <v>10</v>
      </c>
      <c r="G1106" s="462" t="s">
        <v>73</v>
      </c>
      <c r="H1106" s="333"/>
      <c r="I1106" s="335" t="s">
        <v>73</v>
      </c>
      <c r="J1106" s="333"/>
      <c r="K1106" s="496"/>
      <c r="L1106" s="535"/>
      <c r="M1106" s="595" t="str">
        <f>IF(Q1105&gt;0, Q1105, "")</f>
        <v/>
      </c>
      <c r="N1106" s="595">
        <f t="shared" si="156"/>
        <v>0.1106</v>
      </c>
      <c r="O1106" s="595" t="str">
        <f t="shared" si="157"/>
        <v/>
      </c>
      <c r="P1106" s="39"/>
    </row>
    <row r="1107" spans="1:16" x14ac:dyDescent="0.35">
      <c r="A1107" s="620" t="str">
        <f t="shared" si="161"/>
        <v/>
      </c>
      <c r="B1107" s="22"/>
      <c r="C1107" s="330"/>
      <c r="D1107" s="390" t="s">
        <v>50</v>
      </c>
      <c r="E1107" s="391" t="s">
        <v>394</v>
      </c>
      <c r="F1107" s="328">
        <v>40</v>
      </c>
      <c r="G1107" s="461" t="s">
        <v>73</v>
      </c>
      <c r="H1107" s="340"/>
      <c r="I1107" s="328" t="s">
        <v>73</v>
      </c>
      <c r="J1107" s="340"/>
      <c r="K1107" s="497"/>
      <c r="L1107" s="535"/>
      <c r="M1107" s="595" t="str">
        <f>IF(Q1105&gt;0, Q1105, "")</f>
        <v/>
      </c>
      <c r="N1107" s="595">
        <f t="shared" si="156"/>
        <v>0.11070000000000001</v>
      </c>
      <c r="O1107" s="595" t="str">
        <f t="shared" si="157"/>
        <v/>
      </c>
      <c r="P1107" s="39"/>
    </row>
    <row r="1108" spans="1:16" x14ac:dyDescent="0.35">
      <c r="A1108" s="621" t="str">
        <f t="shared" si="161"/>
        <v/>
      </c>
      <c r="B1108" s="18"/>
      <c r="C1108" s="337"/>
      <c r="D1108" s="390" t="s">
        <v>371</v>
      </c>
      <c r="E1108" s="395" t="s">
        <v>372</v>
      </c>
      <c r="F1108" s="335">
        <v>40</v>
      </c>
      <c r="G1108" s="462" t="s">
        <v>73</v>
      </c>
      <c r="H1108" s="333"/>
      <c r="I1108" s="335" t="s">
        <v>73</v>
      </c>
      <c r="J1108" s="333"/>
      <c r="K1108" s="496"/>
      <c r="L1108" s="535"/>
      <c r="M1108" s="595" t="str">
        <f>IF(Q1105&gt;0, Q1105, "")</f>
        <v/>
      </c>
      <c r="N1108" s="595">
        <f t="shared" si="156"/>
        <v>0.1108</v>
      </c>
      <c r="O1108" s="595" t="str">
        <f t="shared" si="157"/>
        <v/>
      </c>
      <c r="P1108" s="39"/>
    </row>
    <row r="1109" spans="1:16" x14ac:dyDescent="0.35">
      <c r="A1109" s="620" t="str">
        <f t="shared" si="161"/>
        <v/>
      </c>
      <c r="B1109" s="22"/>
      <c r="C1109" s="330"/>
      <c r="D1109" s="390" t="s">
        <v>260</v>
      </c>
      <c r="E1109" s="391" t="s">
        <v>1193</v>
      </c>
      <c r="F1109" s="328">
        <v>120</v>
      </c>
      <c r="G1109" s="461" t="s">
        <v>73</v>
      </c>
      <c r="H1109" s="340"/>
      <c r="I1109" s="328" t="s">
        <v>73</v>
      </c>
      <c r="J1109" s="340"/>
      <c r="K1109" s="497"/>
      <c r="L1109" s="535"/>
      <c r="M1109" s="595" t="str">
        <f>IF(Q1105&gt;0, Q1105, "")</f>
        <v/>
      </c>
      <c r="N1109" s="595">
        <f t="shared" si="156"/>
        <v>0.1109</v>
      </c>
      <c r="O1109" s="595" t="str">
        <f t="shared" si="157"/>
        <v/>
      </c>
      <c r="P1109" s="39"/>
    </row>
    <row r="1110" spans="1:16" x14ac:dyDescent="0.35">
      <c r="A1110" s="621" t="str">
        <f t="shared" si="161"/>
        <v/>
      </c>
      <c r="B1110" s="18"/>
      <c r="C1110" s="337"/>
      <c r="D1110" s="396"/>
      <c r="E1110" s="393" t="s">
        <v>950</v>
      </c>
      <c r="F1110" s="343">
        <v>40</v>
      </c>
      <c r="G1110" s="642" t="s">
        <v>73</v>
      </c>
      <c r="H1110" s="364"/>
      <c r="I1110" s="343" t="s">
        <v>73</v>
      </c>
      <c r="J1110" s="364"/>
      <c r="K1110" s="692"/>
      <c r="L1110" s="535"/>
      <c r="M1110" s="595" t="str">
        <f>IF(Q1105&gt;0, Q1105, "")</f>
        <v/>
      </c>
      <c r="N1110" s="595">
        <f t="shared" si="156"/>
        <v>0.111</v>
      </c>
      <c r="O1110" s="595" t="str">
        <f t="shared" si="157"/>
        <v/>
      </c>
      <c r="P1110" s="39"/>
    </row>
    <row r="1111" spans="1:16" x14ac:dyDescent="0.35">
      <c r="A1111" s="620" t="str">
        <f t="shared" si="161"/>
        <v/>
      </c>
      <c r="B1111" s="22"/>
      <c r="C1111" s="330"/>
      <c r="D1111" s="390" t="s">
        <v>141</v>
      </c>
      <c r="E1111" s="391" t="s">
        <v>1194</v>
      </c>
      <c r="F1111" s="328">
        <v>40</v>
      </c>
      <c r="G1111" s="461" t="s">
        <v>73</v>
      </c>
      <c r="H1111" s="340"/>
      <c r="I1111" s="328" t="s">
        <v>73</v>
      </c>
      <c r="J1111" s="340"/>
      <c r="K1111" s="497"/>
      <c r="L1111" s="535"/>
      <c r="M1111" s="595" t="str">
        <f>IF(Q1105&gt;0, Q1105, "")</f>
        <v/>
      </c>
      <c r="N1111" s="595">
        <f t="shared" si="156"/>
        <v>0.1111</v>
      </c>
      <c r="O1111" s="595" t="str">
        <f t="shared" si="157"/>
        <v/>
      </c>
      <c r="P1111" s="39"/>
    </row>
    <row r="1112" spans="1:16" x14ac:dyDescent="0.35">
      <c r="A1112" s="621" t="str">
        <f t="shared" si="161"/>
        <v/>
      </c>
      <c r="B1112" s="18"/>
      <c r="C1112" s="337"/>
      <c r="D1112" s="390" t="s">
        <v>46</v>
      </c>
      <c r="E1112" s="395" t="s">
        <v>1195</v>
      </c>
      <c r="F1112" s="335">
        <v>20</v>
      </c>
      <c r="G1112" s="462" t="s">
        <v>73</v>
      </c>
      <c r="H1112" s="333"/>
      <c r="I1112" s="335" t="s">
        <v>73</v>
      </c>
      <c r="J1112" s="333"/>
      <c r="K1112" s="496"/>
      <c r="L1112" s="535"/>
      <c r="M1112" s="595" t="str">
        <f>IF(Q1105&gt;0, Q1105, "")</f>
        <v/>
      </c>
      <c r="N1112" s="595">
        <f t="shared" si="156"/>
        <v>0.11119999999999999</v>
      </c>
      <c r="O1112" s="595" t="str">
        <f t="shared" si="157"/>
        <v/>
      </c>
      <c r="P1112" s="39"/>
    </row>
    <row r="1113" spans="1:16" ht="15" thickBot="1" x14ac:dyDescent="0.4">
      <c r="A1113" s="620" t="str">
        <f t="shared" si="161"/>
        <v/>
      </c>
      <c r="B1113" s="22"/>
      <c r="C1113" s="330"/>
      <c r="D1113" s="390" t="s">
        <v>379</v>
      </c>
      <c r="E1113" s="391" t="s">
        <v>380</v>
      </c>
      <c r="F1113" s="328">
        <v>10</v>
      </c>
      <c r="G1113" s="461" t="s">
        <v>73</v>
      </c>
      <c r="H1113" s="340"/>
      <c r="I1113" s="328" t="s">
        <v>73</v>
      </c>
      <c r="J1113" s="340"/>
      <c r="K1113" s="497"/>
      <c r="L1113" s="535"/>
      <c r="M1113" s="595" t="str">
        <f>IF(Q1104&gt;0, Q1104, "")</f>
        <v/>
      </c>
      <c r="N1113" s="595">
        <f t="shared" si="156"/>
        <v>0.1113</v>
      </c>
      <c r="O1113" s="595" t="str">
        <f t="shared" si="157"/>
        <v/>
      </c>
      <c r="P1113" s="39"/>
    </row>
    <row r="1114" spans="1:16" ht="15" thickTop="1" x14ac:dyDescent="0.35">
      <c r="A1114" s="615" t="str">
        <f t="shared" si="161"/>
        <v/>
      </c>
      <c r="B1114" s="577"/>
      <c r="C1114" s="574"/>
      <c r="D1114" s="643"/>
      <c r="E1114" s="641"/>
      <c r="F1114" s="618"/>
      <c r="G1114" s="618"/>
      <c r="H1114" s="618"/>
      <c r="I1114" s="618"/>
      <c r="J1114" s="574"/>
      <c r="K1114" s="690"/>
      <c r="L1114" s="535"/>
      <c r="M1114" s="595" t="str">
        <f>IF(Q1104&gt;0, Q1104, "")</f>
        <v/>
      </c>
      <c r="N1114" s="595">
        <f t="shared" si="156"/>
        <v>0.1114</v>
      </c>
      <c r="O1114" s="595" t="str">
        <f t="shared" si="157"/>
        <v/>
      </c>
      <c r="P1114" s="39"/>
    </row>
    <row r="1115" spans="1:16" x14ac:dyDescent="0.35">
      <c r="A1115" s="619">
        <f>IFERROR(INDEX($Q$17:$Q$150,MATCH(B1115,$R$17:$R$150, 0)), "")</f>
        <v>0</v>
      </c>
      <c r="B1115" s="382" t="s">
        <v>1935</v>
      </c>
      <c r="C1115" s="325" t="s">
        <v>1957</v>
      </c>
      <c r="D1115" s="630"/>
      <c r="E1115" s="634"/>
      <c r="F1115" s="328"/>
      <c r="G1115" s="328"/>
      <c r="H1115" s="328"/>
      <c r="I1115" s="328"/>
      <c r="J1115" s="330"/>
      <c r="K1115" s="681"/>
      <c r="L1115" s="535"/>
      <c r="M1115" s="595" t="str">
        <f>IF(Q1104&gt;0, Q1104, "")</f>
        <v/>
      </c>
      <c r="N1115" s="595">
        <f t="shared" si="156"/>
        <v>0.1115</v>
      </c>
      <c r="O1115" s="595" t="str">
        <f t="shared" si="157"/>
        <v/>
      </c>
      <c r="P1115" s="39"/>
    </row>
    <row r="1116" spans="1:16" x14ac:dyDescent="0.35">
      <c r="A1116" s="621" t="str">
        <f t="shared" ref="A1116:A1121" si="162">IFERROR(INDEX($Q$17:$Q$41,MATCH(B1116,$R$17:$R$41, 0)), "")</f>
        <v/>
      </c>
      <c r="B1116" s="18"/>
      <c r="C1116" s="337"/>
      <c r="D1116" s="630"/>
      <c r="E1116" s="633"/>
      <c r="F1116" s="335"/>
      <c r="G1116" s="335"/>
      <c r="H1116" s="335"/>
      <c r="I1116" s="335"/>
      <c r="J1116" s="337"/>
      <c r="K1116" s="680"/>
      <c r="L1116" s="535"/>
      <c r="M1116" s="595" t="str">
        <f>IF(Q1104&gt;0, Q1104, "")</f>
        <v/>
      </c>
      <c r="N1116" s="595">
        <f t="shared" si="156"/>
        <v>0.1116</v>
      </c>
      <c r="O1116" s="595" t="str">
        <f t="shared" si="157"/>
        <v/>
      </c>
      <c r="P1116" s="39"/>
    </row>
    <row r="1117" spans="1:16" x14ac:dyDescent="0.35">
      <c r="A1117" s="620" t="str">
        <f t="shared" si="162"/>
        <v/>
      </c>
      <c r="B1117" s="22"/>
      <c r="C1117" s="330"/>
      <c r="D1117" s="630"/>
      <c r="E1117" s="634"/>
      <c r="F1117" s="328"/>
      <c r="G1117" s="328"/>
      <c r="H1117" s="328"/>
      <c r="I1117" s="328"/>
      <c r="J1117" s="330"/>
      <c r="K1117" s="681"/>
      <c r="L1117" s="535"/>
      <c r="M1117" s="595" t="str">
        <f>IF(Q1104&gt;0, Q1104, "")</f>
        <v/>
      </c>
      <c r="N1117" s="595">
        <f t="shared" si="156"/>
        <v>0.11169999999999999</v>
      </c>
      <c r="O1117" s="595" t="str">
        <f t="shared" si="157"/>
        <v/>
      </c>
      <c r="P1117" s="39"/>
    </row>
    <row r="1118" spans="1:16" x14ac:dyDescent="0.35">
      <c r="A1118" s="621" t="str">
        <f t="shared" si="162"/>
        <v/>
      </c>
      <c r="B1118" s="18"/>
      <c r="C1118" s="337"/>
      <c r="D1118" s="630"/>
      <c r="E1118" s="633"/>
      <c r="F1118" s="335"/>
      <c r="G1118" s="335"/>
      <c r="H1118" s="335"/>
      <c r="I1118" s="335"/>
      <c r="J1118" s="337"/>
      <c r="K1118" s="680"/>
      <c r="L1118" s="535"/>
      <c r="M1118" s="595" t="str">
        <f>IF(Q1104&gt;0, Q1104, "")</f>
        <v/>
      </c>
      <c r="N1118" s="595">
        <f t="shared" si="156"/>
        <v>0.1118</v>
      </c>
      <c r="O1118" s="595" t="str">
        <f t="shared" si="157"/>
        <v/>
      </c>
      <c r="P1118" s="39"/>
    </row>
    <row r="1119" spans="1:16" x14ac:dyDescent="0.35">
      <c r="A1119" s="620" t="str">
        <f t="shared" si="162"/>
        <v/>
      </c>
      <c r="B1119" s="22"/>
      <c r="C1119" s="330"/>
      <c r="D1119" s="630"/>
      <c r="E1119" s="634"/>
      <c r="F1119" s="328"/>
      <c r="G1119" s="328"/>
      <c r="H1119" s="328"/>
      <c r="I1119" s="328"/>
      <c r="J1119" s="330"/>
      <c r="K1119" s="681"/>
      <c r="L1119" s="535"/>
      <c r="M1119" s="595" t="str">
        <f>IF(Q1118&gt;0, Q1118, "")</f>
        <v/>
      </c>
      <c r="N1119" s="595">
        <f t="shared" si="156"/>
        <v>0.1119</v>
      </c>
      <c r="O1119" s="595" t="str">
        <f t="shared" si="157"/>
        <v/>
      </c>
      <c r="P1119" s="39"/>
    </row>
    <row r="1120" spans="1:16" x14ac:dyDescent="0.35">
      <c r="A1120" s="621" t="str">
        <f t="shared" si="162"/>
        <v/>
      </c>
      <c r="B1120" s="18"/>
      <c r="C1120" s="337"/>
      <c r="D1120" s="630"/>
      <c r="E1120" s="633"/>
      <c r="F1120" s="335"/>
      <c r="G1120" s="335"/>
      <c r="H1120" s="335"/>
      <c r="I1120" s="335"/>
      <c r="J1120" s="337"/>
      <c r="K1120" s="680"/>
      <c r="L1120" s="535"/>
      <c r="M1120" s="595" t="str">
        <f>IF(Q1104&gt;0, Q1104, "")</f>
        <v/>
      </c>
      <c r="N1120" s="595">
        <f t="shared" si="156"/>
        <v>0.112</v>
      </c>
      <c r="O1120" s="595" t="str">
        <f t="shared" si="157"/>
        <v/>
      </c>
      <c r="P1120" s="39"/>
    </row>
    <row r="1121" spans="1:16" x14ac:dyDescent="0.35">
      <c r="A1121" s="615" t="str">
        <f t="shared" si="162"/>
        <v/>
      </c>
      <c r="B1121" s="577"/>
      <c r="C1121" s="574"/>
      <c r="D1121" s="641"/>
      <c r="E1121" s="641"/>
      <c r="F1121" s="618"/>
      <c r="G1121" s="618"/>
      <c r="H1121" s="618"/>
      <c r="I1121" s="618"/>
      <c r="J1121" s="574"/>
      <c r="K1121" s="690"/>
      <c r="L1121" s="535"/>
      <c r="M1121" s="595" t="str">
        <f>IF(Q1092&gt;0, Q1092, "")</f>
        <v/>
      </c>
      <c r="N1121" s="595">
        <f t="shared" si="156"/>
        <v>0.11210000000000001</v>
      </c>
      <c r="O1121" s="595" t="str">
        <f t="shared" si="157"/>
        <v/>
      </c>
      <c r="P1121" s="39"/>
    </row>
    <row r="1122" spans="1:16" x14ac:dyDescent="0.35">
      <c r="A1122" s="619">
        <f>IFERROR(INDEX($Q$17:$Q$150,MATCH(B1122,$R$17:$R$150, 0)), "")</f>
        <v>0</v>
      </c>
      <c r="B1122" s="382" t="s">
        <v>1925</v>
      </c>
      <c r="C1122" s="325" t="s">
        <v>1926</v>
      </c>
      <c r="D1122" s="398"/>
      <c r="E1122" s="388" t="s">
        <v>1947</v>
      </c>
      <c r="F1122" s="459">
        <v>40</v>
      </c>
      <c r="G1122" s="328" t="s">
        <v>73</v>
      </c>
      <c r="H1122" s="358"/>
      <c r="I1122" s="356" t="s">
        <v>1946</v>
      </c>
      <c r="J1122" s="358"/>
      <c r="K1122" s="511"/>
      <c r="L1122" s="535"/>
      <c r="M1122" s="595" t="str">
        <f>IF(Q1121&gt;0, Q1121, "")</f>
        <v/>
      </c>
      <c r="N1122" s="595">
        <f t="shared" si="156"/>
        <v>0.11219999999999999</v>
      </c>
      <c r="O1122" s="595" t="str">
        <f t="shared" si="157"/>
        <v/>
      </c>
      <c r="P1122" s="39"/>
    </row>
    <row r="1123" spans="1:16" x14ac:dyDescent="0.35">
      <c r="A1123" s="620" t="str">
        <f t="shared" ref="A1123:A1128" si="163">IFERROR(INDEX($Q$17:$Q$41,MATCH(B1123,$R$17:$R$41, 0)), "")</f>
        <v/>
      </c>
      <c r="B1123" s="22"/>
      <c r="C1123" s="330"/>
      <c r="D1123" s="326" t="s">
        <v>696</v>
      </c>
      <c r="E1123" s="380" t="s">
        <v>1949</v>
      </c>
      <c r="F1123" s="328"/>
      <c r="G1123" s="328" t="s">
        <v>73</v>
      </c>
      <c r="H1123" s="340"/>
      <c r="I1123" s="340"/>
      <c r="J1123" s="340"/>
      <c r="K1123" s="497"/>
      <c r="L1123" s="535"/>
      <c r="M1123" s="595" t="str">
        <f>IF(Q1121&gt;0, Q1121, "")</f>
        <v/>
      </c>
      <c r="N1123" s="595">
        <f t="shared" si="156"/>
        <v>0.1123</v>
      </c>
      <c r="O1123" s="595" t="str">
        <f t="shared" si="157"/>
        <v/>
      </c>
      <c r="P1123" s="39"/>
    </row>
    <row r="1124" spans="1:16" x14ac:dyDescent="0.35">
      <c r="A1124" s="621" t="str">
        <f t="shared" si="163"/>
        <v/>
      </c>
      <c r="B1124" s="18"/>
      <c r="C1124" s="337"/>
      <c r="D1124" s="326" t="s">
        <v>129</v>
      </c>
      <c r="E1124" s="379" t="s">
        <v>1950</v>
      </c>
      <c r="F1124" s="335"/>
      <c r="G1124" s="328" t="s">
        <v>73</v>
      </c>
      <c r="H1124" s="333"/>
      <c r="I1124" s="333"/>
      <c r="J1124" s="333"/>
      <c r="K1124" s="496"/>
      <c r="L1124" s="535"/>
      <c r="M1124" s="595" t="str">
        <f>IF(Q1121&gt;0, Q1121, "")</f>
        <v/>
      </c>
      <c r="N1124" s="595">
        <f t="shared" si="156"/>
        <v>0.1124</v>
      </c>
      <c r="O1124" s="595" t="str">
        <f t="shared" si="157"/>
        <v/>
      </c>
      <c r="P1124" s="39"/>
    </row>
    <row r="1125" spans="1:16" x14ac:dyDescent="0.35">
      <c r="A1125" s="620" t="str">
        <f t="shared" si="163"/>
        <v/>
      </c>
      <c r="B1125" s="22"/>
      <c r="C1125" s="330"/>
      <c r="D1125" s="390" t="s">
        <v>49</v>
      </c>
      <c r="E1125" s="454" t="s">
        <v>1951</v>
      </c>
      <c r="F1125" s="328"/>
      <c r="G1125" s="328" t="s">
        <v>73</v>
      </c>
      <c r="H1125" s="340"/>
      <c r="I1125" s="340"/>
      <c r="J1125" s="340"/>
      <c r="K1125" s="497"/>
      <c r="L1125" s="535"/>
      <c r="M1125" s="595" t="str">
        <f>IF(Q1121&gt;0, Q1121, "")</f>
        <v/>
      </c>
      <c r="N1125" s="595">
        <f t="shared" si="156"/>
        <v>0.1125</v>
      </c>
      <c r="O1125" s="595" t="str">
        <f t="shared" si="157"/>
        <v/>
      </c>
      <c r="P1125" s="39"/>
    </row>
    <row r="1126" spans="1:16" x14ac:dyDescent="0.35">
      <c r="A1126" s="621" t="str">
        <f t="shared" si="163"/>
        <v/>
      </c>
      <c r="B1126" s="18"/>
      <c r="C1126" s="337"/>
      <c r="D1126" s="388"/>
      <c r="E1126" s="483" t="s">
        <v>1952</v>
      </c>
      <c r="F1126" s="356"/>
      <c r="G1126" s="494" t="s">
        <v>73</v>
      </c>
      <c r="H1126" s="358"/>
      <c r="I1126" s="358"/>
      <c r="J1126" s="358"/>
      <c r="K1126" s="511"/>
      <c r="L1126" s="535"/>
      <c r="M1126" s="595" t="str">
        <f>IF(Q1121&gt;0, Q1121, "")</f>
        <v/>
      </c>
      <c r="N1126" s="595">
        <f t="shared" si="156"/>
        <v>0.11260000000000001</v>
      </c>
      <c r="O1126" s="595" t="str">
        <f t="shared" si="157"/>
        <v/>
      </c>
      <c r="P1126" s="39"/>
    </row>
    <row r="1127" spans="1:16" x14ac:dyDescent="0.35">
      <c r="A1127" s="620" t="str">
        <f t="shared" si="163"/>
        <v/>
      </c>
      <c r="B1127" s="22"/>
      <c r="C1127" s="330"/>
      <c r="D1127" s="326" t="s">
        <v>333</v>
      </c>
      <c r="E1127" s="495" t="s">
        <v>1956</v>
      </c>
      <c r="F1127" s="328"/>
      <c r="G1127" s="328" t="s">
        <v>73</v>
      </c>
      <c r="H1127" s="340"/>
      <c r="I1127" s="340"/>
      <c r="J1127" s="340"/>
      <c r="K1127" s="497"/>
      <c r="L1127" s="535"/>
      <c r="M1127" s="595" t="str">
        <f>IF(Q1121&gt;0, Q1121, "")</f>
        <v/>
      </c>
      <c r="N1127" s="595">
        <f t="shared" si="156"/>
        <v>0.11269999999999999</v>
      </c>
      <c r="O1127" s="595" t="str">
        <f t="shared" si="157"/>
        <v/>
      </c>
      <c r="P1127" s="39"/>
    </row>
    <row r="1128" spans="1:16" x14ac:dyDescent="0.35">
      <c r="A1128" s="621" t="str">
        <f t="shared" si="163"/>
        <v/>
      </c>
      <c r="B1128" s="18"/>
      <c r="C1128" s="337"/>
      <c r="D1128" s="390"/>
      <c r="E1128" s="395" t="s">
        <v>950</v>
      </c>
      <c r="F1128" s="335"/>
      <c r="G1128" s="328" t="s">
        <v>73</v>
      </c>
      <c r="H1128" s="333"/>
      <c r="I1128" s="333"/>
      <c r="J1128" s="333"/>
      <c r="K1128" s="496"/>
      <c r="L1128" s="535"/>
      <c r="M1128" s="595" t="str">
        <f>IF(Q1121&gt;0, Q1121, "")</f>
        <v/>
      </c>
      <c r="N1128" s="595">
        <f t="shared" si="156"/>
        <v>0.1128</v>
      </c>
      <c r="O1128" s="595" t="str">
        <f t="shared" si="157"/>
        <v/>
      </c>
      <c r="P1128" s="39"/>
    </row>
    <row r="1129" spans="1:16" ht="15" thickBot="1" x14ac:dyDescent="0.4">
      <c r="A1129" s="545" t="str">
        <f t="shared" si="153"/>
        <v/>
      </c>
      <c r="B1129" s="546"/>
      <c r="C1129" s="546"/>
      <c r="D1129" s="644"/>
      <c r="E1129" s="644"/>
      <c r="F1129" s="546"/>
      <c r="G1129" s="546"/>
      <c r="H1129" s="546"/>
      <c r="I1129" s="546"/>
      <c r="J1129" s="546"/>
      <c r="K1129" s="676"/>
      <c r="L1129" s="535"/>
      <c r="M1129" s="552" t="str">
        <f>IF(Q1071&gt;0, Q1071, "")</f>
        <v/>
      </c>
      <c r="N1129" s="552"/>
      <c r="O1129" s="552" t="str">
        <f>IF(V1072&gt;0, V1072, "")</f>
        <v/>
      </c>
      <c r="P1129" s="39"/>
    </row>
    <row r="1130" spans="1:16" x14ac:dyDescent="0.35">
      <c r="A1130" s="565">
        <f>IFERROR(INDEX($Q$17:$Q$150,MATCH(B1130,$R$17:$R$150, 0)), "")</f>
        <v>4</v>
      </c>
      <c r="B1130" s="382" t="s">
        <v>1277</v>
      </c>
      <c r="C1130" s="325" t="s">
        <v>881</v>
      </c>
      <c r="D1130" s="645"/>
      <c r="E1130" s="355" t="s">
        <v>36</v>
      </c>
      <c r="F1130" s="378">
        <v>180</v>
      </c>
      <c r="G1130" s="378" t="s">
        <v>1904</v>
      </c>
      <c r="H1130" s="515"/>
      <c r="I1130" s="515"/>
      <c r="J1130" s="515"/>
      <c r="K1130" s="684"/>
      <c r="L1130" s="535"/>
      <c r="M1130" s="552" t="str">
        <f>IF(Q1072&gt;0, Q1072, "")</f>
        <v/>
      </c>
      <c r="N1130" s="552"/>
      <c r="O1130" s="552" t="str">
        <f>IF(V1078&gt;0, V1078, "")</f>
        <v/>
      </c>
      <c r="P1130" s="39"/>
    </row>
    <row r="1131" spans="1:16" x14ac:dyDescent="0.35">
      <c r="A1131" s="535" t="str">
        <f t="shared" si="153"/>
        <v/>
      </c>
      <c r="B1131" s="330"/>
      <c r="C1131" s="330"/>
      <c r="D1131" s="326" t="s">
        <v>44</v>
      </c>
      <c r="E1131" s="426" t="s">
        <v>17</v>
      </c>
      <c r="F1131" s="22">
        <v>2000</v>
      </c>
      <c r="G1131" s="22" t="s">
        <v>73</v>
      </c>
      <c r="H1131" s="328">
        <f>ROUND(($F$1130)*(($F$1131)/($F$1131+$F$1132+$F$1133+$F$1134)),2)</f>
        <v>117.11</v>
      </c>
      <c r="I1131" s="328" t="s">
        <v>73</v>
      </c>
      <c r="J1131" s="330"/>
      <c r="K1131" s="681">
        <f t="shared" ref="K1131:K1134" si="164">$A$1130*H1131</f>
        <v>468.44</v>
      </c>
      <c r="L1131" s="535"/>
      <c r="M1131" s="552" t="str">
        <f>IF(Q1078&gt;0, Q1078, "")</f>
        <v/>
      </c>
      <c r="N1131" s="552"/>
      <c r="O1131" s="552" t="str">
        <f>IF(V1079&gt;0, V1079, "")</f>
        <v/>
      </c>
      <c r="P1131" s="39"/>
    </row>
    <row r="1132" spans="1:16" x14ac:dyDescent="0.35">
      <c r="A1132" s="535" t="str">
        <f t="shared" si="153"/>
        <v/>
      </c>
      <c r="B1132" s="337"/>
      <c r="C1132" s="337"/>
      <c r="D1132" s="342"/>
      <c r="E1132" s="543" t="s">
        <v>81</v>
      </c>
      <c r="F1132" s="404">
        <v>1000</v>
      </c>
      <c r="G1132" s="404"/>
      <c r="H1132" s="343">
        <f>ROUND(($F$1130)*(($F$1132)/($F$1131+$F$1132+$F$1133+$F$1134)),2)</f>
        <v>58.56</v>
      </c>
      <c r="I1132" s="343"/>
      <c r="J1132" s="345"/>
      <c r="K1132" s="685"/>
      <c r="L1132" s="535"/>
      <c r="M1132" s="552" t="str">
        <f>IF(Q1079&gt;0, Q1079, "")</f>
        <v/>
      </c>
      <c r="N1132" s="552"/>
      <c r="O1132" s="552" t="str">
        <f>IF(V1080&gt;0, V1080, "")</f>
        <v/>
      </c>
      <c r="P1132" s="39"/>
    </row>
    <row r="1133" spans="1:16" x14ac:dyDescent="0.35">
      <c r="A1133" s="535" t="str">
        <f t="shared" si="153"/>
        <v/>
      </c>
      <c r="B1133" s="330"/>
      <c r="C1133" s="330"/>
      <c r="D1133" s="326" t="s">
        <v>45</v>
      </c>
      <c r="E1133" s="426" t="s">
        <v>18</v>
      </c>
      <c r="F1133" s="22">
        <v>57</v>
      </c>
      <c r="G1133" s="22" t="s">
        <v>73</v>
      </c>
      <c r="H1133" s="328">
        <f>ROUND(($F$1130)*(($F$1133)/($F$1131+$F$1132+$F$1133+$F$1134)),2)</f>
        <v>3.34</v>
      </c>
      <c r="I1133" s="328" t="s">
        <v>73</v>
      </c>
      <c r="J1133" s="330"/>
      <c r="K1133" s="681">
        <f t="shared" si="164"/>
        <v>13.36</v>
      </c>
      <c r="L1133" s="535"/>
      <c r="M1133" s="552" t="str">
        <f>IF(Q1080&gt;0, Q1080, "")</f>
        <v/>
      </c>
      <c r="N1133" s="552"/>
      <c r="O1133" s="552" t="str">
        <f>IF(V1081&gt;0, V1081, "")</f>
        <v/>
      </c>
      <c r="P1133" s="39"/>
    </row>
    <row r="1134" spans="1:16" ht="15" thickBot="1" x14ac:dyDescent="0.4">
      <c r="A1134" s="535" t="str">
        <f t="shared" si="153"/>
        <v/>
      </c>
      <c r="B1134" s="337"/>
      <c r="C1134" s="337"/>
      <c r="D1134" s="326" t="s">
        <v>46</v>
      </c>
      <c r="E1134" s="425" t="s">
        <v>19</v>
      </c>
      <c r="F1134" s="18">
        <v>17</v>
      </c>
      <c r="G1134" s="18" t="s">
        <v>73</v>
      </c>
      <c r="H1134" s="335">
        <f>ROUND(($F$1130)*(($F$1134)/($F$1131+$F$1132+$F$1133+$F$1134)),2)</f>
        <v>1</v>
      </c>
      <c r="I1134" s="335" t="s">
        <v>73</v>
      </c>
      <c r="J1134" s="337"/>
      <c r="K1134" s="680">
        <f t="shared" si="164"/>
        <v>4</v>
      </c>
      <c r="L1134" s="535"/>
      <c r="M1134" s="552" t="str">
        <f>IF(Q1081&gt;0, Q1081, "")</f>
        <v/>
      </c>
      <c r="N1134" s="552"/>
      <c r="O1134" s="552" t="str">
        <f>IF(V1082&gt;0, V1082, "")</f>
        <v/>
      </c>
      <c r="P1134" s="39"/>
    </row>
    <row r="1135" spans="1:16" ht="15.5" thickTop="1" thickBot="1" x14ac:dyDescent="0.4">
      <c r="A1135" s="545" t="str">
        <f t="shared" si="153"/>
        <v/>
      </c>
      <c r="B1135" s="546"/>
      <c r="C1135" s="546"/>
      <c r="D1135" s="547"/>
      <c r="E1135" s="546"/>
      <c r="F1135" s="579"/>
      <c r="G1135" s="579"/>
      <c r="H1135" s="546"/>
      <c r="I1135" s="546"/>
      <c r="J1135" s="546"/>
      <c r="K1135" s="676"/>
      <c r="L1135" s="535"/>
      <c r="M1135" s="552" t="str">
        <f>IF(Q1084&gt;0, Q1084, "")</f>
        <v/>
      </c>
      <c r="N1135" s="552"/>
      <c r="O1135" s="552" t="str">
        <f>IF(V1085&gt;0, V1085, "")</f>
        <v/>
      </c>
      <c r="P1135" s="39"/>
    </row>
    <row r="1136" spans="1:16" ht="15" thickTop="1" x14ac:dyDescent="0.35">
      <c r="A1136" s="565">
        <f>IFERROR(INDEX($Q$17:$Q$150,MATCH(B1136,$R$17:$R$150, 0)), "")</f>
        <v>7</v>
      </c>
      <c r="B1136" s="382" t="s">
        <v>1279</v>
      </c>
      <c r="C1136" s="325" t="s">
        <v>882</v>
      </c>
      <c r="D1136" s="347" t="s">
        <v>129</v>
      </c>
      <c r="E1136" s="334" t="s">
        <v>130</v>
      </c>
      <c r="F1136" s="335">
        <v>20</v>
      </c>
      <c r="G1136" s="335" t="s">
        <v>73</v>
      </c>
      <c r="H1136" s="335">
        <v>20</v>
      </c>
      <c r="I1136" s="335" t="s">
        <v>73</v>
      </c>
      <c r="J1136" s="337"/>
      <c r="K1136" s="680">
        <f>$A$1136*H1136</f>
        <v>140</v>
      </c>
      <c r="L1136" s="535"/>
      <c r="M1136" s="552" t="str">
        <f>IF(Q1085&gt;0, Q1085, "")</f>
        <v/>
      </c>
      <c r="N1136" s="552"/>
      <c r="O1136" s="552" t="str">
        <f>IF(V1129&gt;0, V1129, "")</f>
        <v/>
      </c>
      <c r="P1136" s="39"/>
    </row>
    <row r="1137" spans="1:16" x14ac:dyDescent="0.35">
      <c r="A1137" s="545" t="str">
        <f t="shared" si="153"/>
        <v/>
      </c>
      <c r="B1137" s="546"/>
      <c r="C1137" s="546"/>
      <c r="D1137" s="545"/>
      <c r="E1137" s="545"/>
      <c r="F1137" s="579"/>
      <c r="G1137" s="546"/>
      <c r="H1137" s="546"/>
      <c r="I1137" s="546"/>
      <c r="J1137" s="546"/>
      <c r="K1137" s="676"/>
      <c r="L1137" s="535"/>
      <c r="M1137" s="552" t="str">
        <f>IF(Q1129&gt;0, Q1129, "")</f>
        <v/>
      </c>
      <c r="N1137" s="552"/>
      <c r="O1137" s="552" t="str">
        <f>IF(V1130&gt;0, V1130, "")</f>
        <v/>
      </c>
      <c r="P1137" s="39"/>
    </row>
    <row r="1138" spans="1:16" x14ac:dyDescent="0.35">
      <c r="A1138" s="565">
        <f>IFERROR(INDEX($Q$17:$Q$150,MATCH(B1138,$R$17:$R$150, 0)), "")</f>
        <v>56</v>
      </c>
      <c r="B1138" s="382" t="s">
        <v>1280</v>
      </c>
      <c r="C1138" s="325" t="s">
        <v>883</v>
      </c>
      <c r="D1138" s="326" t="s">
        <v>385</v>
      </c>
      <c r="E1138" s="334" t="s">
        <v>386</v>
      </c>
      <c r="F1138" s="335">
        <v>25</v>
      </c>
      <c r="G1138" s="335" t="s">
        <v>73</v>
      </c>
      <c r="H1138" s="335">
        <v>25</v>
      </c>
      <c r="I1138" s="335" t="s">
        <v>73</v>
      </c>
      <c r="J1138" s="337"/>
      <c r="K1138" s="680">
        <f>$A$1138*H1138</f>
        <v>1400</v>
      </c>
      <c r="L1138" s="535"/>
      <c r="M1138" s="552" t="str">
        <f t="shared" ref="M1138:M1197" si="165">IF(Q1138&gt;0, Q1138, "")</f>
        <v/>
      </c>
      <c r="N1138" s="552"/>
      <c r="O1138" s="552" t="str">
        <f t="shared" ref="O1138:O1197" si="166">IF(V1139&gt;0, V1139, "")</f>
        <v/>
      </c>
      <c r="P1138" s="39"/>
    </row>
    <row r="1139" spans="1:16" x14ac:dyDescent="0.35">
      <c r="A1139" s="545" t="str">
        <f t="shared" si="153"/>
        <v/>
      </c>
      <c r="B1139" s="546"/>
      <c r="C1139" s="546"/>
      <c r="D1139" s="545"/>
      <c r="E1139" s="545"/>
      <c r="F1139" s="579"/>
      <c r="G1139" s="579"/>
      <c r="H1139" s="546"/>
      <c r="I1139" s="546"/>
      <c r="J1139" s="546"/>
      <c r="K1139" s="676"/>
      <c r="L1139" s="535"/>
      <c r="M1139" s="552" t="str">
        <f t="shared" si="165"/>
        <v/>
      </c>
      <c r="N1139" s="552"/>
      <c r="O1139" s="552" t="str">
        <f t="shared" si="166"/>
        <v/>
      </c>
      <c r="P1139" s="39"/>
    </row>
    <row r="1140" spans="1:16" x14ac:dyDescent="0.35">
      <c r="A1140" s="565">
        <f>IFERROR(INDEX($Q$17:$Q$150,MATCH(B1140,$R$17:$R$150, 0)), "")</f>
        <v>39</v>
      </c>
      <c r="B1140" s="382" t="s">
        <v>1281</v>
      </c>
      <c r="C1140" s="325" t="s">
        <v>884</v>
      </c>
      <c r="D1140" s="326" t="s">
        <v>618</v>
      </c>
      <c r="E1140" s="334" t="s">
        <v>619</v>
      </c>
      <c r="F1140" s="335">
        <v>60</v>
      </c>
      <c r="G1140" s="335" t="s">
        <v>73</v>
      </c>
      <c r="H1140" s="335">
        <v>60</v>
      </c>
      <c r="I1140" s="335" t="s">
        <v>73</v>
      </c>
      <c r="J1140" s="337"/>
      <c r="K1140" s="680">
        <f>$A$1140*H1140</f>
        <v>2340</v>
      </c>
      <c r="L1140" s="535"/>
      <c r="M1140" s="552" t="str">
        <f t="shared" si="165"/>
        <v/>
      </c>
      <c r="N1140" s="552"/>
      <c r="O1140" s="552" t="str">
        <f t="shared" si="166"/>
        <v/>
      </c>
      <c r="P1140" s="39"/>
    </row>
    <row r="1141" spans="1:16" x14ac:dyDescent="0.35">
      <c r="A1141" s="545" t="str">
        <f t="shared" si="153"/>
        <v/>
      </c>
      <c r="B1141" s="546"/>
      <c r="C1141" s="546"/>
      <c r="D1141" s="545"/>
      <c r="E1141" s="545"/>
      <c r="F1141" s="579"/>
      <c r="G1141" s="579"/>
      <c r="H1141" s="546"/>
      <c r="I1141" s="546"/>
      <c r="J1141" s="546"/>
      <c r="K1141" s="676"/>
      <c r="L1141" s="535"/>
      <c r="M1141" s="552" t="str">
        <f t="shared" si="165"/>
        <v/>
      </c>
      <c r="N1141" s="552"/>
      <c r="O1141" s="552" t="str">
        <f t="shared" si="166"/>
        <v/>
      </c>
      <c r="P1141" s="39"/>
    </row>
    <row r="1142" spans="1:16" ht="15" thickBot="1" x14ac:dyDescent="0.4">
      <c r="A1142" s="565">
        <f>IFERROR(INDEX($Q$17:$Q$150,MATCH(B1142,$R$17:$R$150, 0)), "")</f>
        <v>4</v>
      </c>
      <c r="B1142" s="382" t="s">
        <v>1283</v>
      </c>
      <c r="C1142" s="325" t="s">
        <v>885</v>
      </c>
      <c r="D1142" s="326" t="s">
        <v>445</v>
      </c>
      <c r="E1142" s="334" t="s">
        <v>446</v>
      </c>
      <c r="F1142" s="335">
        <v>8</v>
      </c>
      <c r="G1142" s="335" t="s">
        <v>1072</v>
      </c>
      <c r="H1142" s="335">
        <v>8</v>
      </c>
      <c r="I1142" s="335" t="s">
        <v>1072</v>
      </c>
      <c r="J1142" s="337"/>
      <c r="K1142" s="680">
        <f>$A$1142*H1142</f>
        <v>32</v>
      </c>
      <c r="L1142" s="535"/>
      <c r="M1142" s="552" t="str">
        <f t="shared" si="165"/>
        <v/>
      </c>
      <c r="N1142" s="552"/>
      <c r="O1142" s="552" t="str">
        <f t="shared" si="166"/>
        <v/>
      </c>
      <c r="P1142" s="39"/>
    </row>
    <row r="1143" spans="1:16" ht="15.5" thickTop="1" thickBot="1" x14ac:dyDescent="0.4">
      <c r="A1143" s="545" t="str">
        <f t="shared" si="153"/>
        <v/>
      </c>
      <c r="B1143" s="546"/>
      <c r="C1143" s="546"/>
      <c r="D1143" s="547"/>
      <c r="E1143" s="546"/>
      <c r="F1143" s="579"/>
      <c r="G1143" s="546"/>
      <c r="H1143" s="546"/>
      <c r="I1143" s="546"/>
      <c r="J1143" s="546"/>
      <c r="K1143" s="676"/>
      <c r="L1143" s="535"/>
      <c r="M1143" s="552" t="str">
        <f t="shared" si="165"/>
        <v/>
      </c>
      <c r="N1143" s="552"/>
      <c r="O1143" s="552" t="str">
        <f t="shared" si="166"/>
        <v/>
      </c>
      <c r="P1143" s="39"/>
    </row>
    <row r="1144" spans="1:16" ht="15" thickTop="1" x14ac:dyDescent="0.35">
      <c r="A1144" s="565">
        <f>IFERROR(INDEX($Q$17:$Q$150,MATCH(B1144,$R$17:$R$150, 0)), "")</f>
        <v>12</v>
      </c>
      <c r="B1144" s="382" t="s">
        <v>1284</v>
      </c>
      <c r="C1144" s="325" t="s">
        <v>886</v>
      </c>
      <c r="D1144" s="468"/>
      <c r="E1144" s="355" t="s">
        <v>887</v>
      </c>
      <c r="F1144" s="356">
        <v>40</v>
      </c>
      <c r="G1144" s="356" t="s">
        <v>73</v>
      </c>
      <c r="H1144" s="515"/>
      <c r="I1144" s="515"/>
      <c r="J1144" s="515"/>
      <c r="K1144" s="684"/>
      <c r="L1144" s="535"/>
      <c r="M1144" s="552" t="str">
        <f t="shared" si="165"/>
        <v/>
      </c>
      <c r="N1144" s="552"/>
      <c r="O1144" s="552" t="str">
        <f t="shared" si="166"/>
        <v/>
      </c>
      <c r="P1144" s="39"/>
    </row>
    <row r="1145" spans="1:16" x14ac:dyDescent="0.35">
      <c r="A1145" s="535" t="str">
        <f t="shared" si="153"/>
        <v/>
      </c>
      <c r="B1145" s="330"/>
      <c r="C1145" s="330"/>
      <c r="D1145" s="326" t="s">
        <v>377</v>
      </c>
      <c r="E1145" s="475" t="s">
        <v>888</v>
      </c>
      <c r="F1145" s="328">
        <v>1000</v>
      </c>
      <c r="G1145" s="328" t="s">
        <v>73</v>
      </c>
      <c r="H1145" s="328">
        <f>ROUND(($F$1144)*(($F$1145)/((($F$1147)*(($F$1148)/($F$1148+$F$1149+$F$1150)))+(($F$1147)*(($F$1149)/($F$1148+$F$1149+$F$1150)))
+(($F$1147)*(($F$1150)/($F$1148+$F$1149+$F$1150)))+($F$1145)+($F$1146))),2)</f>
        <v>32.79</v>
      </c>
      <c r="I1145" s="328" t="s">
        <v>73</v>
      </c>
      <c r="J1145" s="330"/>
      <c r="K1145" s="681">
        <f t="shared" ref="K1145:K1149" si="167">$A$1144*H1145</f>
        <v>393.48</v>
      </c>
      <c r="L1145" s="535"/>
      <c r="M1145" s="552" t="str">
        <f t="shared" si="165"/>
        <v/>
      </c>
      <c r="N1145" s="552"/>
      <c r="O1145" s="552" t="str">
        <f t="shared" si="166"/>
        <v/>
      </c>
      <c r="P1145" s="39"/>
    </row>
    <row r="1146" spans="1:16" x14ac:dyDescent="0.35">
      <c r="A1146" s="535" t="str">
        <f t="shared" si="153"/>
        <v/>
      </c>
      <c r="B1146" s="337"/>
      <c r="C1146" s="337"/>
      <c r="D1146" s="326" t="s">
        <v>43</v>
      </c>
      <c r="E1146" s="419" t="s">
        <v>105</v>
      </c>
      <c r="F1146" s="335">
        <v>20</v>
      </c>
      <c r="G1146" s="335" t="s">
        <v>73</v>
      </c>
      <c r="H1146" s="335">
        <f>ROUND(($F$1144)*(($F$1146)/((($F$1147)*(($F$1148)/($F$1148+$F$1149+$F$1150)))+(($F$1147)*(($F$1149)/($F$1148+$F$1149+$F$1150)))
+(($F$1147)*(($F$1150)/($F$1148+$F$1149+$F$1150)))+($F$1145)+($F$1146))),2)</f>
        <v>0.66</v>
      </c>
      <c r="I1146" s="335" t="s">
        <v>73</v>
      </c>
      <c r="J1146" s="337"/>
      <c r="K1146" s="680">
        <f t="shared" si="167"/>
        <v>7.92</v>
      </c>
      <c r="L1146" s="535"/>
      <c r="M1146" s="552" t="str">
        <f t="shared" si="165"/>
        <v/>
      </c>
      <c r="N1146" s="552"/>
      <c r="O1146" s="552" t="str">
        <f t="shared" si="166"/>
        <v/>
      </c>
      <c r="P1146" s="39"/>
    </row>
    <row r="1147" spans="1:16" x14ac:dyDescent="0.35">
      <c r="A1147" s="535" t="str">
        <f t="shared" si="153"/>
        <v/>
      </c>
      <c r="B1147" s="330"/>
      <c r="C1147" s="330"/>
      <c r="D1147" s="355"/>
      <c r="E1147" s="556" t="s">
        <v>889</v>
      </c>
      <c r="F1147" s="356">
        <v>200</v>
      </c>
      <c r="G1147" s="356" t="s">
        <v>73</v>
      </c>
      <c r="H1147" s="356"/>
      <c r="I1147" s="356"/>
      <c r="J1147" s="515"/>
      <c r="K1147" s="684"/>
      <c r="L1147" s="535"/>
      <c r="M1147" s="552" t="str">
        <f t="shared" si="165"/>
        <v/>
      </c>
      <c r="N1147" s="552"/>
      <c r="O1147" s="552" t="str">
        <f t="shared" si="166"/>
        <v/>
      </c>
      <c r="P1147" s="39"/>
    </row>
    <row r="1148" spans="1:16" x14ac:dyDescent="0.35">
      <c r="A1148" s="535" t="str">
        <f t="shared" si="153"/>
        <v/>
      </c>
      <c r="B1148" s="337"/>
      <c r="C1148" s="337"/>
      <c r="D1148" s="342"/>
      <c r="E1148" s="646" t="s">
        <v>890</v>
      </c>
      <c r="F1148" s="343">
        <v>200</v>
      </c>
      <c r="G1148" s="343" t="s">
        <v>73</v>
      </c>
      <c r="H1148" s="343">
        <f>ROUND(($F$1144)*((($F$1147)*(($F$1148)/($F$1148+$F$1149+$F$1150)))
/((($F$1147)*(($F$1148)/($F$1148+$F$1149+$F$1150)))+(($F$1147)*(($F$1149)/($F$1148+$F$1149+$F$1150)))
+(($F$1147)*(($F$1150)/($F$1148+$F$1149+$F$1150)))+($F$1145)+($F$1146))),2)</f>
        <v>2.73</v>
      </c>
      <c r="I1148" s="343"/>
      <c r="J1148" s="345"/>
      <c r="K1148" s="685"/>
      <c r="L1148" s="535"/>
      <c r="M1148" s="552" t="str">
        <f t="shared" si="165"/>
        <v/>
      </c>
      <c r="N1148" s="552"/>
      <c r="O1148" s="552" t="str">
        <f t="shared" si="166"/>
        <v/>
      </c>
      <c r="P1148" s="39"/>
    </row>
    <row r="1149" spans="1:16" x14ac:dyDescent="0.35">
      <c r="A1149" s="535" t="str">
        <f t="shared" si="153"/>
        <v/>
      </c>
      <c r="B1149" s="330"/>
      <c r="C1149" s="330"/>
      <c r="D1149" s="326" t="s">
        <v>333</v>
      </c>
      <c r="E1149" s="647" t="s">
        <v>756</v>
      </c>
      <c r="F1149" s="328">
        <v>250</v>
      </c>
      <c r="G1149" s="328" t="s">
        <v>73</v>
      </c>
      <c r="H1149" s="328">
        <f>ROUND(($F$1144)*((($F$1147)*(($F$1149)/($F$1148+$F$1149+$F$1150)))
/((($F$1147)*(($F$1148)/($F$1148+$F$1149+$F$1150)))+(($F$1147)*(($F$1149)/($F$1148+$F$1149+$F$1150)))
+(($F$1147)*(($F$1150)/($F$1148+$F$1149+$F$1150)))+($F$1145)+($F$1146))),2)</f>
        <v>3.42</v>
      </c>
      <c r="I1149" s="328" t="s">
        <v>73</v>
      </c>
      <c r="J1149" s="330"/>
      <c r="K1149" s="681">
        <f t="shared" si="167"/>
        <v>41.04</v>
      </c>
      <c r="L1149" s="535"/>
      <c r="M1149" s="552" t="str">
        <f t="shared" si="165"/>
        <v/>
      </c>
      <c r="N1149" s="552"/>
      <c r="O1149" s="552" t="str">
        <f>IF(V1150&gt;0, V1150, "")</f>
        <v/>
      </c>
      <c r="P1149" s="39"/>
    </row>
    <row r="1150" spans="1:16" ht="15" thickBot="1" x14ac:dyDescent="0.4">
      <c r="A1150" s="535" t="str">
        <f t="shared" si="153"/>
        <v/>
      </c>
      <c r="B1150" s="337"/>
      <c r="C1150" s="337"/>
      <c r="D1150" s="326" t="s">
        <v>529</v>
      </c>
      <c r="E1150" s="648" t="s">
        <v>891</v>
      </c>
      <c r="F1150" s="335">
        <v>30</v>
      </c>
      <c r="G1150" s="335" t="s">
        <v>73</v>
      </c>
      <c r="H1150" s="335">
        <f>ROUND(($F$1144)*((($F$1147)*(($F$1150)/($F$1148+$F$1149+$F$1150)))
/((($F$1147)*(($F$1148)/($F$1148+$F$1149+$F$1150)))+(($F$1147)*(($F$1149)/($F$1148+$F$1149+$F$1150)))
+(($F$1147)*(($F$1150)/($F$1148+$F$1149+$F$1150)))+($F$1145)+($F$1146))),2)</f>
        <v>0.41</v>
      </c>
      <c r="I1150" s="335" t="s">
        <v>73</v>
      </c>
      <c r="J1150" s="337"/>
      <c r="K1150" s="680">
        <f>$A$1144*H1150</f>
        <v>4.92</v>
      </c>
      <c r="L1150" s="535"/>
      <c r="M1150" s="552" t="str">
        <f t="shared" si="165"/>
        <v/>
      </c>
      <c r="N1150" s="552"/>
      <c r="O1150" s="552" t="str">
        <f>IF(V1186&gt;0, V1186, "")</f>
        <v/>
      </c>
      <c r="P1150" s="39"/>
    </row>
    <row r="1151" spans="1:16" ht="15" thickTop="1" x14ac:dyDescent="0.35">
      <c r="A1151" s="615" t="str">
        <f>IFERROR(INDEX($Q$17:$Q$41,MATCH(B1151,$R$17:$R$41, 0)), "")</f>
        <v/>
      </c>
      <c r="B1151" s="574"/>
      <c r="C1151" s="574"/>
      <c r="D1151" s="575"/>
      <c r="E1151" s="649"/>
      <c r="F1151" s="618"/>
      <c r="G1151" s="618"/>
      <c r="H1151" s="618"/>
      <c r="I1151" s="618"/>
      <c r="J1151" s="574"/>
      <c r="K1151" s="690"/>
      <c r="L1151" s="535"/>
      <c r="M1151" s="595" t="str">
        <f>IF(Q1150&gt;0, Q1150, "")</f>
        <v/>
      </c>
      <c r="N1151" s="595">
        <f t="shared" ref="N1151:N1185" si="168">V1151+ROW()/10000</f>
        <v>0.11509999999999999</v>
      </c>
      <c r="O1151" s="595" t="str">
        <f t="shared" ref="O1151:O1185" si="169">IF(V1151&gt;0, V1151, "")</f>
        <v/>
      </c>
      <c r="P1151" s="39"/>
    </row>
    <row r="1152" spans="1:16" x14ac:dyDescent="0.35">
      <c r="A1152" s="619">
        <f>IFERROR(INDEX($Q$17:$Q$150,MATCH(B1152,$R$17:$R$150, 0)), "")</f>
        <v>3</v>
      </c>
      <c r="B1152" s="382" t="s">
        <v>1532</v>
      </c>
      <c r="C1152" s="325" t="s">
        <v>1533</v>
      </c>
      <c r="D1152" s="326" t="s">
        <v>505</v>
      </c>
      <c r="E1152" s="536" t="s">
        <v>896</v>
      </c>
      <c r="F1152" s="335"/>
      <c r="G1152" s="335" t="s">
        <v>73</v>
      </c>
      <c r="H1152" s="335"/>
      <c r="I1152" s="335" t="s">
        <v>73</v>
      </c>
      <c r="J1152" s="337"/>
      <c r="K1152" s="680"/>
      <c r="L1152" s="535"/>
      <c r="M1152" s="595" t="str">
        <f>IF(Q1150&gt;0, Q1150, "")</f>
        <v/>
      </c>
      <c r="N1152" s="595">
        <f t="shared" si="168"/>
        <v>0.1152</v>
      </c>
      <c r="O1152" s="595" t="str">
        <f t="shared" si="169"/>
        <v/>
      </c>
      <c r="P1152" s="39"/>
    </row>
    <row r="1153" spans="1:16" x14ac:dyDescent="0.35">
      <c r="A1153" s="593" t="str">
        <f t="shared" ref="A1153:A1161" si="170">IFERROR(INDEX($Q$17:$Q$41,MATCH(B1153,$R$17:$R$41, 0)), "")</f>
        <v/>
      </c>
      <c r="B1153" s="330"/>
      <c r="C1153" s="330"/>
      <c r="D1153" s="326" t="s">
        <v>61</v>
      </c>
      <c r="E1153" s="544" t="s">
        <v>706</v>
      </c>
      <c r="F1153" s="328"/>
      <c r="G1153" s="328" t="s">
        <v>73</v>
      </c>
      <c r="H1153" s="328"/>
      <c r="I1153" s="328" t="s">
        <v>73</v>
      </c>
      <c r="J1153" s="330"/>
      <c r="K1153" s="681"/>
      <c r="L1153" s="535"/>
      <c r="M1153" s="595" t="str">
        <f>IF(Q1150&gt;0, Q1150, "")</f>
        <v/>
      </c>
      <c r="N1153" s="595">
        <f t="shared" si="168"/>
        <v>0.1153</v>
      </c>
      <c r="O1153" s="595" t="str">
        <f t="shared" si="169"/>
        <v/>
      </c>
      <c r="P1153" s="39"/>
    </row>
    <row r="1154" spans="1:16" x14ac:dyDescent="0.35">
      <c r="A1154" s="593" t="str">
        <f t="shared" si="170"/>
        <v/>
      </c>
      <c r="B1154" s="337"/>
      <c r="C1154" s="337"/>
      <c r="D1154" s="398"/>
      <c r="E1154" s="388" t="s">
        <v>1947</v>
      </c>
      <c r="F1154" s="459">
        <v>40</v>
      </c>
      <c r="G1154" s="356" t="s">
        <v>73</v>
      </c>
      <c r="H1154" s="358"/>
      <c r="I1154" s="356"/>
      <c r="J1154" s="358"/>
      <c r="K1154" s="511"/>
      <c r="L1154" s="535"/>
      <c r="M1154" s="595" t="str">
        <f>IF(Q1150&gt;0, Q1150, "")</f>
        <v/>
      </c>
      <c r="N1154" s="595">
        <f t="shared" si="168"/>
        <v>0.1154</v>
      </c>
      <c r="O1154" s="595" t="str">
        <f t="shared" si="169"/>
        <v/>
      </c>
      <c r="P1154" s="39"/>
    </row>
    <row r="1155" spans="1:16" x14ac:dyDescent="0.35">
      <c r="A1155" s="593" t="str">
        <f t="shared" si="170"/>
        <v/>
      </c>
      <c r="B1155" s="330"/>
      <c r="C1155" s="330"/>
      <c r="D1155" s="326" t="s">
        <v>696</v>
      </c>
      <c r="E1155" s="380" t="s">
        <v>1949</v>
      </c>
      <c r="F1155" s="328"/>
      <c r="G1155" s="328" t="s">
        <v>73</v>
      </c>
      <c r="H1155" s="340"/>
      <c r="I1155" s="328" t="s">
        <v>73</v>
      </c>
      <c r="J1155" s="340"/>
      <c r="K1155" s="497"/>
      <c r="L1155" s="535"/>
      <c r="M1155" s="595" t="str">
        <f>IF(Q1150&gt;0, Q1150, "")</f>
        <v/>
      </c>
      <c r="N1155" s="595">
        <f t="shared" si="168"/>
        <v>0.11550000000000001</v>
      </c>
      <c r="O1155" s="595" t="str">
        <f t="shared" si="169"/>
        <v/>
      </c>
      <c r="P1155" s="39"/>
    </row>
    <row r="1156" spans="1:16" x14ac:dyDescent="0.35">
      <c r="A1156" s="593" t="str">
        <f t="shared" si="170"/>
        <v/>
      </c>
      <c r="B1156" s="337"/>
      <c r="C1156" s="337"/>
      <c r="D1156" s="326" t="s">
        <v>129</v>
      </c>
      <c r="E1156" s="379" t="s">
        <v>1950</v>
      </c>
      <c r="F1156" s="335"/>
      <c r="G1156" s="335" t="s">
        <v>73</v>
      </c>
      <c r="H1156" s="333"/>
      <c r="I1156" s="335" t="s">
        <v>73</v>
      </c>
      <c r="J1156" s="333"/>
      <c r="K1156" s="496"/>
      <c r="L1156" s="535"/>
      <c r="M1156" s="595" t="str">
        <f>IF(Q1150&gt;0, Q1150, "")</f>
        <v/>
      </c>
      <c r="N1156" s="595">
        <f t="shared" si="168"/>
        <v>0.11559999999999999</v>
      </c>
      <c r="O1156" s="595" t="str">
        <f t="shared" si="169"/>
        <v/>
      </c>
      <c r="P1156" s="39"/>
    </row>
    <row r="1157" spans="1:16" x14ac:dyDescent="0.35">
      <c r="A1157" s="593" t="str">
        <f t="shared" si="170"/>
        <v/>
      </c>
      <c r="B1157" s="330"/>
      <c r="C1157" s="330"/>
      <c r="D1157" s="390" t="s">
        <v>49</v>
      </c>
      <c r="E1157" s="454" t="s">
        <v>1951</v>
      </c>
      <c r="F1157" s="328"/>
      <c r="G1157" s="328" t="s">
        <v>73</v>
      </c>
      <c r="H1157" s="340"/>
      <c r="I1157" s="328" t="s">
        <v>73</v>
      </c>
      <c r="J1157" s="340"/>
      <c r="K1157" s="497"/>
      <c r="L1157" s="535"/>
      <c r="M1157" s="595" t="str">
        <f>IF(Q1150&gt;0, Q1150, "")</f>
        <v/>
      </c>
      <c r="N1157" s="595">
        <f t="shared" si="168"/>
        <v>0.1157</v>
      </c>
      <c r="O1157" s="595" t="str">
        <f t="shared" si="169"/>
        <v/>
      </c>
      <c r="P1157" s="39"/>
    </row>
    <row r="1158" spans="1:16" x14ac:dyDescent="0.35">
      <c r="A1158" s="593" t="str">
        <f t="shared" si="170"/>
        <v/>
      </c>
      <c r="B1158" s="337"/>
      <c r="C1158" s="337"/>
      <c r="D1158" s="388"/>
      <c r="E1158" s="483" t="s">
        <v>1952</v>
      </c>
      <c r="F1158" s="356"/>
      <c r="G1158" s="494" t="s">
        <v>73</v>
      </c>
      <c r="H1158" s="358"/>
      <c r="I1158" s="358"/>
      <c r="J1158" s="358"/>
      <c r="K1158" s="511"/>
      <c r="L1158" s="535"/>
      <c r="M1158" s="595" t="str">
        <f>IF(Q1150&gt;0, Q1150, "")</f>
        <v/>
      </c>
      <c r="N1158" s="595">
        <f t="shared" si="168"/>
        <v>0.1158</v>
      </c>
      <c r="O1158" s="595" t="str">
        <f t="shared" si="169"/>
        <v/>
      </c>
      <c r="P1158" s="39"/>
    </row>
    <row r="1159" spans="1:16" x14ac:dyDescent="0.35">
      <c r="A1159" s="593" t="str">
        <f t="shared" si="170"/>
        <v/>
      </c>
      <c r="B1159" s="330"/>
      <c r="C1159" s="330"/>
      <c r="D1159" s="326" t="s">
        <v>333</v>
      </c>
      <c r="E1159" s="495" t="s">
        <v>1956</v>
      </c>
      <c r="F1159" s="328"/>
      <c r="G1159" s="328" t="s">
        <v>73</v>
      </c>
      <c r="H1159" s="340"/>
      <c r="I1159" s="328" t="s">
        <v>73</v>
      </c>
      <c r="J1159" s="340"/>
      <c r="K1159" s="497"/>
      <c r="L1159" s="535"/>
      <c r="M1159" s="595" t="str">
        <f>IF(Q1150&gt;0, Q1150, "")</f>
        <v/>
      </c>
      <c r="N1159" s="595">
        <f t="shared" si="168"/>
        <v>0.1159</v>
      </c>
      <c r="O1159" s="595" t="str">
        <f t="shared" si="169"/>
        <v/>
      </c>
      <c r="P1159" s="39"/>
    </row>
    <row r="1160" spans="1:16" x14ac:dyDescent="0.35">
      <c r="A1160" s="593" t="str">
        <f t="shared" si="170"/>
        <v/>
      </c>
      <c r="B1160" s="337"/>
      <c r="C1160" s="337"/>
      <c r="D1160" s="390"/>
      <c r="E1160" s="395" t="s">
        <v>950</v>
      </c>
      <c r="F1160" s="335"/>
      <c r="G1160" s="335" t="s">
        <v>73</v>
      </c>
      <c r="H1160" s="333"/>
      <c r="I1160" s="335" t="s">
        <v>73</v>
      </c>
      <c r="J1160" s="333"/>
      <c r="K1160" s="496"/>
      <c r="L1160" s="535"/>
      <c r="M1160" s="595" t="str">
        <f>IF(Q1150&gt;0, Q1150, "")</f>
        <v/>
      </c>
      <c r="N1160" s="595">
        <f t="shared" si="168"/>
        <v>0.11600000000000001</v>
      </c>
      <c r="O1160" s="595" t="str">
        <f t="shared" si="169"/>
        <v/>
      </c>
      <c r="P1160" s="39"/>
    </row>
    <row r="1161" spans="1:16" x14ac:dyDescent="0.35">
      <c r="A1161" s="615" t="str">
        <f t="shared" si="170"/>
        <v/>
      </c>
      <c r="B1161" s="574"/>
      <c r="C1161" s="574"/>
      <c r="D1161" s="574"/>
      <c r="E1161" s="588"/>
      <c r="F1161" s="618"/>
      <c r="G1161" s="618"/>
      <c r="H1161" s="574"/>
      <c r="I1161" s="574"/>
      <c r="J1161" s="574"/>
      <c r="K1161" s="683"/>
      <c r="L1161" s="535"/>
      <c r="M1161" s="595" t="str">
        <f>IF(Q1160&gt;0, Q1160, "")</f>
        <v/>
      </c>
      <c r="N1161" s="595">
        <f t="shared" si="168"/>
        <v>0.11609999999999999</v>
      </c>
      <c r="O1161" s="595" t="str">
        <f t="shared" si="169"/>
        <v/>
      </c>
      <c r="P1161" s="39"/>
    </row>
    <row r="1162" spans="1:16" x14ac:dyDescent="0.35">
      <c r="A1162" s="619">
        <f>IFERROR(INDEX($Q$17:$Q$150,MATCH(B1162,$R$17:$R$150, 0)), "")</f>
        <v>2</v>
      </c>
      <c r="B1162" s="382" t="s">
        <v>1534</v>
      </c>
      <c r="C1162" s="325" t="s">
        <v>1535</v>
      </c>
      <c r="D1162" s="326" t="s">
        <v>505</v>
      </c>
      <c r="E1162" s="536" t="s">
        <v>896</v>
      </c>
      <c r="F1162" s="335"/>
      <c r="G1162" s="335" t="s">
        <v>73</v>
      </c>
      <c r="H1162" s="335"/>
      <c r="I1162" s="335" t="s">
        <v>73</v>
      </c>
      <c r="J1162" s="337"/>
      <c r="K1162" s="680"/>
      <c r="L1162" s="535"/>
      <c r="M1162" s="595" t="str">
        <f>IF(Q1161&gt;0, Q1161, "")</f>
        <v/>
      </c>
      <c r="N1162" s="595">
        <f t="shared" si="168"/>
        <v>0.1162</v>
      </c>
      <c r="O1162" s="595" t="str">
        <f t="shared" si="169"/>
        <v/>
      </c>
      <c r="P1162" s="39"/>
    </row>
    <row r="1163" spans="1:16" ht="15" thickBot="1" x14ac:dyDescent="0.4">
      <c r="A1163" s="593" t="str">
        <f t="shared" ref="A1163:A1171" si="171">IFERROR(INDEX($Q$17:$Q$41,MATCH(B1163,$R$17:$R$41, 0)), "")</f>
        <v/>
      </c>
      <c r="B1163" s="330"/>
      <c r="C1163" s="330"/>
      <c r="D1163" s="326" t="s">
        <v>63</v>
      </c>
      <c r="E1163" s="327" t="s">
        <v>893</v>
      </c>
      <c r="F1163" s="328"/>
      <c r="G1163" s="328" t="s">
        <v>73</v>
      </c>
      <c r="H1163" s="328"/>
      <c r="I1163" s="328" t="s">
        <v>73</v>
      </c>
      <c r="J1163" s="330"/>
      <c r="K1163" s="681"/>
      <c r="L1163" s="535"/>
      <c r="M1163" s="595" t="str">
        <f>IF(Q1161&gt;0, Q1161, "")</f>
        <v/>
      </c>
      <c r="N1163" s="595">
        <f t="shared" si="168"/>
        <v>0.1163</v>
      </c>
      <c r="O1163" s="595" t="str">
        <f t="shared" si="169"/>
        <v/>
      </c>
      <c r="P1163" s="39"/>
    </row>
    <row r="1164" spans="1:16" ht="15" thickTop="1" x14ac:dyDescent="0.35">
      <c r="A1164" s="593" t="str">
        <f t="shared" si="171"/>
        <v/>
      </c>
      <c r="B1164" s="337"/>
      <c r="C1164" s="337"/>
      <c r="D1164" s="394"/>
      <c r="E1164" s="388" t="s">
        <v>1947</v>
      </c>
      <c r="F1164" s="459">
        <v>40</v>
      </c>
      <c r="G1164" s="356" t="s">
        <v>73</v>
      </c>
      <c r="H1164" s="358"/>
      <c r="I1164" s="356"/>
      <c r="J1164" s="358"/>
      <c r="K1164" s="511"/>
      <c r="L1164" s="535"/>
      <c r="M1164" s="595" t="str">
        <f>IF(Q1161&gt;0, Q1161, "")</f>
        <v/>
      </c>
      <c r="N1164" s="595">
        <f t="shared" si="168"/>
        <v>0.1164</v>
      </c>
      <c r="O1164" s="595" t="str">
        <f t="shared" si="169"/>
        <v/>
      </c>
      <c r="P1164" s="39"/>
    </row>
    <row r="1165" spans="1:16" x14ac:dyDescent="0.35">
      <c r="A1165" s="593" t="str">
        <f t="shared" si="171"/>
        <v/>
      </c>
      <c r="B1165" s="330"/>
      <c r="C1165" s="330"/>
      <c r="D1165" s="326" t="s">
        <v>696</v>
      </c>
      <c r="E1165" s="380" t="s">
        <v>1949</v>
      </c>
      <c r="F1165" s="328"/>
      <c r="G1165" s="328" t="s">
        <v>73</v>
      </c>
      <c r="H1165" s="340"/>
      <c r="I1165" s="328" t="s">
        <v>73</v>
      </c>
      <c r="J1165" s="340"/>
      <c r="K1165" s="497"/>
      <c r="L1165" s="535"/>
      <c r="M1165" s="595" t="str">
        <f>IF(Q1161&gt;0, Q1161, "")</f>
        <v/>
      </c>
      <c r="N1165" s="595">
        <f t="shared" si="168"/>
        <v>0.11650000000000001</v>
      </c>
      <c r="O1165" s="595" t="str">
        <f t="shared" si="169"/>
        <v/>
      </c>
      <c r="P1165" s="39"/>
    </row>
    <row r="1166" spans="1:16" x14ac:dyDescent="0.35">
      <c r="A1166" s="593" t="str">
        <f t="shared" si="171"/>
        <v/>
      </c>
      <c r="B1166" s="337"/>
      <c r="C1166" s="337"/>
      <c r="D1166" s="326" t="s">
        <v>129</v>
      </c>
      <c r="E1166" s="379" t="s">
        <v>1950</v>
      </c>
      <c r="F1166" s="335"/>
      <c r="G1166" s="335" t="s">
        <v>73</v>
      </c>
      <c r="H1166" s="333"/>
      <c r="I1166" s="335" t="s">
        <v>73</v>
      </c>
      <c r="J1166" s="333"/>
      <c r="K1166" s="496"/>
      <c r="L1166" s="535"/>
      <c r="M1166" s="595" t="str">
        <f>IF(Q1161&gt;0, Q1161, "")</f>
        <v/>
      </c>
      <c r="N1166" s="595">
        <f t="shared" si="168"/>
        <v>0.1166</v>
      </c>
      <c r="O1166" s="595" t="str">
        <f t="shared" si="169"/>
        <v/>
      </c>
      <c r="P1166" s="39"/>
    </row>
    <row r="1167" spans="1:16" x14ac:dyDescent="0.35">
      <c r="A1167" s="593" t="str">
        <f t="shared" si="171"/>
        <v/>
      </c>
      <c r="B1167" s="330"/>
      <c r="C1167" s="330"/>
      <c r="D1167" s="390" t="s">
        <v>49</v>
      </c>
      <c r="E1167" s="454" t="s">
        <v>1951</v>
      </c>
      <c r="F1167" s="328"/>
      <c r="G1167" s="328" t="s">
        <v>73</v>
      </c>
      <c r="H1167" s="340"/>
      <c r="I1167" s="328" t="s">
        <v>73</v>
      </c>
      <c r="J1167" s="340"/>
      <c r="K1167" s="497"/>
      <c r="L1167" s="535"/>
      <c r="M1167" s="595" t="str">
        <f>IF(Q1161&gt;0, Q1161, "")</f>
        <v/>
      </c>
      <c r="N1167" s="595">
        <f t="shared" si="168"/>
        <v>0.1167</v>
      </c>
      <c r="O1167" s="595" t="str">
        <f t="shared" si="169"/>
        <v/>
      </c>
      <c r="P1167" s="39"/>
    </row>
    <row r="1168" spans="1:16" x14ac:dyDescent="0.35">
      <c r="A1168" s="593" t="str">
        <f t="shared" si="171"/>
        <v/>
      </c>
      <c r="B1168" s="337"/>
      <c r="C1168" s="337"/>
      <c r="D1168" s="388"/>
      <c r="E1168" s="483" t="s">
        <v>1952</v>
      </c>
      <c r="F1168" s="356"/>
      <c r="G1168" s="494" t="s">
        <v>73</v>
      </c>
      <c r="H1168" s="358"/>
      <c r="I1168" s="356"/>
      <c r="J1168" s="358"/>
      <c r="K1168" s="511"/>
      <c r="L1168" s="535"/>
      <c r="M1168" s="595" t="str">
        <f>IF(Q1161&gt;0, Q1161, "")</f>
        <v/>
      </c>
      <c r="N1168" s="595">
        <f t="shared" si="168"/>
        <v>0.1168</v>
      </c>
      <c r="O1168" s="595" t="str">
        <f t="shared" si="169"/>
        <v/>
      </c>
      <c r="P1168" s="39"/>
    </row>
    <row r="1169" spans="1:16" x14ac:dyDescent="0.35">
      <c r="A1169" s="593" t="str">
        <f t="shared" si="171"/>
        <v/>
      </c>
      <c r="B1169" s="330"/>
      <c r="C1169" s="330"/>
      <c r="D1169" s="326" t="s">
        <v>333</v>
      </c>
      <c r="E1169" s="495" t="s">
        <v>1956</v>
      </c>
      <c r="F1169" s="328"/>
      <c r="G1169" s="328" t="s">
        <v>73</v>
      </c>
      <c r="H1169" s="340"/>
      <c r="I1169" s="328" t="s">
        <v>73</v>
      </c>
      <c r="J1169" s="340"/>
      <c r="K1169" s="497"/>
      <c r="L1169" s="535"/>
      <c r="M1169" s="595" t="str">
        <f>IF(Q1161&gt;0, Q1161, "")</f>
        <v/>
      </c>
      <c r="N1169" s="595">
        <f t="shared" si="168"/>
        <v>0.1169</v>
      </c>
      <c r="O1169" s="595" t="str">
        <f t="shared" si="169"/>
        <v/>
      </c>
      <c r="P1169" s="39"/>
    </row>
    <row r="1170" spans="1:16" x14ac:dyDescent="0.35">
      <c r="A1170" s="593" t="str">
        <f t="shared" si="171"/>
        <v/>
      </c>
      <c r="B1170" s="337"/>
      <c r="C1170" s="337"/>
      <c r="D1170" s="390"/>
      <c r="E1170" s="395" t="s">
        <v>950</v>
      </c>
      <c r="F1170" s="335"/>
      <c r="G1170" s="335" t="s">
        <v>73</v>
      </c>
      <c r="H1170" s="333"/>
      <c r="I1170" s="335" t="s">
        <v>73</v>
      </c>
      <c r="J1170" s="333"/>
      <c r="K1170" s="496"/>
      <c r="L1170" s="535"/>
      <c r="M1170" s="595" t="str">
        <f>IF(Q1161&gt;0, Q1161, "")</f>
        <v/>
      </c>
      <c r="N1170" s="595">
        <f t="shared" si="168"/>
        <v>0.11700000000000001</v>
      </c>
      <c r="O1170" s="595" t="str">
        <f t="shared" si="169"/>
        <v/>
      </c>
      <c r="P1170" s="39"/>
    </row>
    <row r="1171" spans="1:16" ht="15" thickBot="1" x14ac:dyDescent="0.4">
      <c r="A1171" s="615" t="str">
        <f t="shared" si="171"/>
        <v/>
      </c>
      <c r="B1171" s="574"/>
      <c r="C1171" s="574"/>
      <c r="D1171" s="574"/>
      <c r="E1171" s="649"/>
      <c r="F1171" s="618"/>
      <c r="G1171" s="618"/>
      <c r="H1171" s="618"/>
      <c r="I1171" s="618"/>
      <c r="J1171" s="574"/>
      <c r="K1171" s="690"/>
      <c r="L1171" s="535"/>
      <c r="M1171" s="595" t="str">
        <f>IF(Q1150&gt;0, Q1150, "")</f>
        <v/>
      </c>
      <c r="N1171" s="595">
        <f t="shared" si="168"/>
        <v>0.1171</v>
      </c>
      <c r="O1171" s="595" t="str">
        <f t="shared" si="169"/>
        <v/>
      </c>
      <c r="P1171" s="39"/>
    </row>
    <row r="1172" spans="1:16" ht="15" thickTop="1" x14ac:dyDescent="0.35">
      <c r="A1172" s="619">
        <f>IFERROR(INDEX($Q$17:$Q$150,MATCH(B1172,$R$17:$R$150, 0)), "")</f>
        <v>3</v>
      </c>
      <c r="B1172" s="382" t="s">
        <v>1285</v>
      </c>
      <c r="C1172" s="325" t="s">
        <v>1394</v>
      </c>
      <c r="D1172" s="347" t="s">
        <v>49</v>
      </c>
      <c r="E1172" s="536" t="s">
        <v>395</v>
      </c>
      <c r="F1172" s="335">
        <v>10</v>
      </c>
      <c r="G1172" s="335" t="s">
        <v>73</v>
      </c>
      <c r="H1172" s="335">
        <v>10</v>
      </c>
      <c r="I1172" s="335" t="s">
        <v>73</v>
      </c>
      <c r="J1172" s="337"/>
      <c r="K1172" s="680">
        <f>$A$1172*H1172</f>
        <v>30</v>
      </c>
      <c r="L1172" s="535"/>
      <c r="M1172" s="595" t="str">
        <f>IF(Q1171&gt;0, Q1171, "")</f>
        <v/>
      </c>
      <c r="N1172" s="595">
        <f t="shared" si="168"/>
        <v>0.1172</v>
      </c>
      <c r="O1172" s="595" t="str">
        <f t="shared" si="169"/>
        <v/>
      </c>
      <c r="P1172" s="39"/>
    </row>
    <row r="1173" spans="1:16" ht="15" thickBot="1" x14ac:dyDescent="0.4">
      <c r="A1173" s="615" t="str">
        <f>IFERROR(INDEX($Q$17:$Q$41,MATCH(B1173,$R$17:$R$41, 0)), "")</f>
        <v/>
      </c>
      <c r="B1173" s="574"/>
      <c r="C1173" s="574"/>
      <c r="D1173" s="585"/>
      <c r="E1173" s="650"/>
      <c r="F1173" s="618"/>
      <c r="G1173" s="618"/>
      <c r="H1173" s="618"/>
      <c r="I1173" s="618"/>
      <c r="J1173" s="574"/>
      <c r="K1173" s="690"/>
      <c r="L1173" s="535"/>
      <c r="M1173" s="595" t="str">
        <f>IF(Q1172&gt;0, Q1172, "")</f>
        <v/>
      </c>
      <c r="N1173" s="595">
        <f t="shared" si="168"/>
        <v>0.1173</v>
      </c>
      <c r="O1173" s="595" t="str">
        <f t="shared" si="169"/>
        <v/>
      </c>
      <c r="P1173" s="39"/>
    </row>
    <row r="1174" spans="1:16" x14ac:dyDescent="0.35">
      <c r="A1174" s="619">
        <f>IFERROR(INDEX($Q$17:$Q$150,MATCH(B1174,$R$17:$R$150, 0)), "")</f>
        <v>9</v>
      </c>
      <c r="B1174" s="382" t="s">
        <v>1278</v>
      </c>
      <c r="C1174" s="325" t="s">
        <v>1390</v>
      </c>
      <c r="D1174" s="651" t="s">
        <v>147</v>
      </c>
      <c r="E1174" s="652" t="s">
        <v>1898</v>
      </c>
      <c r="F1174" s="335">
        <v>20</v>
      </c>
      <c r="G1174" s="335" t="s">
        <v>73</v>
      </c>
      <c r="H1174" s="335">
        <v>20</v>
      </c>
      <c r="I1174" s="335" t="s">
        <v>73</v>
      </c>
      <c r="J1174" s="337"/>
      <c r="K1174" s="680">
        <f>$A$1174*H1174</f>
        <v>180</v>
      </c>
      <c r="L1174" s="535"/>
      <c r="M1174" s="595" t="str">
        <f>IF(Q1171&gt;0, Q1171, "")</f>
        <v/>
      </c>
      <c r="N1174" s="595">
        <f t="shared" si="168"/>
        <v>0.1174</v>
      </c>
      <c r="O1174" s="595" t="str">
        <f t="shared" si="169"/>
        <v/>
      </c>
      <c r="P1174" s="39"/>
    </row>
    <row r="1175" spans="1:16" x14ac:dyDescent="0.35">
      <c r="A1175" s="593" t="str">
        <f>IFERROR(INDEX($Q$17:$Q$41,MATCH(B1175,$R$17:$R$41, 0)), "")</f>
        <v/>
      </c>
      <c r="B1175" s="330"/>
      <c r="C1175" s="330"/>
      <c r="D1175" s="326" t="s">
        <v>385</v>
      </c>
      <c r="E1175" s="653" t="s">
        <v>1899</v>
      </c>
      <c r="F1175" s="328">
        <v>0.25</v>
      </c>
      <c r="G1175" s="328" t="s">
        <v>73</v>
      </c>
      <c r="H1175" s="328">
        <v>0.25</v>
      </c>
      <c r="I1175" s="328" t="s">
        <v>73</v>
      </c>
      <c r="J1175" s="330"/>
      <c r="K1175" s="681">
        <f t="shared" ref="K1175:K1176" si="172">$A$1174*H1175</f>
        <v>2.25</v>
      </c>
      <c r="L1175" s="535"/>
      <c r="M1175" s="595" t="str">
        <f>IF(Q1174&gt;0, Q1174, "")</f>
        <v/>
      </c>
      <c r="N1175" s="595">
        <f t="shared" si="168"/>
        <v>0.11749999999999999</v>
      </c>
      <c r="O1175" s="595" t="str">
        <f t="shared" si="169"/>
        <v/>
      </c>
      <c r="P1175" s="39"/>
    </row>
    <row r="1176" spans="1:16" ht="15" thickBot="1" x14ac:dyDescent="0.4">
      <c r="A1176" s="593" t="str">
        <f>IFERROR(INDEX($Q$17:$Q$41,MATCH(B1176,$R$17:$R$41, 0)), "")</f>
        <v/>
      </c>
      <c r="B1176" s="337"/>
      <c r="C1176" s="337"/>
      <c r="D1176" s="326" t="s">
        <v>392</v>
      </c>
      <c r="E1176" s="654" t="s">
        <v>1900</v>
      </c>
      <c r="F1176" s="335">
        <v>0.25</v>
      </c>
      <c r="G1176" s="335" t="s">
        <v>73</v>
      </c>
      <c r="H1176" s="335">
        <v>0.25</v>
      </c>
      <c r="I1176" s="335" t="s">
        <v>73</v>
      </c>
      <c r="J1176" s="337"/>
      <c r="K1176" s="680">
        <f t="shared" si="172"/>
        <v>2.25</v>
      </c>
      <c r="L1176" s="535"/>
      <c r="M1176" s="595" t="str">
        <f>IF(Q1150&gt;0, Q1150, "")</f>
        <v/>
      </c>
      <c r="N1176" s="595">
        <f t="shared" si="168"/>
        <v>0.1176</v>
      </c>
      <c r="O1176" s="595" t="str">
        <f t="shared" si="169"/>
        <v/>
      </c>
      <c r="P1176" s="39"/>
    </row>
    <row r="1177" spans="1:16" ht="15" thickTop="1" x14ac:dyDescent="0.35">
      <c r="A1177" s="615" t="str">
        <f>IFERROR(INDEX($Q$17:$Q$41,MATCH(B1177,$R$17:$R$41, 0)), "")</f>
        <v/>
      </c>
      <c r="B1177" s="574"/>
      <c r="C1177" s="574"/>
      <c r="D1177" s="575"/>
      <c r="E1177" s="655"/>
      <c r="F1177" s="618"/>
      <c r="G1177" s="618"/>
      <c r="H1177" s="618"/>
      <c r="I1177" s="618"/>
      <c r="J1177" s="574"/>
      <c r="K1177" s="690"/>
      <c r="L1177" s="535"/>
      <c r="M1177" s="595" t="str">
        <f>IF(Q1176&gt;0, Q1176, "")</f>
        <v/>
      </c>
      <c r="N1177" s="595">
        <f t="shared" si="168"/>
        <v>0.1177</v>
      </c>
      <c r="O1177" s="595" t="str">
        <f t="shared" si="169"/>
        <v/>
      </c>
      <c r="P1177" s="39"/>
    </row>
    <row r="1178" spans="1:16" x14ac:dyDescent="0.35">
      <c r="A1178" s="619">
        <f>IFERROR(INDEX($Q$17:$Q$150,MATCH(B1178,$R$17:$R$150, 0)), "")</f>
        <v>0</v>
      </c>
      <c r="B1178" s="382" t="s">
        <v>1922</v>
      </c>
      <c r="C1178" s="325" t="s">
        <v>1923</v>
      </c>
      <c r="D1178" s="447"/>
      <c r="E1178" s="452" t="s">
        <v>1917</v>
      </c>
      <c r="F1178" s="356">
        <v>30</v>
      </c>
      <c r="G1178" s="358"/>
      <c r="H1178" s="358"/>
      <c r="I1178" s="358"/>
      <c r="J1178" s="358"/>
      <c r="K1178" s="511"/>
      <c r="L1178" s="535"/>
      <c r="M1178" s="595" t="str">
        <f>IF(Q1177&gt;0, Q1177, "")</f>
        <v/>
      </c>
      <c r="N1178" s="595">
        <f t="shared" si="168"/>
        <v>0.1178</v>
      </c>
      <c r="O1178" s="595" t="str">
        <f t="shared" si="169"/>
        <v/>
      </c>
      <c r="P1178" s="39"/>
    </row>
    <row r="1179" spans="1:16" x14ac:dyDescent="0.35">
      <c r="A1179" s="593" t="str">
        <f t="shared" ref="A1179:A1185" si="173">IFERROR(INDEX($Q$17:$Q$41,MATCH(B1179,$R$17:$R$41, 0)), "")</f>
        <v/>
      </c>
      <c r="B1179" s="330"/>
      <c r="C1179" s="330"/>
      <c r="D1179" s="449" t="s">
        <v>1604</v>
      </c>
      <c r="E1179" s="450" t="s">
        <v>1940</v>
      </c>
      <c r="F1179" s="328">
        <v>60</v>
      </c>
      <c r="G1179" s="328" t="s">
        <v>73</v>
      </c>
      <c r="H1179" s="340"/>
      <c r="I1179" s="328" t="s">
        <v>73</v>
      </c>
      <c r="J1179" s="340"/>
      <c r="K1179" s="497"/>
      <c r="L1179" s="535"/>
      <c r="M1179" s="595" t="str">
        <f>IF(Q1178&gt;0, Q1178, "")</f>
        <v/>
      </c>
      <c r="N1179" s="595">
        <f t="shared" si="168"/>
        <v>0.1179</v>
      </c>
      <c r="O1179" s="595" t="str">
        <f t="shared" si="169"/>
        <v/>
      </c>
      <c r="P1179" s="39"/>
    </row>
    <row r="1180" spans="1:16" x14ac:dyDescent="0.35">
      <c r="A1180" s="593" t="str">
        <f t="shared" si="173"/>
        <v/>
      </c>
      <c r="B1180" s="337"/>
      <c r="C1180" s="337"/>
      <c r="D1180" s="449" t="s">
        <v>1626</v>
      </c>
      <c r="E1180" s="451" t="s">
        <v>1918</v>
      </c>
      <c r="F1180" s="335">
        <v>70</v>
      </c>
      <c r="G1180" s="335" t="s">
        <v>73</v>
      </c>
      <c r="H1180" s="333"/>
      <c r="I1180" s="335" t="s">
        <v>73</v>
      </c>
      <c r="J1180" s="333"/>
      <c r="K1180" s="496"/>
      <c r="L1180" s="535"/>
      <c r="M1180" s="595" t="str">
        <f>IF(Q1179&gt;0, Q1179, "")</f>
        <v/>
      </c>
      <c r="N1180" s="595">
        <f t="shared" si="168"/>
        <v>0.11799999999999999</v>
      </c>
      <c r="O1180" s="595" t="str">
        <f t="shared" si="169"/>
        <v/>
      </c>
      <c r="P1180" s="39"/>
    </row>
    <row r="1181" spans="1:16" x14ac:dyDescent="0.35">
      <c r="A1181" s="593" t="str">
        <f t="shared" si="173"/>
        <v/>
      </c>
      <c r="B1181" s="330"/>
      <c r="C1181" s="330"/>
      <c r="D1181" s="390" t="s">
        <v>50</v>
      </c>
      <c r="E1181" s="454" t="s">
        <v>1919</v>
      </c>
      <c r="F1181" s="328">
        <v>20</v>
      </c>
      <c r="G1181" s="328" t="s">
        <v>73</v>
      </c>
      <c r="H1181" s="340"/>
      <c r="I1181" s="328" t="s">
        <v>73</v>
      </c>
      <c r="J1181" s="340"/>
      <c r="K1181" s="497"/>
      <c r="L1181" s="535"/>
      <c r="M1181" s="595" t="str">
        <f>IF(Q1180&gt;0, Q1180, "")</f>
        <v/>
      </c>
      <c r="N1181" s="595">
        <f t="shared" si="168"/>
        <v>0.1181</v>
      </c>
      <c r="O1181" s="595" t="str">
        <f t="shared" si="169"/>
        <v/>
      </c>
      <c r="P1181" s="39"/>
    </row>
    <row r="1182" spans="1:16" x14ac:dyDescent="0.35">
      <c r="A1182" s="593" t="str">
        <f t="shared" si="173"/>
        <v/>
      </c>
      <c r="B1182" s="337"/>
      <c r="C1182" s="337"/>
      <c r="D1182" s="449" t="s">
        <v>1647</v>
      </c>
      <c r="E1182" s="451" t="s">
        <v>1920</v>
      </c>
      <c r="F1182" s="335">
        <v>80</v>
      </c>
      <c r="G1182" s="335" t="s">
        <v>73</v>
      </c>
      <c r="H1182" s="333"/>
      <c r="I1182" s="335" t="s">
        <v>73</v>
      </c>
      <c r="J1182" s="333"/>
      <c r="K1182" s="496"/>
      <c r="L1182" s="535"/>
      <c r="M1182" s="595" t="str">
        <f>IF(Q1180&gt;0, Q1180, "")</f>
        <v/>
      </c>
      <c r="N1182" s="595">
        <f t="shared" si="168"/>
        <v>0.1182</v>
      </c>
      <c r="O1182" s="595" t="str">
        <f t="shared" si="169"/>
        <v/>
      </c>
      <c r="P1182" s="39"/>
    </row>
    <row r="1183" spans="1:16" x14ac:dyDescent="0.35">
      <c r="A1183" s="593" t="str">
        <f t="shared" si="173"/>
        <v/>
      </c>
      <c r="B1183" s="330"/>
      <c r="C1183" s="330"/>
      <c r="D1183" s="447"/>
      <c r="E1183" s="455" t="s">
        <v>1921</v>
      </c>
      <c r="F1183" s="356">
        <v>1.5</v>
      </c>
      <c r="G1183" s="356" t="s">
        <v>73</v>
      </c>
      <c r="H1183" s="358"/>
      <c r="I1183" s="358"/>
      <c r="J1183" s="358"/>
      <c r="K1183" s="511"/>
      <c r="L1183" s="535"/>
      <c r="M1183" s="595" t="str">
        <f>IF(Q1180&gt;0, Q1180, "")</f>
        <v/>
      </c>
      <c r="N1183" s="595">
        <f t="shared" si="168"/>
        <v>0.1183</v>
      </c>
      <c r="O1183" s="595" t="str">
        <f t="shared" si="169"/>
        <v/>
      </c>
      <c r="P1183" s="39"/>
    </row>
    <row r="1184" spans="1:16" x14ac:dyDescent="0.35">
      <c r="A1184" s="593" t="str">
        <f t="shared" si="173"/>
        <v/>
      </c>
      <c r="B1184" s="337"/>
      <c r="C1184" s="337"/>
      <c r="D1184" s="417" t="s">
        <v>43</v>
      </c>
      <c r="E1184" s="456" t="s">
        <v>94</v>
      </c>
      <c r="F1184" s="22">
        <v>85</v>
      </c>
      <c r="G1184" s="457" t="s">
        <v>73</v>
      </c>
      <c r="H1184" s="333"/>
      <c r="I1184" s="335" t="s">
        <v>73</v>
      </c>
      <c r="J1184" s="333"/>
      <c r="K1184" s="496"/>
      <c r="L1184" s="535"/>
      <c r="M1184" s="595" t="str">
        <f>IF(Q1180&gt;0, Q1180, "")</f>
        <v/>
      </c>
      <c r="N1184" s="595">
        <f t="shared" si="168"/>
        <v>0.11840000000000001</v>
      </c>
      <c r="O1184" s="595" t="str">
        <f t="shared" si="169"/>
        <v/>
      </c>
      <c r="P1184" s="39"/>
    </row>
    <row r="1185" spans="1:16" x14ac:dyDescent="0.35">
      <c r="A1185" s="593" t="str">
        <f t="shared" si="173"/>
        <v/>
      </c>
      <c r="B1185" s="330"/>
      <c r="C1185" s="330"/>
      <c r="D1185" s="417" t="s">
        <v>42</v>
      </c>
      <c r="E1185" s="456" t="s">
        <v>95</v>
      </c>
      <c r="F1185" s="22">
        <v>15</v>
      </c>
      <c r="G1185" s="458" t="s">
        <v>73</v>
      </c>
      <c r="H1185" s="340"/>
      <c r="I1185" s="328" t="s">
        <v>73</v>
      </c>
      <c r="J1185" s="340"/>
      <c r="K1185" s="497"/>
      <c r="L1185" s="535"/>
      <c r="M1185" s="595" t="str">
        <f>IF(Q1180&gt;0, Q1180, "")</f>
        <v/>
      </c>
      <c r="N1185" s="595">
        <f t="shared" si="168"/>
        <v>0.11849999999999999</v>
      </c>
      <c r="O1185" s="595" t="str">
        <f t="shared" si="169"/>
        <v/>
      </c>
      <c r="P1185" s="39"/>
    </row>
    <row r="1186" spans="1:16" ht="15" thickBot="1" x14ac:dyDescent="0.4">
      <c r="A1186" s="545" t="str">
        <f t="shared" si="153"/>
        <v/>
      </c>
      <c r="B1186" s="546"/>
      <c r="C1186" s="546"/>
      <c r="D1186" s="546"/>
      <c r="E1186" s="546"/>
      <c r="F1186" s="579"/>
      <c r="G1186" s="546"/>
      <c r="H1186" s="546"/>
      <c r="I1186" s="546"/>
      <c r="J1186" s="546"/>
      <c r="K1186" s="676"/>
      <c r="L1186" s="535"/>
      <c r="M1186" s="552" t="str">
        <f t="shared" si="165"/>
        <v/>
      </c>
      <c r="N1186" s="552"/>
      <c r="O1186" s="552" t="str">
        <f t="shared" si="166"/>
        <v/>
      </c>
      <c r="P1186" s="39"/>
    </row>
    <row r="1187" spans="1:16" ht="15" thickTop="1" x14ac:dyDescent="0.35">
      <c r="A1187" s="565">
        <f>IFERROR(INDEX($Q$17:$Q$150,MATCH(B1187,$R$17:$R$150, 0)), "")</f>
        <v>0</v>
      </c>
      <c r="B1187" s="382" t="s">
        <v>1539</v>
      </c>
      <c r="C1187" s="325" t="s">
        <v>892</v>
      </c>
      <c r="D1187" s="347" t="s">
        <v>55</v>
      </c>
      <c r="E1187" s="327" t="s">
        <v>324</v>
      </c>
      <c r="F1187" s="328">
        <v>0.2</v>
      </c>
      <c r="G1187" s="328" t="s">
        <v>73</v>
      </c>
      <c r="H1187" s="328">
        <v>0.2</v>
      </c>
      <c r="I1187" s="328" t="s">
        <v>73</v>
      </c>
      <c r="J1187" s="330"/>
      <c r="K1187" s="681">
        <f>$A$1274*H1187</f>
        <v>6</v>
      </c>
      <c r="L1187" s="535"/>
      <c r="M1187" s="552" t="str">
        <f t="shared" si="165"/>
        <v/>
      </c>
      <c r="N1187" s="552"/>
      <c r="O1187" s="552" t="str">
        <f t="shared" si="166"/>
        <v/>
      </c>
      <c r="P1187" s="39"/>
    </row>
    <row r="1188" spans="1:16" ht="15" thickBot="1" x14ac:dyDescent="0.4">
      <c r="A1188" s="535" t="str">
        <f t="shared" si="153"/>
        <v/>
      </c>
      <c r="B1188" s="337"/>
      <c r="C1188" s="337"/>
      <c r="D1188" s="326" t="s">
        <v>63</v>
      </c>
      <c r="E1188" s="334" t="s">
        <v>893</v>
      </c>
      <c r="F1188" s="335">
        <v>100</v>
      </c>
      <c r="G1188" s="335" t="s">
        <v>73</v>
      </c>
      <c r="H1188" s="335">
        <v>100</v>
      </c>
      <c r="I1188" s="335" t="s">
        <v>73</v>
      </c>
      <c r="J1188" s="337"/>
      <c r="K1188" s="680">
        <f>$A$1274*H1188</f>
        <v>3000</v>
      </c>
      <c r="L1188" s="535"/>
      <c r="M1188" s="552" t="str">
        <f t="shared" si="165"/>
        <v/>
      </c>
      <c r="N1188" s="552"/>
      <c r="O1188" s="552" t="str">
        <f t="shared" si="166"/>
        <v/>
      </c>
      <c r="P1188" s="39"/>
    </row>
    <row r="1189" spans="1:16" ht="15.5" thickTop="1" thickBot="1" x14ac:dyDescent="0.4">
      <c r="A1189" s="545" t="str">
        <f t="shared" si="153"/>
        <v/>
      </c>
      <c r="B1189" s="546"/>
      <c r="C1189" s="546"/>
      <c r="D1189" s="547"/>
      <c r="E1189" s="546"/>
      <c r="F1189" s="546"/>
      <c r="G1189" s="546"/>
      <c r="H1189" s="546"/>
      <c r="I1189" s="546"/>
      <c r="J1189" s="546"/>
      <c r="K1189" s="676"/>
      <c r="L1189" s="535"/>
      <c r="M1189" s="552" t="str">
        <f t="shared" si="165"/>
        <v/>
      </c>
      <c r="N1189" s="552"/>
      <c r="O1189" s="552" t="str">
        <f t="shared" si="166"/>
        <v/>
      </c>
      <c r="P1189" s="39"/>
    </row>
    <row r="1190" spans="1:16" ht="15" thickTop="1" x14ac:dyDescent="0.35">
      <c r="A1190" s="565">
        <f>IFERROR(INDEX($Q$17:$Q$150,MATCH(B1190,$R$17:$R$150, 0)), "")</f>
        <v>62</v>
      </c>
      <c r="B1190" s="382" t="s">
        <v>1341</v>
      </c>
      <c r="C1190" s="325" t="s">
        <v>894</v>
      </c>
      <c r="D1190" s="347" t="s">
        <v>167</v>
      </c>
      <c r="E1190" s="334" t="s">
        <v>168</v>
      </c>
      <c r="F1190" s="18">
        <v>22</v>
      </c>
      <c r="G1190" s="335" t="s">
        <v>73</v>
      </c>
      <c r="H1190" s="335">
        <v>22</v>
      </c>
      <c r="I1190" s="335" t="s">
        <v>73</v>
      </c>
      <c r="J1190" s="337"/>
      <c r="K1190" s="680">
        <f>$A$1190*H1190</f>
        <v>1364</v>
      </c>
      <c r="L1190" s="535"/>
      <c r="M1190" s="552" t="str">
        <f t="shared" si="165"/>
        <v/>
      </c>
      <c r="N1190" s="552"/>
      <c r="O1190" s="552" t="str">
        <f t="shared" si="166"/>
        <v/>
      </c>
      <c r="P1190" s="39"/>
    </row>
    <row r="1191" spans="1:16" x14ac:dyDescent="0.35">
      <c r="A1191" s="535" t="str">
        <f t="shared" si="153"/>
        <v/>
      </c>
      <c r="B1191" s="330"/>
      <c r="C1191" s="330"/>
      <c r="D1191" s="355"/>
      <c r="E1191" s="355" t="s">
        <v>895</v>
      </c>
      <c r="F1191" s="378">
        <v>1</v>
      </c>
      <c r="G1191" s="356" t="s">
        <v>735</v>
      </c>
      <c r="H1191" s="356"/>
      <c r="I1191" s="356"/>
      <c r="J1191" s="515"/>
      <c r="K1191" s="684"/>
      <c r="L1191" s="535"/>
      <c r="M1191" s="552" t="str">
        <f t="shared" si="165"/>
        <v/>
      </c>
      <c r="N1191" s="552"/>
      <c r="O1191" s="552" t="str">
        <f t="shared" si="166"/>
        <v/>
      </c>
      <c r="P1191" s="39"/>
    </row>
    <row r="1192" spans="1:16" x14ac:dyDescent="0.35">
      <c r="A1192" s="535" t="str">
        <f t="shared" si="153"/>
        <v/>
      </c>
      <c r="B1192" s="337"/>
      <c r="C1192" s="337"/>
      <c r="D1192" s="326" t="s">
        <v>521</v>
      </c>
      <c r="E1192" s="360" t="s">
        <v>522</v>
      </c>
      <c r="F1192" s="18">
        <v>65</v>
      </c>
      <c r="G1192" s="335" t="s">
        <v>73</v>
      </c>
      <c r="H1192" s="335">
        <v>65</v>
      </c>
      <c r="I1192" s="335" t="s">
        <v>73</v>
      </c>
      <c r="J1192" s="337"/>
      <c r="K1192" s="680">
        <f t="shared" ref="K1192:K1229" si="174">$A$1190*H1192</f>
        <v>4030</v>
      </c>
      <c r="L1192" s="535"/>
      <c r="M1192" s="552" t="str">
        <f t="shared" si="165"/>
        <v/>
      </c>
      <c r="N1192" s="552"/>
      <c r="O1192" s="552" t="str">
        <f t="shared" si="166"/>
        <v/>
      </c>
      <c r="P1192" s="39"/>
    </row>
    <row r="1193" spans="1:16" x14ac:dyDescent="0.35">
      <c r="A1193" s="535" t="str">
        <f t="shared" si="153"/>
        <v/>
      </c>
      <c r="B1193" s="330"/>
      <c r="C1193" s="330"/>
      <c r="D1193" s="326" t="s">
        <v>505</v>
      </c>
      <c r="E1193" s="327" t="s">
        <v>896</v>
      </c>
      <c r="F1193" s="22">
        <v>0.5</v>
      </c>
      <c r="G1193" s="328" t="s">
        <v>73</v>
      </c>
      <c r="H1193" s="328">
        <v>0.5</v>
      </c>
      <c r="I1193" s="328" t="s">
        <v>73</v>
      </c>
      <c r="J1193" s="330"/>
      <c r="K1193" s="681">
        <f t="shared" si="174"/>
        <v>31</v>
      </c>
      <c r="L1193" s="535"/>
      <c r="M1193" s="552" t="str">
        <f t="shared" si="165"/>
        <v/>
      </c>
      <c r="N1193" s="552"/>
      <c r="O1193" s="552" t="str">
        <f t="shared" si="166"/>
        <v/>
      </c>
      <c r="P1193" s="39"/>
    </row>
    <row r="1194" spans="1:16" x14ac:dyDescent="0.35">
      <c r="A1194" s="535" t="str">
        <f t="shared" si="153"/>
        <v/>
      </c>
      <c r="B1194" s="337"/>
      <c r="C1194" s="337"/>
      <c r="D1194" s="355"/>
      <c r="E1194" s="355" t="s">
        <v>897</v>
      </c>
      <c r="F1194" s="378">
        <v>180</v>
      </c>
      <c r="G1194" s="356" t="s">
        <v>73</v>
      </c>
      <c r="H1194" s="515"/>
      <c r="I1194" s="356"/>
      <c r="J1194" s="515"/>
      <c r="K1194" s="684"/>
      <c r="L1194" s="535"/>
      <c r="M1194" s="552" t="str">
        <f t="shared" si="165"/>
        <v/>
      </c>
      <c r="N1194" s="552"/>
      <c r="O1194" s="552" t="str">
        <f t="shared" si="166"/>
        <v/>
      </c>
      <c r="P1194" s="39"/>
    </row>
    <row r="1195" spans="1:16" x14ac:dyDescent="0.35">
      <c r="A1195" s="535" t="str">
        <f t="shared" si="153"/>
        <v/>
      </c>
      <c r="B1195" s="330"/>
      <c r="C1195" s="330"/>
      <c r="D1195" s="355"/>
      <c r="E1195" s="567" t="s">
        <v>754</v>
      </c>
      <c r="F1195" s="356">
        <v>2100</v>
      </c>
      <c r="G1195" s="378" t="s">
        <v>73</v>
      </c>
      <c r="H1195" s="515"/>
      <c r="I1195" s="356"/>
      <c r="J1195" s="515"/>
      <c r="K1195" s="684"/>
      <c r="L1195" s="535"/>
      <c r="M1195" s="552" t="str">
        <f t="shared" si="165"/>
        <v/>
      </c>
      <c r="N1195" s="552"/>
      <c r="O1195" s="552" t="str">
        <f t="shared" si="166"/>
        <v/>
      </c>
      <c r="P1195" s="39"/>
    </row>
    <row r="1196" spans="1:16" x14ac:dyDescent="0.35">
      <c r="A1196" s="535" t="str">
        <f t="shared" si="153"/>
        <v/>
      </c>
      <c r="B1196" s="337"/>
      <c r="C1196" s="337"/>
      <c r="D1196" s="571"/>
      <c r="E1196" s="656" t="s">
        <v>81</v>
      </c>
      <c r="F1196" s="493">
        <v>1300</v>
      </c>
      <c r="G1196" s="493" t="s">
        <v>73</v>
      </c>
      <c r="H1196" s="466">
        <f>ROUND(($F$1194)*((F1196)/($F$1196+$F$1197+$F$1198)),2)</f>
        <v>101.74</v>
      </c>
      <c r="I1196" s="466"/>
      <c r="J1196" s="573"/>
      <c r="K1196" s="693"/>
      <c r="L1196" s="535"/>
      <c r="M1196" s="552" t="str">
        <f t="shared" si="165"/>
        <v/>
      </c>
      <c r="N1196" s="552"/>
      <c r="O1196" s="552" t="str">
        <f t="shared" si="166"/>
        <v/>
      </c>
      <c r="P1196" s="39"/>
    </row>
    <row r="1197" spans="1:16" x14ac:dyDescent="0.35">
      <c r="A1197" s="535" t="str">
        <f t="shared" si="153"/>
        <v/>
      </c>
      <c r="B1197" s="330"/>
      <c r="C1197" s="330"/>
      <c r="D1197" s="326" t="s">
        <v>1660</v>
      </c>
      <c r="E1197" s="495" t="s">
        <v>1897</v>
      </c>
      <c r="F1197" s="22">
        <v>1000</v>
      </c>
      <c r="G1197" s="22" t="s">
        <v>73</v>
      </c>
      <c r="H1197" s="328">
        <f t="shared" ref="H1197:H1198" si="175">ROUND(($F$1194)*((F1197)/($F$1196+$F$1197+$F$1198)),2)</f>
        <v>78.260000000000005</v>
      </c>
      <c r="I1197" s="328" t="s">
        <v>73</v>
      </c>
      <c r="J1197" s="330"/>
      <c r="K1197" s="681">
        <f t="shared" si="174"/>
        <v>4852.12</v>
      </c>
      <c r="L1197" s="535"/>
      <c r="M1197" s="552" t="str">
        <f t="shared" si="165"/>
        <v/>
      </c>
      <c r="N1197" s="552"/>
      <c r="O1197" s="552" t="str">
        <f t="shared" si="166"/>
        <v/>
      </c>
      <c r="P1197" s="39"/>
    </row>
    <row r="1198" spans="1:16" x14ac:dyDescent="0.35">
      <c r="A1198" s="535" t="str">
        <f t="shared" si="153"/>
        <v/>
      </c>
      <c r="B1198" s="337"/>
      <c r="C1198" s="337"/>
      <c r="D1198" s="326"/>
      <c r="E1198" s="560" t="s">
        <v>753</v>
      </c>
      <c r="F1198" s="18">
        <v>0</v>
      </c>
      <c r="G1198" s="18" t="s">
        <v>73</v>
      </c>
      <c r="H1198" s="335">
        <f t="shared" si="175"/>
        <v>0</v>
      </c>
      <c r="I1198" s="335" t="s">
        <v>73</v>
      </c>
      <c r="J1198" s="337"/>
      <c r="K1198" s="680">
        <f t="shared" si="174"/>
        <v>0</v>
      </c>
      <c r="L1198" s="535"/>
      <c r="M1198" s="552" t="str">
        <f t="shared" ref="M1198:M1261" si="176">IF(Q1198&gt;0, Q1198, "")</f>
        <v/>
      </c>
      <c r="N1198" s="552"/>
      <c r="O1198" s="552" t="str">
        <f t="shared" ref="O1198:O1261" si="177">IF(V1199&gt;0, V1199, "")</f>
        <v/>
      </c>
      <c r="P1198" s="39"/>
    </row>
    <row r="1199" spans="1:16" x14ac:dyDescent="0.35">
      <c r="A1199" s="535" t="str">
        <f t="shared" si="153"/>
        <v/>
      </c>
      <c r="B1199" s="330"/>
      <c r="C1199" s="330"/>
      <c r="D1199" s="355"/>
      <c r="E1199" s="355" t="s">
        <v>898</v>
      </c>
      <c r="F1199" s="378">
        <v>70</v>
      </c>
      <c r="G1199" s="378" t="s">
        <v>73</v>
      </c>
      <c r="H1199" s="515"/>
      <c r="I1199" s="356"/>
      <c r="J1199" s="515"/>
      <c r="K1199" s="684"/>
      <c r="L1199" s="535"/>
      <c r="M1199" s="552" t="str">
        <f t="shared" si="176"/>
        <v/>
      </c>
      <c r="N1199" s="552"/>
      <c r="O1199" s="552" t="str">
        <f t="shared" si="177"/>
        <v/>
      </c>
      <c r="P1199" s="39"/>
    </row>
    <row r="1200" spans="1:16" x14ac:dyDescent="0.35">
      <c r="A1200" s="535" t="str">
        <f t="shared" si="153"/>
        <v/>
      </c>
      <c r="B1200" s="337"/>
      <c r="C1200" s="337"/>
      <c r="D1200" s="326" t="s">
        <v>63</v>
      </c>
      <c r="E1200" s="360" t="s">
        <v>788</v>
      </c>
      <c r="F1200" s="18">
        <v>100</v>
      </c>
      <c r="G1200" s="458" t="s">
        <v>73</v>
      </c>
      <c r="H1200" s="335">
        <f>ROUND(($F$1199)*((F1200)/($F$1200+$F$1201+$F$1202)),2)</f>
        <v>45.75</v>
      </c>
      <c r="I1200" s="335" t="s">
        <v>73</v>
      </c>
      <c r="J1200" s="337"/>
      <c r="K1200" s="680">
        <f>$A$1190*((H1200)+(H1200*0.2))</f>
        <v>3403.7999999999997</v>
      </c>
      <c r="L1200" s="535"/>
      <c r="M1200" s="552" t="str">
        <f t="shared" si="176"/>
        <v/>
      </c>
      <c r="N1200" s="552"/>
      <c r="O1200" s="552" t="str">
        <f t="shared" si="177"/>
        <v/>
      </c>
      <c r="P1200" s="39"/>
    </row>
    <row r="1201" spans="1:16" x14ac:dyDescent="0.35">
      <c r="A1201" s="535" t="str">
        <f t="shared" si="153"/>
        <v/>
      </c>
      <c r="B1201" s="330"/>
      <c r="C1201" s="330"/>
      <c r="D1201" s="326" t="s">
        <v>129</v>
      </c>
      <c r="E1201" s="366" t="s">
        <v>789</v>
      </c>
      <c r="F1201" s="22">
        <v>50</v>
      </c>
      <c r="G1201" s="22" t="s">
        <v>73</v>
      </c>
      <c r="H1201" s="328">
        <f t="shared" ref="H1201:H1202" si="178">ROUND(($F$1199)*((F1201)/($F$1200+$F$1201+$F$1202)),2)</f>
        <v>22.88</v>
      </c>
      <c r="I1201" s="328" t="s">
        <v>73</v>
      </c>
      <c r="J1201" s="330"/>
      <c r="K1201" s="681">
        <f t="shared" si="174"/>
        <v>1418.56</v>
      </c>
      <c r="L1201" s="535"/>
      <c r="M1201" s="552" t="str">
        <f t="shared" si="176"/>
        <v/>
      </c>
      <c r="N1201" s="552"/>
      <c r="O1201" s="552" t="str">
        <f t="shared" si="177"/>
        <v/>
      </c>
      <c r="P1201" s="39"/>
    </row>
    <row r="1202" spans="1:16" x14ac:dyDescent="0.35">
      <c r="A1202" s="535" t="str">
        <f t="shared" si="153"/>
        <v/>
      </c>
      <c r="B1202" s="337"/>
      <c r="C1202" s="337"/>
      <c r="D1202" s="326" t="s">
        <v>517</v>
      </c>
      <c r="E1202" s="360" t="s">
        <v>724</v>
      </c>
      <c r="F1202" s="18">
        <v>3</v>
      </c>
      <c r="G1202" s="458" t="s">
        <v>73</v>
      </c>
      <c r="H1202" s="335">
        <f t="shared" si="178"/>
        <v>1.37</v>
      </c>
      <c r="I1202" s="335" t="s">
        <v>73</v>
      </c>
      <c r="J1202" s="337"/>
      <c r="K1202" s="680">
        <f t="shared" si="174"/>
        <v>84.940000000000012</v>
      </c>
      <c r="L1202" s="535"/>
      <c r="M1202" s="552" t="str">
        <f t="shared" si="176"/>
        <v/>
      </c>
      <c r="N1202" s="552"/>
      <c r="O1202" s="552" t="str">
        <f t="shared" si="177"/>
        <v/>
      </c>
      <c r="P1202" s="39"/>
    </row>
    <row r="1203" spans="1:16" x14ac:dyDescent="0.35">
      <c r="A1203" s="535" t="str">
        <f t="shared" si="153"/>
        <v/>
      </c>
      <c r="B1203" s="330"/>
      <c r="C1203" s="330"/>
      <c r="D1203" s="355"/>
      <c r="E1203" s="549" t="s">
        <v>759</v>
      </c>
      <c r="F1203" s="378">
        <v>20</v>
      </c>
      <c r="G1203" s="378" t="s">
        <v>73</v>
      </c>
      <c r="H1203" s="515"/>
      <c r="I1203" s="356"/>
      <c r="J1203" s="515"/>
      <c r="K1203" s="684"/>
      <c r="L1203" s="535"/>
      <c r="M1203" s="552" t="str">
        <f t="shared" si="176"/>
        <v/>
      </c>
      <c r="N1203" s="552"/>
      <c r="O1203" s="552" t="str">
        <f t="shared" si="177"/>
        <v/>
      </c>
      <c r="P1203" s="39"/>
    </row>
    <row r="1204" spans="1:16" x14ac:dyDescent="0.35">
      <c r="A1204" s="535" t="str">
        <f t="shared" si="153"/>
        <v/>
      </c>
      <c r="B1204" s="337"/>
      <c r="C1204" s="337"/>
      <c r="D1204" s="571"/>
      <c r="E1204" s="572" t="s">
        <v>81</v>
      </c>
      <c r="F1204" s="493">
        <v>1000</v>
      </c>
      <c r="G1204" s="493" t="s">
        <v>73</v>
      </c>
      <c r="H1204" s="573"/>
      <c r="I1204" s="466"/>
      <c r="J1204" s="573"/>
      <c r="K1204" s="693"/>
      <c r="L1204" s="535"/>
      <c r="M1204" s="552" t="str">
        <f t="shared" si="176"/>
        <v/>
      </c>
      <c r="N1204" s="552"/>
      <c r="O1204" s="552" t="str">
        <f t="shared" si="177"/>
        <v/>
      </c>
      <c r="P1204" s="39"/>
    </row>
    <row r="1205" spans="1:16" x14ac:dyDescent="0.35">
      <c r="A1205" s="535" t="str">
        <f t="shared" si="153"/>
        <v/>
      </c>
      <c r="B1205" s="330"/>
      <c r="C1205" s="330"/>
      <c r="D1205" s="326" t="s">
        <v>43</v>
      </c>
      <c r="E1205" s="366" t="s">
        <v>105</v>
      </c>
      <c r="F1205" s="22">
        <v>10</v>
      </c>
      <c r="G1205" s="22" t="s">
        <v>73</v>
      </c>
      <c r="H1205" s="328">
        <f>ROUND(($F$1203)*((F1205)/($F$1205+$F$1206+$F$1207)),2)</f>
        <v>0.19</v>
      </c>
      <c r="I1205" s="328" t="s">
        <v>73</v>
      </c>
      <c r="J1205" s="330"/>
      <c r="K1205" s="681">
        <f t="shared" si="174"/>
        <v>11.78</v>
      </c>
      <c r="L1205" s="535"/>
      <c r="M1205" s="552" t="str">
        <f t="shared" si="176"/>
        <v/>
      </c>
      <c r="N1205" s="552"/>
      <c r="O1205" s="552" t="str">
        <f t="shared" si="177"/>
        <v/>
      </c>
      <c r="P1205" s="39"/>
    </row>
    <row r="1206" spans="1:16" x14ac:dyDescent="0.35">
      <c r="A1206" s="535" t="str">
        <f t="shared" si="153"/>
        <v/>
      </c>
      <c r="B1206" s="337"/>
      <c r="C1206" s="337"/>
      <c r="D1206" s="326" t="s">
        <v>41</v>
      </c>
      <c r="E1206" s="360" t="s">
        <v>760</v>
      </c>
      <c r="F1206" s="18">
        <v>25</v>
      </c>
      <c r="G1206" s="18" t="s">
        <v>73</v>
      </c>
      <c r="H1206" s="335">
        <f t="shared" ref="H1206:H1207" si="179">ROUND(($F$1203)*((F1206)/($F$1205+$F$1206+$F$1207)),2)</f>
        <v>0.48</v>
      </c>
      <c r="I1206" s="335" t="s">
        <v>73</v>
      </c>
      <c r="J1206" s="337"/>
      <c r="K1206" s="680">
        <f t="shared" si="174"/>
        <v>29.759999999999998</v>
      </c>
      <c r="L1206" s="535"/>
      <c r="M1206" s="552" t="str">
        <f t="shared" si="176"/>
        <v/>
      </c>
      <c r="N1206" s="552"/>
      <c r="O1206" s="552" t="str">
        <f t="shared" si="177"/>
        <v/>
      </c>
      <c r="P1206" s="39"/>
    </row>
    <row r="1207" spans="1:16" x14ac:dyDescent="0.35">
      <c r="A1207" s="535" t="str">
        <f t="shared" ref="A1207:A1266" si="180">IFERROR(INDEX($Q$17:$Q$41,MATCH(B1207,$R$17:$R$41, 0)), "")</f>
        <v/>
      </c>
      <c r="B1207" s="330"/>
      <c r="C1207" s="330"/>
      <c r="D1207" s="326" t="s">
        <v>371</v>
      </c>
      <c r="E1207" s="366" t="s">
        <v>761</v>
      </c>
      <c r="F1207" s="22">
        <v>1000</v>
      </c>
      <c r="G1207" s="22" t="s">
        <v>73</v>
      </c>
      <c r="H1207" s="328">
        <f t="shared" si="179"/>
        <v>19.32</v>
      </c>
      <c r="I1207" s="328" t="s">
        <v>73</v>
      </c>
      <c r="J1207" s="330"/>
      <c r="K1207" s="681">
        <f t="shared" si="174"/>
        <v>1197.8399999999999</v>
      </c>
      <c r="L1207" s="535"/>
      <c r="M1207" s="552" t="str">
        <f t="shared" si="176"/>
        <v/>
      </c>
      <c r="N1207" s="552"/>
      <c r="O1207" s="552" t="str">
        <f t="shared" si="177"/>
        <v/>
      </c>
      <c r="P1207" s="39"/>
    </row>
    <row r="1208" spans="1:16" x14ac:dyDescent="0.35">
      <c r="A1208" s="535" t="str">
        <f t="shared" si="180"/>
        <v/>
      </c>
      <c r="B1208" s="337"/>
      <c r="C1208" s="337"/>
      <c r="D1208" s="355"/>
      <c r="E1208" s="549" t="s">
        <v>774</v>
      </c>
      <c r="F1208" s="378">
        <v>20</v>
      </c>
      <c r="G1208" s="378" t="s">
        <v>73</v>
      </c>
      <c r="H1208" s="515"/>
      <c r="I1208" s="356"/>
      <c r="J1208" s="515"/>
      <c r="K1208" s="684"/>
      <c r="L1208" s="535"/>
      <c r="M1208" s="552" t="str">
        <f t="shared" si="176"/>
        <v/>
      </c>
      <c r="N1208" s="552"/>
      <c r="O1208" s="552" t="str">
        <f t="shared" si="177"/>
        <v/>
      </c>
      <c r="P1208" s="39"/>
    </row>
    <row r="1209" spans="1:16" x14ac:dyDescent="0.35">
      <c r="A1209" s="535" t="str">
        <f t="shared" si="180"/>
        <v/>
      </c>
      <c r="B1209" s="330"/>
      <c r="C1209" s="330"/>
      <c r="D1209" s="571"/>
      <c r="E1209" s="572" t="s">
        <v>81</v>
      </c>
      <c r="F1209" s="493">
        <v>600</v>
      </c>
      <c r="G1209" s="493" t="s">
        <v>73</v>
      </c>
      <c r="H1209" s="573"/>
      <c r="I1209" s="466"/>
      <c r="J1209" s="573"/>
      <c r="K1209" s="693"/>
      <c r="L1209" s="535"/>
      <c r="M1209" s="552" t="str">
        <f t="shared" si="176"/>
        <v/>
      </c>
      <c r="N1209" s="552"/>
      <c r="O1209" s="552" t="str">
        <f t="shared" si="177"/>
        <v/>
      </c>
      <c r="P1209" s="39"/>
    </row>
    <row r="1210" spans="1:16" x14ac:dyDescent="0.35">
      <c r="A1210" s="535" t="str">
        <f t="shared" si="180"/>
        <v/>
      </c>
      <c r="B1210" s="337"/>
      <c r="C1210" s="337"/>
      <c r="D1210" s="326" t="s">
        <v>529</v>
      </c>
      <c r="E1210" s="360" t="s">
        <v>775</v>
      </c>
      <c r="F1210" s="18">
        <v>16</v>
      </c>
      <c r="G1210" s="18" t="s">
        <v>73</v>
      </c>
      <c r="H1210" s="335">
        <f>ROUND(($F$1208)*(($F$1210)/((($F$1212)*(($F$1214)/($F$1213+$F$1214)))+(($F$1212)*(($F$1213)/($F$1213+$F$1214)))+($F$1210)+($F$1211)+($F$1215))),2)</f>
        <v>1.01</v>
      </c>
      <c r="I1210" s="335" t="s">
        <v>73</v>
      </c>
      <c r="J1210" s="337"/>
      <c r="K1210" s="680">
        <f t="shared" si="174"/>
        <v>62.62</v>
      </c>
      <c r="L1210" s="535"/>
      <c r="M1210" s="552" t="str">
        <f t="shared" si="176"/>
        <v/>
      </c>
      <c r="N1210" s="552"/>
      <c r="O1210" s="552" t="str">
        <f t="shared" si="177"/>
        <v/>
      </c>
      <c r="P1210" s="39"/>
    </row>
    <row r="1211" spans="1:16" x14ac:dyDescent="0.35">
      <c r="A1211" s="535" t="str">
        <f t="shared" si="180"/>
        <v/>
      </c>
      <c r="B1211" s="330"/>
      <c r="C1211" s="330"/>
      <c r="D1211" s="326" t="s">
        <v>333</v>
      </c>
      <c r="E1211" s="366" t="s">
        <v>756</v>
      </c>
      <c r="F1211" s="22">
        <v>70</v>
      </c>
      <c r="G1211" s="22" t="s">
        <v>73</v>
      </c>
      <c r="H1211" s="328">
        <f>ROUND(($F$1208)*(($F$1211)/((($F$1212)*(($F$1214)/($F$1213+$F$1214)))+(($F$1212)*(($F$1213)/($F$1213+$F$1214)))+($F$1210)+($F$1211)+($F$1215))),2)</f>
        <v>4.43</v>
      </c>
      <c r="I1211" s="328" t="s">
        <v>73</v>
      </c>
      <c r="J1211" s="330"/>
      <c r="K1211" s="681">
        <f t="shared" si="174"/>
        <v>274.65999999999997</v>
      </c>
      <c r="L1211" s="535"/>
      <c r="M1211" s="552" t="str">
        <f t="shared" si="176"/>
        <v/>
      </c>
      <c r="N1211" s="552"/>
      <c r="O1211" s="552" t="str">
        <f t="shared" si="177"/>
        <v/>
      </c>
      <c r="P1211" s="39"/>
    </row>
    <row r="1212" spans="1:16" x14ac:dyDescent="0.35">
      <c r="A1212" s="535" t="str">
        <f t="shared" si="180"/>
        <v/>
      </c>
      <c r="B1212" s="337"/>
      <c r="C1212" s="337"/>
      <c r="D1212" s="355"/>
      <c r="E1212" s="567" t="s">
        <v>776</v>
      </c>
      <c r="F1212" s="378">
        <v>200</v>
      </c>
      <c r="G1212" s="378" t="s">
        <v>73</v>
      </c>
      <c r="H1212" s="356"/>
      <c r="I1212" s="356"/>
      <c r="J1212" s="515"/>
      <c r="K1212" s="684"/>
      <c r="L1212" s="535"/>
      <c r="M1212" s="552" t="str">
        <f t="shared" si="176"/>
        <v/>
      </c>
      <c r="N1212" s="552"/>
      <c r="O1212" s="552" t="str">
        <f t="shared" si="177"/>
        <v/>
      </c>
      <c r="P1212" s="39"/>
    </row>
    <row r="1213" spans="1:16" x14ac:dyDescent="0.35">
      <c r="A1213" s="535" t="str">
        <f t="shared" si="180"/>
        <v/>
      </c>
      <c r="B1213" s="330"/>
      <c r="C1213" s="330"/>
      <c r="D1213" s="326" t="s">
        <v>377</v>
      </c>
      <c r="E1213" s="495" t="s">
        <v>777</v>
      </c>
      <c r="F1213" s="22">
        <v>500</v>
      </c>
      <c r="G1213" s="22" t="s">
        <v>73</v>
      </c>
      <c r="H1213" s="328">
        <f>ROUND(($F$1208)*((($F$1212)*(($F$1213)/($F$1213+$F$1214)))
/((($F$1212)*(($F$1214)/($F$1213+$F$1214)))+(($F$1212)*(($F$1213)/($F$1213+$F$1214)))+($F$1210)+($F$1211)+($F$1215))),2)</f>
        <v>12.41</v>
      </c>
      <c r="I1213" s="328" t="s">
        <v>73</v>
      </c>
      <c r="J1213" s="330"/>
      <c r="K1213" s="681">
        <f t="shared" si="174"/>
        <v>769.42</v>
      </c>
      <c r="L1213" s="535"/>
      <c r="M1213" s="552" t="str">
        <f t="shared" si="176"/>
        <v/>
      </c>
      <c r="N1213" s="552"/>
      <c r="O1213" s="552" t="str">
        <f t="shared" si="177"/>
        <v/>
      </c>
      <c r="P1213" s="39"/>
    </row>
    <row r="1214" spans="1:16" x14ac:dyDescent="0.35">
      <c r="A1214" s="535" t="str">
        <f t="shared" si="180"/>
        <v/>
      </c>
      <c r="B1214" s="337"/>
      <c r="C1214" s="337"/>
      <c r="D1214" s="326" t="s">
        <v>43</v>
      </c>
      <c r="E1214" s="560" t="s">
        <v>105</v>
      </c>
      <c r="F1214" s="18">
        <v>10</v>
      </c>
      <c r="G1214" s="18" t="s">
        <v>73</v>
      </c>
      <c r="H1214" s="335">
        <f>ROUND(($F$1208)*((($F$1212)*(($F$1214)/($F$1213+$F$1214)))
/((($F$1212)*(($F$1214)/($F$1213+$F$1214)))+(($F$1212)*(($F$1213)/($F$1213+$F$1214)))+($F$1210)+($F$1211)+($F$1215))),2)</f>
        <v>0.25</v>
      </c>
      <c r="I1214" s="335" t="s">
        <v>73</v>
      </c>
      <c r="J1214" s="337"/>
      <c r="K1214" s="680">
        <f t="shared" si="174"/>
        <v>15.5</v>
      </c>
      <c r="L1214" s="535"/>
      <c r="M1214" s="552" t="str">
        <f t="shared" si="176"/>
        <v/>
      </c>
      <c r="N1214" s="552"/>
      <c r="O1214" s="552" t="str">
        <f t="shared" si="177"/>
        <v/>
      </c>
      <c r="P1214" s="39"/>
    </row>
    <row r="1215" spans="1:16" x14ac:dyDescent="0.35">
      <c r="A1215" s="535" t="str">
        <f t="shared" si="180"/>
        <v/>
      </c>
      <c r="B1215" s="330"/>
      <c r="C1215" s="330"/>
      <c r="D1215" s="326" t="s">
        <v>389</v>
      </c>
      <c r="E1215" s="366" t="s">
        <v>778</v>
      </c>
      <c r="F1215" s="22">
        <v>30</v>
      </c>
      <c r="G1215" s="22" t="s">
        <v>73</v>
      </c>
      <c r="H1215" s="328">
        <f>ROUND(($F$1208)*(($F$1215)/((($F$1212)*(($F$1214)/($F$1213+$F$1214)))+(($F$1212)*(($F$1213)/($F$1213+$F$1214)))+($F$1210)+($F$1211)+($F$1215))),2)</f>
        <v>1.9</v>
      </c>
      <c r="I1215" s="328" t="s">
        <v>73</v>
      </c>
      <c r="J1215" s="330"/>
      <c r="K1215" s="681">
        <f t="shared" si="174"/>
        <v>117.8</v>
      </c>
      <c r="L1215" s="535"/>
      <c r="M1215" s="552" t="str">
        <f t="shared" si="176"/>
        <v/>
      </c>
      <c r="N1215" s="552"/>
      <c r="O1215" s="552" t="str">
        <f t="shared" si="177"/>
        <v/>
      </c>
      <c r="P1215" s="39"/>
    </row>
    <row r="1216" spans="1:16" x14ac:dyDescent="0.35">
      <c r="A1216" s="535" t="str">
        <f t="shared" si="180"/>
        <v/>
      </c>
      <c r="B1216" s="337"/>
      <c r="C1216" s="337"/>
      <c r="D1216" s="355"/>
      <c r="E1216" s="355" t="s">
        <v>899</v>
      </c>
      <c r="F1216" s="378">
        <v>30</v>
      </c>
      <c r="G1216" s="378" t="s">
        <v>73</v>
      </c>
      <c r="H1216" s="356"/>
      <c r="I1216" s="356"/>
      <c r="J1216" s="515"/>
      <c r="K1216" s="684"/>
      <c r="L1216" s="535"/>
      <c r="M1216" s="552" t="str">
        <f t="shared" si="176"/>
        <v/>
      </c>
      <c r="N1216" s="552"/>
      <c r="O1216" s="552" t="str">
        <f t="shared" si="177"/>
        <v/>
      </c>
      <c r="P1216" s="39"/>
    </row>
    <row r="1217" spans="1:16" x14ac:dyDescent="0.35">
      <c r="A1217" s="535" t="str">
        <f t="shared" si="180"/>
        <v/>
      </c>
      <c r="B1217" s="330"/>
      <c r="C1217" s="330"/>
      <c r="D1217" s="326" t="s">
        <v>375</v>
      </c>
      <c r="E1217" s="366" t="s">
        <v>900</v>
      </c>
      <c r="F1217" s="22">
        <v>1000</v>
      </c>
      <c r="G1217" s="22" t="s">
        <v>73</v>
      </c>
      <c r="H1217" s="328">
        <f>ROUND(($F$1216)*(($F$1217)/((($F$1219)*(($F$1220)/($F$1220+$F$1221)))+(($F$1219)*(($F$1221)/($F$1220+$F$1221)))+($F$1217)+($F$1218))),2)</f>
        <v>29.93</v>
      </c>
      <c r="I1217" s="328" t="s">
        <v>73</v>
      </c>
      <c r="J1217" s="330"/>
      <c r="K1217" s="681">
        <f t="shared" si="174"/>
        <v>1855.66</v>
      </c>
      <c r="L1217" s="535"/>
      <c r="M1217" s="552" t="str">
        <f t="shared" si="176"/>
        <v/>
      </c>
      <c r="N1217" s="552"/>
      <c r="O1217" s="552" t="str">
        <f t="shared" si="177"/>
        <v/>
      </c>
      <c r="P1217" s="39"/>
    </row>
    <row r="1218" spans="1:16" x14ac:dyDescent="0.35">
      <c r="A1218" s="535" t="str">
        <f t="shared" si="180"/>
        <v/>
      </c>
      <c r="B1218" s="337"/>
      <c r="C1218" s="337"/>
      <c r="D1218" s="326" t="s">
        <v>47</v>
      </c>
      <c r="E1218" s="360" t="s">
        <v>838</v>
      </c>
      <c r="F1218" s="18">
        <v>1.5</v>
      </c>
      <c r="G1218" s="18" t="s">
        <v>73</v>
      </c>
      <c r="H1218" s="335">
        <f>ROUND(($F$1216)*(($F$1218)/((($F$1219)*(($F$1220)/($F$1220+$F$1221)))+(($F$1219)*(($F$1221)/($F$1220+$F$1221)))+($F$1217)+($F$1218))),2)</f>
        <v>0.04</v>
      </c>
      <c r="I1218" s="335" t="s">
        <v>73</v>
      </c>
      <c r="J1218" s="337"/>
      <c r="K1218" s="680">
        <f t="shared" si="174"/>
        <v>2.48</v>
      </c>
      <c r="L1218" s="535"/>
      <c r="M1218" s="552" t="str">
        <f t="shared" si="176"/>
        <v/>
      </c>
      <c r="N1218" s="552"/>
      <c r="O1218" s="552" t="str">
        <f t="shared" si="177"/>
        <v/>
      </c>
      <c r="P1218" s="39"/>
    </row>
    <row r="1219" spans="1:16" x14ac:dyDescent="0.35">
      <c r="A1219" s="535" t="str">
        <f t="shared" si="180"/>
        <v/>
      </c>
      <c r="B1219" s="330"/>
      <c r="C1219" s="330"/>
      <c r="D1219" s="355"/>
      <c r="E1219" s="567" t="s">
        <v>726</v>
      </c>
      <c r="F1219" s="378">
        <v>0.7</v>
      </c>
      <c r="G1219" s="378" t="s">
        <v>73</v>
      </c>
      <c r="H1219" s="356"/>
      <c r="I1219" s="356"/>
      <c r="J1219" s="515"/>
      <c r="K1219" s="684"/>
      <c r="L1219" s="535"/>
      <c r="M1219" s="552" t="str">
        <f t="shared" si="176"/>
        <v/>
      </c>
      <c r="N1219" s="552"/>
      <c r="O1219" s="552" t="str">
        <f t="shared" si="177"/>
        <v/>
      </c>
      <c r="P1219" s="39"/>
    </row>
    <row r="1220" spans="1:16" x14ac:dyDescent="0.35">
      <c r="A1220" s="535" t="str">
        <f t="shared" si="180"/>
        <v/>
      </c>
      <c r="B1220" s="337"/>
      <c r="C1220" s="337"/>
      <c r="D1220" s="326" t="s">
        <v>42</v>
      </c>
      <c r="E1220" s="560" t="s">
        <v>95</v>
      </c>
      <c r="F1220" s="18">
        <v>15</v>
      </c>
      <c r="G1220" s="18" t="s">
        <v>73</v>
      </c>
      <c r="H1220" s="335">
        <f>ROUND(($F$1216)*((($F$1219)*(($F$1220)/($F$1220+$F$1221)))
/((($F$1219)*(($F$1220)/($F$1220+$F$1221)))+(($F$1219)*(($F$1221)/($F$1220+$F$1221)))+($F$1217)+($F$1218))),4)</f>
        <v>3.0999999999999999E-3</v>
      </c>
      <c r="I1220" s="335" t="s">
        <v>73</v>
      </c>
      <c r="J1220" s="337"/>
      <c r="K1220" s="680">
        <f t="shared" si="174"/>
        <v>0.19219999999999998</v>
      </c>
      <c r="L1220" s="535"/>
      <c r="M1220" s="552" t="str">
        <f t="shared" si="176"/>
        <v/>
      </c>
      <c r="N1220" s="552"/>
      <c r="O1220" s="552" t="str">
        <f t="shared" si="177"/>
        <v/>
      </c>
      <c r="P1220" s="39"/>
    </row>
    <row r="1221" spans="1:16" x14ac:dyDescent="0.35">
      <c r="A1221" s="535" t="str">
        <f t="shared" si="180"/>
        <v/>
      </c>
      <c r="B1221" s="330"/>
      <c r="C1221" s="330"/>
      <c r="D1221" s="326" t="s">
        <v>43</v>
      </c>
      <c r="E1221" s="495" t="s">
        <v>105</v>
      </c>
      <c r="F1221" s="22">
        <v>85</v>
      </c>
      <c r="G1221" s="22" t="s">
        <v>73</v>
      </c>
      <c r="H1221" s="328">
        <f>ROUND(($F$1216)*((($F$1219)*(($F$1221)/($F$1220+$F$1221)))
/((($F$1219)*(($F$1220)/($F$1220+$F$1221)))+(($F$1219)*(($F$1221)/($F$1220+$F$1221)))+($F$1217)+($F$1218))),2)</f>
        <v>0.02</v>
      </c>
      <c r="I1221" s="328" t="s">
        <v>73</v>
      </c>
      <c r="J1221" s="330"/>
      <c r="K1221" s="681">
        <f t="shared" si="174"/>
        <v>1.24</v>
      </c>
      <c r="L1221" s="535"/>
      <c r="M1221" s="552" t="str">
        <f t="shared" si="176"/>
        <v/>
      </c>
      <c r="N1221" s="552"/>
      <c r="O1221" s="552" t="str">
        <f t="shared" si="177"/>
        <v/>
      </c>
      <c r="P1221" s="39"/>
    </row>
    <row r="1222" spans="1:16" x14ac:dyDescent="0.35">
      <c r="A1222" s="535" t="str">
        <f t="shared" si="180"/>
        <v/>
      </c>
      <c r="B1222" s="337"/>
      <c r="C1222" s="337"/>
      <c r="D1222" s="355"/>
      <c r="E1222" s="355" t="s">
        <v>903</v>
      </c>
      <c r="F1222" s="378">
        <v>30</v>
      </c>
      <c r="G1222" s="356" t="s">
        <v>73</v>
      </c>
      <c r="H1222" s="515"/>
      <c r="I1222" s="356"/>
      <c r="J1222" s="515"/>
      <c r="K1222" s="684"/>
      <c r="L1222" s="535"/>
      <c r="M1222" s="552" t="str">
        <f t="shared" si="176"/>
        <v/>
      </c>
      <c r="N1222" s="552"/>
      <c r="O1222" s="552" t="str">
        <f t="shared" si="177"/>
        <v/>
      </c>
      <c r="P1222" s="39"/>
    </row>
    <row r="1223" spans="1:16" x14ac:dyDescent="0.35">
      <c r="A1223" s="535" t="str">
        <f t="shared" si="180"/>
        <v/>
      </c>
      <c r="B1223" s="330"/>
      <c r="C1223" s="330"/>
      <c r="D1223" s="326" t="s">
        <v>39</v>
      </c>
      <c r="E1223" s="366" t="s">
        <v>103</v>
      </c>
      <c r="F1223" s="22">
        <v>1000</v>
      </c>
      <c r="G1223" s="328" t="s">
        <v>73</v>
      </c>
      <c r="H1223" s="328">
        <f>ROUND(($F$1222)*(($F$1223)/((($F$1224)*((($F$1227)*(($F$1228)/($F$1228+$F$1229)))
/((($F$1227)*(($F$1229)/($F$1228+$F$1229)))+(($F$1227)*(($F$1228)/($F$1228+$F$1229)))+($F$1225)+($F$1226))))+(($F$1224)*((($F$1227)*(($F$1229)/($F$1228+$F$1229)))
/((($F$1227)*(($F$1229)/($F$1228+$F$1229)))+(($F$1227)*(($F$1228)/($F$1228+$F$1229)))+($F$1225)+($F$1226))))+(($F$1224)*(($F$1226)/((($F$1227)*(($F$1229)/($F$1228+$F$1229)))+(($F$1227)*(($F$1228)/($F$1228+$F$1229)))+($F$1225)+($F$1226))))+(($F$1224)*(($F$1225)/((($F$1227)*(($F$1229)/($F$1228+$F$1229)))+(($F$1227)*(($F$1228)/($F$1228+$F$1229)))+($F$1225)+($F$1226))))
+($F$1223))),2)</f>
        <v>28.2</v>
      </c>
      <c r="I1223" s="328" t="s">
        <v>73</v>
      </c>
      <c r="J1223" s="330"/>
      <c r="K1223" s="681">
        <f t="shared" si="174"/>
        <v>1748.3999999999999</v>
      </c>
      <c r="L1223" s="535"/>
      <c r="M1223" s="552" t="str">
        <f t="shared" si="176"/>
        <v/>
      </c>
      <c r="N1223" s="552"/>
      <c r="O1223" s="552" t="str">
        <f t="shared" si="177"/>
        <v/>
      </c>
      <c r="P1223" s="39"/>
    </row>
    <row r="1224" spans="1:16" x14ac:dyDescent="0.35">
      <c r="A1224" s="535" t="str">
        <f t="shared" si="180"/>
        <v/>
      </c>
      <c r="B1224" s="337"/>
      <c r="C1224" s="337"/>
      <c r="D1224" s="355"/>
      <c r="E1224" s="567" t="s">
        <v>904</v>
      </c>
      <c r="F1224" s="378">
        <v>64</v>
      </c>
      <c r="G1224" s="356" t="s">
        <v>73</v>
      </c>
      <c r="H1224" s="356"/>
      <c r="I1224" s="356"/>
      <c r="J1224" s="515"/>
      <c r="K1224" s="684"/>
      <c r="L1224" s="535"/>
      <c r="M1224" s="552" t="str">
        <f t="shared" si="176"/>
        <v/>
      </c>
      <c r="N1224" s="552"/>
      <c r="O1224" s="552" t="str">
        <f t="shared" si="177"/>
        <v/>
      </c>
      <c r="P1224" s="39"/>
    </row>
    <row r="1225" spans="1:16" x14ac:dyDescent="0.35">
      <c r="A1225" s="535" t="str">
        <f t="shared" si="180"/>
        <v/>
      </c>
      <c r="B1225" s="330"/>
      <c r="C1225" s="330"/>
      <c r="D1225" s="326" t="s">
        <v>40</v>
      </c>
      <c r="E1225" s="495" t="s">
        <v>304</v>
      </c>
      <c r="F1225" s="22">
        <v>250</v>
      </c>
      <c r="G1225" s="328" t="s">
        <v>73</v>
      </c>
      <c r="H1225" s="328">
        <f>ROUND(($F$1222)*((($F$1224)*(($F$1225)/((($F$1227)*(($F$1229)/($F$1228+$F$1229)))+(($F$1227)*(($F$1228)/($F$1228+$F$1229)))+($F$1225)+($F$1226))))
/((($F$1224)*((($F$1227)*(($F$1228)/($F$1228+$F$1229)))
/((($F$1227)*(($F$1229)/($F$1228+$F$1229)))+(($F$1227)*(($F$1228)/($F$1228+$F$1229)))+($F$1225)+($F$1226))))+(($F$1224)*((($F$1227)*(($F$1229)/($F$1228+$F$1229)))
/((($F$1227)*(($F$1229)/($F$1228+$F$1229)))+(($F$1227)*(($F$1228)/($F$1228+$F$1229)))+($F$1225)+($F$1226))))+(($F$1224)*(($F$1226)/((($F$1227)*(($F$1229)/($F$1228+$F$1229)))+(($F$1227)*(($F$1228)/($F$1228+$F$1229)))+($F$1225)+($F$1226))))+(($F$1224)*(($F$1225)/((($F$1227)*(($F$1229)/($F$1228+$F$1229)))+(($F$1227)*(($F$1228)/($F$1228+$F$1229)))+($F$1225)+($F$1226))))
+($F$1223))),2)</f>
        <v>0.42</v>
      </c>
      <c r="I1225" s="328" t="s">
        <v>73</v>
      </c>
      <c r="J1225" s="330"/>
      <c r="K1225" s="681">
        <f t="shared" si="174"/>
        <v>26.04</v>
      </c>
      <c r="L1225" s="535"/>
      <c r="M1225" s="552" t="str">
        <f t="shared" si="176"/>
        <v/>
      </c>
      <c r="N1225" s="552"/>
      <c r="O1225" s="552" t="str">
        <f t="shared" si="177"/>
        <v/>
      </c>
      <c r="P1225" s="39"/>
    </row>
    <row r="1226" spans="1:16" x14ac:dyDescent="0.35">
      <c r="A1226" s="535" t="str">
        <f t="shared" si="180"/>
        <v/>
      </c>
      <c r="B1226" s="337"/>
      <c r="C1226" s="337"/>
      <c r="D1226" s="326" t="s">
        <v>41</v>
      </c>
      <c r="E1226" s="560" t="s">
        <v>320</v>
      </c>
      <c r="F1226" s="18">
        <v>500</v>
      </c>
      <c r="G1226" s="335" t="s">
        <v>73</v>
      </c>
      <c r="H1226" s="335">
        <f>ROUND(($F$1222)*((($F$1224)*(($F$1226)/((($F$1227)*(($F$1229)/($F$1228+$F$1229)))+(($F$1227)*(($F$1228)/($F$1228+$F$1229)))+($F$1225)+($F$1226))))
/((($F$1224)*((($F$1227)*(($F$1228)/($F$1228+$F$1229)))
/((($F$1227)*(($F$1229)/($F$1228+$F$1229)))+(($F$1227)*(($F$1228)/($F$1228+$F$1229)))+($F$1225)+($F$1226))))+(($F$1224)*((($F$1227)*(($F$1229)/($F$1228+$F$1229)))
/((($F$1227)*(($F$1229)/($F$1228+$F$1229)))+(($F$1227)*(($F$1228)/($F$1228+$F$1229)))+($F$1225)+($F$1226))))+(($F$1224)*(($F$1226)/((($F$1227)*(($F$1229)/($F$1228+$F$1229)))+(($F$1227)*(($F$1228)/($F$1228+$F$1229)))+($F$1225)+($F$1226))))+(($F$1224)*(($F$1225)/((($F$1227)*(($F$1229)/($F$1228+$F$1229)))+(($F$1227)*(($F$1228)/($F$1228+$F$1229)))+($F$1225)+($F$1226))))
+($F$1223))),2)</f>
        <v>0.83</v>
      </c>
      <c r="I1226" s="335" t="s">
        <v>73</v>
      </c>
      <c r="J1226" s="337"/>
      <c r="K1226" s="680">
        <f t="shared" si="174"/>
        <v>51.46</v>
      </c>
      <c r="L1226" s="535"/>
      <c r="M1226" s="552" t="str">
        <f t="shared" si="176"/>
        <v/>
      </c>
      <c r="N1226" s="552"/>
      <c r="O1226" s="552" t="str">
        <f t="shared" si="177"/>
        <v/>
      </c>
      <c r="P1226" s="39"/>
    </row>
    <row r="1227" spans="1:16" x14ac:dyDescent="0.35">
      <c r="A1227" s="535" t="str">
        <f t="shared" si="180"/>
        <v/>
      </c>
      <c r="B1227" s="330"/>
      <c r="C1227" s="330"/>
      <c r="D1227" s="355"/>
      <c r="E1227" s="657" t="s">
        <v>726</v>
      </c>
      <c r="F1227" s="378">
        <v>333</v>
      </c>
      <c r="G1227" s="356" t="s">
        <v>73</v>
      </c>
      <c r="H1227" s="356"/>
      <c r="I1227" s="356"/>
      <c r="J1227" s="515"/>
      <c r="K1227" s="684"/>
      <c r="L1227" s="535"/>
      <c r="M1227" s="552" t="str">
        <f t="shared" si="176"/>
        <v/>
      </c>
      <c r="N1227" s="552"/>
      <c r="O1227" s="552" t="str">
        <f t="shared" si="177"/>
        <v/>
      </c>
      <c r="P1227" s="39"/>
    </row>
    <row r="1228" spans="1:16" x14ac:dyDescent="0.35">
      <c r="A1228" s="535" t="str">
        <f t="shared" si="180"/>
        <v/>
      </c>
      <c r="B1228" s="337"/>
      <c r="C1228" s="337"/>
      <c r="D1228" s="326" t="s">
        <v>42</v>
      </c>
      <c r="E1228" s="648" t="s">
        <v>95</v>
      </c>
      <c r="F1228" s="18">
        <v>15</v>
      </c>
      <c r="G1228" s="335" t="s">
        <v>73</v>
      </c>
      <c r="H1228" s="335">
        <f>ROUND(($F$1222)*((($F$1224)*((($F$1227)*(($F$1228)/($F$1228+$F$1229)))
/((($F$1227)*(($F$1229)/($F$1228+$F$1229)))+(($F$1227)*(($F$1228)/($F$1228+$F$1229)))+($F$1225)+($F$1226))))
/((($F$1224)*((($F$1227)*(($F$1228)/($F$1228+$F$1229)))
/((($F$1227)*(($F$1229)/($F$1228+$F$1229)))+(($F$1227)*(($F$1228)/($F$1228+$F$1229)))+($F$1225)+($F$1226))))+(($F$1224)*((($F$1227)*(($F$1229)/($F$1228+$F$1229)))
/((($F$1227)*(($F$1229)/($F$1228+$F$1229)))+(($F$1227)*(($F$1228)/($F$1228+$F$1229)))+($F$1225)+($F$1226))))+(($F$1224)*(($F$1226)/((($F$1227)*(($F$1229)/($F$1228+$F$1229)))+(($F$1227)*(($F$1228)/($F$1228+$F$1229)))+($F$1225)+($F$1226))))+(($F$1224)*(($F$1225)/((($F$1227)*(($F$1229)/($F$1228+$F$1229)))+(($F$1227)*(($F$1228)/($F$1228+$F$1229)))+($F$1225)+($F$1226))))
+($F$1223))),2)</f>
        <v>0.08</v>
      </c>
      <c r="I1228" s="335" t="s">
        <v>73</v>
      </c>
      <c r="J1228" s="337"/>
      <c r="K1228" s="680">
        <f t="shared" si="174"/>
        <v>4.96</v>
      </c>
      <c r="L1228" s="535"/>
      <c r="M1228" s="552" t="str">
        <f t="shared" si="176"/>
        <v/>
      </c>
      <c r="N1228" s="552"/>
      <c r="O1228" s="552" t="str">
        <f t="shared" si="177"/>
        <v/>
      </c>
      <c r="P1228" s="39"/>
    </row>
    <row r="1229" spans="1:16" ht="15" thickBot="1" x14ac:dyDescent="0.4">
      <c r="A1229" s="535" t="str">
        <f t="shared" si="180"/>
        <v/>
      </c>
      <c r="B1229" s="330"/>
      <c r="C1229" s="330"/>
      <c r="D1229" s="326" t="s">
        <v>43</v>
      </c>
      <c r="E1229" s="647" t="s">
        <v>105</v>
      </c>
      <c r="F1229" s="22">
        <v>85</v>
      </c>
      <c r="G1229" s="328" t="s">
        <v>73</v>
      </c>
      <c r="H1229" s="328">
        <f>ROUND(($F$1222)*((($F$1224)*((($F$1227)*(($F$1229)/($F$1228+$F$1229)))
/((($F$1227)*(($F$1229)/($F$1228+$F$1229)))+(($F$1227)*(($F$1228)/($F$1228+$F$1229)))+($F$1225)+($F$1226))))
/((($F$1224)*((($F$1227)*(($F$1228)/($F$1228+$F$1229)))
/((($F$1227)*(($F$1229)/($F$1228+$F$1229)))+(($F$1227)*(($F$1228)/($F$1228+$F$1229)))+($F$1225)+($F$1226))))+(($F$1224)*((($F$1227)*(($F$1229)/($F$1228+$F$1229)))
/((($F$1227)*(($F$1229)/($F$1228+$F$1229)))+(($F$1227)*(($F$1228)/($F$1228+$F$1229)))+($F$1225)+($F$1226))))+(($F$1224)*(($F$1226)/((($F$1227)*(($F$1229)/($F$1228+$F$1229)))+(($F$1227)*(($F$1228)/($F$1228+$F$1229)))+($F$1225)+($F$1226))))+(($F$1224)*(($F$1225)/((($F$1227)*(($F$1229)/($F$1228+$F$1229)))+(($F$1227)*(($F$1228)/($F$1228+$F$1229)))+($F$1225)+($F$1226))))
+($F$1223))),2)</f>
        <v>0.47</v>
      </c>
      <c r="I1229" s="328" t="s">
        <v>73</v>
      </c>
      <c r="J1229" s="330"/>
      <c r="K1229" s="681">
        <f t="shared" si="174"/>
        <v>29.139999999999997</v>
      </c>
      <c r="L1229" s="535"/>
      <c r="M1229" s="552" t="str">
        <f t="shared" si="176"/>
        <v/>
      </c>
      <c r="N1229" s="552"/>
      <c r="O1229" s="552" t="str">
        <f t="shared" si="177"/>
        <v/>
      </c>
      <c r="P1229" s="39"/>
    </row>
    <row r="1230" spans="1:16" ht="15.5" thickTop="1" thickBot="1" x14ac:dyDescent="0.4">
      <c r="A1230" s="545" t="str">
        <f t="shared" si="180"/>
        <v/>
      </c>
      <c r="B1230" s="546"/>
      <c r="C1230" s="546"/>
      <c r="D1230" s="547"/>
      <c r="E1230" s="546"/>
      <c r="F1230" s="546"/>
      <c r="G1230" s="546"/>
      <c r="H1230" s="546"/>
      <c r="I1230" s="546"/>
      <c r="J1230" s="546"/>
      <c r="K1230" s="676"/>
      <c r="L1230" s="535"/>
      <c r="M1230" s="552" t="str">
        <f t="shared" si="176"/>
        <v/>
      </c>
      <c r="N1230" s="552"/>
      <c r="O1230" s="552" t="str">
        <f t="shared" si="177"/>
        <v/>
      </c>
      <c r="P1230" s="39"/>
    </row>
    <row r="1231" spans="1:16" ht="15" thickTop="1" x14ac:dyDescent="0.35">
      <c r="A1231" s="565">
        <f>IFERROR(INDEX($Q$17:$Q$201,MATCH(B1231,$R$17:$R$201, 0)), "")</f>
        <v>21</v>
      </c>
      <c r="B1231" s="382" t="s">
        <v>1342</v>
      </c>
      <c r="C1231" s="325" t="s">
        <v>905</v>
      </c>
      <c r="D1231" s="347" t="s">
        <v>167</v>
      </c>
      <c r="E1231" s="327" t="s">
        <v>168</v>
      </c>
      <c r="F1231" s="22">
        <v>22</v>
      </c>
      <c r="G1231" s="328" t="s">
        <v>73</v>
      </c>
      <c r="H1231" s="22">
        <v>22</v>
      </c>
      <c r="I1231" s="328" t="s">
        <v>73</v>
      </c>
      <c r="J1231" s="330"/>
      <c r="K1231" s="681">
        <f>$A$1231*H1231</f>
        <v>462</v>
      </c>
      <c r="L1231" s="535"/>
      <c r="M1231" s="552" t="str">
        <f t="shared" si="176"/>
        <v/>
      </c>
      <c r="N1231" s="552"/>
      <c r="O1231" s="552" t="str">
        <f t="shared" si="177"/>
        <v/>
      </c>
      <c r="P1231" s="39"/>
    </row>
    <row r="1232" spans="1:16" x14ac:dyDescent="0.35">
      <c r="A1232" s="535" t="str">
        <f>IFERROR(INDEX($Q$17:$Q$41,MATCH(B1232,$R$17:$R$41, 0)), "")</f>
        <v/>
      </c>
      <c r="B1232" s="337"/>
      <c r="C1232" s="337"/>
      <c r="D1232" s="355"/>
      <c r="E1232" s="355" t="s">
        <v>895</v>
      </c>
      <c r="F1232" s="378"/>
      <c r="G1232" s="356"/>
      <c r="H1232" s="378"/>
      <c r="I1232" s="356"/>
      <c r="J1232" s="515"/>
      <c r="K1232" s="684"/>
      <c r="L1232" s="535"/>
      <c r="M1232" s="552" t="str">
        <f t="shared" si="176"/>
        <v/>
      </c>
      <c r="N1232" s="552"/>
      <c r="O1232" s="552" t="str">
        <f t="shared" si="177"/>
        <v/>
      </c>
      <c r="P1232" s="39"/>
    </row>
    <row r="1233" spans="1:16" x14ac:dyDescent="0.35">
      <c r="A1233" s="535" t="str">
        <f t="shared" si="180"/>
        <v/>
      </c>
      <c r="B1233" s="330"/>
      <c r="C1233" s="330"/>
      <c r="D1233" s="326" t="s">
        <v>521</v>
      </c>
      <c r="E1233" s="366" t="s">
        <v>522</v>
      </c>
      <c r="F1233" s="22">
        <v>65</v>
      </c>
      <c r="G1233" s="328" t="s">
        <v>73</v>
      </c>
      <c r="H1233" s="22">
        <v>65</v>
      </c>
      <c r="I1233" s="328" t="s">
        <v>73</v>
      </c>
      <c r="J1233" s="330"/>
      <c r="K1233" s="681">
        <f t="shared" ref="K1233:K1272" si="181">$A$1231*H1233</f>
        <v>1365</v>
      </c>
      <c r="L1233" s="535"/>
      <c r="M1233" s="552" t="str">
        <f t="shared" si="176"/>
        <v/>
      </c>
      <c r="N1233" s="552"/>
      <c r="O1233" s="552" t="str">
        <f t="shared" si="177"/>
        <v/>
      </c>
      <c r="P1233" s="39"/>
    </row>
    <row r="1234" spans="1:16" x14ac:dyDescent="0.35">
      <c r="A1234" s="535" t="str">
        <f t="shared" si="180"/>
        <v/>
      </c>
      <c r="B1234" s="337"/>
      <c r="C1234" s="337"/>
      <c r="D1234" s="326" t="s">
        <v>505</v>
      </c>
      <c r="E1234" s="334" t="s">
        <v>896</v>
      </c>
      <c r="F1234" s="18">
        <v>0.5</v>
      </c>
      <c r="G1234" s="335" t="s">
        <v>73</v>
      </c>
      <c r="H1234" s="18">
        <v>0.5</v>
      </c>
      <c r="I1234" s="335" t="s">
        <v>73</v>
      </c>
      <c r="J1234" s="337"/>
      <c r="K1234" s="680">
        <f t="shared" si="181"/>
        <v>10.5</v>
      </c>
      <c r="L1234" s="535"/>
      <c r="M1234" s="552" t="str">
        <f t="shared" si="176"/>
        <v/>
      </c>
      <c r="N1234" s="552"/>
      <c r="O1234" s="552" t="str">
        <f t="shared" si="177"/>
        <v/>
      </c>
      <c r="P1234" s="39"/>
    </row>
    <row r="1235" spans="1:16" x14ac:dyDescent="0.35">
      <c r="A1235" s="535" t="str">
        <f t="shared" si="180"/>
        <v/>
      </c>
      <c r="B1235" s="330"/>
      <c r="C1235" s="330"/>
      <c r="D1235" s="355"/>
      <c r="E1235" s="355" t="s">
        <v>897</v>
      </c>
      <c r="F1235" s="378">
        <v>180</v>
      </c>
      <c r="G1235" s="356" t="s">
        <v>73</v>
      </c>
      <c r="H1235" s="515"/>
      <c r="I1235" s="356"/>
      <c r="J1235" s="515"/>
      <c r="K1235" s="684"/>
      <c r="L1235" s="535"/>
      <c r="M1235" s="552" t="str">
        <f t="shared" si="176"/>
        <v/>
      </c>
      <c r="N1235" s="552"/>
      <c r="O1235" s="552" t="str">
        <f t="shared" si="177"/>
        <v/>
      </c>
      <c r="P1235" s="39"/>
    </row>
    <row r="1236" spans="1:16" x14ac:dyDescent="0.35">
      <c r="A1236" s="535" t="str">
        <f t="shared" si="180"/>
        <v/>
      </c>
      <c r="B1236" s="337"/>
      <c r="C1236" s="337"/>
      <c r="D1236" s="355"/>
      <c r="E1236" s="567" t="s">
        <v>754</v>
      </c>
      <c r="F1236" s="356">
        <v>2100</v>
      </c>
      <c r="G1236" s="378" t="s">
        <v>73</v>
      </c>
      <c r="H1236" s="515"/>
      <c r="I1236" s="356"/>
      <c r="J1236" s="515"/>
      <c r="K1236" s="684"/>
      <c r="L1236" s="535"/>
      <c r="M1236" s="552" t="str">
        <f t="shared" si="176"/>
        <v/>
      </c>
      <c r="N1236" s="552"/>
      <c r="O1236" s="552" t="str">
        <f t="shared" si="177"/>
        <v/>
      </c>
      <c r="P1236" s="39"/>
    </row>
    <row r="1237" spans="1:16" x14ac:dyDescent="0.35">
      <c r="A1237" s="535" t="str">
        <f t="shared" si="180"/>
        <v/>
      </c>
      <c r="B1237" s="330"/>
      <c r="C1237" s="330"/>
      <c r="D1237" s="571"/>
      <c r="E1237" s="656" t="s">
        <v>81</v>
      </c>
      <c r="F1237" s="493">
        <v>1300</v>
      </c>
      <c r="G1237" s="493" t="s">
        <v>73</v>
      </c>
      <c r="H1237" s="466">
        <f>ROUND(($F$1235)*((F1237)/($F$1237+$F$1238+$F$1239)),2)</f>
        <v>101.74</v>
      </c>
      <c r="I1237" s="466"/>
      <c r="J1237" s="573"/>
      <c r="K1237" s="693"/>
      <c r="L1237" s="535"/>
      <c r="M1237" s="552" t="str">
        <f t="shared" si="176"/>
        <v/>
      </c>
      <c r="N1237" s="552"/>
      <c r="O1237" s="552" t="str">
        <f t="shared" si="177"/>
        <v/>
      </c>
      <c r="P1237" s="39"/>
    </row>
    <row r="1238" spans="1:16" x14ac:dyDescent="0.35">
      <c r="A1238" s="535" t="str">
        <f t="shared" si="180"/>
        <v/>
      </c>
      <c r="B1238" s="337"/>
      <c r="C1238" s="337"/>
      <c r="D1238" s="326" t="s">
        <v>1660</v>
      </c>
      <c r="E1238" s="560" t="s">
        <v>1897</v>
      </c>
      <c r="F1238" s="18">
        <v>1000</v>
      </c>
      <c r="G1238" s="18" t="s">
        <v>73</v>
      </c>
      <c r="H1238" s="335">
        <f t="shared" ref="H1238:H1239" si="182">ROUND(($F$1235)*((F1238)/($F$1237+$F$1238+$F$1239)),2)</f>
        <v>78.260000000000005</v>
      </c>
      <c r="I1238" s="335" t="s">
        <v>73</v>
      </c>
      <c r="J1238" s="337"/>
      <c r="K1238" s="680">
        <f t="shared" si="181"/>
        <v>1643.46</v>
      </c>
      <c r="L1238" s="535"/>
      <c r="M1238" s="552" t="str">
        <f t="shared" si="176"/>
        <v/>
      </c>
      <c r="N1238" s="552"/>
      <c r="O1238" s="552" t="str">
        <f t="shared" si="177"/>
        <v/>
      </c>
      <c r="P1238" s="39"/>
    </row>
    <row r="1239" spans="1:16" x14ac:dyDescent="0.35">
      <c r="A1239" s="535" t="str">
        <f t="shared" si="180"/>
        <v/>
      </c>
      <c r="B1239" s="330"/>
      <c r="C1239" s="330"/>
      <c r="D1239" s="326"/>
      <c r="E1239" s="495" t="s">
        <v>753</v>
      </c>
      <c r="F1239" s="22">
        <v>0</v>
      </c>
      <c r="G1239" s="22" t="s">
        <v>73</v>
      </c>
      <c r="H1239" s="328">
        <f t="shared" si="182"/>
        <v>0</v>
      </c>
      <c r="I1239" s="328" t="s">
        <v>73</v>
      </c>
      <c r="J1239" s="330"/>
      <c r="K1239" s="681">
        <f t="shared" si="181"/>
        <v>0</v>
      </c>
      <c r="L1239" s="535"/>
      <c r="M1239" s="552" t="str">
        <f t="shared" si="176"/>
        <v/>
      </c>
      <c r="N1239" s="552"/>
      <c r="O1239" s="552" t="str">
        <f t="shared" si="177"/>
        <v/>
      </c>
      <c r="P1239" s="39"/>
    </row>
    <row r="1240" spans="1:16" x14ac:dyDescent="0.35">
      <c r="A1240" s="535" t="str">
        <f t="shared" si="180"/>
        <v/>
      </c>
      <c r="B1240" s="337"/>
      <c r="C1240" s="337"/>
      <c r="D1240" s="355"/>
      <c r="E1240" s="549" t="s">
        <v>759</v>
      </c>
      <c r="F1240" s="378">
        <v>20</v>
      </c>
      <c r="G1240" s="378" t="s">
        <v>73</v>
      </c>
      <c r="H1240" s="515"/>
      <c r="I1240" s="356"/>
      <c r="J1240" s="515"/>
      <c r="K1240" s="684"/>
      <c r="L1240" s="535"/>
      <c r="M1240" s="552" t="str">
        <f t="shared" si="176"/>
        <v/>
      </c>
      <c r="N1240" s="552"/>
      <c r="O1240" s="552" t="str">
        <f t="shared" si="177"/>
        <v/>
      </c>
      <c r="P1240" s="39"/>
    </row>
    <row r="1241" spans="1:16" x14ac:dyDescent="0.35">
      <c r="A1241" s="535" t="str">
        <f t="shared" si="180"/>
        <v/>
      </c>
      <c r="B1241" s="330"/>
      <c r="C1241" s="330"/>
      <c r="D1241" s="571"/>
      <c r="E1241" s="572" t="s">
        <v>81</v>
      </c>
      <c r="F1241" s="493">
        <v>1000</v>
      </c>
      <c r="G1241" s="493" t="s">
        <v>73</v>
      </c>
      <c r="H1241" s="573"/>
      <c r="I1241" s="466"/>
      <c r="J1241" s="573"/>
      <c r="K1241" s="693"/>
      <c r="L1241" s="535"/>
      <c r="M1241" s="552" t="str">
        <f t="shared" si="176"/>
        <v/>
      </c>
      <c r="N1241" s="552"/>
      <c r="O1241" s="552" t="str">
        <f t="shared" si="177"/>
        <v/>
      </c>
      <c r="P1241" s="39"/>
    </row>
    <row r="1242" spans="1:16" x14ac:dyDescent="0.35">
      <c r="A1242" s="535" t="str">
        <f t="shared" si="180"/>
        <v/>
      </c>
      <c r="B1242" s="337"/>
      <c r="C1242" s="337"/>
      <c r="D1242" s="326" t="s">
        <v>43</v>
      </c>
      <c r="E1242" s="360" t="s">
        <v>105</v>
      </c>
      <c r="F1242" s="18">
        <v>10</v>
      </c>
      <c r="G1242" s="18" t="s">
        <v>73</v>
      </c>
      <c r="H1242" s="335">
        <f>ROUND(($F$1240)*((F1242)/($F$1242+$F$1243+$F$1244)),2)</f>
        <v>0.19</v>
      </c>
      <c r="I1242" s="335" t="s">
        <v>73</v>
      </c>
      <c r="J1242" s="337"/>
      <c r="K1242" s="680">
        <f t="shared" si="181"/>
        <v>3.99</v>
      </c>
      <c r="L1242" s="535"/>
      <c r="M1242" s="552" t="str">
        <f t="shared" si="176"/>
        <v/>
      </c>
      <c r="N1242" s="552"/>
      <c r="O1242" s="552" t="str">
        <f t="shared" si="177"/>
        <v/>
      </c>
      <c r="P1242" s="39"/>
    </row>
    <row r="1243" spans="1:16" x14ac:dyDescent="0.35">
      <c r="A1243" s="535" t="str">
        <f t="shared" si="180"/>
        <v/>
      </c>
      <c r="B1243" s="330"/>
      <c r="C1243" s="330"/>
      <c r="D1243" s="326" t="s">
        <v>41</v>
      </c>
      <c r="E1243" s="366" t="s">
        <v>760</v>
      </c>
      <c r="F1243" s="22">
        <v>25</v>
      </c>
      <c r="G1243" s="22" t="s">
        <v>73</v>
      </c>
      <c r="H1243" s="328">
        <f t="shared" ref="H1243:H1244" si="183">ROUND(($F$1240)*((F1243)/($F$1242+$F$1243+$F$1244)),2)</f>
        <v>0.48</v>
      </c>
      <c r="I1243" s="328" t="s">
        <v>73</v>
      </c>
      <c r="J1243" s="330"/>
      <c r="K1243" s="681">
        <f t="shared" si="181"/>
        <v>10.08</v>
      </c>
      <c r="L1243" s="535"/>
      <c r="M1243" s="552" t="str">
        <f t="shared" si="176"/>
        <v/>
      </c>
      <c r="N1243" s="552"/>
      <c r="O1243" s="552" t="str">
        <f t="shared" si="177"/>
        <v/>
      </c>
      <c r="P1243" s="39"/>
    </row>
    <row r="1244" spans="1:16" x14ac:dyDescent="0.35">
      <c r="A1244" s="535" t="str">
        <f t="shared" si="180"/>
        <v/>
      </c>
      <c r="B1244" s="337"/>
      <c r="C1244" s="337"/>
      <c r="D1244" s="326" t="s">
        <v>371</v>
      </c>
      <c r="E1244" s="360" t="s">
        <v>761</v>
      </c>
      <c r="F1244" s="18">
        <v>1000</v>
      </c>
      <c r="G1244" s="18" t="s">
        <v>73</v>
      </c>
      <c r="H1244" s="335">
        <f t="shared" si="183"/>
        <v>19.32</v>
      </c>
      <c r="I1244" s="335" t="s">
        <v>73</v>
      </c>
      <c r="J1244" s="337"/>
      <c r="K1244" s="680">
        <f t="shared" si="181"/>
        <v>405.72</v>
      </c>
      <c r="L1244" s="535"/>
      <c r="M1244" s="552" t="str">
        <f t="shared" si="176"/>
        <v/>
      </c>
      <c r="N1244" s="552"/>
      <c r="O1244" s="552" t="str">
        <f t="shared" si="177"/>
        <v/>
      </c>
      <c r="P1244" s="39"/>
    </row>
    <row r="1245" spans="1:16" x14ac:dyDescent="0.35">
      <c r="A1245" s="535" t="str">
        <f t="shared" si="180"/>
        <v/>
      </c>
      <c r="B1245" s="330"/>
      <c r="C1245" s="330"/>
      <c r="D1245" s="355"/>
      <c r="E1245" s="549" t="s">
        <v>774</v>
      </c>
      <c r="F1245" s="378">
        <v>20</v>
      </c>
      <c r="G1245" s="378" t="s">
        <v>73</v>
      </c>
      <c r="H1245" s="356"/>
      <c r="I1245" s="356"/>
      <c r="J1245" s="515"/>
      <c r="K1245" s="684"/>
      <c r="L1245" s="535"/>
      <c r="M1245" s="552" t="str">
        <f t="shared" si="176"/>
        <v/>
      </c>
      <c r="N1245" s="552"/>
      <c r="O1245" s="552" t="str">
        <f t="shared" si="177"/>
        <v/>
      </c>
      <c r="P1245" s="39"/>
    </row>
    <row r="1246" spans="1:16" x14ac:dyDescent="0.35">
      <c r="A1246" s="535" t="str">
        <f t="shared" si="180"/>
        <v/>
      </c>
      <c r="B1246" s="337"/>
      <c r="C1246" s="337"/>
      <c r="D1246" s="571"/>
      <c r="E1246" s="572" t="s">
        <v>81</v>
      </c>
      <c r="F1246" s="493">
        <v>600</v>
      </c>
      <c r="G1246" s="493" t="s">
        <v>73</v>
      </c>
      <c r="H1246" s="466"/>
      <c r="I1246" s="466"/>
      <c r="J1246" s="573"/>
      <c r="K1246" s="693"/>
      <c r="L1246" s="535"/>
      <c r="M1246" s="552" t="str">
        <f t="shared" si="176"/>
        <v/>
      </c>
      <c r="N1246" s="552"/>
      <c r="O1246" s="552" t="str">
        <f t="shared" si="177"/>
        <v/>
      </c>
      <c r="P1246" s="39"/>
    </row>
    <row r="1247" spans="1:16" x14ac:dyDescent="0.35">
      <c r="A1247" s="535" t="str">
        <f t="shared" si="180"/>
        <v/>
      </c>
      <c r="B1247" s="330"/>
      <c r="C1247" s="330"/>
      <c r="D1247" s="326" t="s">
        <v>529</v>
      </c>
      <c r="E1247" s="366" t="s">
        <v>775</v>
      </c>
      <c r="F1247" s="22">
        <v>16</v>
      </c>
      <c r="G1247" s="22" t="s">
        <v>73</v>
      </c>
      <c r="H1247" s="328">
        <f>ROUND(($F$1245)*(($F$1247)/((($F$1249)*(($F$1250)/($F$1250+$F$1251)))+(($F$1249)*(($F$1251)/($F$1250+$F$1251)))
+($F$1247)+($F$1248)+($F$1252))),2)</f>
        <v>1.01</v>
      </c>
      <c r="I1247" s="328" t="s">
        <v>73</v>
      </c>
      <c r="J1247" s="330"/>
      <c r="K1247" s="681">
        <f t="shared" si="181"/>
        <v>21.21</v>
      </c>
      <c r="L1247" s="535"/>
      <c r="M1247" s="552" t="str">
        <f t="shared" si="176"/>
        <v/>
      </c>
      <c r="N1247" s="552"/>
      <c r="O1247" s="552" t="str">
        <f t="shared" si="177"/>
        <v/>
      </c>
      <c r="P1247" s="39"/>
    </row>
    <row r="1248" spans="1:16" x14ac:dyDescent="0.35">
      <c r="A1248" s="535" t="str">
        <f t="shared" si="180"/>
        <v/>
      </c>
      <c r="B1248" s="337"/>
      <c r="C1248" s="337"/>
      <c r="D1248" s="326" t="s">
        <v>333</v>
      </c>
      <c r="E1248" s="360" t="s">
        <v>756</v>
      </c>
      <c r="F1248" s="18">
        <v>70</v>
      </c>
      <c r="G1248" s="18" t="s">
        <v>73</v>
      </c>
      <c r="H1248" s="335">
        <f>ROUND(($F$1245)*(($F$1248)/((($F$1249)*(($F$1250)/($F$1250+$F$1251)))+(($F$1249)*(($F$1251)/($F$1250+$F$1251)))
+($F$1247)+($F$1248)+($F$1252))),2)</f>
        <v>4.43</v>
      </c>
      <c r="I1248" s="335" t="s">
        <v>73</v>
      </c>
      <c r="J1248" s="337"/>
      <c r="K1248" s="680">
        <f t="shared" si="181"/>
        <v>93.03</v>
      </c>
      <c r="L1248" s="535"/>
      <c r="M1248" s="552" t="str">
        <f t="shared" si="176"/>
        <v/>
      </c>
      <c r="N1248" s="552"/>
      <c r="O1248" s="552" t="str">
        <f t="shared" si="177"/>
        <v/>
      </c>
      <c r="P1248" s="39"/>
    </row>
    <row r="1249" spans="1:16" x14ac:dyDescent="0.35">
      <c r="A1249" s="535" t="str">
        <f t="shared" si="180"/>
        <v/>
      </c>
      <c r="B1249" s="330"/>
      <c r="C1249" s="330"/>
      <c r="D1249" s="355"/>
      <c r="E1249" s="567" t="s">
        <v>776</v>
      </c>
      <c r="F1249" s="378">
        <v>200</v>
      </c>
      <c r="G1249" s="378" t="s">
        <v>73</v>
      </c>
      <c r="H1249" s="356"/>
      <c r="I1249" s="356"/>
      <c r="J1249" s="515"/>
      <c r="K1249" s="684"/>
      <c r="L1249" s="535"/>
      <c r="M1249" s="552" t="str">
        <f t="shared" si="176"/>
        <v/>
      </c>
      <c r="N1249" s="552"/>
      <c r="O1249" s="552" t="str">
        <f t="shared" si="177"/>
        <v/>
      </c>
      <c r="P1249" s="39"/>
    </row>
    <row r="1250" spans="1:16" x14ac:dyDescent="0.35">
      <c r="A1250" s="535" t="str">
        <f t="shared" si="180"/>
        <v/>
      </c>
      <c r="B1250" s="337"/>
      <c r="C1250" s="337"/>
      <c r="D1250" s="326" t="s">
        <v>377</v>
      </c>
      <c r="E1250" s="560" t="s">
        <v>777</v>
      </c>
      <c r="F1250" s="18">
        <v>500</v>
      </c>
      <c r="G1250" s="18" t="s">
        <v>73</v>
      </c>
      <c r="H1250" s="335">
        <f>ROUND(($F$1245)*((($F$1249)*(($F$1250)/($F$1250+$F$1251)))
/((($F$1249)*(($F$1250)/($F$1250+$F$1251)))+(($F$1249)*(($F$1251)/($F$1250+$F$1251)))
+($F$1247)+($F$1248)+($F$1252))),2)</f>
        <v>12.41</v>
      </c>
      <c r="I1250" s="335" t="s">
        <v>73</v>
      </c>
      <c r="J1250" s="337"/>
      <c r="K1250" s="680">
        <f t="shared" si="181"/>
        <v>260.61</v>
      </c>
      <c r="L1250" s="535"/>
      <c r="M1250" s="552" t="str">
        <f t="shared" si="176"/>
        <v/>
      </c>
      <c r="N1250" s="552"/>
      <c r="O1250" s="552" t="str">
        <f t="shared" si="177"/>
        <v/>
      </c>
      <c r="P1250" s="39"/>
    </row>
    <row r="1251" spans="1:16" x14ac:dyDescent="0.35">
      <c r="A1251" s="535" t="str">
        <f t="shared" si="180"/>
        <v/>
      </c>
      <c r="B1251" s="330"/>
      <c r="C1251" s="330"/>
      <c r="D1251" s="326" t="s">
        <v>43</v>
      </c>
      <c r="E1251" s="495" t="s">
        <v>105</v>
      </c>
      <c r="F1251" s="22">
        <v>10</v>
      </c>
      <c r="G1251" s="22" t="s">
        <v>73</v>
      </c>
      <c r="H1251" s="328">
        <f>ROUND(($F$1245)*((($F$1249)*(($F$1251)/($F$1250+$F$1251)))
/((($F$1249)*(($F$1250)/($F$1250+$F$1251)))+(($F$1249)*(($F$1251)/($F$1250+$F$1251)))
+($F$1247)+($F$1248)+($F$1252))),2)</f>
        <v>0.25</v>
      </c>
      <c r="I1251" s="328" t="s">
        <v>73</v>
      </c>
      <c r="J1251" s="330"/>
      <c r="K1251" s="681">
        <f t="shared" si="181"/>
        <v>5.25</v>
      </c>
      <c r="L1251" s="535"/>
      <c r="M1251" s="552" t="str">
        <f t="shared" si="176"/>
        <v/>
      </c>
      <c r="N1251" s="552"/>
      <c r="O1251" s="552" t="str">
        <f t="shared" si="177"/>
        <v/>
      </c>
      <c r="P1251" s="39"/>
    </row>
    <row r="1252" spans="1:16" x14ac:dyDescent="0.35">
      <c r="A1252" s="535" t="str">
        <f t="shared" si="180"/>
        <v/>
      </c>
      <c r="B1252" s="337"/>
      <c r="C1252" s="337"/>
      <c r="D1252" s="326" t="s">
        <v>389</v>
      </c>
      <c r="E1252" s="360" t="s">
        <v>778</v>
      </c>
      <c r="F1252" s="18">
        <v>30</v>
      </c>
      <c r="G1252" s="18" t="s">
        <v>73</v>
      </c>
      <c r="H1252" s="335">
        <f>ROUND(($F$1245)*(($F$1252)/((($F$1249)*(($F$1250)/($F$1250+$F$1251)))+(($F$1249)*(($F$1251)/($F$1250+$F$1251)))
+($F$1247)+($F$1248)+($F$1252))),2)</f>
        <v>1.9</v>
      </c>
      <c r="I1252" s="335" t="s">
        <v>73</v>
      </c>
      <c r="J1252" s="337"/>
      <c r="K1252" s="680">
        <f t="shared" si="181"/>
        <v>39.9</v>
      </c>
      <c r="L1252" s="535"/>
      <c r="M1252" s="552" t="str">
        <f t="shared" si="176"/>
        <v/>
      </c>
      <c r="N1252" s="552"/>
      <c r="O1252" s="552" t="str">
        <f t="shared" si="177"/>
        <v/>
      </c>
      <c r="P1252" s="39"/>
    </row>
    <row r="1253" spans="1:16" x14ac:dyDescent="0.35">
      <c r="A1253" s="535" t="str">
        <f t="shared" si="180"/>
        <v/>
      </c>
      <c r="B1253" s="330"/>
      <c r="C1253" s="330"/>
      <c r="D1253" s="355"/>
      <c r="E1253" s="355" t="s">
        <v>899</v>
      </c>
      <c r="F1253" s="378">
        <v>30</v>
      </c>
      <c r="G1253" s="378" t="s">
        <v>73</v>
      </c>
      <c r="H1253" s="515"/>
      <c r="I1253" s="356"/>
      <c r="J1253" s="515"/>
      <c r="K1253" s="684"/>
      <c r="L1253" s="535"/>
      <c r="M1253" s="552" t="str">
        <f t="shared" si="176"/>
        <v/>
      </c>
      <c r="N1253" s="552"/>
      <c r="O1253" s="552" t="str">
        <f t="shared" si="177"/>
        <v/>
      </c>
      <c r="P1253" s="39"/>
    </row>
    <row r="1254" spans="1:16" x14ac:dyDescent="0.35">
      <c r="A1254" s="535" t="str">
        <f t="shared" si="180"/>
        <v/>
      </c>
      <c r="B1254" s="337"/>
      <c r="C1254" s="337"/>
      <c r="D1254" s="326" t="s">
        <v>375</v>
      </c>
      <c r="E1254" s="360" t="s">
        <v>900</v>
      </c>
      <c r="F1254" s="18">
        <v>1000</v>
      </c>
      <c r="G1254" s="18" t="s">
        <v>73</v>
      </c>
      <c r="H1254" s="335">
        <f>ROUND(($F$1253)*(($F$1254)/((($F$1256)*(($F$1258)/($F$1257+$F$1258)))+(($F$1256)*(($F$1257)/($F$1257+$F$1258)))
+($F$1254)+($F$1255))),2)</f>
        <v>29.93</v>
      </c>
      <c r="I1254" s="335" t="s">
        <v>73</v>
      </c>
      <c r="J1254" s="337"/>
      <c r="K1254" s="680">
        <f t="shared" si="181"/>
        <v>628.53</v>
      </c>
      <c r="L1254" s="535"/>
      <c r="M1254" s="552" t="str">
        <f t="shared" si="176"/>
        <v/>
      </c>
      <c r="N1254" s="552"/>
      <c r="O1254" s="552" t="str">
        <f t="shared" si="177"/>
        <v/>
      </c>
      <c r="P1254" s="39"/>
    </row>
    <row r="1255" spans="1:16" x14ac:dyDescent="0.35">
      <c r="A1255" s="535" t="str">
        <f t="shared" si="180"/>
        <v/>
      </c>
      <c r="B1255" s="330"/>
      <c r="C1255" s="330"/>
      <c r="D1255" s="326" t="s">
        <v>47</v>
      </c>
      <c r="E1255" s="366" t="s">
        <v>838</v>
      </c>
      <c r="F1255" s="22">
        <v>1.5</v>
      </c>
      <c r="G1255" s="22" t="s">
        <v>73</v>
      </c>
      <c r="H1255" s="328">
        <f>ROUND(($F$1253)*(($F$1255)/((($F$1256)*(($F$1258)/($F$1257+$F$1258)))+(($F$1256)*(($F$1257)/($F$1257+$F$1258)))
+($F$1254)+($F$1255))),2)</f>
        <v>0.04</v>
      </c>
      <c r="I1255" s="328" t="s">
        <v>73</v>
      </c>
      <c r="J1255" s="330"/>
      <c r="K1255" s="681">
        <f t="shared" si="181"/>
        <v>0.84</v>
      </c>
      <c r="L1255" s="535"/>
      <c r="M1255" s="552" t="str">
        <f t="shared" si="176"/>
        <v/>
      </c>
      <c r="N1255" s="552"/>
      <c r="O1255" s="552" t="str">
        <f t="shared" si="177"/>
        <v/>
      </c>
      <c r="P1255" s="39"/>
    </row>
    <row r="1256" spans="1:16" x14ac:dyDescent="0.35">
      <c r="A1256" s="535" t="str">
        <f t="shared" si="180"/>
        <v/>
      </c>
      <c r="B1256" s="337"/>
      <c r="C1256" s="337"/>
      <c r="D1256" s="355"/>
      <c r="E1256" s="567" t="s">
        <v>726</v>
      </c>
      <c r="F1256" s="378">
        <v>0.7</v>
      </c>
      <c r="G1256" s="378" t="s">
        <v>73</v>
      </c>
      <c r="H1256" s="356"/>
      <c r="I1256" s="356"/>
      <c r="J1256" s="515"/>
      <c r="K1256" s="684"/>
      <c r="L1256" s="535"/>
      <c r="M1256" s="552" t="str">
        <f t="shared" si="176"/>
        <v/>
      </c>
      <c r="N1256" s="552"/>
      <c r="O1256" s="552" t="str">
        <f t="shared" si="177"/>
        <v/>
      </c>
      <c r="P1256" s="39"/>
    </row>
    <row r="1257" spans="1:16" x14ac:dyDescent="0.35">
      <c r="A1257" s="535" t="str">
        <f t="shared" si="180"/>
        <v/>
      </c>
      <c r="B1257" s="330"/>
      <c r="C1257" s="330"/>
      <c r="D1257" s="326" t="s">
        <v>42</v>
      </c>
      <c r="E1257" s="495" t="s">
        <v>95</v>
      </c>
      <c r="F1257" s="22">
        <v>15</v>
      </c>
      <c r="G1257" s="22" t="s">
        <v>73</v>
      </c>
      <c r="H1257" s="328">
        <f>ROUND(($F$1253)*((($F$1256)*(($F$1257)/($F$1257+$F$1258)))
/((($F$1256)*(($F$1258)/($F$1257+$F$1258)))+(($F$1256)*(($F$1257)/($F$1257+$F$1258)))
+($F$1254)+($F$1255))),4)</f>
        <v>3.0999999999999999E-3</v>
      </c>
      <c r="I1257" s="328" t="s">
        <v>73</v>
      </c>
      <c r="J1257" s="330"/>
      <c r="K1257" s="681">
        <f t="shared" si="181"/>
        <v>6.5099999999999991E-2</v>
      </c>
      <c r="L1257" s="535"/>
      <c r="M1257" s="552" t="str">
        <f t="shared" si="176"/>
        <v/>
      </c>
      <c r="N1257" s="552"/>
      <c r="O1257" s="552" t="str">
        <f t="shared" si="177"/>
        <v/>
      </c>
      <c r="P1257" s="39"/>
    </row>
    <row r="1258" spans="1:16" x14ac:dyDescent="0.35">
      <c r="A1258" s="535" t="str">
        <f t="shared" si="180"/>
        <v/>
      </c>
      <c r="B1258" s="337"/>
      <c r="C1258" s="337"/>
      <c r="D1258" s="326" t="s">
        <v>43</v>
      </c>
      <c r="E1258" s="560" t="s">
        <v>105</v>
      </c>
      <c r="F1258" s="18">
        <v>85</v>
      </c>
      <c r="G1258" s="18" t="s">
        <v>73</v>
      </c>
      <c r="H1258" s="335">
        <f>ROUND(($F$1253)*((($F$1256)*(($F$1258)/($F$1257+$F$1258)))
/((($F$1256)*(($F$1258)/($F$1257+$F$1258)))+(($F$1256)*(($F$1257)/($F$1257+$F$1258)))
+($F$1254)+($F$1255))),2)</f>
        <v>0.02</v>
      </c>
      <c r="I1258" s="335" t="s">
        <v>73</v>
      </c>
      <c r="J1258" s="337"/>
      <c r="K1258" s="680">
        <f t="shared" si="181"/>
        <v>0.42</v>
      </c>
      <c r="L1258" s="535"/>
      <c r="M1258" s="552" t="str">
        <f t="shared" si="176"/>
        <v/>
      </c>
      <c r="N1258" s="552"/>
      <c r="O1258" s="552" t="str">
        <f t="shared" si="177"/>
        <v/>
      </c>
      <c r="P1258" s="39"/>
    </row>
    <row r="1259" spans="1:16" x14ac:dyDescent="0.35">
      <c r="A1259" s="535" t="str">
        <f t="shared" si="180"/>
        <v/>
      </c>
      <c r="B1259" s="330"/>
      <c r="C1259" s="330"/>
      <c r="D1259" s="355"/>
      <c r="E1259" s="355" t="s">
        <v>903</v>
      </c>
      <c r="F1259" s="378">
        <v>30</v>
      </c>
      <c r="G1259" s="356" t="s">
        <v>73</v>
      </c>
      <c r="H1259" s="515"/>
      <c r="I1259" s="356"/>
      <c r="J1259" s="515"/>
      <c r="K1259" s="684"/>
      <c r="L1259" s="535"/>
      <c r="M1259" s="552" t="str">
        <f t="shared" si="176"/>
        <v/>
      </c>
      <c r="N1259" s="552"/>
      <c r="O1259" s="552" t="str">
        <f t="shared" si="177"/>
        <v/>
      </c>
      <c r="P1259" s="39"/>
    </row>
    <row r="1260" spans="1:16" x14ac:dyDescent="0.35">
      <c r="A1260" s="535" t="str">
        <f t="shared" si="180"/>
        <v/>
      </c>
      <c r="B1260" s="337"/>
      <c r="C1260" s="337"/>
      <c r="D1260" s="326" t="s">
        <v>39</v>
      </c>
      <c r="E1260" s="360" t="s">
        <v>103</v>
      </c>
      <c r="F1260" s="18">
        <v>1000</v>
      </c>
      <c r="G1260" s="335" t="s">
        <v>73</v>
      </c>
      <c r="H1260" s="335">
        <f>ROUND(($F$1259)*(($F$1260)/((($F$1261)*(($F$1264)*(($F$1265)/($F$1265+$F$1266))
/(($F$1264)*(($F$1265)/($F$1265+$F$1266))+
($F$1264)*(($F$1266)/($F$1265+$F$1266))+
($F$1262)+($F$1263)))
+($F$1261)*(($F$1264)*(($F$1266)/($F$1265+$F$1266))
/(($F$1264)*(($F$1265)/($F$1265+$F$1266))+
($F$1264)*(($F$1266)/($F$1265+$F$1266))+
($F$1262)+($F$1263)))
+($F$1261)*(($F$1262)/(($F$1264)*(($F$1265)/($F$1265+$F$1266))+
($F$1264)*(($F$1266)/($F$1265+$F$1266))+
($F$1262)+($F$1263)))+($F$1261)*(($F$1263)/(($F$1264)*(($F$1265)/($F$1265+$F$1266))+
($F$1264)*(($F$1266)/($F$1265+$F$1266))+
($F$1262)+($F$1263))))+($F$1260))),2)</f>
        <v>28.2</v>
      </c>
      <c r="I1260" s="335" t="s">
        <v>73</v>
      </c>
      <c r="J1260" s="337"/>
      <c r="K1260" s="680">
        <f t="shared" si="181"/>
        <v>592.19999999999993</v>
      </c>
      <c r="L1260" s="535"/>
      <c r="M1260" s="552" t="str">
        <f t="shared" si="176"/>
        <v/>
      </c>
      <c r="N1260" s="552"/>
      <c r="O1260" s="552" t="str">
        <f t="shared" si="177"/>
        <v/>
      </c>
      <c r="P1260" s="39"/>
    </row>
    <row r="1261" spans="1:16" x14ac:dyDescent="0.35">
      <c r="A1261" s="535" t="str">
        <f t="shared" si="180"/>
        <v/>
      </c>
      <c r="B1261" s="330"/>
      <c r="C1261" s="330"/>
      <c r="D1261" s="355"/>
      <c r="E1261" s="567" t="s">
        <v>904</v>
      </c>
      <c r="F1261" s="378">
        <v>64</v>
      </c>
      <c r="G1261" s="356" t="s">
        <v>73</v>
      </c>
      <c r="H1261" s="356"/>
      <c r="I1261" s="356"/>
      <c r="J1261" s="515"/>
      <c r="K1261" s="684"/>
      <c r="L1261" s="535"/>
      <c r="M1261" s="552" t="str">
        <f t="shared" si="176"/>
        <v/>
      </c>
      <c r="N1261" s="552"/>
      <c r="O1261" s="552" t="str">
        <f t="shared" si="177"/>
        <v/>
      </c>
      <c r="P1261" s="39"/>
    </row>
    <row r="1262" spans="1:16" x14ac:dyDescent="0.35">
      <c r="A1262" s="535" t="str">
        <f t="shared" si="180"/>
        <v/>
      </c>
      <c r="B1262" s="337"/>
      <c r="C1262" s="337"/>
      <c r="D1262" s="326" t="s">
        <v>40</v>
      </c>
      <c r="E1262" s="560" t="s">
        <v>304</v>
      </c>
      <c r="F1262" s="18">
        <v>250</v>
      </c>
      <c r="G1262" s="335" t="s">
        <v>73</v>
      </c>
      <c r="H1262" s="335">
        <f>ROUND((($F$1259)*(($F$1261)*(($F$1262)/(($F$1264)*(($F$1265)/($F$1265+$F$1266))+
($F$1264)*(($F$1266)/($F$1265+$F$1266))+
($F$1262)+($F$1263)))
/((($F$1261)*(($F$1264)*(($F$1265)/($F$1265+$F$1266))
/(($F$1264)*(($F$1265)/($F$1265+$F$1266))+
($F$1264)*(($F$1266)/($F$1265+$F$1266))+
($F$1262)+($F$1263)))
+($F$1261)*(($F$1264)*(($F$1266)/($F$1265+$F$1266))
/(($F$1264)*(($F$1265)/($F$1265+$F$1266))+
($F$1264)*(($F$1266)/($F$1265+$F$1266))+
($F$1262)+($F$1263)))
+($F$1261)*(($F$1262)/(($F$1264)*(($F$1265)/($F$1265+$F$1266))+
($F$1264)*(($F$1266)/($F$1265+$F$1266))+
($F$1262)+($F$1263)))+($F$1261)*(($F$1263)/(($F$1264)*(($F$1265)/($F$1265+$F$1266))+
($F$1264)*(($F$1266)/($F$1265+$F$1266))+
($F$1262)+($F$1263))))+($F$1260)))),2)</f>
        <v>0.42</v>
      </c>
      <c r="I1262" s="335" t="s">
        <v>73</v>
      </c>
      <c r="J1262" s="337"/>
      <c r="K1262" s="680">
        <f t="shared" si="181"/>
        <v>8.82</v>
      </c>
      <c r="L1262" s="535"/>
      <c r="M1262" s="552" t="str">
        <f t="shared" ref="M1262:M1325" si="184">IF(Q1262&gt;0, Q1262, "")</f>
        <v/>
      </c>
      <c r="N1262" s="552"/>
      <c r="O1262" s="552" t="str">
        <f t="shared" ref="O1262:O1325" si="185">IF(V1263&gt;0, V1263, "")</f>
        <v/>
      </c>
      <c r="P1262" s="39"/>
    </row>
    <row r="1263" spans="1:16" x14ac:dyDescent="0.35">
      <c r="A1263" s="535" t="str">
        <f t="shared" si="180"/>
        <v/>
      </c>
      <c r="B1263" s="330"/>
      <c r="C1263" s="330"/>
      <c r="D1263" s="326" t="s">
        <v>41</v>
      </c>
      <c r="E1263" s="495" t="s">
        <v>320</v>
      </c>
      <c r="F1263" s="22">
        <v>500</v>
      </c>
      <c r="G1263" s="328" t="s">
        <v>73</v>
      </c>
      <c r="H1263" s="328">
        <f>ROUND((($F$1259)*(($F$1261)*(($F$1263)/(($F$1264)*(($F$1265)/($F$1265+$F$1266))+
($F$1264)*(($F$1266)/($F$1265+$F$1266))+
($F$1262)+($F$1263)))
/((($F$1261)*(($F$1264)*(($F$1265)/($F$1265+$F$1266))
/(($F$1264)*(($F$1265)/($F$1265+$F$1266))+
($F$1264)*(($F$1266)/($F$1265+$F$1266))+
($F$1262)+($F$1263)))
+($F$1261)*(($F$1264)*(($F$1266)/($F$1265+$F$1266))
/(($F$1264)*(($F$1265)/($F$1265+$F$1266))+
($F$1264)*(($F$1266)/($F$1265+$F$1266))+
($F$1262)+($F$1263)))
+($F$1261)*(($F$1262)/(($F$1264)*(($F$1265)/($F$1265+$F$1266))+
($F$1264)*(($F$1266)/($F$1265+$F$1266))+
($F$1262)+($F$1263)))+($F$1261)*(($F$1263)/(($F$1264)*(($F$1265)/($F$1265+$F$1266))+
($F$1264)*(($F$1266)/($F$1265+$F$1266))+
($F$1262)+($F$1263))))+($F$1260)))),2)</f>
        <v>0.83</v>
      </c>
      <c r="I1263" s="328" t="s">
        <v>73</v>
      </c>
      <c r="J1263" s="330"/>
      <c r="K1263" s="681">
        <f t="shared" si="181"/>
        <v>17.43</v>
      </c>
      <c r="L1263" s="535"/>
      <c r="M1263" s="552" t="str">
        <f t="shared" si="184"/>
        <v/>
      </c>
      <c r="N1263" s="552"/>
      <c r="O1263" s="552" t="str">
        <f t="shared" si="185"/>
        <v/>
      </c>
      <c r="P1263" s="39"/>
    </row>
    <row r="1264" spans="1:16" x14ac:dyDescent="0.35">
      <c r="A1264" s="535" t="str">
        <f t="shared" si="180"/>
        <v/>
      </c>
      <c r="B1264" s="337"/>
      <c r="C1264" s="337"/>
      <c r="D1264" s="355"/>
      <c r="E1264" s="657" t="s">
        <v>726</v>
      </c>
      <c r="F1264" s="378">
        <v>333</v>
      </c>
      <c r="G1264" s="356" t="s">
        <v>73</v>
      </c>
      <c r="H1264" s="356"/>
      <c r="I1264" s="356"/>
      <c r="J1264" s="515"/>
      <c r="K1264" s="684"/>
      <c r="L1264" s="535"/>
      <c r="M1264" s="552" t="str">
        <f t="shared" si="184"/>
        <v/>
      </c>
      <c r="N1264" s="552"/>
      <c r="O1264" s="552" t="str">
        <f t="shared" si="185"/>
        <v/>
      </c>
      <c r="P1264" s="39"/>
    </row>
    <row r="1265" spans="1:16" x14ac:dyDescent="0.35">
      <c r="A1265" s="535" t="str">
        <f t="shared" si="180"/>
        <v/>
      </c>
      <c r="B1265" s="330"/>
      <c r="C1265" s="330"/>
      <c r="D1265" s="326" t="s">
        <v>42</v>
      </c>
      <c r="E1265" s="647" t="s">
        <v>95</v>
      </c>
      <c r="F1265" s="22">
        <v>15</v>
      </c>
      <c r="G1265" s="328" t="s">
        <v>73</v>
      </c>
      <c r="H1265" s="328">
        <f>ROUND((($F$1259)*(($F$1261)*(($F$1264)*(($F$1265)/($F$1265+$F$1266))
/(($F$1264)*(($F$1265)/($F$1265+$F$1266))+
($F$1264)*(($F$1266)/($F$1265+$F$1266))+
($F$1262)+($F$1263)))
/((($F$1261)*(($F$1264)*(($F$1265)/($F$1265+$F$1266))
/(($F$1264)*(($F$1265)/($F$1265+$F$1266))+
($F$1264)*(($F$1266)/($F$1265+$F$1266))+
($F$1262)+($F$1263)))
+($F$1261)*(($F$1264)*(($F$1266)/($F$1265+$F$1266))
/(($F$1264)*(($F$1265)/($F$1265+$F$1266))+
($F$1264)*(($F$1266)/($F$1265+$F$1266))+
($F$1262)+($F$1263)))
+($F$1261)*(($F$1262)/(($F$1264)*(($F$1265)/($F$1265+$F$1266))+
($F$1264)*(($F$1266)/($F$1265+$F$1266))+
($F$1262)+($F$1263)))+($F$1261)*(($F$1263)/(($F$1264)*(($F$1265)/($F$1265+$F$1266))+
($F$1264)*(($F$1266)/($F$1265+$F$1266))+
($F$1262)+($F$1263))))+($F$1260)))),2)</f>
        <v>0.08</v>
      </c>
      <c r="I1265" s="328" t="s">
        <v>73</v>
      </c>
      <c r="J1265" s="330"/>
      <c r="K1265" s="681">
        <f t="shared" si="181"/>
        <v>1.68</v>
      </c>
      <c r="L1265" s="535"/>
      <c r="M1265" s="552" t="str">
        <f t="shared" si="184"/>
        <v/>
      </c>
      <c r="N1265" s="552"/>
      <c r="O1265" s="552" t="str">
        <f t="shared" si="185"/>
        <v/>
      </c>
      <c r="P1265" s="39"/>
    </row>
    <row r="1266" spans="1:16" x14ac:dyDescent="0.35">
      <c r="A1266" s="535" t="str">
        <f t="shared" si="180"/>
        <v/>
      </c>
      <c r="B1266" s="337"/>
      <c r="C1266" s="337"/>
      <c r="D1266" s="326" t="s">
        <v>43</v>
      </c>
      <c r="E1266" s="648" t="s">
        <v>105</v>
      </c>
      <c r="F1266" s="18">
        <v>85</v>
      </c>
      <c r="G1266" s="335" t="s">
        <v>73</v>
      </c>
      <c r="H1266" s="335">
        <f>ROUND((($F$1259)*(($F$1261)*(($F$1264)*(($F$1266)/($F$1265+$F$1266))
/(($F$1264)*(($F$1265)/($F$1265+$F$1266))+
($F$1264)*(($F$1266)/($F$1265+$F$1266))+
($F$1262)+($F$1263)))
/((($F$1261)*(($F$1264)*(($F$1265)/($F$1265+$F$1266))
/(($F$1264)*(($F$1265)/($F$1265+$F$1266))+
($F$1264)*(($F$1266)/($F$1265+$F$1266))+
($F$1262)+($F$1263)))
+($F$1261)*(($F$1264)*(($F$1266)/($F$1265+$F$1266))
/(($F$1264)*(($F$1265)/($F$1265+$F$1266))+
($F$1264)*(($F$1266)/($F$1265+$F$1266))+
($F$1262)+($F$1263)))
+($F$1261)*(($F$1262)/(($F$1264)*(($F$1265)/($F$1265+$F$1266))+
($F$1264)*(($F$1266)/($F$1265+$F$1266))+
($F$1262)+($F$1263)))+($F$1261)*(($F$1263)/(($F$1264)*(($F$1265)/($F$1265+$F$1266))+
($F$1264)*(($F$1266)/($F$1265+$F$1266))+
($F$1262)+($F$1263))))+($F$1260)))),2)</f>
        <v>0.47</v>
      </c>
      <c r="I1266" s="335" t="s">
        <v>73</v>
      </c>
      <c r="J1266" s="337"/>
      <c r="K1266" s="680">
        <f t="shared" si="181"/>
        <v>9.8699999999999992</v>
      </c>
      <c r="L1266" s="535"/>
      <c r="M1266" s="552" t="str">
        <f t="shared" si="184"/>
        <v/>
      </c>
      <c r="N1266" s="552"/>
      <c r="O1266" s="552" t="str">
        <f t="shared" si="185"/>
        <v/>
      </c>
      <c r="P1266" s="39"/>
    </row>
    <row r="1267" spans="1:16" x14ac:dyDescent="0.35">
      <c r="A1267" s="535" t="str">
        <f t="shared" ref="A1267:A1331" si="186">IFERROR(INDEX($Q$17:$Q$41,MATCH(B1267,$R$17:$R$41, 0)), "")</f>
        <v/>
      </c>
      <c r="B1267" s="552"/>
      <c r="C1267" s="552"/>
      <c r="D1267" s="355"/>
      <c r="E1267" s="355" t="s">
        <v>5</v>
      </c>
      <c r="F1267" s="378">
        <v>30</v>
      </c>
      <c r="G1267" s="378" t="s">
        <v>73</v>
      </c>
      <c r="H1267" s="356"/>
      <c r="I1267" s="356"/>
      <c r="J1267" s="515"/>
      <c r="K1267" s="684"/>
      <c r="L1267" s="535"/>
      <c r="M1267" s="552" t="str">
        <f t="shared" si="184"/>
        <v/>
      </c>
      <c r="N1267" s="552"/>
      <c r="O1267" s="552" t="str">
        <f t="shared" si="185"/>
        <v/>
      </c>
      <c r="P1267" s="39"/>
    </row>
    <row r="1268" spans="1:16" x14ac:dyDescent="0.35">
      <c r="A1268" s="535" t="str">
        <f t="shared" si="186"/>
        <v/>
      </c>
      <c r="B1268" s="337"/>
      <c r="C1268" s="337"/>
      <c r="D1268" s="326" t="s">
        <v>57</v>
      </c>
      <c r="E1268" s="379" t="s">
        <v>6</v>
      </c>
      <c r="F1268" s="18">
        <v>100</v>
      </c>
      <c r="G1268" s="18" t="s">
        <v>73</v>
      </c>
      <c r="H1268" s="335">
        <f>ROUND(($F$1267)*((F1268)/((($F$1270)*(($F$1271)/($F$1271+$F$1272)))+
(($F$1270)*(($F$1272)/($F$1271+$F$1272)))+
($F$1268)+($F$1269))),2)</f>
        <v>28.85</v>
      </c>
      <c r="I1268" s="335" t="s">
        <v>73</v>
      </c>
      <c r="J1268" s="337"/>
      <c r="K1268" s="680">
        <f t="shared" si="181"/>
        <v>605.85</v>
      </c>
      <c r="L1268" s="535"/>
      <c r="M1268" s="552" t="str">
        <f t="shared" si="184"/>
        <v/>
      </c>
      <c r="N1268" s="552"/>
      <c r="O1268" s="552" t="str">
        <f t="shared" si="185"/>
        <v/>
      </c>
      <c r="P1268" s="39"/>
    </row>
    <row r="1269" spans="1:16" x14ac:dyDescent="0.35">
      <c r="A1269" s="535" t="str">
        <f t="shared" si="186"/>
        <v/>
      </c>
      <c r="B1269" s="330"/>
      <c r="C1269" s="330"/>
      <c r="D1269" s="326" t="s">
        <v>41</v>
      </c>
      <c r="E1269" s="380" t="s">
        <v>22</v>
      </c>
      <c r="F1269" s="22">
        <v>3</v>
      </c>
      <c r="G1269" s="22" t="s">
        <v>73</v>
      </c>
      <c r="H1269" s="328">
        <f>ROUND(($F$1267)*((F1269)/((($F$1270)*(($F$1271)/($F$1271+$F$1272)))+
(($F$1270)*(($F$1272)/($F$1271+$F$1272)))+
($F$1268)+($F$1269))),2)</f>
        <v>0.87</v>
      </c>
      <c r="I1269" s="328" t="s">
        <v>73</v>
      </c>
      <c r="J1269" s="330"/>
      <c r="K1269" s="681">
        <f t="shared" si="181"/>
        <v>18.27</v>
      </c>
      <c r="L1269" s="535"/>
      <c r="M1269" s="552" t="str">
        <f t="shared" si="184"/>
        <v/>
      </c>
      <c r="N1269" s="552"/>
      <c r="O1269" s="552" t="str">
        <f t="shared" si="185"/>
        <v/>
      </c>
      <c r="P1269" s="39"/>
    </row>
    <row r="1270" spans="1:16" x14ac:dyDescent="0.35">
      <c r="A1270" s="535" t="str">
        <f t="shared" si="186"/>
        <v/>
      </c>
      <c r="B1270" s="337"/>
      <c r="C1270" s="337"/>
      <c r="D1270" s="355"/>
      <c r="E1270" s="540" t="s">
        <v>712</v>
      </c>
      <c r="F1270" s="378">
        <v>1</v>
      </c>
      <c r="G1270" s="378" t="s">
        <v>73</v>
      </c>
      <c r="H1270" s="356"/>
      <c r="I1270" s="356"/>
      <c r="J1270" s="515"/>
      <c r="K1270" s="684"/>
      <c r="L1270" s="535"/>
      <c r="M1270" s="552" t="str">
        <f t="shared" si="184"/>
        <v/>
      </c>
      <c r="N1270" s="552"/>
      <c r="O1270" s="552" t="str">
        <f t="shared" si="185"/>
        <v/>
      </c>
      <c r="P1270" s="39"/>
    </row>
    <row r="1271" spans="1:16" x14ac:dyDescent="0.35">
      <c r="A1271" s="535" t="str">
        <f t="shared" si="186"/>
        <v/>
      </c>
      <c r="B1271" s="330"/>
      <c r="C1271" s="330"/>
      <c r="D1271" s="326" t="s">
        <v>43</v>
      </c>
      <c r="E1271" s="475" t="s">
        <v>8</v>
      </c>
      <c r="F1271" s="22">
        <v>85</v>
      </c>
      <c r="G1271" s="22" t="s">
        <v>73</v>
      </c>
      <c r="H1271" s="328">
        <f>ROUND(($F$1267)*((($F$1270)*(($F$1271)/($F$1271+$F$1272)))
/((($F$1270)*(($F$1271)/($F$1271+$F$1272)))+
(($F$1270)*(($F$1272)/($F$1271+$F$1272)))+
($F$1268)+($F$1269))),2)</f>
        <v>0.25</v>
      </c>
      <c r="I1271" s="328" t="s">
        <v>73</v>
      </c>
      <c r="J1271" s="330"/>
      <c r="K1271" s="681">
        <f t="shared" si="181"/>
        <v>5.25</v>
      </c>
      <c r="L1271" s="535"/>
      <c r="M1271" s="552" t="str">
        <f t="shared" si="184"/>
        <v/>
      </c>
      <c r="N1271" s="552"/>
      <c r="O1271" s="552" t="str">
        <f t="shared" si="185"/>
        <v/>
      </c>
      <c r="P1271" s="39"/>
    </row>
    <row r="1272" spans="1:16" ht="15" thickBot="1" x14ac:dyDescent="0.4">
      <c r="A1272" s="535" t="str">
        <f t="shared" si="186"/>
        <v/>
      </c>
      <c r="B1272" s="337"/>
      <c r="C1272" s="337"/>
      <c r="D1272" s="326" t="s">
        <v>42</v>
      </c>
      <c r="E1272" s="419" t="s">
        <v>9</v>
      </c>
      <c r="F1272" s="18">
        <v>15</v>
      </c>
      <c r="G1272" s="18" t="s">
        <v>73</v>
      </c>
      <c r="H1272" s="335">
        <f>ROUND(($F$1267)*((($F$1270)*(($F$1272)/($F$1271+$F$1272)))
/((($F$1270)*(($F$1271)/($F$1271+$F$1272)))+
(($F$1270)*(($F$1272)/($F$1271+$F$1272)))+
($F$1268)+($F$1269))),2)</f>
        <v>0.04</v>
      </c>
      <c r="I1272" s="335" t="s">
        <v>73</v>
      </c>
      <c r="J1272" s="337"/>
      <c r="K1272" s="680">
        <f t="shared" si="181"/>
        <v>0.84</v>
      </c>
      <c r="L1272" s="535"/>
      <c r="M1272" s="552" t="str">
        <f t="shared" si="184"/>
        <v/>
      </c>
      <c r="N1272" s="552"/>
      <c r="O1272" s="552" t="str">
        <f t="shared" si="185"/>
        <v/>
      </c>
      <c r="P1272" s="39"/>
    </row>
    <row r="1273" spans="1:16" ht="15.5" thickTop="1" thickBot="1" x14ac:dyDescent="0.4">
      <c r="A1273" s="545" t="str">
        <f t="shared" si="186"/>
        <v/>
      </c>
      <c r="B1273" s="546"/>
      <c r="C1273" s="546"/>
      <c r="D1273" s="547"/>
      <c r="E1273" s="546"/>
      <c r="F1273" s="546"/>
      <c r="G1273" s="546"/>
      <c r="H1273" s="546"/>
      <c r="I1273" s="546"/>
      <c r="J1273" s="546"/>
      <c r="K1273" s="676"/>
      <c r="L1273" s="535"/>
      <c r="M1273" s="552" t="str">
        <f t="shared" si="184"/>
        <v/>
      </c>
      <c r="N1273" s="552"/>
      <c r="O1273" s="552" t="str">
        <f t="shared" si="185"/>
        <v/>
      </c>
      <c r="P1273" s="39"/>
    </row>
    <row r="1274" spans="1:16" ht="15" thickTop="1" x14ac:dyDescent="0.35">
      <c r="A1274" s="565">
        <f>IFERROR(INDEX($Q$17:$Q$150,MATCH(B1274,$R$17:$R$150, 0)), "")</f>
        <v>30</v>
      </c>
      <c r="B1274" s="382" t="s">
        <v>1359</v>
      </c>
      <c r="C1274" s="325" t="s">
        <v>907</v>
      </c>
      <c r="D1274" s="347" t="s">
        <v>41</v>
      </c>
      <c r="E1274" s="334" t="s">
        <v>908</v>
      </c>
      <c r="F1274" s="335">
        <v>5</v>
      </c>
      <c r="G1274" s="335" t="s">
        <v>73</v>
      </c>
      <c r="H1274" s="335">
        <v>5</v>
      </c>
      <c r="I1274" s="335" t="s">
        <v>73</v>
      </c>
      <c r="J1274" s="337"/>
      <c r="K1274" s="680">
        <f>$A$1274*H1274</f>
        <v>150</v>
      </c>
      <c r="L1274" s="535"/>
      <c r="M1274" s="552" t="str">
        <f t="shared" si="184"/>
        <v/>
      </c>
      <c r="N1274" s="552"/>
      <c r="O1274" s="552" t="str">
        <f t="shared" si="185"/>
        <v/>
      </c>
      <c r="P1274" s="39"/>
    </row>
    <row r="1275" spans="1:16" x14ac:dyDescent="0.35">
      <c r="A1275" s="535" t="str">
        <f t="shared" si="186"/>
        <v/>
      </c>
      <c r="B1275" s="330"/>
      <c r="C1275" s="330"/>
      <c r="D1275" s="326" t="s">
        <v>570</v>
      </c>
      <c r="E1275" s="327" t="s">
        <v>571</v>
      </c>
      <c r="F1275" s="328">
        <v>5</v>
      </c>
      <c r="G1275" s="328" t="s">
        <v>73</v>
      </c>
      <c r="H1275" s="328">
        <v>5</v>
      </c>
      <c r="I1275" s="328" t="s">
        <v>73</v>
      </c>
      <c r="J1275" s="330"/>
      <c r="K1275" s="681">
        <f>$A$1274*H1275</f>
        <v>150</v>
      </c>
      <c r="L1275" s="535"/>
      <c r="M1275" s="552" t="str">
        <f t="shared" si="184"/>
        <v/>
      </c>
      <c r="N1275" s="552"/>
      <c r="O1275" s="552" t="str">
        <f t="shared" si="185"/>
        <v/>
      </c>
      <c r="P1275" s="39"/>
    </row>
    <row r="1276" spans="1:16" x14ac:dyDescent="0.35">
      <c r="A1276" s="535" t="str">
        <f t="shared" si="186"/>
        <v/>
      </c>
      <c r="B1276" s="337"/>
      <c r="C1276" s="337"/>
      <c r="D1276" s="355"/>
      <c r="E1276" s="355" t="s">
        <v>806</v>
      </c>
      <c r="F1276" s="356"/>
      <c r="G1276" s="356"/>
      <c r="H1276" s="356"/>
      <c r="I1276" s="356"/>
      <c r="J1276" s="515"/>
      <c r="K1276" s="684"/>
      <c r="L1276" s="535"/>
      <c r="M1276" s="552" t="str">
        <f t="shared" si="184"/>
        <v/>
      </c>
      <c r="N1276" s="552"/>
      <c r="O1276" s="552" t="str">
        <f t="shared" si="185"/>
        <v/>
      </c>
      <c r="P1276" s="39"/>
    </row>
    <row r="1277" spans="1:16" x14ac:dyDescent="0.35">
      <c r="A1277" s="535" t="str">
        <f t="shared" si="186"/>
        <v/>
      </c>
      <c r="B1277" s="330"/>
      <c r="C1277" s="330"/>
      <c r="D1277" s="326" t="s">
        <v>505</v>
      </c>
      <c r="E1277" s="557" t="s">
        <v>709</v>
      </c>
      <c r="F1277" s="328">
        <v>3</v>
      </c>
      <c r="G1277" s="328" t="s">
        <v>73</v>
      </c>
      <c r="H1277" s="328">
        <v>3</v>
      </c>
      <c r="I1277" s="328" t="s">
        <v>73</v>
      </c>
      <c r="J1277" s="330"/>
      <c r="K1277" s="681">
        <f t="shared" ref="K1277:K1300" si="187">$A$1274*H1277</f>
        <v>90</v>
      </c>
      <c r="L1277" s="535"/>
      <c r="M1277" s="552" t="str">
        <f t="shared" si="184"/>
        <v/>
      </c>
      <c r="N1277" s="552"/>
      <c r="O1277" s="552" t="str">
        <f t="shared" si="185"/>
        <v/>
      </c>
      <c r="P1277" s="39"/>
    </row>
    <row r="1278" spans="1:16" x14ac:dyDescent="0.35">
      <c r="A1278" s="535" t="str">
        <f t="shared" si="186"/>
        <v/>
      </c>
      <c r="B1278" s="337"/>
      <c r="C1278" s="337"/>
      <c r="D1278" s="355"/>
      <c r="E1278" s="549" t="s">
        <v>909</v>
      </c>
      <c r="F1278" s="378">
        <v>160</v>
      </c>
      <c r="G1278" s="378" t="s">
        <v>73</v>
      </c>
      <c r="H1278" s="515"/>
      <c r="I1278" s="356"/>
      <c r="J1278" s="515"/>
      <c r="K1278" s="684"/>
      <c r="L1278" s="535"/>
      <c r="M1278" s="552" t="str">
        <f t="shared" si="184"/>
        <v/>
      </c>
      <c r="N1278" s="552"/>
      <c r="O1278" s="552" t="str">
        <f t="shared" si="185"/>
        <v/>
      </c>
      <c r="P1278" s="39"/>
    </row>
    <row r="1279" spans="1:16" x14ac:dyDescent="0.35">
      <c r="A1279" s="535" t="str">
        <f t="shared" si="186"/>
        <v/>
      </c>
      <c r="B1279" s="330"/>
      <c r="C1279" s="330"/>
      <c r="D1279" s="355"/>
      <c r="E1279" s="567" t="s">
        <v>754</v>
      </c>
      <c r="F1279" s="356">
        <v>250</v>
      </c>
      <c r="G1279" s="378" t="s">
        <v>73</v>
      </c>
      <c r="H1279" s="515"/>
      <c r="I1279" s="356"/>
      <c r="J1279" s="515"/>
      <c r="K1279" s="684"/>
      <c r="L1279" s="535"/>
      <c r="M1279" s="552" t="str">
        <f t="shared" si="184"/>
        <v/>
      </c>
      <c r="N1279" s="552"/>
      <c r="O1279" s="552" t="str">
        <f t="shared" si="185"/>
        <v/>
      </c>
      <c r="P1279" s="39"/>
    </row>
    <row r="1280" spans="1:16" x14ac:dyDescent="0.35">
      <c r="A1280" s="535" t="str">
        <f t="shared" si="186"/>
        <v/>
      </c>
      <c r="B1280" s="337"/>
      <c r="C1280" s="337"/>
      <c r="D1280" s="571"/>
      <c r="E1280" s="656" t="s">
        <v>81</v>
      </c>
      <c r="F1280" s="493">
        <v>1300</v>
      </c>
      <c r="G1280" s="493" t="s">
        <v>73</v>
      </c>
      <c r="H1280" s="466">
        <f>ROUND(($F$1278)*((($F$1279)*(($F$1280)/($F$1280+$F$1281+$F$1282)))
/((($F$1279)*(($F$1280)/($F$1280+$F$1281+$F$1282)))+(($F$1279)*(($F$1281)/($F$1280+$F$1281+$F$1282)))+(($F$1279)*(($F$1282)/($F$1280+$F$1281+$F$1282)))+(($F$1283)*(($F$1284)/($F$1284+$F$1285+$F$1286+$F$1287)))+(($F$1283)*(($F$1285)/($F$1284+$F$1285+$F$1286+$F$1287)))+(($F$1283)*(($F$1286)/($F$1284+$F$1285+$F$1286+$F$1287)))+(($F$1283)*(($F$1287)/($F$1284+$F$1285+$F$1286+$F$1287))))),2)</f>
        <v>86.96</v>
      </c>
      <c r="I1280" s="466"/>
      <c r="J1280" s="573"/>
      <c r="K1280" s="693"/>
      <c r="L1280" s="535"/>
      <c r="M1280" s="552" t="str">
        <f t="shared" si="184"/>
        <v/>
      </c>
      <c r="N1280" s="552"/>
      <c r="O1280" s="552" t="str">
        <f t="shared" si="185"/>
        <v/>
      </c>
      <c r="P1280" s="39"/>
    </row>
    <row r="1281" spans="1:16" x14ac:dyDescent="0.35">
      <c r="A1281" s="535" t="str">
        <f t="shared" si="186"/>
        <v/>
      </c>
      <c r="B1281" s="330"/>
      <c r="C1281" s="330"/>
      <c r="D1281" s="326" t="s">
        <v>1660</v>
      </c>
      <c r="E1281" s="495" t="s">
        <v>1897</v>
      </c>
      <c r="F1281" s="22">
        <v>1000</v>
      </c>
      <c r="G1281" s="22" t="s">
        <v>73</v>
      </c>
      <c r="H1281" s="328">
        <f>ROUND(($F$1278)*((($F$1279)*(($F$1281)/($F$1280+$F$1281+$F$1282)))
/((($F$1279)*(($F$1280)/($F$1280+$F$1281+$F$1282)))+(($F$1279)*(($F$1281)/($F$1280+$F$1281+$F$1282)))+(($F$1279)*(($F$1282)/($F$1280+$F$1281+$F$1282)))+(($F$1283)*(($F$1284)/($F$1284+$F$1285+$F$1286+$F$1287)))+(($F$1283)*(($F$1285)/($F$1284+$F$1285+$F$1286+$F$1287)))+(($F$1283)*(($F$1286)/($F$1284+$F$1285+$F$1286+$F$1287)))+(($F$1283)*(($F$1287)/($F$1284+$F$1285+$F$1286+$F$1287))))),2)</f>
        <v>66.89</v>
      </c>
      <c r="I1281" s="328" t="s">
        <v>73</v>
      </c>
      <c r="J1281" s="330"/>
      <c r="K1281" s="681">
        <f t="shared" si="187"/>
        <v>2006.7</v>
      </c>
      <c r="L1281" s="535"/>
      <c r="M1281" s="552" t="str">
        <f t="shared" si="184"/>
        <v/>
      </c>
      <c r="N1281" s="552"/>
      <c r="O1281" s="552" t="str">
        <f t="shared" si="185"/>
        <v/>
      </c>
      <c r="P1281" s="39"/>
    </row>
    <row r="1282" spans="1:16" x14ac:dyDescent="0.35">
      <c r="A1282" s="535" t="str">
        <f t="shared" si="186"/>
        <v/>
      </c>
      <c r="B1282" s="337"/>
      <c r="C1282" s="337"/>
      <c r="D1282" s="326"/>
      <c r="E1282" s="560" t="s">
        <v>753</v>
      </c>
      <c r="F1282" s="18">
        <v>0</v>
      </c>
      <c r="G1282" s="18" t="s">
        <v>73</v>
      </c>
      <c r="H1282" s="335">
        <f>ROUND(($F$1278)*((($F$1279)*(($F$1282)/($F$1280+$F$1281+$F$1282)))
/((($F$1279)*(($F$1280)/($F$1280+$F$1281+$F$1282)))+(($F$1279)*(($F$1281)/($F$1280+$F$1281+$F$1282)))+(($F$1279)*(($F$1282)/($F$1280+$F$1281+$F$1282)))+(($F$1283)*(($F$1284)/($F$1284+$F$1285+$F$1286+$F$1287)))+(($F$1283)*(($F$1285)/($F$1284+$F$1285+$F$1286+$F$1287)))+(($F$1283)*(($F$1286)/($F$1284+$F$1285+$F$1286+$F$1287)))+(($F$1283)*(($F$1287)/($F$1284+$F$1285+$F$1286+$F$1287))))),2)</f>
        <v>0</v>
      </c>
      <c r="I1282" s="335" t="s">
        <v>73</v>
      </c>
      <c r="J1282" s="337"/>
      <c r="K1282" s="680">
        <f t="shared" si="187"/>
        <v>0</v>
      </c>
      <c r="L1282" s="535"/>
      <c r="M1282" s="552" t="str">
        <f t="shared" si="184"/>
        <v/>
      </c>
      <c r="N1282" s="552"/>
      <c r="O1282" s="552" t="str">
        <f t="shared" si="185"/>
        <v/>
      </c>
      <c r="P1282" s="39"/>
    </row>
    <row r="1283" spans="1:16" x14ac:dyDescent="0.35">
      <c r="A1283" s="535" t="str">
        <f t="shared" si="186"/>
        <v/>
      </c>
      <c r="B1283" s="330"/>
      <c r="C1283" s="330"/>
      <c r="D1283" s="355"/>
      <c r="E1283" s="567" t="s">
        <v>755</v>
      </c>
      <c r="F1283" s="378">
        <v>10</v>
      </c>
      <c r="G1283" s="378" t="s">
        <v>73</v>
      </c>
      <c r="H1283" s="356"/>
      <c r="I1283" s="356"/>
      <c r="J1283" s="515"/>
      <c r="K1283" s="684"/>
      <c r="L1283" s="535"/>
      <c r="M1283" s="552" t="str">
        <f t="shared" si="184"/>
        <v/>
      </c>
      <c r="N1283" s="552"/>
      <c r="O1283" s="552" t="str">
        <f t="shared" si="185"/>
        <v/>
      </c>
      <c r="P1283" s="39"/>
    </row>
    <row r="1284" spans="1:16" x14ac:dyDescent="0.35">
      <c r="A1284" s="535" t="str">
        <f t="shared" si="186"/>
        <v/>
      </c>
      <c r="B1284" s="337"/>
      <c r="C1284" s="337"/>
      <c r="D1284" s="326" t="s">
        <v>333</v>
      </c>
      <c r="E1284" s="560" t="s">
        <v>756</v>
      </c>
      <c r="F1284" s="18">
        <v>20</v>
      </c>
      <c r="G1284" s="18" t="s">
        <v>73</v>
      </c>
      <c r="H1284" s="335">
        <f>ROUND(($F$1278)*((($F$1283)*(($F$1284)/($F$1284+$F$1285+$F$1286+$F$1287)))
/((($F$1279)*(($F$1280)/($F$1280+$F$1281+$F$1282)))+(($F$1279)*(($F$1281)/($F$1280+$F$1281+$F$1282)))+(($F$1279)*(($F$1282)/($F$1280+$F$1281+$F$1282)))+(($F$1283)*(($F$1284)/($F$1284+$F$1285+$F$1286+$F$1287)))+(($F$1283)*(($F$1285)/($F$1284+$F$1285+$F$1286+$F$1287)))+(($F$1283)*(($F$1286)/($F$1284+$F$1285+$F$1286+$F$1287)))+(($F$1283)*(($F$1287)/($F$1284+$F$1285+$F$1286+$F$1287))))),2)</f>
        <v>0.51</v>
      </c>
      <c r="I1284" s="335" t="s">
        <v>73</v>
      </c>
      <c r="J1284" s="337"/>
      <c r="K1284" s="680">
        <f t="shared" si="187"/>
        <v>15.3</v>
      </c>
      <c r="L1284" s="535"/>
      <c r="M1284" s="552" t="str">
        <f t="shared" si="184"/>
        <v/>
      </c>
      <c r="N1284" s="552"/>
      <c r="O1284" s="552" t="str">
        <f t="shared" si="185"/>
        <v/>
      </c>
      <c r="P1284" s="39"/>
    </row>
    <row r="1285" spans="1:16" x14ac:dyDescent="0.35">
      <c r="A1285" s="535" t="str">
        <f t="shared" si="186"/>
        <v/>
      </c>
      <c r="B1285" s="330"/>
      <c r="C1285" s="330"/>
      <c r="D1285" s="326" t="s">
        <v>43</v>
      </c>
      <c r="E1285" s="495" t="s">
        <v>105</v>
      </c>
      <c r="F1285" s="22">
        <v>20</v>
      </c>
      <c r="G1285" s="22" t="s">
        <v>73</v>
      </c>
      <c r="H1285" s="328">
        <f>ROUND(($F$1278)*((($F$1283)*(($F$1285)/($F$1284+$F$1285+$F$1286+$F$1287)))
/((($F$1279)*(($F$1280)/($F$1280+$F$1281+$F$1282)))+(($F$1279)*(($F$1281)/($F$1280+$F$1281+$F$1282)))+(($F$1279)*(($F$1282)/($F$1280+$F$1281+$F$1282)))+(($F$1283)*(($F$1284)/($F$1284+$F$1285+$F$1286+$F$1287)))+(($F$1283)*(($F$1285)/($F$1284+$F$1285+$F$1286+$F$1287)))+(($F$1283)*(($F$1286)/($F$1284+$F$1285+$F$1286+$F$1287)))+(($F$1283)*(($F$1287)/($F$1284+$F$1285+$F$1286+$F$1287))))),2)</f>
        <v>0.51</v>
      </c>
      <c r="I1285" s="328" t="s">
        <v>73</v>
      </c>
      <c r="J1285" s="330"/>
      <c r="K1285" s="681">
        <f t="shared" si="187"/>
        <v>15.3</v>
      </c>
      <c r="L1285" s="535"/>
      <c r="M1285" s="552" t="str">
        <f t="shared" si="184"/>
        <v/>
      </c>
      <c r="N1285" s="552"/>
      <c r="O1285" s="552" t="str">
        <f t="shared" si="185"/>
        <v/>
      </c>
      <c r="P1285" s="39"/>
    </row>
    <row r="1286" spans="1:16" x14ac:dyDescent="0.35">
      <c r="A1286" s="535" t="str">
        <f t="shared" si="186"/>
        <v/>
      </c>
      <c r="B1286" s="337"/>
      <c r="C1286" s="337"/>
      <c r="D1286" s="326" t="s">
        <v>42</v>
      </c>
      <c r="E1286" s="560" t="s">
        <v>66</v>
      </c>
      <c r="F1286" s="18">
        <v>2</v>
      </c>
      <c r="G1286" s="18" t="s">
        <v>73</v>
      </c>
      <c r="H1286" s="335">
        <f>ROUND(($F$1278)*((($F$1283)*(($F$1286)/($F$1284+$F$1285+$F$1286+$F$1287)))
/((($F$1279)*(($F$1280)/($F$1280+$F$1281+$F$1282)))+(($F$1279)*(($F$1281)/($F$1280+$F$1281+$F$1282)))+(($F$1279)*(($F$1282)/($F$1280+$F$1281+$F$1282)))+(($F$1283)*(($F$1284)/($F$1284+$F$1285+$F$1286+$F$1287)))+(($F$1283)*(($F$1285)/($F$1284+$F$1285+$F$1286+$F$1287)))+(($F$1283)*(($F$1286)/($F$1284+$F$1285+$F$1286+$F$1287)))+(($F$1283)*(($F$1287)/($F$1284+$F$1285+$F$1286+$F$1287))))),2)</f>
        <v>0.05</v>
      </c>
      <c r="I1286" s="335" t="s">
        <v>73</v>
      </c>
      <c r="J1286" s="337"/>
      <c r="K1286" s="680">
        <f t="shared" si="187"/>
        <v>1.5</v>
      </c>
      <c r="L1286" s="535"/>
      <c r="M1286" s="552" t="str">
        <f t="shared" si="184"/>
        <v/>
      </c>
      <c r="N1286" s="552"/>
      <c r="O1286" s="552" t="str">
        <f t="shared" si="185"/>
        <v/>
      </c>
      <c r="P1286" s="39"/>
    </row>
    <row r="1287" spans="1:16" x14ac:dyDescent="0.35">
      <c r="A1287" s="535" t="str">
        <f t="shared" si="186"/>
        <v/>
      </c>
      <c r="B1287" s="330"/>
      <c r="C1287" s="330"/>
      <c r="D1287" s="571"/>
      <c r="E1287" s="656" t="s">
        <v>81</v>
      </c>
      <c r="F1287" s="493">
        <v>200</v>
      </c>
      <c r="G1287" s="493" t="s">
        <v>73</v>
      </c>
      <c r="H1287" s="466">
        <f>ROUND(($F$1278)*((($F$1283)*(($F$1287)/($F$1284+$F$1285+$F$1286+$F$1287)))
/((($F$1279)*(($F$1280)/($F$1280+$F$1281+$F$1282)))+(($F$1279)*(($F$1281)/($F$1280+$F$1281+$F$1282)))+(($F$1279)*(($F$1282)/($F$1280+$F$1281+$F$1282)))+(($F$1283)*(($F$1284)/($F$1284+$F$1285+$F$1286+$F$1287)))+(($F$1283)*(($F$1285)/($F$1284+$F$1285+$F$1286+$F$1287)))+(($F$1283)*(($F$1286)/($F$1284+$F$1285+$F$1286+$F$1287)))+(($F$1283)*(($F$1287)/($F$1284+$F$1285+$F$1286+$F$1287))))),2)</f>
        <v>5.09</v>
      </c>
      <c r="I1287" s="466"/>
      <c r="J1287" s="573"/>
      <c r="K1287" s="693"/>
      <c r="L1287" s="535"/>
      <c r="M1287" s="552" t="str">
        <f t="shared" si="184"/>
        <v/>
      </c>
      <c r="N1287" s="552"/>
      <c r="O1287" s="552" t="str">
        <f t="shared" si="185"/>
        <v/>
      </c>
      <c r="P1287" s="39"/>
    </row>
    <row r="1288" spans="1:16" x14ac:dyDescent="0.35">
      <c r="A1288" s="535" t="str">
        <f t="shared" si="186"/>
        <v/>
      </c>
      <c r="B1288" s="337"/>
      <c r="C1288" s="337"/>
      <c r="D1288" s="355"/>
      <c r="E1288" s="549" t="s">
        <v>774</v>
      </c>
      <c r="F1288" s="378">
        <v>20</v>
      </c>
      <c r="G1288" s="378" t="s">
        <v>73</v>
      </c>
      <c r="H1288" s="515"/>
      <c r="I1288" s="356"/>
      <c r="J1288" s="515"/>
      <c r="K1288" s="684"/>
      <c r="L1288" s="535"/>
      <c r="M1288" s="552" t="str">
        <f t="shared" si="184"/>
        <v/>
      </c>
      <c r="N1288" s="552"/>
      <c r="O1288" s="552" t="str">
        <f t="shared" si="185"/>
        <v/>
      </c>
      <c r="P1288" s="39"/>
    </row>
    <row r="1289" spans="1:16" x14ac:dyDescent="0.35">
      <c r="A1289" s="535" t="str">
        <f t="shared" si="186"/>
        <v/>
      </c>
      <c r="B1289" s="330"/>
      <c r="C1289" s="330"/>
      <c r="D1289" s="571"/>
      <c r="E1289" s="572" t="s">
        <v>81</v>
      </c>
      <c r="F1289" s="493">
        <v>600</v>
      </c>
      <c r="G1289" s="493" t="s">
        <v>73</v>
      </c>
      <c r="H1289" s="573"/>
      <c r="I1289" s="466"/>
      <c r="J1289" s="573"/>
      <c r="K1289" s="693"/>
      <c r="L1289" s="535"/>
      <c r="M1289" s="552" t="str">
        <f t="shared" si="184"/>
        <v/>
      </c>
      <c r="N1289" s="552"/>
      <c r="O1289" s="552" t="str">
        <f t="shared" si="185"/>
        <v/>
      </c>
      <c r="P1289" s="39"/>
    </row>
    <row r="1290" spans="1:16" x14ac:dyDescent="0.35">
      <c r="A1290" s="535" t="str">
        <f t="shared" si="186"/>
        <v/>
      </c>
      <c r="B1290" s="337"/>
      <c r="C1290" s="337"/>
      <c r="D1290" s="326" t="s">
        <v>529</v>
      </c>
      <c r="E1290" s="360" t="s">
        <v>775</v>
      </c>
      <c r="F1290" s="18">
        <v>16</v>
      </c>
      <c r="G1290" s="18" t="s">
        <v>73</v>
      </c>
      <c r="H1290" s="335">
        <f>ROUND(($F$1288)*(($F$1290)/((($F$1292)*(($F$1294)/($F$1293+$F$1294)))+(($F$1292)*(($F$1293)/($F$1293+$F$1294)))
+($F$1295)+($F$1290)+($F$1291))),2)</f>
        <v>1.01</v>
      </c>
      <c r="I1290" s="335" t="s">
        <v>73</v>
      </c>
      <c r="J1290" s="337"/>
      <c r="K1290" s="680">
        <f t="shared" si="187"/>
        <v>30.3</v>
      </c>
      <c r="L1290" s="535"/>
      <c r="M1290" s="552" t="str">
        <f t="shared" si="184"/>
        <v/>
      </c>
      <c r="N1290" s="552"/>
      <c r="O1290" s="552" t="str">
        <f t="shared" si="185"/>
        <v/>
      </c>
      <c r="P1290" s="39"/>
    </row>
    <row r="1291" spans="1:16" x14ac:dyDescent="0.35">
      <c r="A1291" s="535" t="str">
        <f t="shared" si="186"/>
        <v/>
      </c>
      <c r="B1291" s="330"/>
      <c r="C1291" s="330"/>
      <c r="D1291" s="326" t="s">
        <v>333</v>
      </c>
      <c r="E1291" s="366" t="s">
        <v>756</v>
      </c>
      <c r="F1291" s="22">
        <v>70</v>
      </c>
      <c r="G1291" s="22" t="s">
        <v>73</v>
      </c>
      <c r="H1291" s="328">
        <f>ROUND(($F$1288)*(($F$1291)/((($F$1292)*(($F$1294)/($F$1293+$F$1294)))+(($F$1292)*(($F$1293)/($F$1293+$F$1294)))
+($F$1295)+($F$1290)+($F$1291))),2)</f>
        <v>4.43</v>
      </c>
      <c r="I1291" s="328" t="s">
        <v>73</v>
      </c>
      <c r="J1291" s="330"/>
      <c r="K1291" s="681">
        <f t="shared" si="187"/>
        <v>132.89999999999998</v>
      </c>
      <c r="L1291" s="535"/>
      <c r="M1291" s="552" t="str">
        <f t="shared" si="184"/>
        <v/>
      </c>
      <c r="N1291" s="552"/>
      <c r="O1291" s="552" t="str">
        <f t="shared" si="185"/>
        <v/>
      </c>
      <c r="P1291" s="39"/>
    </row>
    <row r="1292" spans="1:16" x14ac:dyDescent="0.35">
      <c r="A1292" s="535" t="str">
        <f t="shared" si="186"/>
        <v/>
      </c>
      <c r="B1292" s="337"/>
      <c r="C1292" s="337"/>
      <c r="D1292" s="355"/>
      <c r="E1292" s="567" t="s">
        <v>776</v>
      </c>
      <c r="F1292" s="378">
        <v>200</v>
      </c>
      <c r="G1292" s="378" t="s">
        <v>73</v>
      </c>
      <c r="H1292" s="356"/>
      <c r="I1292" s="356"/>
      <c r="J1292" s="515"/>
      <c r="K1292" s="684"/>
      <c r="L1292" s="535"/>
      <c r="M1292" s="552" t="str">
        <f t="shared" si="184"/>
        <v/>
      </c>
      <c r="N1292" s="552"/>
      <c r="O1292" s="552" t="str">
        <f t="shared" si="185"/>
        <v/>
      </c>
      <c r="P1292" s="39"/>
    </row>
    <row r="1293" spans="1:16" x14ac:dyDescent="0.35">
      <c r="A1293" s="535" t="str">
        <f t="shared" si="186"/>
        <v/>
      </c>
      <c r="B1293" s="330"/>
      <c r="C1293" s="330"/>
      <c r="D1293" s="326" t="s">
        <v>377</v>
      </c>
      <c r="E1293" s="495" t="s">
        <v>777</v>
      </c>
      <c r="F1293" s="22">
        <v>500</v>
      </c>
      <c r="G1293" s="22" t="s">
        <v>73</v>
      </c>
      <c r="H1293" s="328">
        <f>ROUND(($F$1288)*((($F$1292)*(($F$1293)/($F$1293+$F$1294)))
/((($F$1292)*(($F$1294)/($F$1293+$F$1294)))+(($F$1292)*(($F$1293)/($F$1293+$F$1294)))
+($F$1295)+($F$1290)+($F$1291))),2)</f>
        <v>12.41</v>
      </c>
      <c r="I1293" s="328" t="s">
        <v>73</v>
      </c>
      <c r="J1293" s="330"/>
      <c r="K1293" s="681">
        <f t="shared" si="187"/>
        <v>372.3</v>
      </c>
      <c r="L1293" s="535"/>
      <c r="M1293" s="552" t="str">
        <f t="shared" si="184"/>
        <v/>
      </c>
      <c r="N1293" s="552"/>
      <c r="O1293" s="552" t="str">
        <f t="shared" si="185"/>
        <v/>
      </c>
      <c r="P1293" s="39"/>
    </row>
    <row r="1294" spans="1:16" x14ac:dyDescent="0.35">
      <c r="A1294" s="535" t="str">
        <f t="shared" si="186"/>
        <v/>
      </c>
      <c r="B1294" s="337"/>
      <c r="C1294" s="337"/>
      <c r="D1294" s="326" t="s">
        <v>43</v>
      </c>
      <c r="E1294" s="560" t="s">
        <v>105</v>
      </c>
      <c r="F1294" s="18">
        <v>10</v>
      </c>
      <c r="G1294" s="18" t="s">
        <v>73</v>
      </c>
      <c r="H1294" s="335">
        <f>ROUND(($F$1288)*((($F$1292)*(($F$1294)/($F$1293+$F$1294)))
/((($F$1292)*(($F$1294)/($F$1293+$F$1294)))+(($F$1292)*(($F$1293)/($F$1293+$F$1294)))
+($F$1295)+($F$1290)+($F$1291))),2)</f>
        <v>0.25</v>
      </c>
      <c r="I1294" s="335" t="s">
        <v>73</v>
      </c>
      <c r="J1294" s="337"/>
      <c r="K1294" s="680">
        <f t="shared" si="187"/>
        <v>7.5</v>
      </c>
      <c r="L1294" s="535"/>
      <c r="M1294" s="552" t="str">
        <f t="shared" si="184"/>
        <v/>
      </c>
      <c r="N1294" s="552"/>
      <c r="O1294" s="552" t="str">
        <f t="shared" si="185"/>
        <v/>
      </c>
      <c r="P1294" s="39"/>
    </row>
    <row r="1295" spans="1:16" x14ac:dyDescent="0.35">
      <c r="A1295" s="535" t="str">
        <f t="shared" si="186"/>
        <v/>
      </c>
      <c r="B1295" s="330"/>
      <c r="C1295" s="330"/>
      <c r="D1295" s="326" t="s">
        <v>389</v>
      </c>
      <c r="E1295" s="366" t="s">
        <v>778</v>
      </c>
      <c r="F1295" s="22">
        <v>30</v>
      </c>
      <c r="G1295" s="22" t="s">
        <v>73</v>
      </c>
      <c r="H1295" s="328">
        <f>ROUND(($F$1288)*(($F$1295)/((($F$1292)*(($F$1294)/($F$1293+$F$1294)))+(($F$1292)*(($F$1293)/($F$1293+$F$1294)))
+($F$1295)+($F$1290)+($F$1291))),2)</f>
        <v>1.9</v>
      </c>
      <c r="I1295" s="328" t="s">
        <v>73</v>
      </c>
      <c r="J1295" s="330"/>
      <c r="K1295" s="681">
        <f t="shared" si="187"/>
        <v>57</v>
      </c>
      <c r="L1295" s="535"/>
      <c r="M1295" s="552" t="str">
        <f t="shared" si="184"/>
        <v/>
      </c>
      <c r="N1295" s="552"/>
      <c r="O1295" s="552" t="str">
        <f t="shared" si="185"/>
        <v/>
      </c>
      <c r="P1295" s="39"/>
    </row>
    <row r="1296" spans="1:16" x14ac:dyDescent="0.35">
      <c r="A1296" s="535" t="str">
        <f t="shared" si="186"/>
        <v/>
      </c>
      <c r="B1296" s="337"/>
      <c r="C1296" s="337"/>
      <c r="D1296" s="355"/>
      <c r="E1296" s="549" t="s">
        <v>785</v>
      </c>
      <c r="F1296" s="378">
        <v>10</v>
      </c>
      <c r="G1296" s="378"/>
      <c r="H1296" s="515"/>
      <c r="I1296" s="356"/>
      <c r="J1296" s="515"/>
      <c r="K1296" s="684"/>
      <c r="L1296" s="535"/>
      <c r="M1296" s="552" t="str">
        <f t="shared" si="184"/>
        <v/>
      </c>
      <c r="N1296" s="552"/>
      <c r="O1296" s="552" t="str">
        <f t="shared" si="185"/>
        <v/>
      </c>
      <c r="P1296" s="39"/>
    </row>
    <row r="1297" spans="1:16" x14ac:dyDescent="0.35">
      <c r="A1297" s="535" t="str">
        <f t="shared" si="186"/>
        <v/>
      </c>
      <c r="B1297" s="330"/>
      <c r="C1297" s="330"/>
      <c r="D1297" s="355"/>
      <c r="E1297" s="549" t="s">
        <v>780</v>
      </c>
      <c r="F1297" s="378">
        <v>250</v>
      </c>
      <c r="G1297" s="378" t="s">
        <v>73</v>
      </c>
      <c r="H1297" s="515"/>
      <c r="I1297" s="356"/>
      <c r="J1297" s="515"/>
      <c r="K1297" s="684"/>
      <c r="L1297" s="535"/>
      <c r="M1297" s="552" t="str">
        <f t="shared" si="184"/>
        <v/>
      </c>
      <c r="N1297" s="552"/>
      <c r="O1297" s="552" t="str">
        <f t="shared" si="185"/>
        <v/>
      </c>
      <c r="P1297" s="39"/>
    </row>
    <row r="1298" spans="1:16" x14ac:dyDescent="0.35">
      <c r="A1298" s="535" t="str">
        <f t="shared" si="186"/>
        <v/>
      </c>
      <c r="B1298" s="337"/>
      <c r="C1298" s="337"/>
      <c r="D1298" s="326" t="s">
        <v>1068</v>
      </c>
      <c r="E1298" s="360" t="s">
        <v>1069</v>
      </c>
      <c r="F1298" s="18">
        <v>60</v>
      </c>
      <c r="G1298" s="18" t="s">
        <v>73</v>
      </c>
      <c r="H1298" s="335">
        <f>ROUND(($F$1296)*((($F$1297)*(($F$1298)/($F$1298+$F$1299)))
/((($F$1297)*(($F$1298)/($F$1298+$F$1299)))+(($F$1297)*(($F$1299)/($F$1298+$F$1299)))
+($F$1300))),2)</f>
        <v>3.92</v>
      </c>
      <c r="I1298" s="335" t="s">
        <v>73</v>
      </c>
      <c r="J1298" s="337"/>
      <c r="K1298" s="680">
        <f t="shared" si="187"/>
        <v>117.6</v>
      </c>
      <c r="L1298" s="535"/>
      <c r="M1298" s="552" t="str">
        <f t="shared" si="184"/>
        <v/>
      </c>
      <c r="N1298" s="552"/>
      <c r="O1298" s="552" t="str">
        <f t="shared" si="185"/>
        <v/>
      </c>
      <c r="P1298" s="39"/>
    </row>
    <row r="1299" spans="1:16" x14ac:dyDescent="0.35">
      <c r="A1299" s="535" t="str">
        <f t="shared" si="186"/>
        <v/>
      </c>
      <c r="B1299" s="330"/>
      <c r="C1299" s="330"/>
      <c r="D1299" s="571"/>
      <c r="E1299" s="572" t="s">
        <v>81</v>
      </c>
      <c r="F1299" s="493">
        <v>90</v>
      </c>
      <c r="G1299" s="493" t="s">
        <v>73</v>
      </c>
      <c r="H1299" s="466">
        <f>ROUND(($F$1296)*((($F$1297)*(($F$1299)/($F$1298+$F$1299)))
/((($F$1297)*(($F$1298)/($F$1298+$F$1299)))+(($F$1297)*(($F$1299)/($F$1298+$F$1299)))
+($F$1300))),2)</f>
        <v>5.88</v>
      </c>
      <c r="I1299" s="466"/>
      <c r="J1299" s="573"/>
      <c r="K1299" s="693"/>
      <c r="L1299" s="535"/>
      <c r="M1299" s="552" t="str">
        <f t="shared" si="184"/>
        <v/>
      </c>
      <c r="N1299" s="552"/>
      <c r="O1299" s="552" t="str">
        <f t="shared" si="185"/>
        <v/>
      </c>
      <c r="P1299" s="39"/>
    </row>
    <row r="1300" spans="1:16" ht="15" thickBot="1" x14ac:dyDescent="0.4">
      <c r="A1300" s="535" t="str">
        <f t="shared" si="186"/>
        <v/>
      </c>
      <c r="B1300" s="337"/>
      <c r="C1300" s="337"/>
      <c r="D1300" s="326" t="s">
        <v>40</v>
      </c>
      <c r="E1300" s="578" t="s">
        <v>104</v>
      </c>
      <c r="F1300" s="458">
        <v>5</v>
      </c>
      <c r="G1300" s="458" t="s">
        <v>73</v>
      </c>
      <c r="H1300" s="335">
        <f>ROUND(($F$1296)*(($F$1300)/((($F$1297)*(($F$1298)/($F$1298+$F$1299)))+(($F$1297)*(($F$1299)/($F$1298+$F$1299)))
+($F$1300))),2)</f>
        <v>0.2</v>
      </c>
      <c r="I1300" s="335" t="s">
        <v>73</v>
      </c>
      <c r="J1300" s="337"/>
      <c r="K1300" s="680">
        <f t="shared" si="187"/>
        <v>6</v>
      </c>
      <c r="L1300" s="535"/>
      <c r="M1300" s="552" t="str">
        <f t="shared" si="184"/>
        <v/>
      </c>
      <c r="N1300" s="552"/>
      <c r="O1300" s="552" t="str">
        <f t="shared" si="185"/>
        <v/>
      </c>
      <c r="P1300" s="39"/>
    </row>
    <row r="1301" spans="1:16" ht="15.5" thickTop="1" thickBot="1" x14ac:dyDescent="0.4">
      <c r="A1301" s="545" t="str">
        <f t="shared" si="186"/>
        <v/>
      </c>
      <c r="B1301" s="546"/>
      <c r="C1301" s="546"/>
      <c r="D1301" s="547"/>
      <c r="E1301" s="546"/>
      <c r="F1301" s="546"/>
      <c r="G1301" s="546"/>
      <c r="H1301" s="546"/>
      <c r="I1301" s="546"/>
      <c r="J1301" s="546"/>
      <c r="K1301" s="676"/>
      <c r="L1301" s="535"/>
      <c r="M1301" s="552" t="str">
        <f t="shared" si="184"/>
        <v/>
      </c>
      <c r="N1301" s="552"/>
      <c r="O1301" s="552" t="str">
        <f t="shared" si="185"/>
        <v/>
      </c>
      <c r="P1301" s="39"/>
    </row>
    <row r="1302" spans="1:16" ht="15" thickTop="1" x14ac:dyDescent="0.35">
      <c r="A1302" s="565">
        <f>IFERROR(INDEX($Q$17:$Q$150,MATCH(B1302,$R$17:$R$150, 0)), "")</f>
        <v>45</v>
      </c>
      <c r="B1302" s="382" t="s">
        <v>1346</v>
      </c>
      <c r="C1302" s="325" t="s">
        <v>910</v>
      </c>
      <c r="D1302" s="347" t="s">
        <v>47</v>
      </c>
      <c r="E1302" s="334" t="s">
        <v>740</v>
      </c>
      <c r="F1302" s="18">
        <v>3</v>
      </c>
      <c r="G1302" s="18" t="s">
        <v>73</v>
      </c>
      <c r="H1302" s="18">
        <v>3</v>
      </c>
      <c r="I1302" s="18" t="s">
        <v>73</v>
      </c>
      <c r="J1302" s="337"/>
      <c r="K1302" s="680">
        <f>$A$1302*H1302</f>
        <v>135</v>
      </c>
      <c r="L1302" s="535"/>
      <c r="M1302" s="552" t="str">
        <f t="shared" si="184"/>
        <v/>
      </c>
      <c r="N1302" s="552"/>
      <c r="O1302" s="552" t="str">
        <f t="shared" si="185"/>
        <v/>
      </c>
      <c r="P1302" s="39"/>
    </row>
    <row r="1303" spans="1:16" x14ac:dyDescent="0.35">
      <c r="A1303" s="535" t="str">
        <f t="shared" si="186"/>
        <v/>
      </c>
      <c r="B1303" s="330"/>
      <c r="C1303" s="330"/>
      <c r="D1303" s="326" t="s">
        <v>49</v>
      </c>
      <c r="E1303" s="327" t="s">
        <v>916</v>
      </c>
      <c r="F1303" s="22">
        <v>8</v>
      </c>
      <c r="G1303" s="22" t="s">
        <v>73</v>
      </c>
      <c r="H1303" s="22">
        <v>8</v>
      </c>
      <c r="I1303" s="22" t="s">
        <v>73</v>
      </c>
      <c r="J1303" s="330"/>
      <c r="K1303" s="681">
        <f t="shared" ref="K1303:K1319" si="188">$A$1302*H1303</f>
        <v>360</v>
      </c>
      <c r="L1303" s="535"/>
      <c r="M1303" s="552" t="str">
        <f t="shared" si="184"/>
        <v/>
      </c>
      <c r="N1303" s="552"/>
      <c r="O1303" s="552" t="str">
        <f t="shared" si="185"/>
        <v/>
      </c>
      <c r="P1303" s="39"/>
    </row>
    <row r="1304" spans="1:16" x14ac:dyDescent="0.35">
      <c r="A1304" s="535" t="str">
        <f t="shared" si="186"/>
        <v/>
      </c>
      <c r="B1304" s="337"/>
      <c r="C1304" s="337"/>
      <c r="D1304" s="326" t="s">
        <v>50</v>
      </c>
      <c r="E1304" s="334" t="s">
        <v>917</v>
      </c>
      <c r="F1304" s="18">
        <v>40</v>
      </c>
      <c r="G1304" s="18" t="s">
        <v>73</v>
      </c>
      <c r="H1304" s="18">
        <v>40</v>
      </c>
      <c r="I1304" s="18" t="s">
        <v>73</v>
      </c>
      <c r="J1304" s="337"/>
      <c r="K1304" s="680">
        <f t="shared" si="188"/>
        <v>1800</v>
      </c>
      <c r="L1304" s="535"/>
      <c r="M1304" s="552" t="str">
        <f t="shared" si="184"/>
        <v/>
      </c>
      <c r="N1304" s="552"/>
      <c r="O1304" s="552" t="str">
        <f t="shared" si="185"/>
        <v/>
      </c>
      <c r="P1304" s="39"/>
    </row>
    <row r="1305" spans="1:16" x14ac:dyDescent="0.35">
      <c r="A1305" s="535" t="str">
        <f t="shared" si="186"/>
        <v/>
      </c>
      <c r="B1305" s="330"/>
      <c r="C1305" s="330"/>
      <c r="D1305" s="326" t="s">
        <v>371</v>
      </c>
      <c r="E1305" s="327" t="s">
        <v>918</v>
      </c>
      <c r="F1305" s="22">
        <v>20</v>
      </c>
      <c r="G1305" s="22" t="s">
        <v>73</v>
      </c>
      <c r="H1305" s="22">
        <v>20</v>
      </c>
      <c r="I1305" s="22" t="s">
        <v>73</v>
      </c>
      <c r="J1305" s="330"/>
      <c r="K1305" s="681">
        <f t="shared" si="188"/>
        <v>900</v>
      </c>
      <c r="L1305" s="535"/>
      <c r="M1305" s="552" t="str">
        <f t="shared" si="184"/>
        <v/>
      </c>
      <c r="N1305" s="552"/>
      <c r="O1305" s="552" t="str">
        <f t="shared" si="185"/>
        <v/>
      </c>
      <c r="P1305" s="39"/>
    </row>
    <row r="1306" spans="1:16" x14ac:dyDescent="0.35">
      <c r="A1306" s="535" t="str">
        <f t="shared" si="186"/>
        <v/>
      </c>
      <c r="B1306" s="337"/>
      <c r="C1306" s="337"/>
      <c r="D1306" s="326" t="s">
        <v>379</v>
      </c>
      <c r="E1306" s="334" t="s">
        <v>919</v>
      </c>
      <c r="F1306" s="18">
        <v>10</v>
      </c>
      <c r="G1306" s="18" t="s">
        <v>73</v>
      </c>
      <c r="H1306" s="18">
        <v>10</v>
      </c>
      <c r="I1306" s="18" t="s">
        <v>73</v>
      </c>
      <c r="J1306" s="337"/>
      <c r="K1306" s="680">
        <f t="shared" si="188"/>
        <v>450</v>
      </c>
      <c r="L1306" s="535"/>
      <c r="M1306" s="552" t="str">
        <f t="shared" si="184"/>
        <v/>
      </c>
      <c r="N1306" s="552"/>
      <c r="O1306" s="552" t="str">
        <f t="shared" si="185"/>
        <v/>
      </c>
      <c r="P1306" s="39"/>
    </row>
    <row r="1307" spans="1:16" x14ac:dyDescent="0.35">
      <c r="A1307" s="535" t="str">
        <f t="shared" si="186"/>
        <v/>
      </c>
      <c r="B1307" s="330"/>
      <c r="C1307" s="330"/>
      <c r="D1307" s="326" t="s">
        <v>505</v>
      </c>
      <c r="E1307" s="327" t="s">
        <v>722</v>
      </c>
      <c r="F1307" s="22">
        <v>0.5</v>
      </c>
      <c r="G1307" s="22" t="s">
        <v>73</v>
      </c>
      <c r="H1307" s="22">
        <v>0.5</v>
      </c>
      <c r="I1307" s="22" t="s">
        <v>73</v>
      </c>
      <c r="J1307" s="330"/>
      <c r="K1307" s="681">
        <f t="shared" si="188"/>
        <v>22.5</v>
      </c>
      <c r="L1307" s="535"/>
      <c r="M1307" s="552" t="str">
        <f t="shared" si="184"/>
        <v/>
      </c>
      <c r="N1307" s="552"/>
      <c r="O1307" s="552" t="str">
        <f t="shared" si="185"/>
        <v/>
      </c>
      <c r="P1307" s="39"/>
    </row>
    <row r="1308" spans="1:16" x14ac:dyDescent="0.35">
      <c r="A1308" s="535" t="str">
        <f t="shared" si="186"/>
        <v/>
      </c>
      <c r="B1308" s="337"/>
      <c r="C1308" s="337"/>
      <c r="D1308" s="326" t="s">
        <v>41</v>
      </c>
      <c r="E1308" s="334" t="s">
        <v>911</v>
      </c>
      <c r="F1308" s="18">
        <v>2</v>
      </c>
      <c r="G1308" s="18" t="s">
        <v>73</v>
      </c>
      <c r="H1308" s="18">
        <v>2</v>
      </c>
      <c r="I1308" s="18" t="s">
        <v>73</v>
      </c>
      <c r="J1308" s="337"/>
      <c r="K1308" s="680">
        <f t="shared" si="188"/>
        <v>90</v>
      </c>
      <c r="L1308" s="535"/>
      <c r="M1308" s="552" t="str">
        <f t="shared" si="184"/>
        <v/>
      </c>
      <c r="N1308" s="552"/>
      <c r="O1308" s="552" t="str">
        <f t="shared" si="185"/>
        <v/>
      </c>
      <c r="P1308" s="39"/>
    </row>
    <row r="1309" spans="1:16" x14ac:dyDescent="0.35">
      <c r="A1309" s="535" t="str">
        <f t="shared" si="186"/>
        <v/>
      </c>
      <c r="B1309" s="330"/>
      <c r="C1309" s="330"/>
      <c r="D1309" s="326" t="s">
        <v>127</v>
      </c>
      <c r="E1309" s="327" t="s">
        <v>912</v>
      </c>
      <c r="F1309" s="22">
        <v>28</v>
      </c>
      <c r="G1309" s="22" t="s">
        <v>73</v>
      </c>
      <c r="H1309" s="22">
        <v>28</v>
      </c>
      <c r="I1309" s="22" t="s">
        <v>73</v>
      </c>
      <c r="J1309" s="330"/>
      <c r="K1309" s="681">
        <f t="shared" si="188"/>
        <v>1260</v>
      </c>
      <c r="L1309" s="535"/>
      <c r="M1309" s="552" t="str">
        <f t="shared" si="184"/>
        <v/>
      </c>
      <c r="N1309" s="552"/>
      <c r="O1309" s="552" t="str">
        <f t="shared" si="185"/>
        <v/>
      </c>
      <c r="P1309" s="39"/>
    </row>
    <row r="1310" spans="1:16" x14ac:dyDescent="0.35">
      <c r="A1310" s="593" t="str">
        <f>IFERROR(INDEX($Q$17:$Q$41,MATCH(B1310,$R$17:$R$41, 0)), "")</f>
        <v/>
      </c>
      <c r="B1310" s="337"/>
      <c r="C1310" s="337"/>
      <c r="D1310" s="326" t="s">
        <v>549</v>
      </c>
      <c r="E1310" s="334" t="s">
        <v>915</v>
      </c>
      <c r="F1310" s="18">
        <v>165</v>
      </c>
      <c r="G1310" s="18" t="s">
        <v>73</v>
      </c>
      <c r="H1310" s="18">
        <v>165</v>
      </c>
      <c r="I1310" s="18" t="s">
        <v>73</v>
      </c>
      <c r="J1310" s="337"/>
      <c r="K1310" s="680">
        <f t="shared" si="188"/>
        <v>7425</v>
      </c>
      <c r="L1310" s="535"/>
      <c r="M1310" s="552" t="str">
        <f t="shared" si="184"/>
        <v/>
      </c>
      <c r="N1310" s="552"/>
      <c r="O1310" s="552" t="str">
        <f t="shared" si="185"/>
        <v/>
      </c>
      <c r="P1310" s="39"/>
    </row>
    <row r="1311" spans="1:16" x14ac:dyDescent="0.35">
      <c r="A1311" s="535" t="str">
        <f t="shared" si="186"/>
        <v/>
      </c>
      <c r="B1311" s="330"/>
      <c r="C1311" s="330"/>
      <c r="D1311" s="355"/>
      <c r="E1311" s="355" t="s">
        <v>913</v>
      </c>
      <c r="F1311" s="378">
        <v>70</v>
      </c>
      <c r="G1311" s="378" t="s">
        <v>73</v>
      </c>
      <c r="H1311" s="356"/>
      <c r="I1311" s="378"/>
      <c r="J1311" s="515"/>
      <c r="K1311" s="684"/>
      <c r="L1311" s="535"/>
      <c r="M1311" s="552" t="str">
        <f t="shared" si="184"/>
        <v/>
      </c>
      <c r="N1311" s="552"/>
      <c r="O1311" s="552" t="str">
        <f t="shared" si="185"/>
        <v/>
      </c>
      <c r="P1311" s="39"/>
    </row>
    <row r="1312" spans="1:16" x14ac:dyDescent="0.35">
      <c r="A1312" s="535" t="str">
        <f t="shared" si="186"/>
        <v/>
      </c>
      <c r="B1312" s="337"/>
      <c r="C1312" s="337"/>
      <c r="D1312" s="326" t="s">
        <v>473</v>
      </c>
      <c r="E1312" s="360" t="s">
        <v>914</v>
      </c>
      <c r="F1312" s="18">
        <v>500</v>
      </c>
      <c r="G1312" s="18" t="s">
        <v>73</v>
      </c>
      <c r="H1312" s="335">
        <f>ROUND(($F$1311)*(($F$1312)/((($F$1313)*(($F$1315)/($F$1315+$F$1314)))+(($F$1313)*(($F$1314)/($F$1315+$F$1314)))+($F$1312))),2)</f>
        <v>69.72</v>
      </c>
      <c r="I1312" s="18" t="s">
        <v>73</v>
      </c>
      <c r="J1312" s="337"/>
      <c r="K1312" s="680">
        <f t="shared" si="188"/>
        <v>3137.4</v>
      </c>
      <c r="L1312" s="535"/>
      <c r="M1312" s="552" t="str">
        <f t="shared" si="184"/>
        <v/>
      </c>
      <c r="N1312" s="552"/>
      <c r="O1312" s="552" t="str">
        <f t="shared" si="185"/>
        <v/>
      </c>
      <c r="P1312" s="39"/>
    </row>
    <row r="1313" spans="1:16" x14ac:dyDescent="0.35">
      <c r="A1313" s="535" t="str">
        <f t="shared" si="186"/>
        <v/>
      </c>
      <c r="B1313" s="330"/>
      <c r="C1313" s="330"/>
      <c r="D1313" s="355"/>
      <c r="E1313" s="567" t="s">
        <v>10</v>
      </c>
      <c r="F1313" s="378">
        <v>2</v>
      </c>
      <c r="G1313" s="378" t="s">
        <v>73</v>
      </c>
      <c r="H1313" s="356"/>
      <c r="I1313" s="378"/>
      <c r="J1313" s="515"/>
      <c r="K1313" s="684"/>
      <c r="L1313" s="535"/>
      <c r="M1313" s="552" t="str">
        <f t="shared" si="184"/>
        <v/>
      </c>
      <c r="N1313" s="552"/>
      <c r="O1313" s="552" t="str">
        <f t="shared" si="185"/>
        <v/>
      </c>
      <c r="P1313" s="39"/>
    </row>
    <row r="1314" spans="1:16" x14ac:dyDescent="0.35">
      <c r="A1314" s="535" t="str">
        <f t="shared" si="186"/>
        <v/>
      </c>
      <c r="B1314" s="337"/>
      <c r="C1314" s="337"/>
      <c r="D1314" s="326" t="s">
        <v>43</v>
      </c>
      <c r="E1314" s="569" t="s">
        <v>105</v>
      </c>
      <c r="F1314" s="18">
        <v>85</v>
      </c>
      <c r="G1314" s="18" t="s">
        <v>73</v>
      </c>
      <c r="H1314" s="335">
        <f>ROUND(($F$1311)*((($F$1313)*(($F$1314)/($F$1315+$F$1314)))
/((($F$1313)*(($F$1315)/($F$1315+$F$1314)))+(($F$1313)*(($F$1314)/($F$1315+$F$1314)))+($F$1312))),2)</f>
        <v>0.24</v>
      </c>
      <c r="I1314" s="18" t="s">
        <v>73</v>
      </c>
      <c r="J1314" s="337"/>
      <c r="K1314" s="680">
        <f t="shared" si="188"/>
        <v>10.799999999999999</v>
      </c>
      <c r="L1314" s="535"/>
      <c r="M1314" s="552" t="str">
        <f t="shared" si="184"/>
        <v/>
      </c>
      <c r="N1314" s="552"/>
      <c r="O1314" s="552" t="str">
        <f t="shared" si="185"/>
        <v/>
      </c>
      <c r="P1314" s="39"/>
    </row>
    <row r="1315" spans="1:16" x14ac:dyDescent="0.35">
      <c r="A1315" s="535" t="str">
        <f t="shared" si="186"/>
        <v/>
      </c>
      <c r="B1315" s="330"/>
      <c r="C1315" s="330"/>
      <c r="D1315" s="326" t="s">
        <v>42</v>
      </c>
      <c r="E1315" s="570" t="s">
        <v>95</v>
      </c>
      <c r="F1315" s="22">
        <v>15</v>
      </c>
      <c r="G1315" s="22" t="s">
        <v>73</v>
      </c>
      <c r="H1315" s="328">
        <f>ROUND(($F$1311)*((($F$1313)*(($F$1315)/($F$1315+$F$1314)))
/((($F$1313)*(($F$1315)/($F$1315+$F$1314)))+(($F$1313)*(($F$1314)/($F$1315+$F$1314)))+($F$1312))),2)</f>
        <v>0.04</v>
      </c>
      <c r="I1315" s="22" t="s">
        <v>73</v>
      </c>
      <c r="J1315" s="330"/>
      <c r="K1315" s="681">
        <f t="shared" si="188"/>
        <v>1.8</v>
      </c>
      <c r="L1315" s="535"/>
      <c r="M1315" s="552" t="str">
        <f t="shared" si="184"/>
        <v/>
      </c>
      <c r="N1315" s="552"/>
      <c r="O1315" s="552" t="str">
        <f t="shared" si="185"/>
        <v/>
      </c>
      <c r="P1315" s="39"/>
    </row>
    <row r="1316" spans="1:16" x14ac:dyDescent="0.35">
      <c r="A1316" s="535" t="str">
        <f t="shared" si="186"/>
        <v/>
      </c>
      <c r="B1316" s="337"/>
      <c r="C1316" s="337"/>
      <c r="D1316" s="355"/>
      <c r="E1316" s="549" t="s">
        <v>769</v>
      </c>
      <c r="F1316" s="378">
        <v>15</v>
      </c>
      <c r="G1316" s="378" t="s">
        <v>73</v>
      </c>
      <c r="H1316" s="515"/>
      <c r="I1316" s="378"/>
      <c r="J1316" s="515"/>
      <c r="K1316" s="684"/>
      <c r="L1316" s="535"/>
      <c r="M1316" s="552" t="str">
        <f t="shared" si="184"/>
        <v/>
      </c>
      <c r="N1316" s="552"/>
      <c r="O1316" s="552" t="str">
        <f t="shared" si="185"/>
        <v/>
      </c>
      <c r="P1316" s="39"/>
    </row>
    <row r="1317" spans="1:16" x14ac:dyDescent="0.35">
      <c r="A1317" s="535" t="str">
        <f t="shared" si="186"/>
        <v/>
      </c>
      <c r="B1317" s="330"/>
      <c r="C1317" s="330"/>
      <c r="D1317" s="326" t="s">
        <v>521</v>
      </c>
      <c r="E1317" s="366" t="s">
        <v>906</v>
      </c>
      <c r="F1317" s="22">
        <v>200</v>
      </c>
      <c r="G1317" s="22" t="s">
        <v>73</v>
      </c>
      <c r="H1317" s="328">
        <f>ROUND(($F$1316)*(($F$1317)/((($F$1318)*(($F$1319)/($F$1319+$F$1320)))+(($F$1318)*(($F$1320)/($F$1319+$F$1320)))+($F$1317))),2)</f>
        <v>13.04</v>
      </c>
      <c r="I1317" s="22" t="s">
        <v>73</v>
      </c>
      <c r="J1317" s="330"/>
      <c r="K1317" s="681">
        <f t="shared" si="188"/>
        <v>586.79999999999995</v>
      </c>
      <c r="L1317" s="535"/>
      <c r="M1317" s="552" t="str">
        <f t="shared" si="184"/>
        <v/>
      </c>
      <c r="N1317" s="552"/>
      <c r="O1317" s="552" t="str">
        <f t="shared" si="185"/>
        <v/>
      </c>
      <c r="P1317" s="39"/>
    </row>
    <row r="1318" spans="1:16" x14ac:dyDescent="0.35">
      <c r="A1318" s="535" t="str">
        <f t="shared" si="186"/>
        <v/>
      </c>
      <c r="B1318" s="337"/>
      <c r="C1318" s="337"/>
      <c r="D1318" s="355"/>
      <c r="E1318" s="567" t="s">
        <v>770</v>
      </c>
      <c r="F1318" s="378">
        <v>30</v>
      </c>
      <c r="G1318" s="378" t="s">
        <v>73</v>
      </c>
      <c r="H1318" s="356"/>
      <c r="I1318" s="378"/>
      <c r="J1318" s="515"/>
      <c r="K1318" s="684"/>
      <c r="L1318" s="535"/>
      <c r="M1318" s="552" t="str">
        <f t="shared" si="184"/>
        <v/>
      </c>
      <c r="N1318" s="552"/>
      <c r="O1318" s="552" t="str">
        <f t="shared" si="185"/>
        <v/>
      </c>
      <c r="P1318" s="39"/>
    </row>
    <row r="1319" spans="1:16" x14ac:dyDescent="0.35">
      <c r="A1319" s="535" t="str">
        <f t="shared" si="186"/>
        <v/>
      </c>
      <c r="B1319" s="330"/>
      <c r="C1319" s="330"/>
      <c r="D1319" s="326" t="s">
        <v>537</v>
      </c>
      <c r="E1319" s="495" t="s">
        <v>771</v>
      </c>
      <c r="F1319" s="22">
        <v>1</v>
      </c>
      <c r="G1319" s="22" t="s">
        <v>73</v>
      </c>
      <c r="H1319" s="328">
        <f>ROUND(($F$1316)*((($F$1318)*(($F$1319)/($F$1319+$F$1320)))
/((($F$1318)*(($F$1319)/($F$1319+$F$1320)))+(($F$1318)*(($F$1320)/($F$1319+$F$1320)))+($F$1317))),2)</f>
        <v>0.02</v>
      </c>
      <c r="I1319" s="22" t="s">
        <v>73</v>
      </c>
      <c r="J1319" s="330"/>
      <c r="K1319" s="681">
        <f t="shared" si="188"/>
        <v>0.9</v>
      </c>
      <c r="L1319" s="535"/>
      <c r="M1319" s="552" t="str">
        <f t="shared" si="184"/>
        <v/>
      </c>
      <c r="N1319" s="552"/>
      <c r="O1319" s="552" t="str">
        <f t="shared" si="185"/>
        <v/>
      </c>
      <c r="P1319" s="39"/>
    </row>
    <row r="1320" spans="1:16" ht="15" thickBot="1" x14ac:dyDescent="0.4">
      <c r="A1320" s="535" t="str">
        <f t="shared" si="186"/>
        <v/>
      </c>
      <c r="B1320" s="337"/>
      <c r="C1320" s="337"/>
      <c r="D1320" s="342"/>
      <c r="E1320" s="561" t="s">
        <v>81</v>
      </c>
      <c r="F1320" s="404">
        <v>100</v>
      </c>
      <c r="G1320" s="404" t="s">
        <v>73</v>
      </c>
      <c r="H1320" s="343">
        <f>ROUND(($F$1316)*((($F$1318)*(($F$1320)/($F$1319+$F$1320)))
/((($F$1318)*(($F$1319)/($F$1319+$F$1320)))+(($F$1318)*(($F$1320)/($F$1319+$F$1320)))+($F$1317))),2)</f>
        <v>1.94</v>
      </c>
      <c r="I1320" s="404"/>
      <c r="J1320" s="345"/>
      <c r="K1320" s="685"/>
      <c r="L1320" s="535"/>
      <c r="M1320" s="552" t="str">
        <f t="shared" si="184"/>
        <v/>
      </c>
      <c r="N1320" s="552"/>
      <c r="O1320" s="552" t="str">
        <f t="shared" si="185"/>
        <v/>
      </c>
      <c r="P1320" s="39"/>
    </row>
    <row r="1321" spans="1:16" ht="15.5" thickTop="1" thickBot="1" x14ac:dyDescent="0.4">
      <c r="A1321" s="545" t="str">
        <f t="shared" si="186"/>
        <v/>
      </c>
      <c r="B1321" s="546"/>
      <c r="C1321" s="546"/>
      <c r="D1321" s="547"/>
      <c r="E1321" s="546"/>
      <c r="F1321" s="546"/>
      <c r="G1321" s="546"/>
      <c r="H1321" s="546"/>
      <c r="I1321" s="546"/>
      <c r="J1321" s="546"/>
      <c r="K1321" s="676"/>
      <c r="L1321" s="535"/>
      <c r="M1321" s="552" t="str">
        <f t="shared" si="184"/>
        <v/>
      </c>
      <c r="N1321" s="552"/>
      <c r="O1321" s="552" t="str">
        <f t="shared" si="185"/>
        <v/>
      </c>
      <c r="P1321" s="39"/>
    </row>
    <row r="1322" spans="1:16" ht="15" thickTop="1" x14ac:dyDescent="0.35">
      <c r="A1322" s="565">
        <f>IFERROR(INDEX($Q$17:$Q$150,MATCH(B1322,$R$17:$R$150, 0)), "")</f>
        <v>112</v>
      </c>
      <c r="B1322" s="382" t="s">
        <v>1339</v>
      </c>
      <c r="C1322" s="325" t="s">
        <v>920</v>
      </c>
      <c r="D1322" s="347" t="s">
        <v>47</v>
      </c>
      <c r="E1322" s="334" t="s">
        <v>740</v>
      </c>
      <c r="F1322" s="18">
        <v>3</v>
      </c>
      <c r="G1322" s="18" t="s">
        <v>73</v>
      </c>
      <c r="H1322" s="18">
        <v>3</v>
      </c>
      <c r="I1322" s="18" t="s">
        <v>73</v>
      </c>
      <c r="J1322" s="337"/>
      <c r="K1322" s="680">
        <f>$A$1322*H1322</f>
        <v>336</v>
      </c>
      <c r="L1322" s="535"/>
      <c r="M1322" s="552" t="str">
        <f t="shared" si="184"/>
        <v/>
      </c>
      <c r="N1322" s="552"/>
      <c r="O1322" s="552" t="str">
        <f t="shared" si="185"/>
        <v/>
      </c>
      <c r="P1322" s="39"/>
    </row>
    <row r="1323" spans="1:16" x14ac:dyDescent="0.35">
      <c r="A1323" s="535" t="str">
        <f t="shared" si="186"/>
        <v/>
      </c>
      <c r="B1323" s="330"/>
      <c r="C1323" s="330"/>
      <c r="D1323" s="326" t="s">
        <v>49</v>
      </c>
      <c r="E1323" s="327" t="s">
        <v>916</v>
      </c>
      <c r="F1323" s="22">
        <v>8</v>
      </c>
      <c r="G1323" s="22" t="s">
        <v>73</v>
      </c>
      <c r="H1323" s="22">
        <v>8</v>
      </c>
      <c r="I1323" s="22" t="s">
        <v>73</v>
      </c>
      <c r="J1323" s="330"/>
      <c r="K1323" s="681">
        <f t="shared" ref="K1323:K1335" si="189">$A$1322*H1323</f>
        <v>896</v>
      </c>
      <c r="L1323" s="535"/>
      <c r="M1323" s="552" t="str">
        <f t="shared" si="184"/>
        <v/>
      </c>
      <c r="N1323" s="552"/>
      <c r="O1323" s="552" t="str">
        <f t="shared" si="185"/>
        <v/>
      </c>
      <c r="P1323" s="39"/>
    </row>
    <row r="1324" spans="1:16" x14ac:dyDescent="0.35">
      <c r="A1324" s="535" t="str">
        <f t="shared" si="186"/>
        <v/>
      </c>
      <c r="B1324" s="337"/>
      <c r="C1324" s="337"/>
      <c r="D1324" s="326" t="s">
        <v>50</v>
      </c>
      <c r="E1324" s="334" t="s">
        <v>917</v>
      </c>
      <c r="F1324" s="18">
        <v>40</v>
      </c>
      <c r="G1324" s="18" t="s">
        <v>73</v>
      </c>
      <c r="H1324" s="18">
        <v>40</v>
      </c>
      <c r="I1324" s="18" t="s">
        <v>73</v>
      </c>
      <c r="J1324" s="337"/>
      <c r="K1324" s="680">
        <f t="shared" si="189"/>
        <v>4480</v>
      </c>
      <c r="L1324" s="535"/>
      <c r="M1324" s="552" t="str">
        <f t="shared" si="184"/>
        <v/>
      </c>
      <c r="N1324" s="552"/>
      <c r="O1324" s="552" t="str">
        <f t="shared" si="185"/>
        <v/>
      </c>
      <c r="P1324" s="39"/>
    </row>
    <row r="1325" spans="1:16" x14ac:dyDescent="0.35">
      <c r="A1325" s="535" t="str">
        <f t="shared" si="186"/>
        <v/>
      </c>
      <c r="B1325" s="330"/>
      <c r="C1325" s="330"/>
      <c r="D1325" s="326" t="s">
        <v>371</v>
      </c>
      <c r="E1325" s="327" t="s">
        <v>918</v>
      </c>
      <c r="F1325" s="22">
        <v>20</v>
      </c>
      <c r="G1325" s="22" t="s">
        <v>73</v>
      </c>
      <c r="H1325" s="22">
        <v>20</v>
      </c>
      <c r="I1325" s="22" t="s">
        <v>73</v>
      </c>
      <c r="J1325" s="330"/>
      <c r="K1325" s="681">
        <f t="shared" si="189"/>
        <v>2240</v>
      </c>
      <c r="L1325" s="535"/>
      <c r="M1325" s="552" t="str">
        <f t="shared" si="184"/>
        <v/>
      </c>
      <c r="N1325" s="552"/>
      <c r="O1325" s="552" t="str">
        <f t="shared" si="185"/>
        <v/>
      </c>
      <c r="P1325" s="39"/>
    </row>
    <row r="1326" spans="1:16" x14ac:dyDescent="0.35">
      <c r="A1326" s="535" t="str">
        <f t="shared" si="186"/>
        <v/>
      </c>
      <c r="B1326" s="337"/>
      <c r="C1326" s="337"/>
      <c r="D1326" s="326" t="s">
        <v>379</v>
      </c>
      <c r="E1326" s="334" t="s">
        <v>919</v>
      </c>
      <c r="F1326" s="18">
        <v>10</v>
      </c>
      <c r="G1326" s="18" t="s">
        <v>73</v>
      </c>
      <c r="H1326" s="18">
        <v>10</v>
      </c>
      <c r="I1326" s="18" t="s">
        <v>73</v>
      </c>
      <c r="J1326" s="337"/>
      <c r="K1326" s="680">
        <f t="shared" si="189"/>
        <v>1120</v>
      </c>
      <c r="L1326" s="535"/>
      <c r="M1326" s="552" t="str">
        <f t="shared" ref="M1326:M1389" si="190">IF(Q1326&gt;0, Q1326, "")</f>
        <v/>
      </c>
      <c r="N1326" s="552"/>
      <c r="O1326" s="552" t="str">
        <f t="shared" ref="O1326:O1389" si="191">IF(V1327&gt;0, V1327, "")</f>
        <v/>
      </c>
      <c r="P1326" s="39"/>
    </row>
    <row r="1327" spans="1:16" x14ac:dyDescent="0.35">
      <c r="A1327" s="535" t="str">
        <f t="shared" si="186"/>
        <v/>
      </c>
      <c r="B1327" s="330"/>
      <c r="C1327" s="330"/>
      <c r="D1327" s="326" t="s">
        <v>505</v>
      </c>
      <c r="E1327" s="327" t="s">
        <v>722</v>
      </c>
      <c r="F1327" s="22">
        <v>0.5</v>
      </c>
      <c r="G1327" s="22" t="s">
        <v>73</v>
      </c>
      <c r="H1327" s="22">
        <v>0.5</v>
      </c>
      <c r="I1327" s="22" t="s">
        <v>73</v>
      </c>
      <c r="J1327" s="330"/>
      <c r="K1327" s="681">
        <f t="shared" si="189"/>
        <v>56</v>
      </c>
      <c r="L1327" s="535"/>
      <c r="M1327" s="552" t="str">
        <f t="shared" si="190"/>
        <v/>
      </c>
      <c r="N1327" s="552"/>
      <c r="O1327" s="552" t="str">
        <f t="shared" si="191"/>
        <v/>
      </c>
      <c r="P1327" s="39"/>
    </row>
    <row r="1328" spans="1:16" x14ac:dyDescent="0.35">
      <c r="A1328" s="535" t="str">
        <f t="shared" si="186"/>
        <v/>
      </c>
      <c r="B1328" s="337"/>
      <c r="C1328" s="337"/>
      <c r="D1328" s="326" t="s">
        <v>41</v>
      </c>
      <c r="E1328" s="334" t="s">
        <v>911</v>
      </c>
      <c r="F1328" s="18">
        <v>2</v>
      </c>
      <c r="G1328" s="18" t="s">
        <v>73</v>
      </c>
      <c r="H1328" s="18">
        <v>2</v>
      </c>
      <c r="I1328" s="18" t="s">
        <v>73</v>
      </c>
      <c r="J1328" s="337"/>
      <c r="K1328" s="680">
        <f t="shared" si="189"/>
        <v>224</v>
      </c>
      <c r="L1328" s="535"/>
      <c r="M1328" s="552" t="str">
        <f t="shared" si="190"/>
        <v/>
      </c>
      <c r="N1328" s="552"/>
      <c r="O1328" s="552" t="str">
        <f t="shared" si="191"/>
        <v/>
      </c>
      <c r="P1328" s="39"/>
    </row>
    <row r="1329" spans="1:16" x14ac:dyDescent="0.35">
      <c r="A1329" s="535" t="str">
        <f t="shared" si="186"/>
        <v/>
      </c>
      <c r="B1329" s="330"/>
      <c r="C1329" s="330"/>
      <c r="D1329" s="326" t="s">
        <v>127</v>
      </c>
      <c r="E1329" s="327" t="s">
        <v>912</v>
      </c>
      <c r="F1329" s="22">
        <v>28</v>
      </c>
      <c r="G1329" s="22" t="s">
        <v>73</v>
      </c>
      <c r="H1329" s="22">
        <v>28</v>
      </c>
      <c r="I1329" s="22" t="s">
        <v>73</v>
      </c>
      <c r="J1329" s="330"/>
      <c r="K1329" s="681">
        <f t="shared" si="189"/>
        <v>3136</v>
      </c>
      <c r="L1329" s="535"/>
      <c r="M1329" s="552" t="str">
        <f t="shared" si="190"/>
        <v/>
      </c>
      <c r="N1329" s="552"/>
      <c r="O1329" s="552" t="str">
        <f t="shared" si="191"/>
        <v/>
      </c>
      <c r="P1329" s="39"/>
    </row>
    <row r="1330" spans="1:16" x14ac:dyDescent="0.35">
      <c r="A1330" s="535" t="str">
        <f t="shared" si="186"/>
        <v/>
      </c>
      <c r="B1330" s="337"/>
      <c r="C1330" s="337"/>
      <c r="D1330" s="326" t="s">
        <v>549</v>
      </c>
      <c r="E1330" s="334" t="s">
        <v>915</v>
      </c>
      <c r="F1330" s="18">
        <v>165</v>
      </c>
      <c r="G1330" s="18" t="s">
        <v>73</v>
      </c>
      <c r="H1330" s="18">
        <v>165</v>
      </c>
      <c r="I1330" s="18" t="s">
        <v>73</v>
      </c>
      <c r="J1330" s="337"/>
      <c r="K1330" s="680">
        <f t="shared" si="189"/>
        <v>18480</v>
      </c>
      <c r="L1330" s="535"/>
      <c r="M1330" s="552" t="str">
        <f t="shared" si="190"/>
        <v/>
      </c>
      <c r="N1330" s="552"/>
      <c r="O1330" s="552" t="str">
        <f t="shared" si="191"/>
        <v/>
      </c>
      <c r="P1330" s="39"/>
    </row>
    <row r="1331" spans="1:16" x14ac:dyDescent="0.35">
      <c r="A1331" s="535" t="str">
        <f t="shared" si="186"/>
        <v/>
      </c>
      <c r="B1331" s="330"/>
      <c r="C1331" s="330"/>
      <c r="D1331" s="326" t="s">
        <v>63</v>
      </c>
      <c r="E1331" s="327" t="s">
        <v>921</v>
      </c>
      <c r="F1331" s="22">
        <v>70</v>
      </c>
      <c r="G1331" s="22" t="s">
        <v>73</v>
      </c>
      <c r="H1331" s="22">
        <v>70</v>
      </c>
      <c r="I1331" s="22" t="s">
        <v>73</v>
      </c>
      <c r="J1331" s="330"/>
      <c r="K1331" s="681">
        <f t="shared" si="189"/>
        <v>7840</v>
      </c>
      <c r="L1331" s="535"/>
      <c r="M1331" s="552" t="str">
        <f t="shared" si="190"/>
        <v/>
      </c>
      <c r="N1331" s="552"/>
      <c r="O1331" s="552" t="str">
        <f t="shared" si="191"/>
        <v/>
      </c>
      <c r="P1331" s="39"/>
    </row>
    <row r="1332" spans="1:16" x14ac:dyDescent="0.35">
      <c r="A1332" s="535" t="str">
        <f t="shared" ref="A1332:A1396" si="192">IFERROR(INDEX($Q$17:$Q$41,MATCH(B1332,$R$17:$R$41, 0)), "")</f>
        <v/>
      </c>
      <c r="B1332" s="337"/>
      <c r="C1332" s="337"/>
      <c r="D1332" s="355"/>
      <c r="E1332" s="549" t="s">
        <v>769</v>
      </c>
      <c r="F1332" s="378">
        <v>15</v>
      </c>
      <c r="G1332" s="378" t="s">
        <v>73</v>
      </c>
      <c r="H1332" s="356"/>
      <c r="I1332" s="378"/>
      <c r="J1332" s="515"/>
      <c r="K1332" s="684"/>
      <c r="L1332" s="535"/>
      <c r="M1332" s="552" t="str">
        <f t="shared" si="190"/>
        <v/>
      </c>
      <c r="N1332" s="552"/>
      <c r="O1332" s="552" t="str">
        <f t="shared" si="191"/>
        <v/>
      </c>
      <c r="P1332" s="39"/>
    </row>
    <row r="1333" spans="1:16" x14ac:dyDescent="0.35">
      <c r="A1333" s="535" t="str">
        <f t="shared" si="192"/>
        <v/>
      </c>
      <c r="B1333" s="330"/>
      <c r="C1333" s="330"/>
      <c r="D1333" s="326" t="s">
        <v>521</v>
      </c>
      <c r="E1333" s="366" t="s">
        <v>906</v>
      </c>
      <c r="F1333" s="22">
        <v>200</v>
      </c>
      <c r="G1333" s="22" t="s">
        <v>73</v>
      </c>
      <c r="H1333" s="328">
        <f>ROUND(($F$1332)*(($F$1333)/((($F$1334)*(($F$1335)/($F$1335+$F$1336)))+(($F$1334)*(($F$1336)/($F$1335+$F$1336)))+($F$1333))),2)</f>
        <v>13.04</v>
      </c>
      <c r="I1333" s="22" t="s">
        <v>73</v>
      </c>
      <c r="J1333" s="330"/>
      <c r="K1333" s="681">
        <f t="shared" si="189"/>
        <v>1460.48</v>
      </c>
      <c r="L1333" s="535"/>
      <c r="M1333" s="552" t="str">
        <f t="shared" si="190"/>
        <v/>
      </c>
      <c r="N1333" s="552"/>
      <c r="O1333" s="552" t="str">
        <f t="shared" si="191"/>
        <v/>
      </c>
      <c r="P1333" s="39"/>
    </row>
    <row r="1334" spans="1:16" x14ac:dyDescent="0.35">
      <c r="A1334" s="535" t="str">
        <f t="shared" si="192"/>
        <v/>
      </c>
      <c r="B1334" s="337"/>
      <c r="C1334" s="337"/>
      <c r="D1334" s="355"/>
      <c r="E1334" s="567" t="s">
        <v>770</v>
      </c>
      <c r="F1334" s="378">
        <v>30</v>
      </c>
      <c r="G1334" s="378" t="s">
        <v>73</v>
      </c>
      <c r="H1334" s="356"/>
      <c r="I1334" s="378"/>
      <c r="J1334" s="515"/>
      <c r="K1334" s="684"/>
      <c r="L1334" s="535"/>
      <c r="M1334" s="552" t="str">
        <f t="shared" si="190"/>
        <v/>
      </c>
      <c r="N1334" s="552"/>
      <c r="O1334" s="552" t="str">
        <f t="shared" si="191"/>
        <v/>
      </c>
      <c r="P1334" s="39"/>
    </row>
    <row r="1335" spans="1:16" x14ac:dyDescent="0.35">
      <c r="A1335" s="535" t="str">
        <f t="shared" si="192"/>
        <v/>
      </c>
      <c r="B1335" s="330"/>
      <c r="C1335" s="330"/>
      <c r="D1335" s="326" t="s">
        <v>537</v>
      </c>
      <c r="E1335" s="495" t="s">
        <v>771</v>
      </c>
      <c r="F1335" s="22">
        <v>1</v>
      </c>
      <c r="G1335" s="22" t="s">
        <v>73</v>
      </c>
      <c r="H1335" s="328">
        <f>ROUND(($F$1332)*((($F$1334)*(($F$1335)/($F$1335+$F$1336)))
/((($F$1334)*(($F$1335)/($F$1335+$F$1336)))+(($F$1334)*(($F$1336)/($F$1335+$F$1336)))+($F$1333))),2)</f>
        <v>0.02</v>
      </c>
      <c r="I1335" s="22" t="s">
        <v>73</v>
      </c>
      <c r="J1335" s="330"/>
      <c r="K1335" s="681">
        <f t="shared" si="189"/>
        <v>2.2400000000000002</v>
      </c>
      <c r="L1335" s="535"/>
      <c r="M1335" s="552" t="str">
        <f t="shared" si="190"/>
        <v/>
      </c>
      <c r="N1335" s="552"/>
      <c r="O1335" s="552" t="str">
        <f t="shared" si="191"/>
        <v/>
      </c>
      <c r="P1335" s="39"/>
    </row>
    <row r="1336" spans="1:16" ht="15" thickBot="1" x14ac:dyDescent="0.4">
      <c r="A1336" s="535" t="str">
        <f t="shared" si="192"/>
        <v/>
      </c>
      <c r="B1336" s="337"/>
      <c r="C1336" s="337"/>
      <c r="D1336" s="342"/>
      <c r="E1336" s="561" t="s">
        <v>81</v>
      </c>
      <c r="F1336" s="404">
        <v>100</v>
      </c>
      <c r="G1336" s="404" t="s">
        <v>73</v>
      </c>
      <c r="H1336" s="343">
        <f>ROUND(($F$1332)*((($F$1334)*(($F$1336)/($F$1335+$F$1336)))
/((($F$1334)*(($F$1335)/($F$1335+$F$1336)))+(($F$1334)*(($F$1336)/($F$1335+$F$1336)))+($F$1333))),2)</f>
        <v>1.94</v>
      </c>
      <c r="I1336" s="404"/>
      <c r="J1336" s="345"/>
      <c r="K1336" s="685"/>
      <c r="L1336" s="535"/>
      <c r="M1336" s="552" t="str">
        <f t="shared" si="190"/>
        <v/>
      </c>
      <c r="N1336" s="552"/>
      <c r="O1336" s="552" t="str">
        <f t="shared" si="191"/>
        <v/>
      </c>
      <c r="P1336" s="39"/>
    </row>
    <row r="1337" spans="1:16" ht="15.5" thickTop="1" thickBot="1" x14ac:dyDescent="0.4">
      <c r="A1337" s="545" t="str">
        <f t="shared" si="192"/>
        <v/>
      </c>
      <c r="B1337" s="546"/>
      <c r="C1337" s="546"/>
      <c r="D1337" s="547"/>
      <c r="E1337" s="546"/>
      <c r="F1337" s="546"/>
      <c r="G1337" s="546"/>
      <c r="H1337" s="546"/>
      <c r="I1337" s="546"/>
      <c r="J1337" s="546"/>
      <c r="K1337" s="676"/>
      <c r="L1337" s="535"/>
      <c r="M1337" s="552" t="str">
        <f t="shared" si="190"/>
        <v/>
      </c>
      <c r="N1337" s="552"/>
      <c r="O1337" s="552" t="str">
        <f t="shared" si="191"/>
        <v/>
      </c>
      <c r="P1337" s="39"/>
    </row>
    <row r="1338" spans="1:16" ht="15" thickTop="1" x14ac:dyDescent="0.35">
      <c r="A1338" s="565">
        <f>IFERROR(INDEX($Q$17:$Q$201,MATCH(B1338,$R$17:$R$201, 0)), "")</f>
        <v>25</v>
      </c>
      <c r="B1338" s="382" t="s">
        <v>1348</v>
      </c>
      <c r="C1338" s="325" t="s">
        <v>922</v>
      </c>
      <c r="D1338" s="347" t="s">
        <v>47</v>
      </c>
      <c r="E1338" s="334" t="s">
        <v>740</v>
      </c>
      <c r="F1338" s="18">
        <v>3</v>
      </c>
      <c r="G1338" s="18" t="s">
        <v>73</v>
      </c>
      <c r="H1338" s="18">
        <v>3</v>
      </c>
      <c r="I1338" s="18" t="s">
        <v>73</v>
      </c>
      <c r="J1338" s="337"/>
      <c r="K1338" s="680">
        <f>$A$1338*H1338</f>
        <v>75</v>
      </c>
      <c r="L1338" s="535"/>
      <c r="M1338" s="552" t="str">
        <f t="shared" si="190"/>
        <v/>
      </c>
      <c r="N1338" s="552"/>
      <c r="O1338" s="552" t="str">
        <f t="shared" si="191"/>
        <v/>
      </c>
      <c r="P1338" s="39"/>
    </row>
    <row r="1339" spans="1:16" x14ac:dyDescent="0.35">
      <c r="A1339" s="535" t="str">
        <f t="shared" si="192"/>
        <v/>
      </c>
      <c r="B1339" s="330"/>
      <c r="C1339" s="330"/>
      <c r="D1339" s="326" t="s">
        <v>49</v>
      </c>
      <c r="E1339" s="327" t="s">
        <v>923</v>
      </c>
      <c r="F1339" s="22">
        <v>6</v>
      </c>
      <c r="G1339" s="22" t="s">
        <v>73</v>
      </c>
      <c r="H1339" s="22">
        <v>6</v>
      </c>
      <c r="I1339" s="22" t="s">
        <v>73</v>
      </c>
      <c r="J1339" s="330"/>
      <c r="K1339" s="681">
        <f t="shared" ref="K1339:K1363" si="193">$A$1338*H1339</f>
        <v>150</v>
      </c>
      <c r="L1339" s="535"/>
      <c r="M1339" s="552" t="str">
        <f t="shared" si="190"/>
        <v/>
      </c>
      <c r="N1339" s="552"/>
      <c r="O1339" s="552" t="str">
        <f t="shared" si="191"/>
        <v/>
      </c>
      <c r="P1339" s="39"/>
    </row>
    <row r="1340" spans="1:16" x14ac:dyDescent="0.35">
      <c r="A1340" s="535" t="str">
        <f t="shared" si="192"/>
        <v/>
      </c>
      <c r="B1340" s="337"/>
      <c r="C1340" s="337"/>
      <c r="D1340" s="326" t="s">
        <v>131</v>
      </c>
      <c r="E1340" s="334" t="s">
        <v>924</v>
      </c>
      <c r="F1340" s="18">
        <v>30</v>
      </c>
      <c r="G1340" s="18" t="s">
        <v>73</v>
      </c>
      <c r="H1340" s="18">
        <v>30</v>
      </c>
      <c r="I1340" s="18" t="s">
        <v>73</v>
      </c>
      <c r="J1340" s="337"/>
      <c r="K1340" s="680">
        <f t="shared" si="193"/>
        <v>750</v>
      </c>
      <c r="L1340" s="535"/>
      <c r="M1340" s="552" t="str">
        <f t="shared" si="190"/>
        <v/>
      </c>
      <c r="N1340" s="552"/>
      <c r="O1340" s="552" t="str">
        <f t="shared" si="191"/>
        <v/>
      </c>
      <c r="P1340" s="39"/>
    </row>
    <row r="1341" spans="1:16" x14ac:dyDescent="0.35">
      <c r="A1341" s="535" t="str">
        <f t="shared" si="192"/>
        <v/>
      </c>
      <c r="B1341" s="330"/>
      <c r="C1341" s="330"/>
      <c r="D1341" s="326" t="s">
        <v>48</v>
      </c>
      <c r="E1341" s="327" t="s">
        <v>849</v>
      </c>
      <c r="F1341" s="22">
        <v>5</v>
      </c>
      <c r="G1341" s="22" t="s">
        <v>73</v>
      </c>
      <c r="H1341" s="22">
        <v>5</v>
      </c>
      <c r="I1341" s="22" t="s">
        <v>73</v>
      </c>
      <c r="J1341" s="330"/>
      <c r="K1341" s="681">
        <f t="shared" si="193"/>
        <v>125</v>
      </c>
      <c r="L1341" s="535"/>
      <c r="M1341" s="552" t="str">
        <f t="shared" si="190"/>
        <v/>
      </c>
      <c r="N1341" s="552"/>
      <c r="O1341" s="552" t="str">
        <f t="shared" si="191"/>
        <v/>
      </c>
      <c r="P1341" s="39"/>
    </row>
    <row r="1342" spans="1:16" x14ac:dyDescent="0.35">
      <c r="A1342" s="535" t="str">
        <f t="shared" si="192"/>
        <v/>
      </c>
      <c r="B1342" s="337"/>
      <c r="C1342" s="337"/>
      <c r="D1342" s="326" t="s">
        <v>521</v>
      </c>
      <c r="E1342" s="334" t="s">
        <v>895</v>
      </c>
      <c r="F1342" s="18">
        <v>65</v>
      </c>
      <c r="G1342" s="18" t="s">
        <v>73</v>
      </c>
      <c r="H1342" s="18">
        <v>65</v>
      </c>
      <c r="I1342" s="18" t="s">
        <v>73</v>
      </c>
      <c r="J1342" s="337"/>
      <c r="K1342" s="680">
        <f t="shared" si="193"/>
        <v>1625</v>
      </c>
      <c r="L1342" s="535"/>
      <c r="M1342" s="552" t="str">
        <f t="shared" si="190"/>
        <v/>
      </c>
      <c r="N1342" s="552"/>
      <c r="O1342" s="552" t="str">
        <f t="shared" si="191"/>
        <v/>
      </c>
      <c r="P1342" s="39"/>
    </row>
    <row r="1343" spans="1:16" x14ac:dyDescent="0.35">
      <c r="A1343" s="535" t="str">
        <f t="shared" si="192"/>
        <v/>
      </c>
      <c r="B1343" s="330"/>
      <c r="C1343" s="330"/>
      <c r="D1343" s="326" t="s">
        <v>505</v>
      </c>
      <c r="E1343" s="327" t="s">
        <v>806</v>
      </c>
      <c r="F1343" s="22">
        <v>0.5</v>
      </c>
      <c r="G1343" s="22" t="s">
        <v>73</v>
      </c>
      <c r="H1343" s="22">
        <v>0.5</v>
      </c>
      <c r="I1343" s="22" t="s">
        <v>73</v>
      </c>
      <c r="J1343" s="330"/>
      <c r="K1343" s="681">
        <f t="shared" si="193"/>
        <v>12.5</v>
      </c>
      <c r="L1343" s="535"/>
      <c r="M1343" s="552" t="str">
        <f t="shared" si="190"/>
        <v/>
      </c>
      <c r="N1343" s="552"/>
      <c r="O1343" s="552" t="str">
        <f t="shared" si="191"/>
        <v/>
      </c>
      <c r="P1343" s="39"/>
    </row>
    <row r="1344" spans="1:16" x14ac:dyDescent="0.35">
      <c r="A1344" s="535" t="str">
        <f t="shared" si="192"/>
        <v/>
      </c>
      <c r="B1344" s="337"/>
      <c r="C1344" s="337"/>
      <c r="D1344" s="326" t="s">
        <v>392</v>
      </c>
      <c r="E1344" s="334" t="s">
        <v>798</v>
      </c>
      <c r="F1344" s="18">
        <v>2</v>
      </c>
      <c r="G1344" s="18" t="s">
        <v>73</v>
      </c>
      <c r="H1344" s="18">
        <v>2</v>
      </c>
      <c r="I1344" s="18" t="s">
        <v>73</v>
      </c>
      <c r="J1344" s="337"/>
      <c r="K1344" s="680">
        <f t="shared" si="193"/>
        <v>50</v>
      </c>
      <c r="L1344" s="535"/>
      <c r="M1344" s="552" t="str">
        <f t="shared" si="190"/>
        <v/>
      </c>
      <c r="N1344" s="552"/>
      <c r="O1344" s="552" t="str">
        <f t="shared" si="191"/>
        <v/>
      </c>
      <c r="P1344" s="39"/>
    </row>
    <row r="1345" spans="1:16" x14ac:dyDescent="0.35">
      <c r="A1345" s="535" t="str">
        <f t="shared" si="192"/>
        <v/>
      </c>
      <c r="B1345" s="330"/>
      <c r="C1345" s="330"/>
      <c r="D1345" s="326" t="s">
        <v>570</v>
      </c>
      <c r="E1345" s="327" t="s">
        <v>925</v>
      </c>
      <c r="F1345" s="22">
        <v>2</v>
      </c>
      <c r="G1345" s="22" t="s">
        <v>73</v>
      </c>
      <c r="H1345" s="22">
        <v>2</v>
      </c>
      <c r="I1345" s="22" t="s">
        <v>73</v>
      </c>
      <c r="J1345" s="330"/>
      <c r="K1345" s="681">
        <f t="shared" si="193"/>
        <v>50</v>
      </c>
      <c r="L1345" s="535"/>
      <c r="M1345" s="552" t="str">
        <f t="shared" si="190"/>
        <v/>
      </c>
      <c r="N1345" s="552"/>
      <c r="O1345" s="552" t="str">
        <f t="shared" si="191"/>
        <v/>
      </c>
      <c r="P1345" s="39"/>
    </row>
    <row r="1346" spans="1:16" x14ac:dyDescent="0.35">
      <c r="A1346" s="593" t="str">
        <f>IFERROR(INDEX($Q$17:$Q$41,MATCH(B1346,$R$17:$R$41, 0)), "")</f>
        <v/>
      </c>
      <c r="B1346" s="337"/>
      <c r="C1346" s="337"/>
      <c r="D1346" s="326" t="s">
        <v>50</v>
      </c>
      <c r="E1346" s="334" t="s">
        <v>927</v>
      </c>
      <c r="F1346" s="18">
        <v>10</v>
      </c>
      <c r="G1346" s="18" t="s">
        <v>73</v>
      </c>
      <c r="H1346" s="18">
        <v>10</v>
      </c>
      <c r="I1346" s="18" t="s">
        <v>73</v>
      </c>
      <c r="J1346" s="337"/>
      <c r="K1346" s="680">
        <f t="shared" si="193"/>
        <v>250</v>
      </c>
      <c r="L1346" s="535"/>
      <c r="M1346" s="552" t="str">
        <f t="shared" si="190"/>
        <v/>
      </c>
      <c r="N1346" s="552"/>
      <c r="O1346" s="552" t="str">
        <f t="shared" si="191"/>
        <v/>
      </c>
      <c r="P1346" s="39"/>
    </row>
    <row r="1347" spans="1:16" x14ac:dyDescent="0.35">
      <c r="A1347" s="535" t="str">
        <f t="shared" si="192"/>
        <v/>
      </c>
      <c r="B1347" s="330"/>
      <c r="C1347" s="330"/>
      <c r="D1347" s="326" t="s">
        <v>454</v>
      </c>
      <c r="E1347" s="327" t="s">
        <v>926</v>
      </c>
      <c r="F1347" s="22">
        <v>20</v>
      </c>
      <c r="G1347" s="22" t="s">
        <v>73</v>
      </c>
      <c r="H1347" s="22">
        <v>20</v>
      </c>
      <c r="I1347" s="22" t="s">
        <v>73</v>
      </c>
      <c r="J1347" s="330"/>
      <c r="K1347" s="681">
        <f t="shared" si="193"/>
        <v>500</v>
      </c>
      <c r="L1347" s="535"/>
      <c r="M1347" s="552" t="str">
        <f t="shared" si="190"/>
        <v/>
      </c>
      <c r="N1347" s="552"/>
      <c r="O1347" s="552" t="str">
        <f t="shared" si="191"/>
        <v/>
      </c>
      <c r="P1347" s="39"/>
    </row>
    <row r="1348" spans="1:16" x14ac:dyDescent="0.35">
      <c r="A1348" s="535" t="str">
        <f t="shared" si="192"/>
        <v/>
      </c>
      <c r="B1348" s="337"/>
      <c r="C1348" s="337"/>
      <c r="D1348" s="355"/>
      <c r="E1348" s="559" t="s">
        <v>754</v>
      </c>
      <c r="F1348" s="356">
        <v>200</v>
      </c>
      <c r="G1348" s="378" t="s">
        <v>73</v>
      </c>
      <c r="H1348" s="515"/>
      <c r="I1348" s="378"/>
      <c r="J1348" s="515"/>
      <c r="K1348" s="684"/>
      <c r="L1348" s="535"/>
      <c r="M1348" s="552" t="str">
        <f t="shared" si="190"/>
        <v/>
      </c>
      <c r="N1348" s="552"/>
      <c r="O1348" s="552" t="str">
        <f t="shared" si="191"/>
        <v/>
      </c>
      <c r="P1348" s="39"/>
    </row>
    <row r="1349" spans="1:16" x14ac:dyDescent="0.35">
      <c r="A1349" s="535" t="str">
        <f t="shared" si="192"/>
        <v/>
      </c>
      <c r="B1349" s="330"/>
      <c r="C1349" s="330"/>
      <c r="D1349" s="342"/>
      <c r="E1349" s="561" t="s">
        <v>81</v>
      </c>
      <c r="F1349" s="404">
        <v>1300</v>
      </c>
      <c r="G1349" s="404" t="s">
        <v>73</v>
      </c>
      <c r="H1349" s="343">
        <f>ROUND((($F$1348)*(($F$1349)/($F$1349+$F$1350+$F$1351))),2)</f>
        <v>113.04</v>
      </c>
      <c r="I1349" s="404"/>
      <c r="J1349" s="345"/>
      <c r="K1349" s="685"/>
      <c r="L1349" s="535"/>
      <c r="M1349" s="552" t="str">
        <f t="shared" si="190"/>
        <v/>
      </c>
      <c r="N1349" s="552"/>
      <c r="O1349" s="552" t="str">
        <f t="shared" si="191"/>
        <v/>
      </c>
      <c r="P1349" s="39"/>
    </row>
    <row r="1350" spans="1:16" x14ac:dyDescent="0.35">
      <c r="A1350" s="535" t="str">
        <f t="shared" si="192"/>
        <v/>
      </c>
      <c r="B1350" s="337"/>
      <c r="C1350" s="337"/>
      <c r="D1350" s="326" t="s">
        <v>1660</v>
      </c>
      <c r="E1350" s="560" t="s">
        <v>1897</v>
      </c>
      <c r="F1350" s="18">
        <v>1000</v>
      </c>
      <c r="G1350" s="18" t="s">
        <v>73</v>
      </c>
      <c r="H1350" s="335">
        <f>ROUND((($F$1348)*(($F$1350)/($F$1349+$F$1350+$F$1351))),2)</f>
        <v>86.96</v>
      </c>
      <c r="I1350" s="18" t="s">
        <v>73</v>
      </c>
      <c r="J1350" s="337"/>
      <c r="K1350" s="680">
        <f t="shared" si="193"/>
        <v>2174</v>
      </c>
      <c r="L1350" s="535"/>
      <c r="M1350" s="552" t="str">
        <f t="shared" si="190"/>
        <v/>
      </c>
      <c r="N1350" s="552"/>
      <c r="O1350" s="552" t="str">
        <f t="shared" si="191"/>
        <v/>
      </c>
      <c r="P1350" s="39"/>
    </row>
    <row r="1351" spans="1:16" x14ac:dyDescent="0.35">
      <c r="A1351" s="535" t="str">
        <f t="shared" si="192"/>
        <v/>
      </c>
      <c r="B1351" s="330"/>
      <c r="C1351" s="330"/>
      <c r="D1351" s="326"/>
      <c r="E1351" s="495" t="s">
        <v>753</v>
      </c>
      <c r="F1351" s="22">
        <v>0</v>
      </c>
      <c r="G1351" s="22" t="s">
        <v>73</v>
      </c>
      <c r="H1351" s="328">
        <f>ROUND((($F$1348)*(($F$1351)/($F$1349+$F$1350+$F$1351))),2)</f>
        <v>0</v>
      </c>
      <c r="I1351" s="22" t="s">
        <v>73</v>
      </c>
      <c r="J1351" s="330"/>
      <c r="K1351" s="681">
        <f t="shared" si="193"/>
        <v>0</v>
      </c>
      <c r="L1351" s="535"/>
      <c r="M1351" s="552" t="str">
        <f t="shared" si="190"/>
        <v/>
      </c>
      <c r="N1351" s="552"/>
      <c r="O1351" s="552" t="str">
        <f t="shared" si="191"/>
        <v/>
      </c>
      <c r="P1351" s="39"/>
    </row>
    <row r="1352" spans="1:16" x14ac:dyDescent="0.35">
      <c r="A1352" s="535" t="str">
        <f t="shared" si="192"/>
        <v/>
      </c>
      <c r="B1352" s="337"/>
      <c r="C1352" s="337"/>
      <c r="D1352" s="539"/>
      <c r="E1352" s="355" t="s">
        <v>84</v>
      </c>
      <c r="F1352" s="378">
        <v>50</v>
      </c>
      <c r="G1352" s="378" t="s">
        <v>73</v>
      </c>
      <c r="H1352" s="515"/>
      <c r="I1352" s="378"/>
      <c r="J1352" s="515"/>
      <c r="K1352" s="684"/>
      <c r="L1352" s="535"/>
      <c r="M1352" s="552" t="str">
        <f t="shared" si="190"/>
        <v/>
      </c>
      <c r="N1352" s="552"/>
      <c r="O1352" s="552" t="str">
        <f t="shared" si="191"/>
        <v/>
      </c>
      <c r="P1352" s="39"/>
    </row>
    <row r="1353" spans="1:16" x14ac:dyDescent="0.35">
      <c r="A1353" s="535" t="str">
        <f t="shared" si="192"/>
        <v/>
      </c>
      <c r="B1353" s="330"/>
      <c r="C1353" s="330"/>
      <c r="D1353" s="539"/>
      <c r="E1353" s="416" t="s">
        <v>26</v>
      </c>
      <c r="F1353" s="378">
        <v>1000</v>
      </c>
      <c r="G1353" s="378" t="s">
        <v>73</v>
      </c>
      <c r="H1353" s="515"/>
      <c r="I1353" s="378"/>
      <c r="J1353" s="515"/>
      <c r="K1353" s="684"/>
      <c r="L1353" s="535"/>
      <c r="M1353" s="552" t="str">
        <f t="shared" si="190"/>
        <v/>
      </c>
      <c r="N1353" s="552"/>
      <c r="O1353" s="552" t="str">
        <f t="shared" si="191"/>
        <v/>
      </c>
      <c r="P1353" s="39"/>
    </row>
    <row r="1354" spans="1:16" x14ac:dyDescent="0.35">
      <c r="A1354" s="535" t="str">
        <f t="shared" si="192"/>
        <v/>
      </c>
      <c r="B1354" s="337"/>
      <c r="C1354" s="337"/>
      <c r="D1354" s="417" t="s">
        <v>60</v>
      </c>
      <c r="E1354" s="614" t="s">
        <v>121</v>
      </c>
      <c r="F1354" s="18">
        <v>1000</v>
      </c>
      <c r="G1354" s="18" t="s">
        <v>73</v>
      </c>
      <c r="H1354" s="335">
        <f>ROUND(($F$1352)*((($F$1353)*(($F$1354)/($F$1354+$F$1355)))
/((($F$1353)*(($F$1354)/($F$1354+$F$1355)))+(($F$1353)*(($F$1355)/($F$1354+$F$1355)))+($F$1357)+($F$1358))),2)</f>
        <v>33.479999999999997</v>
      </c>
      <c r="I1354" s="18" t="s">
        <v>73</v>
      </c>
      <c r="J1354" s="337"/>
      <c r="K1354" s="680">
        <f t="shared" si="193"/>
        <v>836.99999999999989</v>
      </c>
      <c r="L1354" s="535"/>
      <c r="M1354" s="552" t="str">
        <f t="shared" si="190"/>
        <v/>
      </c>
      <c r="N1354" s="552"/>
      <c r="O1354" s="552" t="str">
        <f t="shared" si="191"/>
        <v/>
      </c>
      <c r="P1354" s="39"/>
    </row>
    <row r="1355" spans="1:16" x14ac:dyDescent="0.35">
      <c r="A1355" s="535" t="str">
        <f t="shared" si="192"/>
        <v/>
      </c>
      <c r="B1355" s="330"/>
      <c r="C1355" s="330"/>
      <c r="D1355" s="417" t="s">
        <v>43</v>
      </c>
      <c r="E1355" s="475" t="s">
        <v>94</v>
      </c>
      <c r="F1355" s="22">
        <v>30</v>
      </c>
      <c r="G1355" s="22" t="s">
        <v>73</v>
      </c>
      <c r="H1355" s="328">
        <f>ROUND(($F$1352)*((($F$1353)*(($F$1355)/($F$1354+$F$1355)))
/((($F$1353)*(($F$1354)/($F$1354+$F$1355)))+(($F$1353)*(($F$1355)/($F$1354+$F$1355)))+($F$1357)+($F$1358))),2)</f>
        <v>1</v>
      </c>
      <c r="I1355" s="22" t="s">
        <v>73</v>
      </c>
      <c r="J1355" s="330"/>
      <c r="K1355" s="681">
        <f t="shared" si="193"/>
        <v>25</v>
      </c>
      <c r="L1355" s="535"/>
      <c r="M1355" s="552" t="str">
        <f t="shared" si="190"/>
        <v/>
      </c>
      <c r="N1355" s="552"/>
      <c r="O1355" s="552" t="str">
        <f t="shared" si="191"/>
        <v/>
      </c>
      <c r="P1355" s="39"/>
    </row>
    <row r="1356" spans="1:16" x14ac:dyDescent="0.35">
      <c r="A1356" s="535" t="str">
        <f t="shared" si="192"/>
        <v/>
      </c>
      <c r="B1356" s="337"/>
      <c r="C1356" s="337"/>
      <c r="D1356" s="420"/>
      <c r="E1356" s="421" t="s">
        <v>81</v>
      </c>
      <c r="F1356" s="404">
        <v>400</v>
      </c>
      <c r="G1356" s="404" t="s">
        <v>73</v>
      </c>
      <c r="H1356" s="343"/>
      <c r="I1356" s="404"/>
      <c r="J1356" s="345"/>
      <c r="K1356" s="685"/>
      <c r="L1356" s="535"/>
      <c r="M1356" s="552" t="str">
        <f t="shared" si="190"/>
        <v/>
      </c>
      <c r="N1356" s="552"/>
      <c r="O1356" s="552" t="str">
        <f t="shared" si="191"/>
        <v/>
      </c>
      <c r="P1356" s="39"/>
    </row>
    <row r="1357" spans="1:16" x14ac:dyDescent="0.35">
      <c r="A1357" s="535" t="str">
        <f t="shared" si="192"/>
        <v/>
      </c>
      <c r="B1357" s="330"/>
      <c r="C1357" s="330"/>
      <c r="D1357" s="417" t="s">
        <v>59</v>
      </c>
      <c r="E1357" s="426" t="s">
        <v>27</v>
      </c>
      <c r="F1357" s="22">
        <v>350</v>
      </c>
      <c r="G1357" s="22" t="s">
        <v>73</v>
      </c>
      <c r="H1357" s="328">
        <f>ROUND(($F$1352)*(($F$1357)/((($F$1353)*(($F$1354)/($F$1354+$F$1355)))+(($F$1353)*(($F$1355)/($F$1354+$F$1355)))+($F$1357)+($F$1358))),2)</f>
        <v>12.07</v>
      </c>
      <c r="I1357" s="22" t="s">
        <v>73</v>
      </c>
      <c r="J1357" s="330"/>
      <c r="K1357" s="681">
        <f t="shared" si="193"/>
        <v>301.75</v>
      </c>
      <c r="L1357" s="535"/>
      <c r="M1357" s="552" t="str">
        <f t="shared" si="190"/>
        <v/>
      </c>
      <c r="N1357" s="552"/>
      <c r="O1357" s="552" t="str">
        <f t="shared" si="191"/>
        <v/>
      </c>
      <c r="P1357" s="39"/>
    </row>
    <row r="1358" spans="1:16" x14ac:dyDescent="0.35">
      <c r="A1358" s="535" t="str">
        <f t="shared" si="192"/>
        <v/>
      </c>
      <c r="B1358" s="337"/>
      <c r="C1358" s="337"/>
      <c r="D1358" s="417" t="s">
        <v>48</v>
      </c>
      <c r="E1358" s="425" t="s">
        <v>91</v>
      </c>
      <c r="F1358" s="18">
        <v>100</v>
      </c>
      <c r="G1358" s="18" t="s">
        <v>73</v>
      </c>
      <c r="H1358" s="335">
        <f>ROUND(($F$1352)*(($F$1358)/((($F$1353)*(($F$1354)/($F$1354+$F$1355)))+(($F$1353)*(($F$1355)/($F$1354+$F$1355)))+($F$1357)+($F$1358))),2)</f>
        <v>3.45</v>
      </c>
      <c r="I1358" s="18" t="s">
        <v>73</v>
      </c>
      <c r="J1358" s="337"/>
      <c r="K1358" s="680">
        <f t="shared" si="193"/>
        <v>86.25</v>
      </c>
      <c r="L1358" s="535"/>
      <c r="M1358" s="552" t="str">
        <f t="shared" si="190"/>
        <v/>
      </c>
      <c r="N1358" s="552"/>
      <c r="O1358" s="552" t="str">
        <f t="shared" si="191"/>
        <v/>
      </c>
      <c r="P1358" s="39"/>
    </row>
    <row r="1359" spans="1:16" x14ac:dyDescent="0.35">
      <c r="A1359" s="535" t="str">
        <f t="shared" si="192"/>
        <v/>
      </c>
      <c r="B1359" s="330"/>
      <c r="C1359" s="330"/>
      <c r="D1359" s="355"/>
      <c r="E1359" s="355" t="s">
        <v>913</v>
      </c>
      <c r="F1359" s="378">
        <v>70</v>
      </c>
      <c r="G1359" s="378" t="s">
        <v>73</v>
      </c>
      <c r="H1359" s="515"/>
      <c r="I1359" s="378"/>
      <c r="J1359" s="515"/>
      <c r="K1359" s="684"/>
      <c r="L1359" s="535"/>
      <c r="M1359" s="552" t="str">
        <f t="shared" si="190"/>
        <v/>
      </c>
      <c r="N1359" s="552"/>
      <c r="O1359" s="552" t="str">
        <f t="shared" si="191"/>
        <v/>
      </c>
      <c r="P1359" s="39"/>
    </row>
    <row r="1360" spans="1:16" x14ac:dyDescent="0.35">
      <c r="A1360" s="535" t="str">
        <f t="shared" si="192"/>
        <v/>
      </c>
      <c r="B1360" s="337"/>
      <c r="C1360" s="337"/>
      <c r="D1360" s="326" t="s">
        <v>473</v>
      </c>
      <c r="E1360" s="360" t="s">
        <v>914</v>
      </c>
      <c r="F1360" s="18">
        <v>500</v>
      </c>
      <c r="G1360" s="18" t="s">
        <v>73</v>
      </c>
      <c r="H1360" s="335">
        <f>ROUND(($F$1359)*(($F$1360)/((($F$1361)*(($F$1363)/($F$1362+$F$1363)))+(($F$1361)*(($F$1362)/($F$1362+$F$1363)))+($F$1360))),2)</f>
        <v>69.72</v>
      </c>
      <c r="I1360" s="18" t="s">
        <v>73</v>
      </c>
      <c r="J1360" s="337"/>
      <c r="K1360" s="680">
        <f t="shared" si="193"/>
        <v>1743</v>
      </c>
      <c r="L1360" s="535"/>
      <c r="M1360" s="552" t="str">
        <f t="shared" si="190"/>
        <v/>
      </c>
      <c r="N1360" s="552"/>
      <c r="O1360" s="552" t="str">
        <f t="shared" si="191"/>
        <v/>
      </c>
      <c r="P1360" s="39"/>
    </row>
    <row r="1361" spans="1:16" x14ac:dyDescent="0.35">
      <c r="A1361" s="535" t="str">
        <f t="shared" si="192"/>
        <v/>
      </c>
      <c r="B1361" s="330"/>
      <c r="C1361" s="330"/>
      <c r="D1361" s="355"/>
      <c r="E1361" s="567" t="s">
        <v>10</v>
      </c>
      <c r="F1361" s="378">
        <v>2</v>
      </c>
      <c r="G1361" s="378" t="s">
        <v>73</v>
      </c>
      <c r="H1361" s="356"/>
      <c r="I1361" s="378"/>
      <c r="J1361" s="515"/>
      <c r="K1361" s="684"/>
      <c r="L1361" s="535"/>
      <c r="M1361" s="552" t="str">
        <f t="shared" si="190"/>
        <v/>
      </c>
      <c r="N1361" s="552"/>
      <c r="O1361" s="552" t="str">
        <f t="shared" si="191"/>
        <v/>
      </c>
      <c r="P1361" s="39"/>
    </row>
    <row r="1362" spans="1:16" x14ac:dyDescent="0.35">
      <c r="A1362" s="535" t="str">
        <f t="shared" si="192"/>
        <v/>
      </c>
      <c r="B1362" s="337"/>
      <c r="C1362" s="337"/>
      <c r="D1362" s="326" t="s">
        <v>43</v>
      </c>
      <c r="E1362" s="569" t="s">
        <v>105</v>
      </c>
      <c r="F1362" s="18">
        <v>85</v>
      </c>
      <c r="G1362" s="18" t="s">
        <v>73</v>
      </c>
      <c r="H1362" s="335">
        <f>ROUND(($F$1359)*((($F$1361)*(($F$1362)/($F$1362+$F$1363)))
/((($F$1361)*(($F$1363)/($F$1362+$F$1363)))+(($F$1361)*(($F$1362)/($F$1362+$F$1363)))+($F$1360))),2)</f>
        <v>0.24</v>
      </c>
      <c r="I1362" s="18" t="s">
        <v>73</v>
      </c>
      <c r="J1362" s="337"/>
      <c r="K1362" s="680">
        <f t="shared" si="193"/>
        <v>6</v>
      </c>
      <c r="L1362" s="535"/>
      <c r="M1362" s="552" t="str">
        <f t="shared" si="190"/>
        <v/>
      </c>
      <c r="N1362" s="552"/>
      <c r="O1362" s="552" t="str">
        <f t="shared" si="191"/>
        <v/>
      </c>
      <c r="P1362" s="39"/>
    </row>
    <row r="1363" spans="1:16" ht="15" thickBot="1" x14ac:dyDescent="0.4">
      <c r="A1363" s="535" t="str">
        <f t="shared" si="192"/>
        <v/>
      </c>
      <c r="B1363" s="330"/>
      <c r="C1363" s="330"/>
      <c r="D1363" s="326" t="s">
        <v>42</v>
      </c>
      <c r="E1363" s="570" t="s">
        <v>95</v>
      </c>
      <c r="F1363" s="22">
        <v>15</v>
      </c>
      <c r="G1363" s="22" t="s">
        <v>73</v>
      </c>
      <c r="H1363" s="328">
        <f>ROUND(($F$1359)*((($F$1361)*(($F$1363)/($F$1362+$F$1363)))
/((($F$1361)*(($F$1363)/($F$1362+$F$1363)))+(($F$1361)*(($F$1362)/($F$1362+$F$1363)))+($F$1360))),2)</f>
        <v>0.04</v>
      </c>
      <c r="I1363" s="22" t="s">
        <v>73</v>
      </c>
      <c r="J1363" s="330"/>
      <c r="K1363" s="681">
        <f t="shared" si="193"/>
        <v>1</v>
      </c>
      <c r="L1363" s="535"/>
      <c r="M1363" s="552" t="str">
        <f t="shared" si="190"/>
        <v/>
      </c>
      <c r="N1363" s="552"/>
      <c r="O1363" s="552" t="str">
        <f t="shared" si="191"/>
        <v/>
      </c>
      <c r="P1363" s="39"/>
    </row>
    <row r="1364" spans="1:16" ht="15.5" thickTop="1" thickBot="1" x14ac:dyDescent="0.4">
      <c r="A1364" s="545" t="str">
        <f t="shared" si="192"/>
        <v/>
      </c>
      <c r="B1364" s="546"/>
      <c r="C1364" s="546"/>
      <c r="D1364" s="547"/>
      <c r="E1364" s="546"/>
      <c r="F1364" s="546"/>
      <c r="G1364" s="546"/>
      <c r="H1364" s="546"/>
      <c r="I1364" s="546"/>
      <c r="J1364" s="546"/>
      <c r="K1364" s="676"/>
      <c r="L1364" s="535"/>
      <c r="M1364" s="552" t="str">
        <f t="shared" si="190"/>
        <v/>
      </c>
      <c r="N1364" s="552"/>
      <c r="O1364" s="552" t="str">
        <f t="shared" si="191"/>
        <v/>
      </c>
      <c r="P1364" s="39"/>
    </row>
    <row r="1365" spans="1:16" ht="15" thickTop="1" x14ac:dyDescent="0.35">
      <c r="A1365" s="565">
        <f>IFERROR(INDEX($Q$17:$Q$201,MATCH(B1365,$R$17:$R$201, 0)), "")</f>
        <v>28</v>
      </c>
      <c r="B1365" s="382" t="s">
        <v>1347</v>
      </c>
      <c r="C1365" s="325" t="s">
        <v>928</v>
      </c>
      <c r="D1365" s="347" t="s">
        <v>47</v>
      </c>
      <c r="E1365" s="327" t="s">
        <v>724</v>
      </c>
      <c r="F1365" s="22">
        <v>3</v>
      </c>
      <c r="G1365" s="22" t="s">
        <v>73</v>
      </c>
      <c r="H1365" s="22">
        <v>3</v>
      </c>
      <c r="I1365" s="22" t="s">
        <v>73</v>
      </c>
      <c r="J1365" s="330"/>
      <c r="K1365" s="681">
        <f>$A$1365*H1365</f>
        <v>84</v>
      </c>
      <c r="L1365" s="535"/>
      <c r="M1365" s="552" t="str">
        <f t="shared" si="190"/>
        <v/>
      </c>
      <c r="N1365" s="552"/>
      <c r="O1365" s="552" t="str">
        <f t="shared" si="191"/>
        <v/>
      </c>
      <c r="P1365" s="39"/>
    </row>
    <row r="1366" spans="1:16" x14ac:dyDescent="0.35">
      <c r="A1366" s="535" t="str">
        <f t="shared" si="192"/>
        <v/>
      </c>
      <c r="B1366" s="337"/>
      <c r="C1366" s="337"/>
      <c r="D1366" s="326" t="s">
        <v>49</v>
      </c>
      <c r="E1366" s="334" t="s">
        <v>923</v>
      </c>
      <c r="F1366" s="18">
        <v>5</v>
      </c>
      <c r="G1366" s="18" t="s">
        <v>73</v>
      </c>
      <c r="H1366" s="18">
        <v>5</v>
      </c>
      <c r="I1366" s="18" t="s">
        <v>73</v>
      </c>
      <c r="J1366" s="337"/>
      <c r="K1366" s="680">
        <f t="shared" ref="K1366:K1386" si="194">$A$1365*H1366</f>
        <v>140</v>
      </c>
      <c r="L1366" s="535"/>
      <c r="M1366" s="552" t="str">
        <f t="shared" si="190"/>
        <v/>
      </c>
      <c r="N1366" s="552"/>
      <c r="O1366" s="552" t="str">
        <f t="shared" si="191"/>
        <v/>
      </c>
      <c r="P1366" s="39"/>
    </row>
    <row r="1367" spans="1:16" x14ac:dyDescent="0.35">
      <c r="A1367" s="535" t="str">
        <f t="shared" si="192"/>
        <v/>
      </c>
      <c r="B1367" s="330"/>
      <c r="C1367" s="330"/>
      <c r="D1367" s="326" t="s">
        <v>385</v>
      </c>
      <c r="E1367" s="327" t="s">
        <v>929</v>
      </c>
      <c r="F1367" s="22">
        <v>5</v>
      </c>
      <c r="G1367" s="22" t="s">
        <v>73</v>
      </c>
      <c r="H1367" s="22">
        <v>5</v>
      </c>
      <c r="I1367" s="22" t="s">
        <v>73</v>
      </c>
      <c r="J1367" s="330"/>
      <c r="K1367" s="681">
        <f t="shared" si="194"/>
        <v>140</v>
      </c>
      <c r="L1367" s="535"/>
      <c r="M1367" s="552" t="str">
        <f t="shared" si="190"/>
        <v/>
      </c>
      <c r="N1367" s="552"/>
      <c r="O1367" s="552" t="str">
        <f t="shared" si="191"/>
        <v/>
      </c>
      <c r="P1367" s="39"/>
    </row>
    <row r="1368" spans="1:16" x14ac:dyDescent="0.35">
      <c r="A1368" s="535" t="str">
        <f t="shared" si="192"/>
        <v/>
      </c>
      <c r="B1368" s="337"/>
      <c r="C1368" s="337"/>
      <c r="D1368" s="326" t="s">
        <v>50</v>
      </c>
      <c r="E1368" s="334" t="s">
        <v>930</v>
      </c>
      <c r="F1368" s="18">
        <v>30</v>
      </c>
      <c r="G1368" s="18" t="s">
        <v>73</v>
      </c>
      <c r="H1368" s="18">
        <v>30</v>
      </c>
      <c r="I1368" s="18" t="s">
        <v>73</v>
      </c>
      <c r="J1368" s="337"/>
      <c r="K1368" s="680">
        <f t="shared" si="194"/>
        <v>840</v>
      </c>
      <c r="L1368" s="535"/>
      <c r="M1368" s="552" t="str">
        <f t="shared" si="190"/>
        <v/>
      </c>
      <c r="N1368" s="552"/>
      <c r="O1368" s="552" t="str">
        <f t="shared" si="191"/>
        <v/>
      </c>
      <c r="P1368" s="39"/>
    </row>
    <row r="1369" spans="1:16" x14ac:dyDescent="0.35">
      <c r="A1369" s="535" t="str">
        <f t="shared" si="192"/>
        <v/>
      </c>
      <c r="B1369" s="330"/>
      <c r="C1369" s="330"/>
      <c r="D1369" s="326" t="s">
        <v>369</v>
      </c>
      <c r="E1369" s="327" t="s">
        <v>931</v>
      </c>
      <c r="F1369" s="22">
        <v>30</v>
      </c>
      <c r="G1369" s="22" t="s">
        <v>73</v>
      </c>
      <c r="H1369" s="22">
        <v>30</v>
      </c>
      <c r="I1369" s="22" t="s">
        <v>73</v>
      </c>
      <c r="J1369" s="330"/>
      <c r="K1369" s="681">
        <f t="shared" si="194"/>
        <v>840</v>
      </c>
      <c r="L1369" s="535"/>
      <c r="M1369" s="552" t="str">
        <f t="shared" si="190"/>
        <v/>
      </c>
      <c r="N1369" s="552"/>
      <c r="O1369" s="552" t="str">
        <f t="shared" si="191"/>
        <v/>
      </c>
      <c r="P1369" s="39"/>
    </row>
    <row r="1370" spans="1:16" x14ac:dyDescent="0.35">
      <c r="A1370" s="535" t="str">
        <f t="shared" si="192"/>
        <v/>
      </c>
      <c r="B1370" s="337"/>
      <c r="C1370" s="337"/>
      <c r="D1370" s="326" t="s">
        <v>934</v>
      </c>
      <c r="E1370" s="334" t="s">
        <v>932</v>
      </c>
      <c r="F1370" s="18">
        <v>30</v>
      </c>
      <c r="G1370" s="18" t="s">
        <v>73</v>
      </c>
      <c r="H1370" s="18">
        <v>30</v>
      </c>
      <c r="I1370" s="18" t="s">
        <v>73</v>
      </c>
      <c r="J1370" s="337"/>
      <c r="K1370" s="680">
        <f t="shared" si="194"/>
        <v>840</v>
      </c>
      <c r="L1370" s="535"/>
      <c r="M1370" s="552" t="str">
        <f t="shared" si="190"/>
        <v/>
      </c>
      <c r="N1370" s="552"/>
      <c r="O1370" s="552" t="str">
        <f t="shared" si="191"/>
        <v/>
      </c>
      <c r="P1370" s="39"/>
    </row>
    <row r="1371" spans="1:16" x14ac:dyDescent="0.35">
      <c r="A1371" s="535" t="str">
        <f t="shared" si="192"/>
        <v/>
      </c>
      <c r="B1371" s="330"/>
      <c r="C1371" s="330"/>
      <c r="D1371" s="326" t="s">
        <v>392</v>
      </c>
      <c r="E1371" s="327" t="s">
        <v>933</v>
      </c>
      <c r="F1371" s="22">
        <v>0.5</v>
      </c>
      <c r="G1371" s="22" t="s">
        <v>73</v>
      </c>
      <c r="H1371" s="22">
        <v>0.5</v>
      </c>
      <c r="I1371" s="22" t="s">
        <v>73</v>
      </c>
      <c r="J1371" s="330"/>
      <c r="K1371" s="681">
        <f t="shared" si="194"/>
        <v>14</v>
      </c>
      <c r="L1371" s="535"/>
      <c r="M1371" s="552" t="str">
        <f t="shared" si="190"/>
        <v/>
      </c>
      <c r="N1371" s="552"/>
      <c r="O1371" s="552" t="str">
        <f t="shared" si="191"/>
        <v/>
      </c>
      <c r="P1371" s="39"/>
    </row>
    <row r="1372" spans="1:16" x14ac:dyDescent="0.35">
      <c r="A1372" s="535" t="str">
        <f t="shared" si="192"/>
        <v/>
      </c>
      <c r="B1372" s="337"/>
      <c r="C1372" s="337"/>
      <c r="D1372" s="326" t="s">
        <v>521</v>
      </c>
      <c r="E1372" s="334" t="s">
        <v>960</v>
      </c>
      <c r="F1372" s="18">
        <v>65</v>
      </c>
      <c r="G1372" s="18" t="s">
        <v>73</v>
      </c>
      <c r="H1372" s="18">
        <v>65</v>
      </c>
      <c r="I1372" s="18" t="s">
        <v>73</v>
      </c>
      <c r="J1372" s="337"/>
      <c r="K1372" s="680">
        <f t="shared" si="194"/>
        <v>1820</v>
      </c>
      <c r="L1372" s="535"/>
      <c r="M1372" s="552" t="str">
        <f t="shared" si="190"/>
        <v/>
      </c>
      <c r="N1372" s="552"/>
      <c r="O1372" s="552" t="str">
        <f t="shared" si="191"/>
        <v/>
      </c>
      <c r="P1372" s="39"/>
    </row>
    <row r="1373" spans="1:16" x14ac:dyDescent="0.35">
      <c r="A1373" s="535" t="str">
        <f t="shared" si="192"/>
        <v/>
      </c>
      <c r="B1373" s="330"/>
      <c r="C1373" s="330"/>
      <c r="D1373" s="326" t="s">
        <v>505</v>
      </c>
      <c r="E1373" s="327" t="s">
        <v>722</v>
      </c>
      <c r="F1373" s="22">
        <v>0.2</v>
      </c>
      <c r="G1373" s="22" t="s">
        <v>73</v>
      </c>
      <c r="H1373" s="22">
        <v>0.2</v>
      </c>
      <c r="I1373" s="22" t="s">
        <v>73</v>
      </c>
      <c r="J1373" s="330"/>
      <c r="K1373" s="681">
        <f t="shared" si="194"/>
        <v>5.6000000000000005</v>
      </c>
      <c r="L1373" s="535"/>
      <c r="M1373" s="552" t="str">
        <f t="shared" si="190"/>
        <v/>
      </c>
      <c r="N1373" s="552"/>
      <c r="O1373" s="552" t="str">
        <f t="shared" si="191"/>
        <v/>
      </c>
      <c r="P1373" s="39"/>
    </row>
    <row r="1374" spans="1:16" x14ac:dyDescent="0.35">
      <c r="A1374" s="535" t="str">
        <f t="shared" si="192"/>
        <v/>
      </c>
      <c r="B1374" s="337"/>
      <c r="C1374" s="337"/>
      <c r="D1374" s="326" t="s">
        <v>43</v>
      </c>
      <c r="E1374" s="334" t="s">
        <v>105</v>
      </c>
      <c r="F1374" s="18">
        <v>1</v>
      </c>
      <c r="G1374" s="18" t="s">
        <v>73</v>
      </c>
      <c r="H1374" s="18">
        <v>1</v>
      </c>
      <c r="I1374" s="18" t="s">
        <v>73</v>
      </c>
      <c r="J1374" s="337"/>
      <c r="K1374" s="680">
        <f t="shared" si="194"/>
        <v>28</v>
      </c>
      <c r="L1374" s="535"/>
      <c r="M1374" s="552" t="str">
        <f t="shared" si="190"/>
        <v/>
      </c>
      <c r="N1374" s="552"/>
      <c r="O1374" s="552" t="str">
        <f t="shared" si="191"/>
        <v/>
      </c>
      <c r="P1374" s="39"/>
    </row>
    <row r="1375" spans="1:16" x14ac:dyDescent="0.35">
      <c r="A1375" s="535" t="str">
        <f t="shared" si="192"/>
        <v/>
      </c>
      <c r="B1375" s="330"/>
      <c r="C1375" s="330"/>
      <c r="D1375" s="326" t="s">
        <v>42</v>
      </c>
      <c r="E1375" s="327" t="s">
        <v>66</v>
      </c>
      <c r="F1375" s="22">
        <v>1.5</v>
      </c>
      <c r="G1375" s="22" t="s">
        <v>73</v>
      </c>
      <c r="H1375" s="22">
        <v>1.5</v>
      </c>
      <c r="I1375" s="22" t="s">
        <v>73</v>
      </c>
      <c r="J1375" s="330"/>
      <c r="K1375" s="681">
        <f t="shared" si="194"/>
        <v>42</v>
      </c>
      <c r="L1375" s="535"/>
      <c r="M1375" s="552" t="str">
        <f t="shared" si="190"/>
        <v/>
      </c>
      <c r="N1375" s="552"/>
      <c r="O1375" s="552" t="str">
        <f t="shared" si="191"/>
        <v/>
      </c>
      <c r="P1375" s="39"/>
    </row>
    <row r="1376" spans="1:16" x14ac:dyDescent="0.35">
      <c r="A1376" s="535" t="str">
        <f t="shared" si="192"/>
        <v/>
      </c>
      <c r="B1376" s="337"/>
      <c r="C1376" s="337"/>
      <c r="D1376" s="355"/>
      <c r="E1376" s="355" t="s">
        <v>913</v>
      </c>
      <c r="F1376" s="378">
        <v>60</v>
      </c>
      <c r="G1376" s="378" t="s">
        <v>73</v>
      </c>
      <c r="H1376" s="515"/>
      <c r="I1376" s="378"/>
      <c r="J1376" s="515"/>
      <c r="K1376" s="684"/>
      <c r="L1376" s="535"/>
      <c r="M1376" s="552" t="str">
        <f t="shared" si="190"/>
        <v/>
      </c>
      <c r="N1376" s="552"/>
      <c r="O1376" s="552" t="str">
        <f t="shared" si="191"/>
        <v/>
      </c>
      <c r="P1376" s="39"/>
    </row>
    <row r="1377" spans="1:16" x14ac:dyDescent="0.35">
      <c r="A1377" s="535" t="str">
        <f t="shared" si="192"/>
        <v/>
      </c>
      <c r="B1377" s="330"/>
      <c r="C1377" s="330"/>
      <c r="D1377" s="326" t="s">
        <v>473</v>
      </c>
      <c r="E1377" s="366" t="s">
        <v>914</v>
      </c>
      <c r="F1377" s="22">
        <v>500</v>
      </c>
      <c r="G1377" s="22" t="s">
        <v>73</v>
      </c>
      <c r="H1377" s="328">
        <f>ROUND(($F$1376)*(($F$1377)/((($F$1378)*(($F$1380)/($F$1379+$F$1380)))+(($F$1378)*(($F$1379)/($F$1379+$F$1380)))+($F$1377))),2)</f>
        <v>59.76</v>
      </c>
      <c r="I1377" s="22" t="s">
        <v>73</v>
      </c>
      <c r="J1377" s="330"/>
      <c r="K1377" s="681">
        <f t="shared" si="194"/>
        <v>1673.28</v>
      </c>
      <c r="L1377" s="535"/>
      <c r="M1377" s="552" t="str">
        <f t="shared" si="190"/>
        <v/>
      </c>
      <c r="N1377" s="552"/>
      <c r="O1377" s="552" t="str">
        <f t="shared" si="191"/>
        <v/>
      </c>
      <c r="P1377" s="39"/>
    </row>
    <row r="1378" spans="1:16" x14ac:dyDescent="0.35">
      <c r="A1378" s="535" t="str">
        <f t="shared" si="192"/>
        <v/>
      </c>
      <c r="B1378" s="337"/>
      <c r="C1378" s="337"/>
      <c r="D1378" s="355"/>
      <c r="E1378" s="567" t="s">
        <v>10</v>
      </c>
      <c r="F1378" s="378">
        <v>2</v>
      </c>
      <c r="G1378" s="378" t="s">
        <v>73</v>
      </c>
      <c r="H1378" s="356"/>
      <c r="I1378" s="378"/>
      <c r="J1378" s="515"/>
      <c r="K1378" s="684"/>
      <c r="L1378" s="535"/>
      <c r="M1378" s="552" t="str">
        <f t="shared" si="190"/>
        <v/>
      </c>
      <c r="N1378" s="552"/>
      <c r="O1378" s="552" t="str">
        <f t="shared" si="191"/>
        <v/>
      </c>
      <c r="P1378" s="39"/>
    </row>
    <row r="1379" spans="1:16" x14ac:dyDescent="0.35">
      <c r="A1379" s="535" t="str">
        <f t="shared" si="192"/>
        <v/>
      </c>
      <c r="B1379" s="330"/>
      <c r="C1379" s="330"/>
      <c r="D1379" s="326" t="s">
        <v>43</v>
      </c>
      <c r="E1379" s="570" t="s">
        <v>105</v>
      </c>
      <c r="F1379" s="22">
        <v>85</v>
      </c>
      <c r="G1379" s="22" t="s">
        <v>73</v>
      </c>
      <c r="H1379" s="328">
        <f>ROUND(($F$1376)*((($F$1378)*(($F$1379)/($F$1379+$F$1380)))
/((($F$1378)*(($F$1380)/($F$1379+$F$1380)))+(($F$1378)*(($F$1379)/($F$1379+$F$1380)))+($F$1377))),2)</f>
        <v>0.2</v>
      </c>
      <c r="I1379" s="22" t="s">
        <v>73</v>
      </c>
      <c r="J1379" s="330"/>
      <c r="K1379" s="681">
        <f t="shared" si="194"/>
        <v>5.6000000000000005</v>
      </c>
      <c r="L1379" s="535"/>
      <c r="M1379" s="552" t="str">
        <f t="shared" si="190"/>
        <v/>
      </c>
      <c r="N1379" s="552"/>
      <c r="O1379" s="552" t="str">
        <f t="shared" si="191"/>
        <v/>
      </c>
      <c r="P1379" s="39"/>
    </row>
    <row r="1380" spans="1:16" x14ac:dyDescent="0.35">
      <c r="A1380" s="535" t="str">
        <f t="shared" si="192"/>
        <v/>
      </c>
      <c r="B1380" s="337"/>
      <c r="C1380" s="337"/>
      <c r="D1380" s="326" t="s">
        <v>42</v>
      </c>
      <c r="E1380" s="569" t="s">
        <v>95</v>
      </c>
      <c r="F1380" s="18">
        <v>15</v>
      </c>
      <c r="G1380" s="18" t="s">
        <v>73</v>
      </c>
      <c r="H1380" s="335">
        <f>ROUND(($F$1376)*((($F$1378)*(($F$1380)/($F$1379+$F$1380)))
/((($F$1378)*(($F$1380)/($F$1379+$F$1380)))+(($F$1378)*(($F$1379)/($F$1379+$F$1380)))+($F$1377))),2)</f>
        <v>0.04</v>
      </c>
      <c r="I1380" s="18" t="s">
        <v>73</v>
      </c>
      <c r="J1380" s="337"/>
      <c r="K1380" s="680">
        <f t="shared" si="194"/>
        <v>1.1200000000000001</v>
      </c>
      <c r="L1380" s="535"/>
      <c r="M1380" s="552" t="str">
        <f t="shared" si="190"/>
        <v/>
      </c>
      <c r="N1380" s="552"/>
      <c r="O1380" s="552" t="str">
        <f t="shared" si="191"/>
        <v/>
      </c>
      <c r="P1380" s="39"/>
    </row>
    <row r="1381" spans="1:16" x14ac:dyDescent="0.35">
      <c r="A1381" s="535" t="str">
        <f t="shared" si="192"/>
        <v/>
      </c>
      <c r="B1381" s="330"/>
      <c r="C1381" s="330"/>
      <c r="D1381" s="355" t="s">
        <v>491</v>
      </c>
      <c r="E1381" s="355" t="s">
        <v>861</v>
      </c>
      <c r="F1381" s="378">
        <v>1</v>
      </c>
      <c r="G1381" s="378" t="s">
        <v>1072</v>
      </c>
      <c r="H1381" s="356">
        <v>1</v>
      </c>
      <c r="I1381" s="378" t="s">
        <v>1072</v>
      </c>
      <c r="J1381" s="515"/>
      <c r="K1381" s="684">
        <f t="shared" si="194"/>
        <v>28</v>
      </c>
      <c r="L1381" s="535"/>
      <c r="M1381" s="552" t="str">
        <f t="shared" si="190"/>
        <v/>
      </c>
      <c r="N1381" s="552"/>
      <c r="O1381" s="552" t="str">
        <f t="shared" si="191"/>
        <v/>
      </c>
      <c r="P1381" s="39"/>
    </row>
    <row r="1382" spans="1:16" x14ac:dyDescent="0.35">
      <c r="A1382" s="535" t="str">
        <f t="shared" si="192"/>
        <v/>
      </c>
      <c r="B1382" s="337"/>
      <c r="C1382" s="337"/>
      <c r="D1382" s="355"/>
      <c r="E1382" s="549" t="s">
        <v>853</v>
      </c>
      <c r="F1382" s="378">
        <v>24</v>
      </c>
      <c r="G1382" s="378" t="s">
        <v>73</v>
      </c>
      <c r="H1382" s="515"/>
      <c r="I1382" s="378"/>
      <c r="J1382" s="515"/>
      <c r="K1382" s="684"/>
      <c r="L1382" s="535"/>
      <c r="M1382" s="552" t="str">
        <f t="shared" si="190"/>
        <v/>
      </c>
      <c r="N1382" s="552"/>
      <c r="O1382" s="552" t="str">
        <f t="shared" si="191"/>
        <v/>
      </c>
      <c r="P1382" s="39"/>
    </row>
    <row r="1383" spans="1:16" x14ac:dyDescent="0.35">
      <c r="A1383" s="535" t="str">
        <f t="shared" si="192"/>
        <v/>
      </c>
      <c r="B1383" s="330"/>
      <c r="C1383" s="330"/>
      <c r="D1383" s="326" t="s">
        <v>1068</v>
      </c>
      <c r="E1383" s="366" t="s">
        <v>1069</v>
      </c>
      <c r="F1383" s="22">
        <v>60</v>
      </c>
      <c r="G1383" s="22" t="s">
        <v>73</v>
      </c>
      <c r="H1383" s="328">
        <f>ROUND(($F$1382)*(($F$1383)/($F$1383+$F$1384+$F$1385+$F$1386)),2)</f>
        <v>6.95</v>
      </c>
      <c r="I1383" s="22" t="s">
        <v>73</v>
      </c>
      <c r="J1383" s="330"/>
      <c r="K1383" s="681">
        <f t="shared" si="194"/>
        <v>194.6</v>
      </c>
      <c r="L1383" s="535"/>
      <c r="M1383" s="552" t="str">
        <f t="shared" si="190"/>
        <v/>
      </c>
      <c r="N1383" s="552"/>
      <c r="O1383" s="552" t="str">
        <f t="shared" si="191"/>
        <v/>
      </c>
      <c r="P1383" s="39"/>
    </row>
    <row r="1384" spans="1:16" x14ac:dyDescent="0.35">
      <c r="A1384" s="535" t="str">
        <f t="shared" si="192"/>
        <v/>
      </c>
      <c r="B1384" s="337"/>
      <c r="C1384" s="337"/>
      <c r="D1384" s="342"/>
      <c r="E1384" s="362" t="s">
        <v>854</v>
      </c>
      <c r="F1384" s="404">
        <v>90</v>
      </c>
      <c r="G1384" s="404" t="s">
        <v>73</v>
      </c>
      <c r="H1384" s="343">
        <f>ROUND(($F$1382)*(($F$1384)/($F$1383+$F$1384+$F$1385+$F$1386)),2)</f>
        <v>10.42</v>
      </c>
      <c r="I1384" s="404"/>
      <c r="J1384" s="345"/>
      <c r="K1384" s="685"/>
      <c r="L1384" s="535"/>
      <c r="M1384" s="552" t="str">
        <f t="shared" si="190"/>
        <v/>
      </c>
      <c r="N1384" s="552"/>
      <c r="O1384" s="552" t="str">
        <f t="shared" si="191"/>
        <v/>
      </c>
      <c r="P1384" s="39"/>
    </row>
    <row r="1385" spans="1:16" x14ac:dyDescent="0.35">
      <c r="A1385" s="535" t="str">
        <f t="shared" si="192"/>
        <v/>
      </c>
      <c r="B1385" s="330"/>
      <c r="C1385" s="330"/>
      <c r="D1385" s="326" t="s">
        <v>45</v>
      </c>
      <c r="E1385" s="366" t="s">
        <v>101</v>
      </c>
      <c r="F1385" s="22">
        <v>1.5</v>
      </c>
      <c r="G1385" s="22" t="s">
        <v>73</v>
      </c>
      <c r="H1385" s="328">
        <f>ROUND(($F$1382)*(($F$1385)/($F$1383+$F$1384+$F$1385+$F$1386)),2)</f>
        <v>0.17</v>
      </c>
      <c r="I1385" s="22" t="s">
        <v>73</v>
      </c>
      <c r="J1385" s="330"/>
      <c r="K1385" s="681">
        <f t="shared" si="194"/>
        <v>4.7600000000000007</v>
      </c>
      <c r="L1385" s="535"/>
      <c r="M1385" s="552" t="str">
        <f t="shared" si="190"/>
        <v/>
      </c>
      <c r="N1385" s="552"/>
      <c r="O1385" s="552" t="str">
        <f t="shared" si="191"/>
        <v/>
      </c>
      <c r="P1385" s="39"/>
    </row>
    <row r="1386" spans="1:16" x14ac:dyDescent="0.35">
      <c r="A1386" s="535" t="str">
        <f t="shared" si="192"/>
        <v/>
      </c>
      <c r="B1386" s="337"/>
      <c r="C1386" s="337"/>
      <c r="D1386" s="326" t="s">
        <v>521</v>
      </c>
      <c r="E1386" s="360" t="s">
        <v>855</v>
      </c>
      <c r="F1386" s="18">
        <v>55.75</v>
      </c>
      <c r="G1386" s="18" t="s">
        <v>73</v>
      </c>
      <c r="H1386" s="335">
        <f>ROUND(($F$1382)*(($F$1386)/($F$1383+$F$1384+$F$1385+$F$1386)),2)</f>
        <v>6.46</v>
      </c>
      <c r="I1386" s="18" t="s">
        <v>73</v>
      </c>
      <c r="J1386" s="337"/>
      <c r="K1386" s="680">
        <f t="shared" si="194"/>
        <v>180.88</v>
      </c>
      <c r="L1386" s="535"/>
      <c r="M1386" s="552" t="str">
        <f t="shared" si="190"/>
        <v/>
      </c>
      <c r="N1386" s="552"/>
      <c r="O1386" s="552" t="str">
        <f t="shared" si="191"/>
        <v/>
      </c>
      <c r="P1386" s="39"/>
    </row>
    <row r="1387" spans="1:16" x14ac:dyDescent="0.35">
      <c r="A1387" s="545" t="str">
        <f t="shared" si="192"/>
        <v/>
      </c>
      <c r="B1387" s="546"/>
      <c r="C1387" s="546"/>
      <c r="D1387" s="545"/>
      <c r="E1387" s="545"/>
      <c r="F1387" s="546"/>
      <c r="G1387" s="546"/>
      <c r="H1387" s="546"/>
      <c r="I1387" s="546"/>
      <c r="J1387" s="546"/>
      <c r="K1387" s="676"/>
      <c r="L1387" s="535"/>
      <c r="M1387" s="552" t="str">
        <f t="shared" si="190"/>
        <v/>
      </c>
      <c r="N1387" s="552"/>
      <c r="O1387" s="552" t="str">
        <f t="shared" si="191"/>
        <v/>
      </c>
      <c r="P1387" s="39"/>
    </row>
    <row r="1388" spans="1:16" x14ac:dyDescent="0.35">
      <c r="A1388" s="565">
        <f>IFERROR(INDEX($Q$17:$Q$201,MATCH(B1388,$R$17:$R$201, 0)), "")</f>
        <v>28</v>
      </c>
      <c r="B1388" s="382" t="s">
        <v>1338</v>
      </c>
      <c r="C1388" s="325" t="s">
        <v>935</v>
      </c>
      <c r="D1388" s="326" t="s">
        <v>47</v>
      </c>
      <c r="E1388" s="334" t="s">
        <v>740</v>
      </c>
      <c r="F1388" s="18">
        <v>3</v>
      </c>
      <c r="G1388" s="18" t="s">
        <v>73</v>
      </c>
      <c r="H1388" s="18">
        <v>3</v>
      </c>
      <c r="I1388" s="18" t="s">
        <v>73</v>
      </c>
      <c r="J1388" s="337"/>
      <c r="K1388" s="680">
        <f>$A$1388*H1388</f>
        <v>84</v>
      </c>
      <c r="L1388" s="535"/>
      <c r="M1388" s="552" t="str">
        <f t="shared" si="190"/>
        <v/>
      </c>
      <c r="N1388" s="552"/>
      <c r="O1388" s="552" t="str">
        <f t="shared" si="191"/>
        <v/>
      </c>
      <c r="P1388" s="39"/>
    </row>
    <row r="1389" spans="1:16" x14ac:dyDescent="0.35">
      <c r="A1389" s="535" t="str">
        <f t="shared" si="192"/>
        <v/>
      </c>
      <c r="B1389" s="330"/>
      <c r="C1389" s="330"/>
      <c r="D1389" s="326" t="s">
        <v>49</v>
      </c>
      <c r="E1389" s="327" t="s">
        <v>923</v>
      </c>
      <c r="F1389" s="22">
        <v>6</v>
      </c>
      <c r="G1389" s="22" t="s">
        <v>73</v>
      </c>
      <c r="H1389" s="22">
        <v>6</v>
      </c>
      <c r="I1389" s="22" t="s">
        <v>73</v>
      </c>
      <c r="J1389" s="330"/>
      <c r="K1389" s="681">
        <f t="shared" ref="K1389:K1409" si="195">$A$1388*H1389</f>
        <v>168</v>
      </c>
      <c r="L1389" s="535"/>
      <c r="M1389" s="552" t="str">
        <f t="shared" si="190"/>
        <v/>
      </c>
      <c r="N1389" s="552"/>
      <c r="O1389" s="552" t="str">
        <f t="shared" si="191"/>
        <v/>
      </c>
      <c r="P1389" s="39"/>
    </row>
    <row r="1390" spans="1:16" x14ac:dyDescent="0.35">
      <c r="A1390" s="535" t="str">
        <f t="shared" si="192"/>
        <v/>
      </c>
      <c r="B1390" s="337"/>
      <c r="C1390" s="337"/>
      <c r="D1390" s="326" t="s">
        <v>50</v>
      </c>
      <c r="E1390" s="334" t="s">
        <v>927</v>
      </c>
      <c r="F1390" s="18">
        <v>10</v>
      </c>
      <c r="G1390" s="18" t="s">
        <v>73</v>
      </c>
      <c r="H1390" s="18">
        <v>10</v>
      </c>
      <c r="I1390" s="18" t="s">
        <v>73</v>
      </c>
      <c r="J1390" s="337"/>
      <c r="K1390" s="680">
        <f t="shared" si="195"/>
        <v>280</v>
      </c>
      <c r="L1390" s="535"/>
      <c r="M1390" s="552" t="str">
        <f t="shared" ref="M1390:M1453" si="196">IF(Q1390&gt;0, Q1390, "")</f>
        <v/>
      </c>
      <c r="N1390" s="552"/>
      <c r="O1390" s="552" t="str">
        <f t="shared" ref="O1390:O1453" si="197">IF(V1391&gt;0, V1391, "")</f>
        <v/>
      </c>
      <c r="P1390" s="39"/>
    </row>
    <row r="1391" spans="1:16" x14ac:dyDescent="0.35">
      <c r="A1391" s="535" t="str">
        <f t="shared" si="192"/>
        <v/>
      </c>
      <c r="B1391" s="330"/>
      <c r="C1391" s="330"/>
      <c r="D1391" s="326" t="s">
        <v>454</v>
      </c>
      <c r="E1391" s="327" t="s">
        <v>926</v>
      </c>
      <c r="F1391" s="22">
        <v>20</v>
      </c>
      <c r="G1391" s="22" t="s">
        <v>73</v>
      </c>
      <c r="H1391" s="22">
        <v>20</v>
      </c>
      <c r="I1391" s="22" t="s">
        <v>73</v>
      </c>
      <c r="J1391" s="330"/>
      <c r="K1391" s="681">
        <f t="shared" si="195"/>
        <v>560</v>
      </c>
      <c r="L1391" s="535"/>
      <c r="M1391" s="552" t="str">
        <f t="shared" si="196"/>
        <v/>
      </c>
      <c r="N1391" s="552"/>
      <c r="O1391" s="552" t="str">
        <f t="shared" si="197"/>
        <v/>
      </c>
      <c r="P1391" s="39"/>
    </row>
    <row r="1392" spans="1:16" x14ac:dyDescent="0.35">
      <c r="A1392" s="535" t="str">
        <f t="shared" si="192"/>
        <v/>
      </c>
      <c r="B1392" s="337"/>
      <c r="C1392" s="337"/>
      <c r="D1392" s="326" t="s">
        <v>131</v>
      </c>
      <c r="E1392" s="334" t="s">
        <v>924</v>
      </c>
      <c r="F1392" s="18">
        <v>30</v>
      </c>
      <c r="G1392" s="18" t="s">
        <v>73</v>
      </c>
      <c r="H1392" s="18">
        <v>30</v>
      </c>
      <c r="I1392" s="18" t="s">
        <v>73</v>
      </c>
      <c r="J1392" s="337"/>
      <c r="K1392" s="680">
        <f t="shared" si="195"/>
        <v>840</v>
      </c>
      <c r="L1392" s="535"/>
      <c r="M1392" s="552" t="str">
        <f t="shared" si="196"/>
        <v/>
      </c>
      <c r="N1392" s="552"/>
      <c r="O1392" s="552" t="str">
        <f t="shared" si="197"/>
        <v/>
      </c>
      <c r="P1392" s="39"/>
    </row>
    <row r="1393" spans="1:16" x14ac:dyDescent="0.35">
      <c r="A1393" s="535" t="str">
        <f t="shared" si="192"/>
        <v/>
      </c>
      <c r="B1393" s="330"/>
      <c r="C1393" s="330"/>
      <c r="D1393" s="326" t="s">
        <v>48</v>
      </c>
      <c r="E1393" s="327" t="s">
        <v>809</v>
      </c>
      <c r="F1393" s="22">
        <v>16</v>
      </c>
      <c r="G1393" s="22" t="s">
        <v>73</v>
      </c>
      <c r="H1393" s="22">
        <v>16</v>
      </c>
      <c r="I1393" s="22" t="s">
        <v>73</v>
      </c>
      <c r="J1393" s="330"/>
      <c r="K1393" s="681">
        <f t="shared" si="195"/>
        <v>448</v>
      </c>
      <c r="L1393" s="535"/>
      <c r="M1393" s="552" t="str">
        <f t="shared" si="196"/>
        <v/>
      </c>
      <c r="N1393" s="552"/>
      <c r="O1393" s="552" t="str">
        <f t="shared" si="197"/>
        <v/>
      </c>
      <c r="P1393" s="39"/>
    </row>
    <row r="1394" spans="1:16" x14ac:dyDescent="0.35">
      <c r="A1394" s="535" t="str">
        <f t="shared" si="192"/>
        <v/>
      </c>
      <c r="B1394" s="337"/>
      <c r="C1394" s="337"/>
      <c r="D1394" s="326" t="s">
        <v>521</v>
      </c>
      <c r="E1394" s="334" t="s">
        <v>1010</v>
      </c>
      <c r="F1394" s="18">
        <v>65</v>
      </c>
      <c r="G1394" s="18" t="s">
        <v>73</v>
      </c>
      <c r="H1394" s="18">
        <v>65</v>
      </c>
      <c r="I1394" s="18" t="s">
        <v>73</v>
      </c>
      <c r="J1394" s="337"/>
      <c r="K1394" s="680">
        <f t="shared" si="195"/>
        <v>1820</v>
      </c>
      <c r="L1394" s="535"/>
      <c r="M1394" s="552" t="str">
        <f t="shared" si="196"/>
        <v/>
      </c>
      <c r="N1394" s="552"/>
      <c r="O1394" s="552" t="str">
        <f t="shared" si="197"/>
        <v/>
      </c>
      <c r="P1394" s="39"/>
    </row>
    <row r="1395" spans="1:16" x14ac:dyDescent="0.35">
      <c r="A1395" s="535" t="str">
        <f t="shared" si="192"/>
        <v/>
      </c>
      <c r="B1395" s="330"/>
      <c r="C1395" s="330"/>
      <c r="D1395" s="326" t="s">
        <v>505</v>
      </c>
      <c r="E1395" s="327" t="s">
        <v>722</v>
      </c>
      <c r="F1395" s="22">
        <v>0.5</v>
      </c>
      <c r="G1395" s="22" t="s">
        <v>73</v>
      </c>
      <c r="H1395" s="22">
        <v>0.5</v>
      </c>
      <c r="I1395" s="22" t="s">
        <v>73</v>
      </c>
      <c r="J1395" s="330"/>
      <c r="K1395" s="681">
        <f t="shared" si="195"/>
        <v>14</v>
      </c>
      <c r="L1395" s="535"/>
      <c r="M1395" s="552" t="str">
        <f t="shared" si="196"/>
        <v/>
      </c>
      <c r="N1395" s="552"/>
      <c r="O1395" s="552" t="str">
        <f t="shared" si="197"/>
        <v/>
      </c>
      <c r="P1395" s="39"/>
    </row>
    <row r="1396" spans="1:16" x14ac:dyDescent="0.35">
      <c r="A1396" s="535" t="str">
        <f t="shared" si="192"/>
        <v/>
      </c>
      <c r="B1396" s="337"/>
      <c r="C1396" s="337"/>
      <c r="D1396" s="326" t="s">
        <v>392</v>
      </c>
      <c r="E1396" s="334" t="s">
        <v>972</v>
      </c>
      <c r="F1396" s="18">
        <v>2</v>
      </c>
      <c r="G1396" s="18" t="s">
        <v>73</v>
      </c>
      <c r="H1396" s="18">
        <v>2</v>
      </c>
      <c r="I1396" s="18" t="s">
        <v>73</v>
      </c>
      <c r="J1396" s="337"/>
      <c r="K1396" s="680">
        <f t="shared" si="195"/>
        <v>56</v>
      </c>
      <c r="L1396" s="535"/>
      <c r="M1396" s="552" t="str">
        <f t="shared" si="196"/>
        <v/>
      </c>
      <c r="N1396" s="552"/>
      <c r="O1396" s="552" t="str">
        <f t="shared" si="197"/>
        <v/>
      </c>
      <c r="P1396" s="39"/>
    </row>
    <row r="1397" spans="1:16" x14ac:dyDescent="0.35">
      <c r="A1397" s="535" t="str">
        <f t="shared" ref="A1397:A1460" si="198">IFERROR(INDEX($Q$17:$Q$41,MATCH(B1397,$R$17:$R$41, 0)), "")</f>
        <v/>
      </c>
      <c r="B1397" s="330"/>
      <c r="C1397" s="330"/>
      <c r="D1397" s="326" t="s">
        <v>570</v>
      </c>
      <c r="E1397" s="327" t="s">
        <v>1004</v>
      </c>
      <c r="F1397" s="22">
        <v>2</v>
      </c>
      <c r="G1397" s="22" t="s">
        <v>73</v>
      </c>
      <c r="H1397" s="22">
        <v>2</v>
      </c>
      <c r="I1397" s="22" t="s">
        <v>73</v>
      </c>
      <c r="J1397" s="330"/>
      <c r="K1397" s="681">
        <f t="shared" si="195"/>
        <v>56</v>
      </c>
      <c r="L1397" s="535"/>
      <c r="M1397" s="552" t="str">
        <f t="shared" si="196"/>
        <v/>
      </c>
      <c r="N1397" s="552"/>
      <c r="O1397" s="552" t="str">
        <f t="shared" si="197"/>
        <v/>
      </c>
      <c r="P1397" s="39"/>
    </row>
    <row r="1398" spans="1:16" x14ac:dyDescent="0.35">
      <c r="A1398" s="535" t="str">
        <f t="shared" si="198"/>
        <v/>
      </c>
      <c r="B1398" s="337"/>
      <c r="C1398" s="337"/>
      <c r="D1398" s="326" t="s">
        <v>63</v>
      </c>
      <c r="E1398" s="334" t="s">
        <v>107</v>
      </c>
      <c r="F1398" s="18">
        <v>70</v>
      </c>
      <c r="G1398" s="18" t="s">
        <v>73</v>
      </c>
      <c r="H1398" s="18">
        <v>70</v>
      </c>
      <c r="I1398" s="18" t="s">
        <v>73</v>
      </c>
      <c r="J1398" s="337"/>
      <c r="K1398" s="680">
        <f t="shared" si="195"/>
        <v>1960</v>
      </c>
      <c r="L1398" s="535"/>
      <c r="M1398" s="552" t="str">
        <f t="shared" si="196"/>
        <v/>
      </c>
      <c r="N1398" s="552"/>
      <c r="O1398" s="552" t="str">
        <f t="shared" si="197"/>
        <v/>
      </c>
      <c r="P1398" s="39"/>
    </row>
    <row r="1399" spans="1:16" x14ac:dyDescent="0.35">
      <c r="A1399" s="535" t="str">
        <f t="shared" si="198"/>
        <v/>
      </c>
      <c r="B1399" s="330"/>
      <c r="C1399" s="330"/>
      <c r="D1399" s="355"/>
      <c r="E1399" s="567" t="s">
        <v>754</v>
      </c>
      <c r="F1399" s="356">
        <v>200</v>
      </c>
      <c r="G1399" s="378" t="s">
        <v>73</v>
      </c>
      <c r="H1399" s="515"/>
      <c r="I1399" s="378"/>
      <c r="J1399" s="515"/>
      <c r="K1399" s="684"/>
      <c r="L1399" s="535"/>
      <c r="M1399" s="552" t="str">
        <f t="shared" si="196"/>
        <v/>
      </c>
      <c r="N1399" s="552"/>
      <c r="O1399" s="552" t="str">
        <f t="shared" si="197"/>
        <v/>
      </c>
      <c r="P1399" s="39"/>
    </row>
    <row r="1400" spans="1:16" x14ac:dyDescent="0.35">
      <c r="A1400" s="535" t="str">
        <f t="shared" si="198"/>
        <v/>
      </c>
      <c r="B1400" s="337"/>
      <c r="C1400" s="337"/>
      <c r="D1400" s="342"/>
      <c r="E1400" s="561" t="s">
        <v>81</v>
      </c>
      <c r="F1400" s="404">
        <v>1300</v>
      </c>
      <c r="G1400" s="404" t="s">
        <v>73</v>
      </c>
      <c r="H1400" s="343">
        <f>ROUND(($F$1399)*(($F$1400)/($F$1400+$F$1401+$F$1402)),2)</f>
        <v>113.04</v>
      </c>
      <c r="I1400" s="404"/>
      <c r="J1400" s="345"/>
      <c r="K1400" s="685"/>
      <c r="L1400" s="535"/>
      <c r="M1400" s="552" t="str">
        <f t="shared" si="196"/>
        <v/>
      </c>
      <c r="N1400" s="552"/>
      <c r="O1400" s="552" t="str">
        <f t="shared" si="197"/>
        <v/>
      </c>
      <c r="P1400" s="39"/>
    </row>
    <row r="1401" spans="1:16" x14ac:dyDescent="0.35">
      <c r="A1401" s="535" t="str">
        <f t="shared" si="198"/>
        <v/>
      </c>
      <c r="B1401" s="330"/>
      <c r="C1401" s="330"/>
      <c r="D1401" s="326" t="s">
        <v>1660</v>
      </c>
      <c r="E1401" s="495" t="s">
        <v>1897</v>
      </c>
      <c r="F1401" s="22">
        <v>1000</v>
      </c>
      <c r="G1401" s="22" t="s">
        <v>73</v>
      </c>
      <c r="H1401" s="328">
        <f>ROUND(($F$1399)*(($F$1401)/($F$1400+$F$1401+$F$1402)),2)</f>
        <v>86.96</v>
      </c>
      <c r="I1401" s="22" t="s">
        <v>73</v>
      </c>
      <c r="J1401" s="330"/>
      <c r="K1401" s="681">
        <f t="shared" si="195"/>
        <v>2434.8799999999997</v>
      </c>
      <c r="L1401" s="535"/>
      <c r="M1401" s="552" t="str">
        <f t="shared" si="196"/>
        <v/>
      </c>
      <c r="N1401" s="552"/>
      <c r="O1401" s="552" t="str">
        <f t="shared" si="197"/>
        <v/>
      </c>
      <c r="P1401" s="39"/>
    </row>
    <row r="1402" spans="1:16" x14ac:dyDescent="0.35">
      <c r="A1402" s="535" t="str">
        <f t="shared" si="198"/>
        <v/>
      </c>
      <c r="B1402" s="337"/>
      <c r="C1402" s="337"/>
      <c r="D1402" s="326"/>
      <c r="E1402" s="560" t="s">
        <v>753</v>
      </c>
      <c r="F1402" s="18">
        <v>0</v>
      </c>
      <c r="G1402" s="18" t="s">
        <v>73</v>
      </c>
      <c r="H1402" s="335">
        <f>ROUND(($F$1399)*(($F$1402)/($F$1400+$F$1401+$F$1402)),2)</f>
        <v>0</v>
      </c>
      <c r="I1402" s="18" t="s">
        <v>73</v>
      </c>
      <c r="J1402" s="337"/>
      <c r="K1402" s="680">
        <f t="shared" si="195"/>
        <v>0</v>
      </c>
      <c r="L1402" s="535"/>
      <c r="M1402" s="552" t="str">
        <f t="shared" si="196"/>
        <v/>
      </c>
      <c r="N1402" s="552"/>
      <c r="O1402" s="552" t="str">
        <f t="shared" si="197"/>
        <v/>
      </c>
      <c r="P1402" s="39"/>
    </row>
    <row r="1403" spans="1:16" x14ac:dyDescent="0.35">
      <c r="A1403" s="535" t="str">
        <f t="shared" si="198"/>
        <v/>
      </c>
      <c r="B1403" s="330"/>
      <c r="C1403" s="330"/>
      <c r="D1403" s="539"/>
      <c r="E1403" s="355" t="s">
        <v>84</v>
      </c>
      <c r="F1403" s="378">
        <v>50</v>
      </c>
      <c r="G1403" s="378" t="s">
        <v>73</v>
      </c>
      <c r="H1403" s="515"/>
      <c r="I1403" s="378"/>
      <c r="J1403" s="515"/>
      <c r="K1403" s="684"/>
      <c r="L1403" s="535"/>
      <c r="M1403" s="552" t="str">
        <f t="shared" si="196"/>
        <v/>
      </c>
      <c r="N1403" s="552"/>
      <c r="O1403" s="552" t="str">
        <f t="shared" si="197"/>
        <v/>
      </c>
      <c r="P1403" s="39"/>
    </row>
    <row r="1404" spans="1:16" x14ac:dyDescent="0.35">
      <c r="A1404" s="535" t="str">
        <f t="shared" si="198"/>
        <v/>
      </c>
      <c r="B1404" s="337"/>
      <c r="C1404" s="337"/>
      <c r="D1404" s="539"/>
      <c r="E1404" s="416" t="s">
        <v>26</v>
      </c>
      <c r="F1404" s="378">
        <v>1000</v>
      </c>
      <c r="G1404" s="378" t="s">
        <v>73</v>
      </c>
      <c r="H1404" s="515"/>
      <c r="I1404" s="378"/>
      <c r="J1404" s="515"/>
      <c r="K1404" s="684"/>
      <c r="L1404" s="535"/>
      <c r="M1404" s="552" t="str">
        <f t="shared" si="196"/>
        <v/>
      </c>
      <c r="N1404" s="552"/>
      <c r="O1404" s="552" t="str">
        <f t="shared" si="197"/>
        <v/>
      </c>
      <c r="P1404" s="39"/>
    </row>
    <row r="1405" spans="1:16" x14ac:dyDescent="0.35">
      <c r="A1405" s="535" t="str">
        <f t="shared" si="198"/>
        <v/>
      </c>
      <c r="B1405" s="330"/>
      <c r="C1405" s="330"/>
      <c r="D1405" s="417" t="s">
        <v>60</v>
      </c>
      <c r="E1405" s="658" t="s">
        <v>121</v>
      </c>
      <c r="F1405" s="22">
        <v>1000</v>
      </c>
      <c r="G1405" s="22" t="s">
        <v>73</v>
      </c>
      <c r="H1405" s="328">
        <f>ROUND(($F$1403)*((($F$1404)*(($F$1405)/($F$1405+$F$1406)))
/((($F$1404)*(($F$1406)/($F$1405+$F$1406)))+(($F$1404)*(($F$1405)/($F$1405+$F$1406)))+($F$1408)+($F$1409))),2)</f>
        <v>33.479999999999997</v>
      </c>
      <c r="I1405" s="22" t="s">
        <v>73</v>
      </c>
      <c r="J1405" s="330"/>
      <c r="K1405" s="681">
        <f t="shared" si="195"/>
        <v>937.43999999999994</v>
      </c>
      <c r="L1405" s="535"/>
      <c r="M1405" s="552" t="str">
        <f t="shared" si="196"/>
        <v/>
      </c>
      <c r="N1405" s="552"/>
      <c r="O1405" s="552" t="str">
        <f t="shared" si="197"/>
        <v/>
      </c>
      <c r="P1405" s="39"/>
    </row>
    <row r="1406" spans="1:16" x14ac:dyDescent="0.35">
      <c r="A1406" s="535" t="str">
        <f t="shared" si="198"/>
        <v/>
      </c>
      <c r="B1406" s="337"/>
      <c r="C1406" s="337"/>
      <c r="D1406" s="417" t="s">
        <v>43</v>
      </c>
      <c r="E1406" s="560" t="s">
        <v>94</v>
      </c>
      <c r="F1406" s="18">
        <v>30</v>
      </c>
      <c r="G1406" s="18" t="s">
        <v>73</v>
      </c>
      <c r="H1406" s="335">
        <f>ROUND(($F$1403)*((($F$1404)*(($F$1406)/($F$1405+$F$1406)))
/((($F$1404)*(($F$1406)/($F$1405+$F$1406)))+(($F$1404)*(($F$1405)/($F$1405+$F$1406)))+($F$1408)+($F$1409))),2)</f>
        <v>1</v>
      </c>
      <c r="I1406" s="18" t="s">
        <v>73</v>
      </c>
      <c r="J1406" s="337"/>
      <c r="K1406" s="680">
        <f t="shared" si="195"/>
        <v>28</v>
      </c>
      <c r="L1406" s="535"/>
      <c r="M1406" s="552" t="str">
        <f t="shared" si="196"/>
        <v/>
      </c>
      <c r="N1406" s="552"/>
      <c r="O1406" s="552" t="str">
        <f t="shared" si="197"/>
        <v/>
      </c>
      <c r="P1406" s="39"/>
    </row>
    <row r="1407" spans="1:16" x14ac:dyDescent="0.35">
      <c r="A1407" s="535" t="str">
        <f t="shared" si="198"/>
        <v/>
      </c>
      <c r="B1407" s="330"/>
      <c r="C1407" s="330"/>
      <c r="D1407" s="420"/>
      <c r="E1407" s="561" t="s">
        <v>81</v>
      </c>
      <c r="F1407" s="404">
        <v>400</v>
      </c>
      <c r="G1407" s="404" t="s">
        <v>73</v>
      </c>
      <c r="H1407" s="343"/>
      <c r="I1407" s="404"/>
      <c r="J1407" s="345"/>
      <c r="K1407" s="685"/>
      <c r="L1407" s="535"/>
      <c r="M1407" s="552" t="str">
        <f t="shared" si="196"/>
        <v/>
      </c>
      <c r="N1407" s="552"/>
      <c r="O1407" s="552" t="str">
        <f t="shared" si="197"/>
        <v/>
      </c>
      <c r="P1407" s="39"/>
    </row>
    <row r="1408" spans="1:16" x14ac:dyDescent="0.35">
      <c r="A1408" s="535" t="str">
        <f t="shared" si="198"/>
        <v/>
      </c>
      <c r="B1408" s="337"/>
      <c r="C1408" s="337"/>
      <c r="D1408" s="417" t="s">
        <v>59</v>
      </c>
      <c r="E1408" s="425" t="s">
        <v>27</v>
      </c>
      <c r="F1408" s="18">
        <v>350</v>
      </c>
      <c r="G1408" s="18" t="s">
        <v>73</v>
      </c>
      <c r="H1408" s="335">
        <f>ROUND(($F$1403)*(($F$1408)/((($F$1404)*(($F$1406)/($F$1405+$F$1406)))+(($F$1404)*(($F$1405)/($F$1405+$F$1406)))+($F$1408)+($F$1409))),2)</f>
        <v>12.07</v>
      </c>
      <c r="I1408" s="18" t="s">
        <v>73</v>
      </c>
      <c r="J1408" s="337"/>
      <c r="K1408" s="680">
        <f t="shared" si="195"/>
        <v>337.96000000000004</v>
      </c>
      <c r="L1408" s="535"/>
      <c r="M1408" s="552" t="str">
        <f t="shared" si="196"/>
        <v/>
      </c>
      <c r="N1408" s="552"/>
      <c r="O1408" s="552" t="str">
        <f t="shared" si="197"/>
        <v/>
      </c>
      <c r="P1408" s="39"/>
    </row>
    <row r="1409" spans="1:16" x14ac:dyDescent="0.35">
      <c r="A1409" s="535" t="str">
        <f t="shared" si="198"/>
        <v/>
      </c>
      <c r="B1409" s="330"/>
      <c r="C1409" s="330"/>
      <c r="D1409" s="417" t="s">
        <v>48</v>
      </c>
      <c r="E1409" s="426" t="s">
        <v>91</v>
      </c>
      <c r="F1409" s="22">
        <v>100</v>
      </c>
      <c r="G1409" s="22" t="s">
        <v>73</v>
      </c>
      <c r="H1409" s="328">
        <f>ROUND(($F$1403)*(($F$1409)/((($F$1404)*(($F$1406)/($F$1405+$F$1406)))+(($F$1404)*(($F$1405)/($F$1405+$F$1406)))+($F$1408)+($F$1409))),2)</f>
        <v>3.45</v>
      </c>
      <c r="I1409" s="22" t="s">
        <v>73</v>
      </c>
      <c r="J1409" s="330"/>
      <c r="K1409" s="681">
        <f t="shared" si="195"/>
        <v>96.600000000000009</v>
      </c>
      <c r="L1409" s="535"/>
      <c r="M1409" s="552" t="str">
        <f t="shared" si="196"/>
        <v/>
      </c>
      <c r="N1409" s="552"/>
      <c r="O1409" s="552" t="str">
        <f t="shared" si="197"/>
        <v/>
      </c>
      <c r="P1409" s="39"/>
    </row>
    <row r="1410" spans="1:16" x14ac:dyDescent="0.35">
      <c r="A1410" s="545" t="str">
        <f t="shared" si="198"/>
        <v/>
      </c>
      <c r="B1410" s="546"/>
      <c r="C1410" s="546"/>
      <c r="D1410" s="545"/>
      <c r="E1410" s="545"/>
      <c r="F1410" s="546"/>
      <c r="G1410" s="546"/>
      <c r="H1410" s="546"/>
      <c r="I1410" s="546"/>
      <c r="J1410" s="546"/>
      <c r="K1410" s="676"/>
      <c r="L1410" s="535"/>
      <c r="M1410" s="552" t="str">
        <f t="shared" si="196"/>
        <v/>
      </c>
      <c r="N1410" s="552"/>
      <c r="O1410" s="552" t="str">
        <f t="shared" si="197"/>
        <v/>
      </c>
      <c r="P1410" s="39"/>
    </row>
    <row r="1411" spans="1:16" x14ac:dyDescent="0.35">
      <c r="A1411" s="565">
        <f>IFERROR(INDEX($Q$17:$Q$201,MATCH(B1411,$R$17:$R$201, 0)), "")</f>
        <v>10</v>
      </c>
      <c r="B1411" s="382" t="s">
        <v>1259</v>
      </c>
      <c r="C1411" s="325" t="s">
        <v>936</v>
      </c>
      <c r="D1411" s="326" t="s">
        <v>163</v>
      </c>
      <c r="E1411" s="327" t="s">
        <v>164</v>
      </c>
      <c r="F1411" s="328">
        <v>30</v>
      </c>
      <c r="G1411" s="328" t="s">
        <v>73</v>
      </c>
      <c r="H1411" s="328">
        <v>30</v>
      </c>
      <c r="I1411" s="328" t="s">
        <v>73</v>
      </c>
      <c r="J1411" s="330"/>
      <c r="K1411" s="681">
        <f>$A$1411*H1411</f>
        <v>300</v>
      </c>
      <c r="L1411" s="535"/>
      <c r="M1411" s="552" t="str">
        <f t="shared" si="196"/>
        <v/>
      </c>
      <c r="N1411" s="552"/>
      <c r="O1411" s="552" t="str">
        <f t="shared" si="197"/>
        <v/>
      </c>
      <c r="P1411" s="39"/>
    </row>
    <row r="1412" spans="1:16" x14ac:dyDescent="0.35">
      <c r="A1412" s="535" t="str">
        <f t="shared" si="198"/>
        <v/>
      </c>
      <c r="B1412" s="337"/>
      <c r="C1412" s="337"/>
      <c r="D1412" s="326" t="s">
        <v>563</v>
      </c>
      <c r="E1412" s="334" t="s">
        <v>564</v>
      </c>
      <c r="F1412" s="335">
        <v>62</v>
      </c>
      <c r="G1412" s="335" t="s">
        <v>73</v>
      </c>
      <c r="H1412" s="335">
        <v>62</v>
      </c>
      <c r="I1412" s="335" t="s">
        <v>73</v>
      </c>
      <c r="J1412" s="337"/>
      <c r="K1412" s="680">
        <f>$A$1411*H1412</f>
        <v>620</v>
      </c>
      <c r="L1412" s="535"/>
      <c r="M1412" s="552" t="str">
        <f t="shared" si="196"/>
        <v/>
      </c>
      <c r="N1412" s="552"/>
      <c r="O1412" s="552" t="str">
        <f t="shared" si="197"/>
        <v/>
      </c>
      <c r="P1412" s="39"/>
    </row>
    <row r="1413" spans="1:16" x14ac:dyDescent="0.35">
      <c r="A1413" s="545" t="str">
        <f t="shared" si="198"/>
        <v/>
      </c>
      <c r="B1413" s="546"/>
      <c r="C1413" s="546"/>
      <c r="D1413" s="545"/>
      <c r="E1413" s="545"/>
      <c r="F1413" s="579"/>
      <c r="G1413" s="546"/>
      <c r="H1413" s="546"/>
      <c r="I1413" s="546"/>
      <c r="J1413" s="546"/>
      <c r="K1413" s="676"/>
      <c r="L1413" s="535"/>
      <c r="M1413" s="552" t="str">
        <f t="shared" si="196"/>
        <v/>
      </c>
      <c r="N1413" s="552"/>
      <c r="O1413" s="552" t="str">
        <f t="shared" si="197"/>
        <v/>
      </c>
      <c r="P1413" s="39"/>
    </row>
    <row r="1414" spans="1:16" x14ac:dyDescent="0.35">
      <c r="A1414" s="565">
        <f>IFERROR(INDEX($Q$17:$Q$201,MATCH(B1414,$R$17:$R$201, 0)), "")</f>
        <v>5</v>
      </c>
      <c r="B1414" s="382" t="s">
        <v>1260</v>
      </c>
      <c r="C1414" s="325" t="s">
        <v>937</v>
      </c>
      <c r="D1414" s="326" t="s">
        <v>163</v>
      </c>
      <c r="E1414" s="334" t="s">
        <v>164</v>
      </c>
      <c r="F1414" s="335">
        <v>30</v>
      </c>
      <c r="G1414" s="335" t="s">
        <v>73</v>
      </c>
      <c r="H1414" s="335">
        <v>30</v>
      </c>
      <c r="I1414" s="335" t="s">
        <v>73</v>
      </c>
      <c r="J1414" s="337"/>
      <c r="K1414" s="680">
        <f>$A$1414*H1414</f>
        <v>150</v>
      </c>
      <c r="L1414" s="535"/>
      <c r="M1414" s="552" t="str">
        <f t="shared" si="196"/>
        <v/>
      </c>
      <c r="N1414" s="552"/>
      <c r="O1414" s="552" t="str">
        <f t="shared" si="197"/>
        <v/>
      </c>
      <c r="P1414" s="39"/>
    </row>
    <row r="1415" spans="1:16" x14ac:dyDescent="0.35">
      <c r="A1415" s="535" t="str">
        <f t="shared" si="198"/>
        <v/>
      </c>
      <c r="B1415" s="330"/>
      <c r="C1415" s="330"/>
      <c r="D1415" s="355"/>
      <c r="E1415" s="567" t="s">
        <v>754</v>
      </c>
      <c r="F1415" s="356">
        <v>180</v>
      </c>
      <c r="G1415" s="378" t="s">
        <v>73</v>
      </c>
      <c r="H1415" s="515"/>
      <c r="I1415" s="356"/>
      <c r="J1415" s="515"/>
      <c r="K1415" s="684"/>
      <c r="L1415" s="535"/>
      <c r="M1415" s="552" t="str">
        <f t="shared" si="196"/>
        <v/>
      </c>
      <c r="N1415" s="552"/>
      <c r="O1415" s="552" t="str">
        <f t="shared" si="197"/>
        <v/>
      </c>
      <c r="P1415" s="39"/>
    </row>
    <row r="1416" spans="1:16" x14ac:dyDescent="0.35">
      <c r="A1416" s="535" t="str">
        <f t="shared" si="198"/>
        <v/>
      </c>
      <c r="B1416" s="337"/>
      <c r="C1416" s="337"/>
      <c r="D1416" s="342"/>
      <c r="E1416" s="561" t="s">
        <v>81</v>
      </c>
      <c r="F1416" s="404">
        <v>1300</v>
      </c>
      <c r="G1416" s="404" t="s">
        <v>73</v>
      </c>
      <c r="H1416" s="343">
        <f>ROUND(($F$1415)*(($F$1416)/($F$1416+$F$1417+$F$1418)),2)</f>
        <v>101.74</v>
      </c>
      <c r="I1416" s="343"/>
      <c r="J1416" s="345"/>
      <c r="K1416" s="685"/>
      <c r="L1416" s="535"/>
      <c r="M1416" s="552" t="str">
        <f t="shared" si="196"/>
        <v/>
      </c>
      <c r="N1416" s="552"/>
      <c r="O1416" s="552" t="str">
        <f t="shared" si="197"/>
        <v/>
      </c>
      <c r="P1416" s="39"/>
    </row>
    <row r="1417" spans="1:16" x14ac:dyDescent="0.35">
      <c r="A1417" s="535" t="str">
        <f t="shared" si="198"/>
        <v/>
      </c>
      <c r="B1417" s="330"/>
      <c r="C1417" s="330"/>
      <c r="D1417" s="326" t="s">
        <v>1660</v>
      </c>
      <c r="E1417" s="495" t="s">
        <v>1897</v>
      </c>
      <c r="F1417" s="22">
        <v>1000</v>
      </c>
      <c r="G1417" s="22" t="s">
        <v>73</v>
      </c>
      <c r="H1417" s="328">
        <f>ROUND(($F$1415)*(($F$1417)/($F$1416+$F$1417+$F$1418)),2)</f>
        <v>78.260000000000005</v>
      </c>
      <c r="I1417" s="328" t="s">
        <v>73</v>
      </c>
      <c r="J1417" s="330"/>
      <c r="K1417" s="681">
        <f t="shared" ref="K1417:K1418" si="199">$A$1414*H1417</f>
        <v>391.3</v>
      </c>
      <c r="L1417" s="535"/>
      <c r="M1417" s="552" t="str">
        <f t="shared" si="196"/>
        <v/>
      </c>
      <c r="N1417" s="552"/>
      <c r="O1417" s="552" t="str">
        <f t="shared" si="197"/>
        <v/>
      </c>
      <c r="P1417" s="39"/>
    </row>
    <row r="1418" spans="1:16" x14ac:dyDescent="0.35">
      <c r="A1418" s="535" t="str">
        <f t="shared" si="198"/>
        <v/>
      </c>
      <c r="B1418" s="337"/>
      <c r="C1418" s="337"/>
      <c r="D1418" s="326"/>
      <c r="E1418" s="560" t="s">
        <v>753</v>
      </c>
      <c r="F1418" s="18">
        <v>0</v>
      </c>
      <c r="G1418" s="18" t="s">
        <v>73</v>
      </c>
      <c r="H1418" s="335">
        <f>ROUND(($F$1415)*(($F$1418)/($F$1416+$F$1417+$F$1418)),2)</f>
        <v>0</v>
      </c>
      <c r="I1418" s="335" t="s">
        <v>73</v>
      </c>
      <c r="J1418" s="337"/>
      <c r="K1418" s="680">
        <f t="shared" si="199"/>
        <v>0</v>
      </c>
      <c r="L1418" s="535"/>
      <c r="M1418" s="552" t="str">
        <f t="shared" si="196"/>
        <v/>
      </c>
      <c r="N1418" s="552"/>
      <c r="O1418" s="552" t="str">
        <f t="shared" si="197"/>
        <v/>
      </c>
      <c r="P1418" s="39"/>
    </row>
    <row r="1419" spans="1:16" x14ac:dyDescent="0.35">
      <c r="A1419" s="545" t="str">
        <f>IFERROR(INDEX($Q$17:$Q$41,MATCH(B1419,$R$17:$R$41, 0)), "")</f>
        <v/>
      </c>
      <c r="B1419" s="546"/>
      <c r="C1419" s="546"/>
      <c r="D1419" s="545"/>
      <c r="E1419" s="545"/>
      <c r="F1419" s="579"/>
      <c r="G1419" s="546"/>
      <c r="H1419" s="546"/>
      <c r="I1419" s="546"/>
      <c r="J1419" s="546"/>
      <c r="K1419" s="676"/>
      <c r="L1419" s="535"/>
      <c r="M1419" s="552" t="str">
        <f t="shared" si="196"/>
        <v/>
      </c>
      <c r="N1419" s="552"/>
      <c r="O1419" s="552" t="str">
        <f t="shared" si="197"/>
        <v/>
      </c>
      <c r="P1419" s="39"/>
    </row>
    <row r="1420" spans="1:16" x14ac:dyDescent="0.35">
      <c r="A1420" s="565">
        <f>IFERROR(INDEX($Q$17:$Q$201,MATCH(B1420,$R$17:$R$201, 0)), "")</f>
        <v>1</v>
      </c>
      <c r="B1420" s="382" t="s">
        <v>1261</v>
      </c>
      <c r="C1420" s="325" t="s">
        <v>938</v>
      </c>
      <c r="D1420" s="326" t="s">
        <v>163</v>
      </c>
      <c r="E1420" s="334" t="s">
        <v>164</v>
      </c>
      <c r="F1420" s="335">
        <v>30</v>
      </c>
      <c r="G1420" s="335" t="s">
        <v>73</v>
      </c>
      <c r="H1420" s="335">
        <v>30</v>
      </c>
      <c r="I1420" s="335" t="s">
        <v>73</v>
      </c>
      <c r="J1420" s="337"/>
      <c r="K1420" s="680">
        <f>$A$1420*H1420</f>
        <v>30</v>
      </c>
      <c r="L1420" s="535"/>
      <c r="M1420" s="552" t="str">
        <f t="shared" si="196"/>
        <v/>
      </c>
      <c r="N1420" s="552"/>
      <c r="O1420" s="552" t="str">
        <f t="shared" si="197"/>
        <v/>
      </c>
      <c r="P1420" s="39"/>
    </row>
    <row r="1421" spans="1:16" ht="15" thickBot="1" x14ac:dyDescent="0.4">
      <c r="A1421" s="535" t="str">
        <f t="shared" si="198"/>
        <v/>
      </c>
      <c r="B1421" s="330"/>
      <c r="C1421" s="330"/>
      <c r="D1421" s="326" t="s">
        <v>489</v>
      </c>
      <c r="E1421" s="327" t="s">
        <v>490</v>
      </c>
      <c r="F1421" s="328">
        <v>90</v>
      </c>
      <c r="G1421" s="328" t="s">
        <v>73</v>
      </c>
      <c r="H1421" s="328">
        <v>90</v>
      </c>
      <c r="I1421" s="328" t="s">
        <v>73</v>
      </c>
      <c r="J1421" s="330"/>
      <c r="K1421" s="681">
        <f>$A$1420*H1421</f>
        <v>90</v>
      </c>
      <c r="L1421" s="535"/>
      <c r="M1421" s="552" t="str">
        <f t="shared" si="196"/>
        <v/>
      </c>
      <c r="N1421" s="552"/>
      <c r="O1421" s="552" t="str">
        <f t="shared" si="197"/>
        <v/>
      </c>
      <c r="P1421" s="39"/>
    </row>
    <row r="1422" spans="1:16" ht="15.5" thickTop="1" thickBot="1" x14ac:dyDescent="0.4">
      <c r="A1422" s="545" t="str">
        <f t="shared" si="198"/>
        <v/>
      </c>
      <c r="B1422" s="546"/>
      <c r="C1422" s="546"/>
      <c r="D1422" s="547"/>
      <c r="E1422" s="546"/>
      <c r="F1422" s="546"/>
      <c r="G1422" s="546"/>
      <c r="H1422" s="546"/>
      <c r="I1422" s="546"/>
      <c r="J1422" s="546"/>
      <c r="K1422" s="676"/>
      <c r="L1422" s="535"/>
      <c r="M1422" s="552" t="str">
        <f t="shared" si="196"/>
        <v/>
      </c>
      <c r="N1422" s="552"/>
      <c r="O1422" s="552" t="str">
        <f t="shared" si="197"/>
        <v/>
      </c>
      <c r="P1422" s="39"/>
    </row>
    <row r="1423" spans="1:16" ht="15" thickTop="1" x14ac:dyDescent="0.35">
      <c r="A1423" s="565">
        <f>IFERROR(INDEX($Q$17:$Q$201,MATCH(B1423,$R$17:$R$201, 0)), "")</f>
        <v>75</v>
      </c>
      <c r="B1423" s="382" t="s">
        <v>1297</v>
      </c>
      <c r="C1423" s="325" t="s">
        <v>939</v>
      </c>
      <c r="D1423" s="347" t="s">
        <v>505</v>
      </c>
      <c r="E1423" s="327" t="s">
        <v>722</v>
      </c>
      <c r="F1423" s="328">
        <v>2</v>
      </c>
      <c r="G1423" s="328" t="s">
        <v>73</v>
      </c>
      <c r="H1423" s="328">
        <v>2</v>
      </c>
      <c r="I1423" s="328" t="s">
        <v>73</v>
      </c>
      <c r="J1423" s="330"/>
      <c r="K1423" s="681">
        <f>$A$1423*H1423</f>
        <v>150</v>
      </c>
      <c r="L1423" s="535"/>
      <c r="M1423" s="552" t="str">
        <f t="shared" si="196"/>
        <v/>
      </c>
      <c r="N1423" s="552"/>
      <c r="O1423" s="552" t="str">
        <f t="shared" si="197"/>
        <v/>
      </c>
      <c r="P1423" s="39"/>
    </row>
    <row r="1424" spans="1:16" x14ac:dyDescent="0.35">
      <c r="A1424" s="535" t="str">
        <f t="shared" si="198"/>
        <v/>
      </c>
      <c r="B1424" s="337"/>
      <c r="C1424" s="337"/>
      <c r="D1424" s="326" t="s">
        <v>454</v>
      </c>
      <c r="E1424" s="334" t="s">
        <v>1006</v>
      </c>
      <c r="F1424" s="335">
        <v>10</v>
      </c>
      <c r="G1424" s="335" t="s">
        <v>73</v>
      </c>
      <c r="H1424" s="335">
        <v>10</v>
      </c>
      <c r="I1424" s="335" t="s">
        <v>73</v>
      </c>
      <c r="J1424" s="337"/>
      <c r="K1424" s="680">
        <f t="shared" ref="K1424:K1439" si="200">$A$1423*H1424</f>
        <v>750</v>
      </c>
      <c r="L1424" s="535"/>
      <c r="M1424" s="552" t="str">
        <f t="shared" si="196"/>
        <v/>
      </c>
      <c r="N1424" s="552"/>
      <c r="O1424" s="552" t="str">
        <f t="shared" si="197"/>
        <v/>
      </c>
      <c r="P1424" s="39"/>
    </row>
    <row r="1425" spans="1:16" x14ac:dyDescent="0.35">
      <c r="A1425" s="535" t="str">
        <f t="shared" si="198"/>
        <v/>
      </c>
      <c r="B1425" s="330"/>
      <c r="C1425" s="330"/>
      <c r="D1425" s="326" t="s">
        <v>41</v>
      </c>
      <c r="E1425" s="327" t="s">
        <v>837</v>
      </c>
      <c r="F1425" s="328">
        <v>5</v>
      </c>
      <c r="G1425" s="328" t="s">
        <v>73</v>
      </c>
      <c r="H1425" s="328">
        <v>5</v>
      </c>
      <c r="I1425" s="328" t="s">
        <v>73</v>
      </c>
      <c r="J1425" s="330"/>
      <c r="K1425" s="681">
        <f t="shared" si="200"/>
        <v>375</v>
      </c>
      <c r="L1425" s="535"/>
      <c r="M1425" s="552" t="str">
        <f t="shared" si="196"/>
        <v/>
      </c>
      <c r="N1425" s="552"/>
      <c r="O1425" s="552" t="str">
        <f t="shared" si="197"/>
        <v/>
      </c>
      <c r="P1425" s="39"/>
    </row>
    <row r="1426" spans="1:16" x14ac:dyDescent="0.35">
      <c r="A1426" s="535" t="str">
        <f t="shared" si="198"/>
        <v/>
      </c>
      <c r="B1426" s="337"/>
      <c r="C1426" s="337"/>
      <c r="D1426" s="326" t="s">
        <v>131</v>
      </c>
      <c r="E1426" s="334" t="s">
        <v>1005</v>
      </c>
      <c r="F1426" s="335">
        <v>30</v>
      </c>
      <c r="G1426" s="335" t="s">
        <v>73</v>
      </c>
      <c r="H1426" s="335">
        <v>30</v>
      </c>
      <c r="I1426" s="335" t="s">
        <v>73</v>
      </c>
      <c r="J1426" s="337"/>
      <c r="K1426" s="680">
        <f t="shared" si="200"/>
        <v>2250</v>
      </c>
      <c r="L1426" s="535"/>
      <c r="M1426" s="552" t="str">
        <f t="shared" si="196"/>
        <v/>
      </c>
      <c r="N1426" s="552"/>
      <c r="O1426" s="552" t="str">
        <f t="shared" si="197"/>
        <v/>
      </c>
      <c r="P1426" s="39"/>
    </row>
    <row r="1427" spans="1:16" x14ac:dyDescent="0.35">
      <c r="A1427" s="535" t="str">
        <f t="shared" si="198"/>
        <v/>
      </c>
      <c r="B1427" s="330"/>
      <c r="C1427" s="330"/>
      <c r="D1427" s="326" t="s">
        <v>570</v>
      </c>
      <c r="E1427" s="327" t="s">
        <v>1004</v>
      </c>
      <c r="F1427" s="328">
        <v>4</v>
      </c>
      <c r="G1427" s="328" t="s">
        <v>73</v>
      </c>
      <c r="H1427" s="328">
        <v>4</v>
      </c>
      <c r="I1427" s="328" t="s">
        <v>73</v>
      </c>
      <c r="J1427" s="330"/>
      <c r="K1427" s="681">
        <f t="shared" si="200"/>
        <v>300</v>
      </c>
      <c r="L1427" s="535"/>
      <c r="M1427" s="552" t="str">
        <f t="shared" si="196"/>
        <v/>
      </c>
      <c r="N1427" s="552"/>
      <c r="O1427" s="552" t="str">
        <f t="shared" si="197"/>
        <v/>
      </c>
      <c r="P1427" s="39"/>
    </row>
    <row r="1428" spans="1:16" x14ac:dyDescent="0.35">
      <c r="A1428" s="535" t="str">
        <f t="shared" si="198"/>
        <v/>
      </c>
      <c r="B1428" s="337"/>
      <c r="C1428" s="337"/>
      <c r="D1428" s="326" t="s">
        <v>48</v>
      </c>
      <c r="E1428" s="334" t="s">
        <v>716</v>
      </c>
      <c r="F1428" s="335">
        <v>20</v>
      </c>
      <c r="G1428" s="335" t="s">
        <v>73</v>
      </c>
      <c r="H1428" s="335">
        <v>20</v>
      </c>
      <c r="I1428" s="335" t="s">
        <v>73</v>
      </c>
      <c r="J1428" s="337"/>
      <c r="K1428" s="680">
        <f t="shared" si="200"/>
        <v>1500</v>
      </c>
      <c r="L1428" s="535"/>
      <c r="M1428" s="552" t="str">
        <f t="shared" si="196"/>
        <v/>
      </c>
      <c r="N1428" s="552"/>
      <c r="O1428" s="552" t="str">
        <f t="shared" si="197"/>
        <v/>
      </c>
      <c r="P1428" s="39"/>
    </row>
    <row r="1429" spans="1:16" x14ac:dyDescent="0.35">
      <c r="A1429" s="535" t="str">
        <f t="shared" si="198"/>
        <v/>
      </c>
      <c r="B1429" s="330"/>
      <c r="C1429" s="330"/>
      <c r="D1429" s="355"/>
      <c r="E1429" s="567" t="s">
        <v>754</v>
      </c>
      <c r="F1429" s="356">
        <v>180</v>
      </c>
      <c r="G1429" s="378" t="s">
        <v>73</v>
      </c>
      <c r="H1429" s="515"/>
      <c r="I1429" s="356"/>
      <c r="J1429" s="515"/>
      <c r="K1429" s="684"/>
      <c r="L1429" s="535"/>
      <c r="M1429" s="552" t="str">
        <f t="shared" si="196"/>
        <v/>
      </c>
      <c r="N1429" s="552"/>
      <c r="O1429" s="552" t="str">
        <f t="shared" si="197"/>
        <v/>
      </c>
      <c r="P1429" s="39"/>
    </row>
    <row r="1430" spans="1:16" x14ac:dyDescent="0.35">
      <c r="A1430" s="535" t="str">
        <f t="shared" si="198"/>
        <v/>
      </c>
      <c r="B1430" s="337"/>
      <c r="C1430" s="337"/>
      <c r="D1430" s="571"/>
      <c r="E1430" s="656" t="s">
        <v>81</v>
      </c>
      <c r="F1430" s="493">
        <v>1300</v>
      </c>
      <c r="G1430" s="493" t="s">
        <v>73</v>
      </c>
      <c r="H1430" s="466">
        <f>ROUND(($F$1429)*(($F$1430)/($F$1430+$F$1431+$F$1432)),2)</f>
        <v>101.74</v>
      </c>
      <c r="I1430" s="466"/>
      <c r="J1430" s="573"/>
      <c r="K1430" s="693"/>
      <c r="L1430" s="535"/>
      <c r="M1430" s="552" t="str">
        <f t="shared" si="196"/>
        <v/>
      </c>
      <c r="N1430" s="552"/>
      <c r="O1430" s="552" t="str">
        <f t="shared" si="197"/>
        <v/>
      </c>
      <c r="P1430" s="39"/>
    </row>
    <row r="1431" spans="1:16" x14ac:dyDescent="0.35">
      <c r="A1431" s="535" t="str">
        <f t="shared" si="198"/>
        <v/>
      </c>
      <c r="B1431" s="330"/>
      <c r="C1431" s="330"/>
      <c r="D1431" s="326" t="s">
        <v>1660</v>
      </c>
      <c r="E1431" s="495" t="s">
        <v>1897</v>
      </c>
      <c r="F1431" s="22">
        <v>1000</v>
      </c>
      <c r="G1431" s="22" t="s">
        <v>73</v>
      </c>
      <c r="H1431" s="328">
        <f>ROUND(($F$1429)*(($F$1431)/($F$1430+$F$1431+$F$1432)),2)</f>
        <v>78.260000000000005</v>
      </c>
      <c r="I1431" s="328" t="s">
        <v>73</v>
      </c>
      <c r="J1431" s="330"/>
      <c r="K1431" s="681">
        <f t="shared" si="200"/>
        <v>5869.5</v>
      </c>
      <c r="L1431" s="535"/>
      <c r="M1431" s="552" t="str">
        <f t="shared" si="196"/>
        <v/>
      </c>
      <c r="N1431" s="552"/>
      <c r="O1431" s="552" t="str">
        <f t="shared" si="197"/>
        <v/>
      </c>
      <c r="P1431" s="39"/>
    </row>
    <row r="1432" spans="1:16" x14ac:dyDescent="0.35">
      <c r="A1432" s="535" t="str">
        <f t="shared" si="198"/>
        <v/>
      </c>
      <c r="B1432" s="337"/>
      <c r="C1432" s="337"/>
      <c r="D1432" s="326"/>
      <c r="E1432" s="560" t="s">
        <v>753</v>
      </c>
      <c r="F1432" s="18">
        <v>0</v>
      </c>
      <c r="G1432" s="18" t="s">
        <v>73</v>
      </c>
      <c r="H1432" s="335">
        <f>ROUND(($F$1429)*(($F$1432)/($F$1430+$F$1431+$F$1432)),2)</f>
        <v>0</v>
      </c>
      <c r="I1432" s="335" t="s">
        <v>73</v>
      </c>
      <c r="J1432" s="337"/>
      <c r="K1432" s="680">
        <f t="shared" si="200"/>
        <v>0</v>
      </c>
      <c r="L1432" s="535"/>
      <c r="M1432" s="552" t="str">
        <f t="shared" si="196"/>
        <v/>
      </c>
      <c r="N1432" s="552"/>
      <c r="O1432" s="552" t="str">
        <f t="shared" si="197"/>
        <v/>
      </c>
      <c r="P1432" s="39"/>
    </row>
    <row r="1433" spans="1:16" x14ac:dyDescent="0.35">
      <c r="A1433" s="535" t="str">
        <f t="shared" si="198"/>
        <v/>
      </c>
      <c r="B1433" s="330"/>
      <c r="C1433" s="330"/>
      <c r="D1433" s="539"/>
      <c r="E1433" s="355" t="s">
        <v>84</v>
      </c>
      <c r="F1433" s="378">
        <v>50</v>
      </c>
      <c r="G1433" s="378" t="s">
        <v>73</v>
      </c>
      <c r="H1433" s="515"/>
      <c r="I1433" s="356"/>
      <c r="J1433" s="515"/>
      <c r="K1433" s="684"/>
      <c r="L1433" s="535"/>
      <c r="M1433" s="552" t="str">
        <f t="shared" si="196"/>
        <v/>
      </c>
      <c r="N1433" s="552"/>
      <c r="O1433" s="552" t="str">
        <f t="shared" si="197"/>
        <v/>
      </c>
      <c r="P1433" s="39"/>
    </row>
    <row r="1434" spans="1:16" x14ac:dyDescent="0.35">
      <c r="A1434" s="535" t="str">
        <f t="shared" si="198"/>
        <v/>
      </c>
      <c r="B1434" s="337"/>
      <c r="C1434" s="337"/>
      <c r="D1434" s="539"/>
      <c r="E1434" s="416" t="s">
        <v>26</v>
      </c>
      <c r="F1434" s="378">
        <v>1000</v>
      </c>
      <c r="G1434" s="378" t="s">
        <v>73</v>
      </c>
      <c r="H1434" s="515"/>
      <c r="I1434" s="356"/>
      <c r="J1434" s="515"/>
      <c r="K1434" s="684"/>
      <c r="L1434" s="535"/>
      <c r="M1434" s="552" t="str">
        <f t="shared" si="196"/>
        <v/>
      </c>
      <c r="N1434" s="552"/>
      <c r="O1434" s="552" t="str">
        <f t="shared" si="197"/>
        <v/>
      </c>
      <c r="P1434" s="39"/>
    </row>
    <row r="1435" spans="1:16" x14ac:dyDescent="0.35">
      <c r="A1435" s="535" t="str">
        <f t="shared" si="198"/>
        <v/>
      </c>
      <c r="B1435" s="330"/>
      <c r="C1435" s="330"/>
      <c r="D1435" s="417" t="s">
        <v>60</v>
      </c>
      <c r="E1435" s="418" t="s">
        <v>121</v>
      </c>
      <c r="F1435" s="22">
        <v>1000</v>
      </c>
      <c r="G1435" s="22" t="s">
        <v>73</v>
      </c>
      <c r="H1435" s="328">
        <f>ROUND(($F$1433)*((($F$1434)*(($F$1435)/($F$1435+$F$1436)))
/((($F$1434)*(($F$1435)/($F$1435+$F$1436)))+(($F$1434)*(($F$1436)/($F$1435+$F$1436)))+($F$1438)+($F$1439))),2)</f>
        <v>33.479999999999997</v>
      </c>
      <c r="I1435" s="328" t="s">
        <v>73</v>
      </c>
      <c r="J1435" s="330"/>
      <c r="K1435" s="681">
        <f t="shared" si="200"/>
        <v>2510.9999999999995</v>
      </c>
      <c r="L1435" s="535"/>
      <c r="M1435" s="552" t="str">
        <f t="shared" si="196"/>
        <v/>
      </c>
      <c r="N1435" s="552"/>
      <c r="O1435" s="552" t="str">
        <f t="shared" si="197"/>
        <v/>
      </c>
      <c r="P1435" s="39"/>
    </row>
    <row r="1436" spans="1:16" x14ac:dyDescent="0.35">
      <c r="A1436" s="535" t="str">
        <f t="shared" si="198"/>
        <v/>
      </c>
      <c r="B1436" s="337"/>
      <c r="C1436" s="337"/>
      <c r="D1436" s="417" t="s">
        <v>43</v>
      </c>
      <c r="E1436" s="419" t="s">
        <v>94</v>
      </c>
      <c r="F1436" s="18">
        <v>30</v>
      </c>
      <c r="G1436" s="18" t="s">
        <v>73</v>
      </c>
      <c r="H1436" s="335">
        <f>ROUND(($F$1433)*((($F$1434)*(($F$1436)/($F$1435+$F$1436)))
/((($F$1434)*(($F$1435)/($F$1435+$F$1436)))+(($F$1434)*(($F$1436)/($F$1435+$F$1436)))+($F$1438)+($F$1439))),2)</f>
        <v>1</v>
      </c>
      <c r="I1436" s="335" t="s">
        <v>73</v>
      </c>
      <c r="J1436" s="337"/>
      <c r="K1436" s="680">
        <f t="shared" si="200"/>
        <v>75</v>
      </c>
      <c r="L1436" s="535"/>
      <c r="M1436" s="552" t="str">
        <f t="shared" si="196"/>
        <v/>
      </c>
      <c r="N1436" s="552"/>
      <c r="O1436" s="552" t="str">
        <f t="shared" si="197"/>
        <v/>
      </c>
      <c r="P1436" s="39"/>
    </row>
    <row r="1437" spans="1:16" x14ac:dyDescent="0.35">
      <c r="A1437" s="535" t="str">
        <f t="shared" si="198"/>
        <v/>
      </c>
      <c r="B1437" s="330"/>
      <c r="C1437" s="330"/>
      <c r="D1437" s="420"/>
      <c r="E1437" s="421" t="s">
        <v>81</v>
      </c>
      <c r="F1437" s="404">
        <v>400</v>
      </c>
      <c r="G1437" s="404" t="s">
        <v>73</v>
      </c>
      <c r="H1437" s="343"/>
      <c r="I1437" s="343"/>
      <c r="J1437" s="345"/>
      <c r="K1437" s="685"/>
      <c r="L1437" s="535"/>
      <c r="M1437" s="552" t="str">
        <f t="shared" si="196"/>
        <v/>
      </c>
      <c r="N1437" s="552"/>
      <c r="O1437" s="552" t="str">
        <f t="shared" si="197"/>
        <v/>
      </c>
      <c r="P1437" s="39"/>
    </row>
    <row r="1438" spans="1:16" x14ac:dyDescent="0.35">
      <c r="A1438" s="535" t="str">
        <f t="shared" si="198"/>
        <v/>
      </c>
      <c r="B1438" s="337"/>
      <c r="C1438" s="337"/>
      <c r="D1438" s="417" t="s">
        <v>59</v>
      </c>
      <c r="E1438" s="425" t="s">
        <v>27</v>
      </c>
      <c r="F1438" s="18">
        <v>350</v>
      </c>
      <c r="G1438" s="18" t="s">
        <v>73</v>
      </c>
      <c r="H1438" s="335">
        <f>ROUND(($F$1433)*(($F$1438)/((($F$1434)*(($F$1435)/($F$1435+$F$1436)))+(($F$1434)*(($F$1436)/($F$1435+$F$1436)))+($F$1438)+($F$1439))),2)</f>
        <v>12.07</v>
      </c>
      <c r="I1438" s="335" t="s">
        <v>73</v>
      </c>
      <c r="J1438" s="337"/>
      <c r="K1438" s="680">
        <f t="shared" si="200"/>
        <v>905.25</v>
      </c>
      <c r="L1438" s="535"/>
      <c r="M1438" s="552" t="str">
        <f t="shared" si="196"/>
        <v/>
      </c>
      <c r="N1438" s="552"/>
      <c r="O1438" s="552" t="str">
        <f t="shared" si="197"/>
        <v/>
      </c>
      <c r="P1438" s="39"/>
    </row>
    <row r="1439" spans="1:16" x14ac:dyDescent="0.35">
      <c r="A1439" s="535" t="str">
        <f t="shared" si="198"/>
        <v/>
      </c>
      <c r="B1439" s="330"/>
      <c r="C1439" s="330"/>
      <c r="D1439" s="417" t="s">
        <v>48</v>
      </c>
      <c r="E1439" s="426" t="s">
        <v>91</v>
      </c>
      <c r="F1439" s="22">
        <v>100</v>
      </c>
      <c r="G1439" s="22" t="s">
        <v>73</v>
      </c>
      <c r="H1439" s="328">
        <f>ROUND(($F$1433)*(($F$1439)/((($F$1434)*(($F$1435)/($F$1435+$F$1436)))+(($F$1434)*(($F$1436)/($F$1435+$F$1436)))+($F$1438)+($F$1439))),2)</f>
        <v>3.45</v>
      </c>
      <c r="I1439" s="328" t="s">
        <v>73</v>
      </c>
      <c r="J1439" s="330"/>
      <c r="K1439" s="681">
        <f t="shared" si="200"/>
        <v>258.75</v>
      </c>
      <c r="L1439" s="535"/>
      <c r="M1439" s="552" t="str">
        <f t="shared" si="196"/>
        <v/>
      </c>
      <c r="N1439" s="552"/>
      <c r="O1439" s="552" t="str">
        <f t="shared" si="197"/>
        <v/>
      </c>
      <c r="P1439" s="39"/>
    </row>
    <row r="1440" spans="1:16" x14ac:dyDescent="0.35">
      <c r="A1440" s="545" t="str">
        <f t="shared" si="198"/>
        <v/>
      </c>
      <c r="B1440" s="546"/>
      <c r="C1440" s="546"/>
      <c r="D1440" s="545"/>
      <c r="E1440" s="545"/>
      <c r="F1440" s="546"/>
      <c r="G1440" s="546"/>
      <c r="H1440" s="546"/>
      <c r="I1440" s="546"/>
      <c r="J1440" s="546"/>
      <c r="K1440" s="676"/>
      <c r="L1440" s="535"/>
      <c r="M1440" s="552" t="str">
        <f t="shared" si="196"/>
        <v/>
      </c>
      <c r="N1440" s="552"/>
      <c r="O1440" s="552" t="str">
        <f t="shared" si="197"/>
        <v/>
      </c>
      <c r="P1440" s="39"/>
    </row>
    <row r="1441" spans="1:16" x14ac:dyDescent="0.35">
      <c r="A1441" s="565">
        <f>IFERROR(INDEX($Q$17:$Q$201,MATCH(B1441,$R$17:$R$201, 0)), "")</f>
        <v>2</v>
      </c>
      <c r="B1441" s="382" t="s">
        <v>1298</v>
      </c>
      <c r="C1441" s="325" t="s">
        <v>940</v>
      </c>
      <c r="D1441" s="326" t="s">
        <v>50</v>
      </c>
      <c r="E1441" s="327" t="s">
        <v>1008</v>
      </c>
      <c r="F1441" s="328">
        <v>30</v>
      </c>
      <c r="G1441" s="328" t="s">
        <v>73</v>
      </c>
      <c r="H1441" s="328">
        <v>30</v>
      </c>
      <c r="I1441" s="328" t="s">
        <v>73</v>
      </c>
      <c r="J1441" s="330"/>
      <c r="K1441" s="681">
        <f>$A$1441*H1441</f>
        <v>60</v>
      </c>
      <c r="L1441" s="535"/>
      <c r="M1441" s="552" t="str">
        <f t="shared" si="196"/>
        <v/>
      </c>
      <c r="N1441" s="552"/>
      <c r="O1441" s="552" t="str">
        <f t="shared" si="197"/>
        <v/>
      </c>
      <c r="P1441" s="39"/>
    </row>
    <row r="1442" spans="1:16" x14ac:dyDescent="0.35">
      <c r="A1442" s="535" t="str">
        <f t="shared" si="198"/>
        <v/>
      </c>
      <c r="B1442" s="337"/>
      <c r="C1442" s="337"/>
      <c r="D1442" s="326" t="s">
        <v>375</v>
      </c>
      <c r="E1442" s="334" t="s">
        <v>1007</v>
      </c>
      <c r="F1442" s="335">
        <v>30</v>
      </c>
      <c r="G1442" s="335" t="s">
        <v>73</v>
      </c>
      <c r="H1442" s="335">
        <v>30</v>
      </c>
      <c r="I1442" s="335" t="s">
        <v>73</v>
      </c>
      <c r="J1442" s="337"/>
      <c r="K1442" s="680">
        <f t="shared" ref="K1442:K1464" si="201">$A$1441*H1442</f>
        <v>60</v>
      </c>
      <c r="L1442" s="535"/>
      <c r="M1442" s="552" t="str">
        <f t="shared" si="196"/>
        <v/>
      </c>
      <c r="N1442" s="552"/>
      <c r="O1442" s="552" t="str">
        <f t="shared" si="197"/>
        <v/>
      </c>
      <c r="P1442" s="39"/>
    </row>
    <row r="1443" spans="1:16" x14ac:dyDescent="0.35">
      <c r="A1443" s="535" t="str">
        <f t="shared" si="198"/>
        <v/>
      </c>
      <c r="B1443" s="330"/>
      <c r="C1443" s="330"/>
      <c r="D1443" s="326" t="s">
        <v>402</v>
      </c>
      <c r="E1443" s="327" t="s">
        <v>941</v>
      </c>
      <c r="F1443" s="328">
        <v>30</v>
      </c>
      <c r="G1443" s="328" t="s">
        <v>73</v>
      </c>
      <c r="H1443" s="328">
        <v>30</v>
      </c>
      <c r="I1443" s="328" t="s">
        <v>73</v>
      </c>
      <c r="J1443" s="330"/>
      <c r="K1443" s="681">
        <f t="shared" si="201"/>
        <v>60</v>
      </c>
      <c r="L1443" s="535"/>
      <c r="M1443" s="552" t="str">
        <f t="shared" si="196"/>
        <v/>
      </c>
      <c r="N1443" s="552"/>
      <c r="O1443" s="552" t="str">
        <f t="shared" si="197"/>
        <v/>
      </c>
      <c r="P1443" s="39"/>
    </row>
    <row r="1444" spans="1:16" x14ac:dyDescent="0.35">
      <c r="A1444" s="535" t="str">
        <f t="shared" si="198"/>
        <v/>
      </c>
      <c r="B1444" s="337"/>
      <c r="C1444" s="337"/>
      <c r="D1444" s="326" t="s">
        <v>48</v>
      </c>
      <c r="E1444" s="334" t="s">
        <v>1009</v>
      </c>
      <c r="F1444" s="335">
        <v>20</v>
      </c>
      <c r="G1444" s="335" t="s">
        <v>73</v>
      </c>
      <c r="H1444" s="335">
        <v>20</v>
      </c>
      <c r="I1444" s="335" t="s">
        <v>73</v>
      </c>
      <c r="J1444" s="337"/>
      <c r="K1444" s="680">
        <f t="shared" si="201"/>
        <v>40</v>
      </c>
      <c r="L1444" s="535"/>
      <c r="M1444" s="552" t="str">
        <f t="shared" si="196"/>
        <v/>
      </c>
      <c r="N1444" s="552"/>
      <c r="O1444" s="552" t="str">
        <f t="shared" si="197"/>
        <v/>
      </c>
      <c r="P1444" s="39"/>
    </row>
    <row r="1445" spans="1:16" x14ac:dyDescent="0.35">
      <c r="A1445" s="535" t="str">
        <f t="shared" si="198"/>
        <v/>
      </c>
      <c r="B1445" s="330"/>
      <c r="C1445" s="330"/>
      <c r="D1445" s="326" t="s">
        <v>387</v>
      </c>
      <c r="E1445" s="327" t="s">
        <v>942</v>
      </c>
      <c r="F1445" s="328">
        <v>10</v>
      </c>
      <c r="G1445" s="328" t="s">
        <v>73</v>
      </c>
      <c r="H1445" s="328">
        <v>10</v>
      </c>
      <c r="I1445" s="328" t="s">
        <v>73</v>
      </c>
      <c r="J1445" s="330"/>
      <c r="K1445" s="681">
        <f t="shared" si="201"/>
        <v>20</v>
      </c>
      <c r="L1445" s="535"/>
      <c r="M1445" s="552" t="str">
        <f t="shared" si="196"/>
        <v/>
      </c>
      <c r="N1445" s="552"/>
      <c r="O1445" s="552" t="str">
        <f t="shared" si="197"/>
        <v/>
      </c>
      <c r="P1445" s="39"/>
    </row>
    <row r="1446" spans="1:16" x14ac:dyDescent="0.35">
      <c r="A1446" s="535" t="str">
        <f t="shared" si="198"/>
        <v/>
      </c>
      <c r="B1446" s="337"/>
      <c r="C1446" s="337"/>
      <c r="D1446" s="326" t="s">
        <v>41</v>
      </c>
      <c r="E1446" s="334" t="s">
        <v>837</v>
      </c>
      <c r="F1446" s="335">
        <v>2</v>
      </c>
      <c r="G1446" s="335" t="s">
        <v>73</v>
      </c>
      <c r="H1446" s="335">
        <v>2</v>
      </c>
      <c r="I1446" s="335" t="s">
        <v>73</v>
      </c>
      <c r="J1446" s="337"/>
      <c r="K1446" s="680">
        <f t="shared" si="201"/>
        <v>4</v>
      </c>
      <c r="L1446" s="535"/>
      <c r="M1446" s="552" t="str">
        <f t="shared" si="196"/>
        <v/>
      </c>
      <c r="N1446" s="552"/>
      <c r="O1446" s="552" t="str">
        <f t="shared" si="197"/>
        <v/>
      </c>
      <c r="P1446" s="39"/>
    </row>
    <row r="1447" spans="1:16" x14ac:dyDescent="0.35">
      <c r="A1447" s="535" t="str">
        <f t="shared" si="198"/>
        <v/>
      </c>
      <c r="B1447" s="330"/>
      <c r="C1447" s="330"/>
      <c r="D1447" s="355"/>
      <c r="E1447" s="567" t="s">
        <v>754</v>
      </c>
      <c r="F1447" s="356">
        <v>180</v>
      </c>
      <c r="G1447" s="378" t="s">
        <v>73</v>
      </c>
      <c r="H1447" s="515"/>
      <c r="I1447" s="515"/>
      <c r="J1447" s="515"/>
      <c r="K1447" s="684"/>
      <c r="L1447" s="535"/>
      <c r="M1447" s="552" t="str">
        <f t="shared" si="196"/>
        <v/>
      </c>
      <c r="N1447" s="552"/>
      <c r="O1447" s="552" t="str">
        <f t="shared" si="197"/>
        <v/>
      </c>
      <c r="P1447" s="39"/>
    </row>
    <row r="1448" spans="1:16" x14ac:dyDescent="0.35">
      <c r="A1448" s="535" t="str">
        <f t="shared" si="198"/>
        <v/>
      </c>
      <c r="B1448" s="337"/>
      <c r="C1448" s="337"/>
      <c r="D1448" s="342"/>
      <c r="E1448" s="561" t="s">
        <v>81</v>
      </c>
      <c r="F1448" s="404">
        <v>1300</v>
      </c>
      <c r="G1448" s="404" t="s">
        <v>73</v>
      </c>
      <c r="H1448" s="343">
        <f>ROUND(($F$1447)*(($F$1448)/($F$1448+$F$1449+$F$1450)),2)</f>
        <v>101.74</v>
      </c>
      <c r="I1448" s="345"/>
      <c r="J1448" s="345"/>
      <c r="K1448" s="685"/>
      <c r="L1448" s="535"/>
      <c r="M1448" s="552" t="str">
        <f t="shared" si="196"/>
        <v/>
      </c>
      <c r="N1448" s="552"/>
      <c r="O1448" s="552" t="str">
        <f t="shared" si="197"/>
        <v/>
      </c>
      <c r="P1448" s="39"/>
    </row>
    <row r="1449" spans="1:16" x14ac:dyDescent="0.35">
      <c r="A1449" s="535" t="str">
        <f t="shared" si="198"/>
        <v/>
      </c>
      <c r="B1449" s="330"/>
      <c r="C1449" s="330"/>
      <c r="D1449" s="326" t="s">
        <v>1660</v>
      </c>
      <c r="E1449" s="495" t="s">
        <v>1897</v>
      </c>
      <c r="F1449" s="22">
        <v>1000</v>
      </c>
      <c r="G1449" s="22" t="s">
        <v>73</v>
      </c>
      <c r="H1449" s="328">
        <f>ROUND(($F$1447)*(($F$1449)/($F$1448+$F$1449+$F$1450)),2)</f>
        <v>78.260000000000005</v>
      </c>
      <c r="I1449" s="328" t="s">
        <v>73</v>
      </c>
      <c r="J1449" s="330"/>
      <c r="K1449" s="681">
        <f t="shared" si="201"/>
        <v>156.52000000000001</v>
      </c>
      <c r="L1449" s="535"/>
      <c r="M1449" s="552" t="str">
        <f t="shared" si="196"/>
        <v/>
      </c>
      <c r="N1449" s="552"/>
      <c r="O1449" s="552" t="str">
        <f t="shared" si="197"/>
        <v/>
      </c>
      <c r="P1449" s="39"/>
    </row>
    <row r="1450" spans="1:16" x14ac:dyDescent="0.35">
      <c r="A1450" s="535" t="str">
        <f t="shared" si="198"/>
        <v/>
      </c>
      <c r="B1450" s="337"/>
      <c r="C1450" s="337"/>
      <c r="D1450" s="326"/>
      <c r="E1450" s="560" t="s">
        <v>753</v>
      </c>
      <c r="F1450" s="18">
        <v>0</v>
      </c>
      <c r="G1450" s="18" t="s">
        <v>73</v>
      </c>
      <c r="H1450" s="335">
        <f>ROUND(($F$1447)*(($F$1450)/($F$1448+$F$1449+$F$1450)),2)</f>
        <v>0</v>
      </c>
      <c r="I1450" s="335" t="s">
        <v>73</v>
      </c>
      <c r="J1450" s="337"/>
      <c r="K1450" s="680">
        <f t="shared" si="201"/>
        <v>0</v>
      </c>
      <c r="L1450" s="535"/>
      <c r="M1450" s="552" t="str">
        <f t="shared" si="196"/>
        <v/>
      </c>
      <c r="N1450" s="552"/>
      <c r="O1450" s="552" t="str">
        <f t="shared" si="197"/>
        <v/>
      </c>
      <c r="P1450" s="39"/>
    </row>
    <row r="1451" spans="1:16" x14ac:dyDescent="0.35">
      <c r="A1451" s="535" t="str">
        <f t="shared" si="198"/>
        <v/>
      </c>
      <c r="B1451" s="330"/>
      <c r="C1451" s="330"/>
      <c r="D1451" s="355"/>
      <c r="E1451" s="355" t="s">
        <v>943</v>
      </c>
      <c r="F1451" s="356">
        <v>350</v>
      </c>
      <c r="G1451" s="356" t="s">
        <v>73</v>
      </c>
      <c r="H1451" s="356"/>
      <c r="I1451" s="356"/>
      <c r="J1451" s="515"/>
      <c r="K1451" s="684"/>
      <c r="L1451" s="535"/>
      <c r="M1451" s="552" t="str">
        <f t="shared" si="196"/>
        <v/>
      </c>
      <c r="N1451" s="552"/>
      <c r="O1451" s="552" t="str">
        <f t="shared" si="197"/>
        <v/>
      </c>
      <c r="P1451" s="39"/>
    </row>
    <row r="1452" spans="1:16" x14ac:dyDescent="0.35">
      <c r="A1452" s="535" t="str">
        <f t="shared" si="198"/>
        <v/>
      </c>
      <c r="B1452" s="337"/>
      <c r="C1452" s="337"/>
      <c r="D1452" s="342"/>
      <c r="E1452" s="561" t="s">
        <v>81</v>
      </c>
      <c r="F1452" s="343">
        <v>1000</v>
      </c>
      <c r="G1452" s="343" t="s">
        <v>73</v>
      </c>
      <c r="H1452" s="343">
        <f>ROUND(($F$1451)*((F1452)/((($F$1463)*(($F$1464)/($F$1464+$F$1465)))+(($F$1463)*(($F$1465)/($F$1464+$F$1465)))+($F$1453)+($F$1454)+($F$1455)+($F$1456)+($F$1457)+($F$1458)+($F$1459)+($F$1460)+($F$1461)+($F$1462)+($F$1452))),2)</f>
        <v>308.91000000000003</v>
      </c>
      <c r="I1452" s="343"/>
      <c r="J1452" s="345"/>
      <c r="K1452" s="685"/>
      <c r="L1452" s="535"/>
      <c r="M1452" s="552" t="str">
        <f t="shared" si="196"/>
        <v/>
      </c>
      <c r="N1452" s="552"/>
      <c r="O1452" s="552" t="str">
        <f t="shared" si="197"/>
        <v/>
      </c>
      <c r="P1452" s="39"/>
    </row>
    <row r="1453" spans="1:16" x14ac:dyDescent="0.35">
      <c r="A1453" s="535" t="str">
        <f t="shared" si="198"/>
        <v/>
      </c>
      <c r="B1453" s="330"/>
      <c r="C1453" s="330"/>
      <c r="D1453" s="326" t="s">
        <v>50</v>
      </c>
      <c r="E1453" s="495" t="s">
        <v>944</v>
      </c>
      <c r="F1453" s="328">
        <v>10</v>
      </c>
      <c r="G1453" s="328" t="s">
        <v>73</v>
      </c>
      <c r="H1453" s="328">
        <f t="shared" ref="H1453:H1462" si="202">ROUND(($F$1451)*((F1453)/((($F$1463)*(($F$1464)/($F$1464+$F$1465)))+(($F$1463)*(($F$1465)/($F$1464+$F$1465)))+($F$1453)+($F$1454)+($F$1455)+($F$1456)+($F$1457)+($F$1458)+($F$1459)+($F$1460)+($F$1461)+($F$1462)+($F$1452))),2)</f>
        <v>3.09</v>
      </c>
      <c r="I1453" s="328" t="s">
        <v>73</v>
      </c>
      <c r="J1453" s="330"/>
      <c r="K1453" s="681">
        <f t="shared" si="201"/>
        <v>6.18</v>
      </c>
      <c r="L1453" s="535"/>
      <c r="M1453" s="552" t="str">
        <f t="shared" si="196"/>
        <v/>
      </c>
      <c r="N1453" s="552"/>
      <c r="O1453" s="552" t="str">
        <f t="shared" si="197"/>
        <v/>
      </c>
      <c r="P1453" s="39"/>
    </row>
    <row r="1454" spans="1:16" x14ac:dyDescent="0.35">
      <c r="A1454" s="535" t="str">
        <f t="shared" si="198"/>
        <v/>
      </c>
      <c r="B1454" s="337"/>
      <c r="C1454" s="337"/>
      <c r="D1454" s="326" t="s">
        <v>49</v>
      </c>
      <c r="E1454" s="560" t="s">
        <v>945</v>
      </c>
      <c r="F1454" s="335">
        <v>10</v>
      </c>
      <c r="G1454" s="335" t="s">
        <v>73</v>
      </c>
      <c r="H1454" s="335">
        <f t="shared" si="202"/>
        <v>3.09</v>
      </c>
      <c r="I1454" s="335" t="s">
        <v>73</v>
      </c>
      <c r="J1454" s="337"/>
      <c r="K1454" s="680">
        <f t="shared" si="201"/>
        <v>6.18</v>
      </c>
      <c r="L1454" s="535"/>
      <c r="M1454" s="552" t="str">
        <f t="shared" ref="M1454:M1517" si="203">IF(Q1454&gt;0, Q1454, "")</f>
        <v/>
      </c>
      <c r="N1454" s="552"/>
      <c r="O1454" s="552" t="str">
        <f t="shared" ref="O1454:O1517" si="204">IF(V1455&gt;0, V1455, "")</f>
        <v/>
      </c>
      <c r="P1454" s="39"/>
    </row>
    <row r="1455" spans="1:16" x14ac:dyDescent="0.35">
      <c r="A1455" s="535" t="str">
        <f t="shared" si="198"/>
        <v/>
      </c>
      <c r="B1455" s="330"/>
      <c r="C1455" s="330"/>
      <c r="D1455" s="326" t="s">
        <v>674</v>
      </c>
      <c r="E1455" s="495" t="s">
        <v>841</v>
      </c>
      <c r="F1455" s="328">
        <v>50</v>
      </c>
      <c r="G1455" s="328" t="s">
        <v>73</v>
      </c>
      <c r="H1455" s="328">
        <f t="shared" si="202"/>
        <v>15.45</v>
      </c>
      <c r="I1455" s="328" t="s">
        <v>73</v>
      </c>
      <c r="J1455" s="330"/>
      <c r="K1455" s="681">
        <f t="shared" si="201"/>
        <v>30.9</v>
      </c>
      <c r="L1455" s="535"/>
      <c r="M1455" s="552" t="str">
        <f t="shared" si="203"/>
        <v/>
      </c>
      <c r="N1455" s="552"/>
      <c r="O1455" s="552" t="str">
        <f t="shared" si="204"/>
        <v/>
      </c>
      <c r="P1455" s="39"/>
    </row>
    <row r="1456" spans="1:16" x14ac:dyDescent="0.35">
      <c r="A1456" s="535" t="str">
        <f t="shared" si="198"/>
        <v/>
      </c>
      <c r="B1456" s="337"/>
      <c r="C1456" s="337"/>
      <c r="D1456" s="326" t="s">
        <v>696</v>
      </c>
      <c r="E1456" s="560" t="s">
        <v>946</v>
      </c>
      <c r="F1456" s="335">
        <v>13</v>
      </c>
      <c r="G1456" s="335" t="s">
        <v>73</v>
      </c>
      <c r="H1456" s="335">
        <f t="shared" si="202"/>
        <v>4.0199999999999996</v>
      </c>
      <c r="I1456" s="335" t="s">
        <v>73</v>
      </c>
      <c r="J1456" s="337"/>
      <c r="K1456" s="680">
        <f t="shared" si="201"/>
        <v>8.0399999999999991</v>
      </c>
      <c r="L1456" s="535"/>
      <c r="M1456" s="552" t="str">
        <f t="shared" si="203"/>
        <v/>
      </c>
      <c r="N1456" s="552"/>
      <c r="O1456" s="552" t="str">
        <f t="shared" si="204"/>
        <v/>
      </c>
      <c r="P1456" s="39"/>
    </row>
    <row r="1457" spans="1:16" x14ac:dyDescent="0.35">
      <c r="A1457" s="535" t="str">
        <f t="shared" si="198"/>
        <v/>
      </c>
      <c r="B1457" s="330"/>
      <c r="C1457" s="330"/>
      <c r="D1457" s="326" t="s">
        <v>672</v>
      </c>
      <c r="E1457" s="495" t="s">
        <v>961</v>
      </c>
      <c r="F1457" s="328">
        <v>10</v>
      </c>
      <c r="G1457" s="328" t="s">
        <v>73</v>
      </c>
      <c r="H1457" s="328">
        <f t="shared" si="202"/>
        <v>3.09</v>
      </c>
      <c r="I1457" s="328" t="s">
        <v>73</v>
      </c>
      <c r="J1457" s="330"/>
      <c r="K1457" s="681">
        <f t="shared" si="201"/>
        <v>6.18</v>
      </c>
      <c r="L1457" s="535"/>
      <c r="M1457" s="552" t="str">
        <f t="shared" si="203"/>
        <v/>
      </c>
      <c r="N1457" s="552"/>
      <c r="O1457" s="552" t="str">
        <f t="shared" si="204"/>
        <v/>
      </c>
      <c r="P1457" s="39"/>
    </row>
    <row r="1458" spans="1:16" x14ac:dyDescent="0.35">
      <c r="A1458" s="535" t="str">
        <f t="shared" si="198"/>
        <v/>
      </c>
      <c r="B1458" s="337"/>
      <c r="C1458" s="337"/>
      <c r="D1458" s="326" t="s">
        <v>47</v>
      </c>
      <c r="E1458" s="560" t="s">
        <v>724</v>
      </c>
      <c r="F1458" s="335">
        <v>3</v>
      </c>
      <c r="G1458" s="335" t="s">
        <v>73</v>
      </c>
      <c r="H1458" s="335">
        <f t="shared" si="202"/>
        <v>0.93</v>
      </c>
      <c r="I1458" s="335" t="s">
        <v>73</v>
      </c>
      <c r="J1458" s="337"/>
      <c r="K1458" s="680">
        <f t="shared" si="201"/>
        <v>1.86</v>
      </c>
      <c r="L1458" s="535"/>
      <c r="M1458" s="552" t="str">
        <f t="shared" si="203"/>
        <v/>
      </c>
      <c r="N1458" s="552"/>
      <c r="O1458" s="552" t="str">
        <f t="shared" si="204"/>
        <v/>
      </c>
      <c r="P1458" s="39"/>
    </row>
    <row r="1459" spans="1:16" x14ac:dyDescent="0.35">
      <c r="A1459" s="535" t="str">
        <f t="shared" si="198"/>
        <v/>
      </c>
      <c r="B1459" s="330"/>
      <c r="C1459" s="330"/>
      <c r="D1459" s="326" t="s">
        <v>341</v>
      </c>
      <c r="E1459" s="495" t="s">
        <v>764</v>
      </c>
      <c r="F1459" s="328">
        <v>10</v>
      </c>
      <c r="G1459" s="328" t="s">
        <v>73</v>
      </c>
      <c r="H1459" s="328">
        <f t="shared" si="202"/>
        <v>3.09</v>
      </c>
      <c r="I1459" s="328" t="s">
        <v>73</v>
      </c>
      <c r="J1459" s="330"/>
      <c r="K1459" s="681">
        <f t="shared" si="201"/>
        <v>6.18</v>
      </c>
      <c r="L1459" s="535"/>
      <c r="M1459" s="552" t="str">
        <f t="shared" si="203"/>
        <v/>
      </c>
      <c r="N1459" s="552"/>
      <c r="O1459" s="552" t="str">
        <f t="shared" si="204"/>
        <v/>
      </c>
      <c r="P1459" s="39"/>
    </row>
    <row r="1460" spans="1:16" x14ac:dyDescent="0.35">
      <c r="A1460" s="535" t="str">
        <f t="shared" si="198"/>
        <v/>
      </c>
      <c r="B1460" s="337"/>
      <c r="C1460" s="337"/>
      <c r="D1460" s="326" t="s">
        <v>333</v>
      </c>
      <c r="E1460" s="560" t="s">
        <v>947</v>
      </c>
      <c r="F1460" s="335">
        <v>10</v>
      </c>
      <c r="G1460" s="335" t="s">
        <v>73</v>
      </c>
      <c r="H1460" s="335">
        <f t="shared" si="202"/>
        <v>3.09</v>
      </c>
      <c r="I1460" s="335" t="s">
        <v>73</v>
      </c>
      <c r="J1460" s="337"/>
      <c r="K1460" s="680">
        <f t="shared" si="201"/>
        <v>6.18</v>
      </c>
      <c r="L1460" s="535"/>
      <c r="M1460" s="552" t="str">
        <f t="shared" si="203"/>
        <v/>
      </c>
      <c r="N1460" s="552"/>
      <c r="O1460" s="552" t="str">
        <f t="shared" si="204"/>
        <v/>
      </c>
      <c r="P1460" s="39"/>
    </row>
    <row r="1461" spans="1:16" x14ac:dyDescent="0.35">
      <c r="A1461" s="535" t="str">
        <f t="shared" ref="A1461:A1521" si="205">IFERROR(INDEX($Q$17:$Q$41,MATCH(B1461,$R$17:$R$41, 0)), "")</f>
        <v/>
      </c>
      <c r="B1461" s="330"/>
      <c r="C1461" s="330"/>
      <c r="D1461" s="326" t="s">
        <v>43</v>
      </c>
      <c r="E1461" s="495" t="s">
        <v>105</v>
      </c>
      <c r="F1461" s="328">
        <v>1.5</v>
      </c>
      <c r="G1461" s="328" t="s">
        <v>73</v>
      </c>
      <c r="H1461" s="328">
        <f t="shared" si="202"/>
        <v>0.46</v>
      </c>
      <c r="I1461" s="328" t="s">
        <v>73</v>
      </c>
      <c r="J1461" s="330"/>
      <c r="K1461" s="681">
        <f t="shared" si="201"/>
        <v>0.92</v>
      </c>
      <c r="L1461" s="535"/>
      <c r="M1461" s="552" t="str">
        <f t="shared" si="203"/>
        <v/>
      </c>
      <c r="N1461" s="552"/>
      <c r="O1461" s="552" t="str">
        <f t="shared" si="204"/>
        <v/>
      </c>
      <c r="P1461" s="39"/>
    </row>
    <row r="1462" spans="1:16" x14ac:dyDescent="0.35">
      <c r="A1462" s="535" t="str">
        <f t="shared" si="205"/>
        <v/>
      </c>
      <c r="B1462" s="337"/>
      <c r="C1462" s="337"/>
      <c r="D1462" s="326" t="s">
        <v>42</v>
      </c>
      <c r="E1462" s="560" t="s">
        <v>95</v>
      </c>
      <c r="F1462" s="335">
        <v>0.5</v>
      </c>
      <c r="G1462" s="335" t="s">
        <v>73</v>
      </c>
      <c r="H1462" s="335">
        <f t="shared" si="202"/>
        <v>0.15</v>
      </c>
      <c r="I1462" s="335" t="s">
        <v>73</v>
      </c>
      <c r="J1462" s="337"/>
      <c r="K1462" s="680">
        <f t="shared" si="201"/>
        <v>0.3</v>
      </c>
      <c r="L1462" s="535"/>
      <c r="M1462" s="552" t="str">
        <f t="shared" si="203"/>
        <v/>
      </c>
      <c r="N1462" s="552"/>
      <c r="O1462" s="552" t="str">
        <f t="shared" si="204"/>
        <v/>
      </c>
      <c r="P1462" s="39"/>
    </row>
    <row r="1463" spans="1:16" x14ac:dyDescent="0.35">
      <c r="A1463" s="535" t="str">
        <f t="shared" si="205"/>
        <v/>
      </c>
      <c r="B1463" s="330"/>
      <c r="C1463" s="330"/>
      <c r="D1463" s="355"/>
      <c r="E1463" s="657" t="s">
        <v>948</v>
      </c>
      <c r="F1463" s="356">
        <v>15</v>
      </c>
      <c r="G1463" s="356" t="s">
        <v>73</v>
      </c>
      <c r="H1463" s="356"/>
      <c r="I1463" s="356"/>
      <c r="J1463" s="515"/>
      <c r="K1463" s="684"/>
      <c r="L1463" s="535"/>
      <c r="M1463" s="552" t="str">
        <f t="shared" si="203"/>
        <v/>
      </c>
      <c r="N1463" s="552"/>
      <c r="O1463" s="552" t="str">
        <f t="shared" si="204"/>
        <v/>
      </c>
      <c r="P1463" s="39"/>
    </row>
    <row r="1464" spans="1:16" x14ac:dyDescent="0.35">
      <c r="A1464" s="535" t="str">
        <f t="shared" si="205"/>
        <v/>
      </c>
      <c r="B1464" s="337"/>
      <c r="C1464" s="337"/>
      <c r="D1464" s="326" t="s">
        <v>40</v>
      </c>
      <c r="E1464" s="659" t="s">
        <v>949</v>
      </c>
      <c r="F1464" s="335">
        <v>50</v>
      </c>
      <c r="G1464" s="335" t="s">
        <v>73</v>
      </c>
      <c r="H1464" s="335">
        <f>ROUND(($F$1451)*((($F$1463)*(($F$1464)/($F$1464+$F$1465)))
/((($F$1463)*(($F$1464)/($F$1464+$F$1465)))+(($F$1463)*(($F$1465)/($F$1464+$F$1465)))+($F$1453)+($F$1454)+($F$1455)+($F$1456)+($F$1457)+($F$1458)+($F$1459)+($F$1460)+($F$1461)+($F$1452)+($F$1462))),2)</f>
        <v>1.54</v>
      </c>
      <c r="I1464" s="335" t="s">
        <v>73</v>
      </c>
      <c r="J1464" s="337"/>
      <c r="K1464" s="680">
        <f t="shared" si="201"/>
        <v>3.08</v>
      </c>
      <c r="L1464" s="535"/>
      <c r="M1464" s="552" t="str">
        <f t="shared" si="203"/>
        <v/>
      </c>
      <c r="N1464" s="552"/>
      <c r="O1464" s="552" t="str">
        <f t="shared" si="204"/>
        <v/>
      </c>
      <c r="P1464" s="39"/>
    </row>
    <row r="1465" spans="1:16" ht="15" thickBot="1" x14ac:dyDescent="0.4">
      <c r="A1465" s="535" t="str">
        <f t="shared" si="205"/>
        <v/>
      </c>
      <c r="B1465" s="330"/>
      <c r="C1465" s="330"/>
      <c r="D1465" s="342"/>
      <c r="E1465" s="660" t="s">
        <v>950</v>
      </c>
      <c r="F1465" s="343">
        <v>100</v>
      </c>
      <c r="G1465" s="343" t="s">
        <v>73</v>
      </c>
      <c r="H1465" s="343">
        <f>ROUND(($F$1451)*((($F$1463)*(($F$1465)/($F$1464+$F$1465)))
/((($F$1463)*(($F$1464)/($F$1464+$F$1465)))+(($F$1463)*(($F$1465)/($F$1464+$F$1465)))+($F$1453)+($F$1454)+($F$1455)+($F$1456)+($F$1457)+($F$1458)+($F$1459)+($F$1460)+($F$1461)+($F$1452)+($F$1462))),2)</f>
        <v>3.09</v>
      </c>
      <c r="I1465" s="343"/>
      <c r="J1465" s="345"/>
      <c r="K1465" s="685"/>
      <c r="L1465" s="535"/>
      <c r="M1465" s="552" t="str">
        <f t="shared" si="203"/>
        <v/>
      </c>
      <c r="N1465" s="552"/>
      <c r="O1465" s="552" t="str">
        <f t="shared" si="204"/>
        <v/>
      </c>
      <c r="P1465" s="39"/>
    </row>
    <row r="1466" spans="1:16" ht="15.5" thickTop="1" thickBot="1" x14ac:dyDescent="0.4">
      <c r="A1466" s="545" t="str">
        <f t="shared" si="205"/>
        <v/>
      </c>
      <c r="B1466" s="546"/>
      <c r="C1466" s="546"/>
      <c r="D1466" s="547"/>
      <c r="E1466" s="546"/>
      <c r="F1466" s="546"/>
      <c r="G1466" s="546"/>
      <c r="H1466" s="546"/>
      <c r="I1466" s="546"/>
      <c r="J1466" s="546"/>
      <c r="K1466" s="676"/>
      <c r="L1466" s="535"/>
      <c r="M1466" s="552" t="str">
        <f t="shared" si="203"/>
        <v/>
      </c>
      <c r="N1466" s="552"/>
      <c r="O1466" s="552" t="str">
        <f t="shared" si="204"/>
        <v/>
      </c>
      <c r="P1466" s="39"/>
    </row>
    <row r="1467" spans="1:16" ht="15" thickTop="1" x14ac:dyDescent="0.35">
      <c r="A1467" s="565">
        <f>IFERROR(INDEX($Q$17:$Q$201,MATCH(B1467,$R$17:$R$201, 0)), "")</f>
        <v>33</v>
      </c>
      <c r="B1467" s="382" t="s">
        <v>1343</v>
      </c>
      <c r="C1467" s="325" t="s">
        <v>951</v>
      </c>
      <c r="D1467" s="347" t="s">
        <v>48</v>
      </c>
      <c r="E1467" s="327" t="s">
        <v>716</v>
      </c>
      <c r="F1467" s="328">
        <v>10</v>
      </c>
      <c r="G1467" s="328" t="s">
        <v>73</v>
      </c>
      <c r="H1467" s="328">
        <v>10</v>
      </c>
      <c r="I1467" s="328" t="s">
        <v>73</v>
      </c>
      <c r="J1467" s="330"/>
      <c r="K1467" s="681">
        <f>$A$1467*H1467</f>
        <v>330</v>
      </c>
      <c r="L1467" s="535"/>
      <c r="M1467" s="552" t="str">
        <f t="shared" si="203"/>
        <v/>
      </c>
      <c r="N1467" s="552"/>
      <c r="O1467" s="552" t="str">
        <f t="shared" si="204"/>
        <v/>
      </c>
      <c r="P1467" s="39"/>
    </row>
    <row r="1468" spans="1:16" x14ac:dyDescent="0.35">
      <c r="A1468" s="535" t="str">
        <f t="shared" si="205"/>
        <v/>
      </c>
      <c r="B1468" s="337"/>
      <c r="C1468" s="337"/>
      <c r="D1468" s="326" t="s">
        <v>50</v>
      </c>
      <c r="E1468" s="334" t="s">
        <v>1003</v>
      </c>
      <c r="F1468" s="335">
        <v>25</v>
      </c>
      <c r="G1468" s="335" t="s">
        <v>73</v>
      </c>
      <c r="H1468" s="335">
        <v>25</v>
      </c>
      <c r="I1468" s="335" t="s">
        <v>73</v>
      </c>
      <c r="J1468" s="337"/>
      <c r="K1468" s="680">
        <f t="shared" ref="K1468:K1492" si="206">$A$1467*H1468</f>
        <v>825</v>
      </c>
      <c r="L1468" s="535"/>
      <c r="M1468" s="552" t="str">
        <f t="shared" si="203"/>
        <v/>
      </c>
      <c r="N1468" s="552"/>
      <c r="O1468" s="552" t="str">
        <f t="shared" si="204"/>
        <v/>
      </c>
      <c r="P1468" s="39"/>
    </row>
    <row r="1469" spans="1:16" x14ac:dyDescent="0.35">
      <c r="A1469" s="535" t="str">
        <f t="shared" si="205"/>
        <v/>
      </c>
      <c r="B1469" s="330"/>
      <c r="C1469" s="330"/>
      <c r="D1469" s="326" t="s">
        <v>375</v>
      </c>
      <c r="E1469" s="327" t="s">
        <v>1002</v>
      </c>
      <c r="F1469" s="328">
        <v>25</v>
      </c>
      <c r="G1469" s="328" t="s">
        <v>73</v>
      </c>
      <c r="H1469" s="328">
        <v>25</v>
      </c>
      <c r="I1469" s="328" t="s">
        <v>73</v>
      </c>
      <c r="J1469" s="330"/>
      <c r="K1469" s="681">
        <f t="shared" si="206"/>
        <v>825</v>
      </c>
      <c r="L1469" s="535"/>
      <c r="M1469" s="552" t="str">
        <f t="shared" si="203"/>
        <v/>
      </c>
      <c r="N1469" s="552"/>
      <c r="O1469" s="552" t="str">
        <f t="shared" si="204"/>
        <v/>
      </c>
      <c r="P1469" s="39"/>
    </row>
    <row r="1470" spans="1:16" x14ac:dyDescent="0.35">
      <c r="A1470" s="535" t="str">
        <f t="shared" si="205"/>
        <v/>
      </c>
      <c r="B1470" s="337"/>
      <c r="C1470" s="337"/>
      <c r="D1470" s="326" t="s">
        <v>402</v>
      </c>
      <c r="E1470" s="334" t="s">
        <v>403</v>
      </c>
      <c r="F1470" s="335">
        <v>25</v>
      </c>
      <c r="G1470" s="335" t="s">
        <v>73</v>
      </c>
      <c r="H1470" s="335">
        <v>25</v>
      </c>
      <c r="I1470" s="335" t="s">
        <v>73</v>
      </c>
      <c r="J1470" s="337"/>
      <c r="K1470" s="680">
        <f t="shared" si="206"/>
        <v>825</v>
      </c>
      <c r="L1470" s="535"/>
      <c r="M1470" s="552" t="str">
        <f t="shared" si="203"/>
        <v/>
      </c>
      <c r="N1470" s="552"/>
      <c r="O1470" s="552" t="str">
        <f t="shared" si="204"/>
        <v/>
      </c>
      <c r="P1470" s="39"/>
    </row>
    <row r="1471" spans="1:16" x14ac:dyDescent="0.35">
      <c r="A1471" s="535" t="str">
        <f t="shared" si="205"/>
        <v/>
      </c>
      <c r="B1471" s="330"/>
      <c r="C1471" s="330"/>
      <c r="D1471" s="326" t="s">
        <v>41</v>
      </c>
      <c r="E1471" s="327" t="s">
        <v>320</v>
      </c>
      <c r="F1471" s="328">
        <v>2</v>
      </c>
      <c r="G1471" s="328" t="s">
        <v>73</v>
      </c>
      <c r="H1471" s="328">
        <v>2</v>
      </c>
      <c r="I1471" s="328" t="s">
        <v>73</v>
      </c>
      <c r="J1471" s="330"/>
      <c r="K1471" s="681">
        <f t="shared" si="206"/>
        <v>66</v>
      </c>
      <c r="L1471" s="535"/>
      <c r="M1471" s="552" t="str">
        <f t="shared" si="203"/>
        <v/>
      </c>
      <c r="N1471" s="552"/>
      <c r="O1471" s="552" t="str">
        <f t="shared" si="204"/>
        <v/>
      </c>
      <c r="P1471" s="39"/>
    </row>
    <row r="1472" spans="1:16" x14ac:dyDescent="0.35">
      <c r="A1472" s="535" t="str">
        <f t="shared" si="205"/>
        <v/>
      </c>
      <c r="B1472" s="337"/>
      <c r="C1472" s="337"/>
      <c r="D1472" s="326" t="s">
        <v>387</v>
      </c>
      <c r="E1472" s="334" t="s">
        <v>1001</v>
      </c>
      <c r="F1472" s="335">
        <v>15</v>
      </c>
      <c r="G1472" s="335" t="s">
        <v>73</v>
      </c>
      <c r="H1472" s="335">
        <v>15</v>
      </c>
      <c r="I1472" s="335" t="s">
        <v>73</v>
      </c>
      <c r="J1472" s="337"/>
      <c r="K1472" s="680">
        <f t="shared" si="206"/>
        <v>495</v>
      </c>
      <c r="L1472" s="535"/>
      <c r="M1472" s="552" t="str">
        <f t="shared" si="203"/>
        <v/>
      </c>
      <c r="N1472" s="552"/>
      <c r="O1472" s="552" t="str">
        <f t="shared" si="204"/>
        <v/>
      </c>
      <c r="P1472" s="39"/>
    </row>
    <row r="1473" spans="1:16" x14ac:dyDescent="0.35">
      <c r="A1473" s="593" t="str">
        <f>IFERROR(INDEX($Q$17:$Q$41,MATCH(B1473,$R$17:$R$41, 0)), "")</f>
        <v/>
      </c>
      <c r="B1473" s="330"/>
      <c r="C1473" s="330"/>
      <c r="D1473" s="326" t="s">
        <v>47</v>
      </c>
      <c r="E1473" s="327" t="s">
        <v>724</v>
      </c>
      <c r="F1473" s="328">
        <v>10</v>
      </c>
      <c r="G1473" s="328" t="s">
        <v>73</v>
      </c>
      <c r="H1473" s="328">
        <v>10</v>
      </c>
      <c r="I1473" s="328" t="s">
        <v>73</v>
      </c>
      <c r="J1473" s="330"/>
      <c r="K1473" s="681">
        <f t="shared" si="206"/>
        <v>330</v>
      </c>
      <c r="L1473" s="535"/>
      <c r="M1473" s="552" t="str">
        <f t="shared" si="203"/>
        <v/>
      </c>
      <c r="N1473" s="552"/>
      <c r="O1473" s="552" t="str">
        <f t="shared" si="204"/>
        <v/>
      </c>
      <c r="P1473" s="39"/>
    </row>
    <row r="1474" spans="1:16" x14ac:dyDescent="0.35">
      <c r="A1474" s="535" t="str">
        <f t="shared" si="205"/>
        <v/>
      </c>
      <c r="B1474" s="337"/>
      <c r="C1474" s="337"/>
      <c r="D1474" s="355"/>
      <c r="E1474" s="355" t="s">
        <v>943</v>
      </c>
      <c r="F1474" s="356">
        <v>350</v>
      </c>
      <c r="G1474" s="356" t="s">
        <v>73</v>
      </c>
      <c r="H1474" s="515"/>
      <c r="I1474" s="515"/>
      <c r="J1474" s="515"/>
      <c r="K1474" s="684"/>
      <c r="L1474" s="535"/>
      <c r="M1474" s="552" t="str">
        <f t="shared" si="203"/>
        <v/>
      </c>
      <c r="N1474" s="552"/>
      <c r="O1474" s="552" t="str">
        <f t="shared" si="204"/>
        <v/>
      </c>
      <c r="P1474" s="39"/>
    </row>
    <row r="1475" spans="1:16" x14ac:dyDescent="0.35">
      <c r="A1475" s="535" t="str">
        <f t="shared" si="205"/>
        <v/>
      </c>
      <c r="B1475" s="330"/>
      <c r="C1475" s="330"/>
      <c r="D1475" s="342"/>
      <c r="E1475" s="561" t="s">
        <v>81</v>
      </c>
      <c r="F1475" s="343">
        <v>1000</v>
      </c>
      <c r="G1475" s="343" t="s">
        <v>73</v>
      </c>
      <c r="H1475" s="343">
        <f>ROUND(($F$1474)*((F1475)/((($F$1486)*(($F$1487)/($F$1487+$FY1488)))+(($F$1486)*(($F$1488)/($F$1487+$FY1488)))+($F$1475)+($F$1476)+($F$1477)+($F$1478)+($F$1479)+($F$1480)+($F$1481)+($F$1482)+($F$1483)+($F$1484)+($F$1485))),2)</f>
        <v>300.95</v>
      </c>
      <c r="I1475" s="345"/>
      <c r="J1475" s="345"/>
      <c r="K1475" s="685"/>
      <c r="L1475" s="535"/>
      <c r="M1475" s="552" t="str">
        <f t="shared" si="203"/>
        <v/>
      </c>
      <c r="N1475" s="552"/>
      <c r="O1475" s="552" t="str">
        <f t="shared" si="204"/>
        <v/>
      </c>
      <c r="P1475" s="39"/>
    </row>
    <row r="1476" spans="1:16" x14ac:dyDescent="0.35">
      <c r="A1476" s="535" t="str">
        <f t="shared" si="205"/>
        <v/>
      </c>
      <c r="B1476" s="337"/>
      <c r="C1476" s="337"/>
      <c r="D1476" s="326" t="s">
        <v>50</v>
      </c>
      <c r="E1476" s="560" t="s">
        <v>944</v>
      </c>
      <c r="F1476" s="335">
        <v>10</v>
      </c>
      <c r="G1476" s="335" t="s">
        <v>73</v>
      </c>
      <c r="H1476" s="335">
        <f t="shared" ref="H1476:H1485" si="207">ROUND(($F$1474)*((F1476)/((($F$1486)*(($F$1487)/($F$1487+$FY1489)))+(($F$1486)*(($F$1488)/($F$1487+$FY1489)))+($F$1475)+($F$1476)+($F$1477)+($F$1478)+($F$1479)+($F$1480)+($F$1481)+($F$1482)+($F$1483)+($F$1484)+($F$1485))),2)</f>
        <v>3.01</v>
      </c>
      <c r="I1476" s="335" t="s">
        <v>73</v>
      </c>
      <c r="J1476" s="337"/>
      <c r="K1476" s="680">
        <f t="shared" si="206"/>
        <v>99.33</v>
      </c>
      <c r="L1476" s="535"/>
      <c r="M1476" s="552" t="str">
        <f t="shared" si="203"/>
        <v/>
      </c>
      <c r="N1476" s="552"/>
      <c r="O1476" s="552" t="str">
        <f t="shared" si="204"/>
        <v/>
      </c>
      <c r="P1476" s="39"/>
    </row>
    <row r="1477" spans="1:16" x14ac:dyDescent="0.35">
      <c r="A1477" s="535" t="str">
        <f t="shared" si="205"/>
        <v/>
      </c>
      <c r="B1477" s="330"/>
      <c r="C1477" s="330"/>
      <c r="D1477" s="326" t="s">
        <v>49</v>
      </c>
      <c r="E1477" s="495" t="s">
        <v>945</v>
      </c>
      <c r="F1477" s="328">
        <v>10</v>
      </c>
      <c r="G1477" s="328" t="s">
        <v>73</v>
      </c>
      <c r="H1477" s="328">
        <f t="shared" si="207"/>
        <v>3.01</v>
      </c>
      <c r="I1477" s="328" t="s">
        <v>73</v>
      </c>
      <c r="J1477" s="330"/>
      <c r="K1477" s="681">
        <f t="shared" si="206"/>
        <v>99.33</v>
      </c>
      <c r="L1477" s="535"/>
      <c r="M1477" s="552" t="str">
        <f t="shared" si="203"/>
        <v/>
      </c>
      <c r="N1477" s="552"/>
      <c r="O1477" s="552" t="str">
        <f t="shared" si="204"/>
        <v/>
      </c>
      <c r="P1477" s="39"/>
    </row>
    <row r="1478" spans="1:16" x14ac:dyDescent="0.35">
      <c r="A1478" s="535" t="str">
        <f t="shared" si="205"/>
        <v/>
      </c>
      <c r="B1478" s="337"/>
      <c r="C1478" s="337"/>
      <c r="D1478" s="326" t="s">
        <v>674</v>
      </c>
      <c r="E1478" s="560" t="s">
        <v>841</v>
      </c>
      <c r="F1478" s="335">
        <v>50</v>
      </c>
      <c r="G1478" s="335" t="s">
        <v>73</v>
      </c>
      <c r="H1478" s="335">
        <f t="shared" si="207"/>
        <v>15.05</v>
      </c>
      <c r="I1478" s="335" t="s">
        <v>73</v>
      </c>
      <c r="J1478" s="337"/>
      <c r="K1478" s="680">
        <f t="shared" si="206"/>
        <v>496.65000000000003</v>
      </c>
      <c r="L1478" s="535"/>
      <c r="M1478" s="552" t="str">
        <f t="shared" si="203"/>
        <v/>
      </c>
      <c r="N1478" s="552"/>
      <c r="O1478" s="552" t="str">
        <f t="shared" si="204"/>
        <v/>
      </c>
      <c r="P1478" s="39"/>
    </row>
    <row r="1479" spans="1:16" x14ac:dyDescent="0.35">
      <c r="A1479" s="535" t="str">
        <f t="shared" si="205"/>
        <v/>
      </c>
      <c r="B1479" s="330"/>
      <c r="C1479" s="330"/>
      <c r="D1479" s="326" t="s">
        <v>696</v>
      </c>
      <c r="E1479" s="495" t="s">
        <v>946</v>
      </c>
      <c r="F1479" s="328">
        <v>13</v>
      </c>
      <c r="G1479" s="328" t="s">
        <v>73</v>
      </c>
      <c r="H1479" s="328">
        <f t="shared" si="207"/>
        <v>3.91</v>
      </c>
      <c r="I1479" s="328" t="s">
        <v>73</v>
      </c>
      <c r="J1479" s="330"/>
      <c r="K1479" s="681">
        <f t="shared" si="206"/>
        <v>129.03</v>
      </c>
      <c r="L1479" s="535"/>
      <c r="M1479" s="552" t="str">
        <f t="shared" si="203"/>
        <v/>
      </c>
      <c r="N1479" s="552"/>
      <c r="O1479" s="552" t="str">
        <f t="shared" si="204"/>
        <v/>
      </c>
      <c r="P1479" s="39"/>
    </row>
    <row r="1480" spans="1:16" x14ac:dyDescent="0.35">
      <c r="A1480" s="535" t="str">
        <f t="shared" si="205"/>
        <v/>
      </c>
      <c r="B1480" s="337"/>
      <c r="C1480" s="337"/>
      <c r="D1480" s="326" t="s">
        <v>672</v>
      </c>
      <c r="E1480" s="560" t="s">
        <v>961</v>
      </c>
      <c r="F1480" s="335">
        <v>10</v>
      </c>
      <c r="G1480" s="335" t="s">
        <v>73</v>
      </c>
      <c r="H1480" s="335">
        <f t="shared" si="207"/>
        <v>3.01</v>
      </c>
      <c r="I1480" s="335" t="s">
        <v>73</v>
      </c>
      <c r="J1480" s="337"/>
      <c r="K1480" s="680">
        <f t="shared" si="206"/>
        <v>99.33</v>
      </c>
      <c r="L1480" s="535"/>
      <c r="M1480" s="552" t="str">
        <f t="shared" si="203"/>
        <v/>
      </c>
      <c r="N1480" s="552"/>
      <c r="O1480" s="552" t="str">
        <f t="shared" si="204"/>
        <v/>
      </c>
      <c r="P1480" s="39"/>
    </row>
    <row r="1481" spans="1:16" x14ac:dyDescent="0.35">
      <c r="A1481" s="535" t="str">
        <f t="shared" si="205"/>
        <v/>
      </c>
      <c r="B1481" s="330"/>
      <c r="C1481" s="330"/>
      <c r="D1481" s="326" t="s">
        <v>47</v>
      </c>
      <c r="E1481" s="495" t="s">
        <v>724</v>
      </c>
      <c r="F1481" s="328">
        <v>3</v>
      </c>
      <c r="G1481" s="328" t="s">
        <v>73</v>
      </c>
      <c r="H1481" s="328">
        <f t="shared" si="207"/>
        <v>0.9</v>
      </c>
      <c r="I1481" s="328" t="s">
        <v>73</v>
      </c>
      <c r="J1481" s="330"/>
      <c r="K1481" s="681">
        <f t="shared" si="206"/>
        <v>29.7</v>
      </c>
      <c r="L1481" s="535"/>
      <c r="M1481" s="552" t="str">
        <f t="shared" si="203"/>
        <v/>
      </c>
      <c r="N1481" s="552"/>
      <c r="O1481" s="552" t="str">
        <f t="shared" si="204"/>
        <v/>
      </c>
      <c r="P1481" s="39"/>
    </row>
    <row r="1482" spans="1:16" x14ac:dyDescent="0.35">
      <c r="A1482" s="535" t="str">
        <f t="shared" si="205"/>
        <v/>
      </c>
      <c r="B1482" s="337"/>
      <c r="C1482" s="337"/>
      <c r="D1482" s="326" t="s">
        <v>341</v>
      </c>
      <c r="E1482" s="560" t="s">
        <v>764</v>
      </c>
      <c r="F1482" s="335">
        <v>10</v>
      </c>
      <c r="G1482" s="335" t="s">
        <v>73</v>
      </c>
      <c r="H1482" s="335">
        <f t="shared" si="207"/>
        <v>3.01</v>
      </c>
      <c r="I1482" s="335" t="s">
        <v>73</v>
      </c>
      <c r="J1482" s="337"/>
      <c r="K1482" s="680">
        <f t="shared" si="206"/>
        <v>99.33</v>
      </c>
      <c r="L1482" s="535"/>
      <c r="M1482" s="552" t="str">
        <f t="shared" si="203"/>
        <v/>
      </c>
      <c r="N1482" s="552"/>
      <c r="O1482" s="552" t="str">
        <f t="shared" si="204"/>
        <v/>
      </c>
      <c r="P1482" s="39"/>
    </row>
    <row r="1483" spans="1:16" x14ac:dyDescent="0.35">
      <c r="A1483" s="535" t="str">
        <f t="shared" si="205"/>
        <v/>
      </c>
      <c r="B1483" s="330"/>
      <c r="C1483" s="330"/>
      <c r="D1483" s="326" t="s">
        <v>333</v>
      </c>
      <c r="E1483" s="495" t="s">
        <v>947</v>
      </c>
      <c r="F1483" s="328">
        <v>10</v>
      </c>
      <c r="G1483" s="328" t="s">
        <v>73</v>
      </c>
      <c r="H1483" s="328">
        <f t="shared" si="207"/>
        <v>3.01</v>
      </c>
      <c r="I1483" s="328" t="s">
        <v>73</v>
      </c>
      <c r="J1483" s="330"/>
      <c r="K1483" s="681">
        <f t="shared" si="206"/>
        <v>99.33</v>
      </c>
      <c r="L1483" s="535"/>
      <c r="M1483" s="552" t="str">
        <f t="shared" si="203"/>
        <v/>
      </c>
      <c r="N1483" s="552"/>
      <c r="O1483" s="552" t="str">
        <f t="shared" si="204"/>
        <v/>
      </c>
      <c r="P1483" s="39"/>
    </row>
    <row r="1484" spans="1:16" x14ac:dyDescent="0.35">
      <c r="A1484" s="535" t="str">
        <f t="shared" si="205"/>
        <v/>
      </c>
      <c r="B1484" s="337"/>
      <c r="C1484" s="337"/>
      <c r="D1484" s="326" t="s">
        <v>43</v>
      </c>
      <c r="E1484" s="560" t="s">
        <v>105</v>
      </c>
      <c r="F1484" s="335">
        <v>1.5</v>
      </c>
      <c r="G1484" s="335" t="s">
        <v>73</v>
      </c>
      <c r="H1484" s="335">
        <f t="shared" si="207"/>
        <v>0.45</v>
      </c>
      <c r="I1484" s="335" t="s">
        <v>73</v>
      </c>
      <c r="J1484" s="337"/>
      <c r="K1484" s="680">
        <f t="shared" si="206"/>
        <v>14.85</v>
      </c>
      <c r="L1484" s="535"/>
      <c r="M1484" s="552" t="str">
        <f t="shared" si="203"/>
        <v/>
      </c>
      <c r="N1484" s="552"/>
      <c r="O1484" s="552" t="str">
        <f t="shared" si="204"/>
        <v/>
      </c>
      <c r="P1484" s="39"/>
    </row>
    <row r="1485" spans="1:16" x14ac:dyDescent="0.35">
      <c r="A1485" s="535" t="str">
        <f t="shared" si="205"/>
        <v/>
      </c>
      <c r="B1485" s="330"/>
      <c r="C1485" s="330"/>
      <c r="D1485" s="326" t="s">
        <v>42</v>
      </c>
      <c r="E1485" s="495" t="s">
        <v>95</v>
      </c>
      <c r="F1485" s="328">
        <v>0.5</v>
      </c>
      <c r="G1485" s="328" t="s">
        <v>73</v>
      </c>
      <c r="H1485" s="328">
        <f t="shared" si="207"/>
        <v>0.15</v>
      </c>
      <c r="I1485" s="328" t="s">
        <v>73</v>
      </c>
      <c r="J1485" s="330"/>
      <c r="K1485" s="681">
        <f t="shared" si="206"/>
        <v>4.95</v>
      </c>
      <c r="L1485" s="535"/>
      <c r="M1485" s="552" t="str">
        <f t="shared" si="203"/>
        <v/>
      </c>
      <c r="N1485" s="552"/>
      <c r="O1485" s="552" t="str">
        <f t="shared" si="204"/>
        <v/>
      </c>
      <c r="P1485" s="39"/>
    </row>
    <row r="1486" spans="1:16" x14ac:dyDescent="0.35">
      <c r="A1486" s="535" t="str">
        <f t="shared" si="205"/>
        <v/>
      </c>
      <c r="B1486" s="337"/>
      <c r="C1486" s="337"/>
      <c r="D1486" s="355"/>
      <c r="E1486" s="657" t="s">
        <v>948</v>
      </c>
      <c r="F1486" s="356">
        <v>15</v>
      </c>
      <c r="G1486" s="356" t="s">
        <v>73</v>
      </c>
      <c r="H1486" s="356"/>
      <c r="I1486" s="356"/>
      <c r="J1486" s="515"/>
      <c r="K1486" s="684"/>
      <c r="L1486" s="535"/>
      <c r="M1486" s="552" t="str">
        <f t="shared" si="203"/>
        <v/>
      </c>
      <c r="N1486" s="552"/>
      <c r="O1486" s="552" t="str">
        <f t="shared" si="204"/>
        <v/>
      </c>
      <c r="P1486" s="39"/>
    </row>
    <row r="1487" spans="1:16" x14ac:dyDescent="0.35">
      <c r="A1487" s="535" t="str">
        <f t="shared" si="205"/>
        <v/>
      </c>
      <c r="B1487" s="330"/>
      <c r="C1487" s="330"/>
      <c r="D1487" s="326" t="s">
        <v>40</v>
      </c>
      <c r="E1487" s="661" t="s">
        <v>949</v>
      </c>
      <c r="F1487" s="328">
        <v>50</v>
      </c>
      <c r="G1487" s="328" t="s">
        <v>73</v>
      </c>
      <c r="H1487" s="328">
        <f>ROUND(($F$1474)*((($F$1486)*(($F$1487)/($F$1487+$FY1488)))
/((($F$1486)*(($F$1487)/($F$1487+$FY1488)))+(($F$1486)*(($F$1488)/($F$1487+$FY1488)))+($F$1475)+($F$1476)+($F$1477)+($F$1478)+($F$1479)+($F$1480)+($F$1481)+($F$1482)+($F$1483)+($F$1484)+($F$1485))),2)</f>
        <v>4.51</v>
      </c>
      <c r="I1487" s="328" t="s">
        <v>73</v>
      </c>
      <c r="J1487" s="330"/>
      <c r="K1487" s="681">
        <f t="shared" si="206"/>
        <v>148.82999999999998</v>
      </c>
      <c r="L1487" s="535"/>
      <c r="M1487" s="552" t="str">
        <f t="shared" si="203"/>
        <v/>
      </c>
      <c r="N1487" s="552"/>
      <c r="O1487" s="552" t="str">
        <f t="shared" si="204"/>
        <v/>
      </c>
      <c r="P1487" s="39"/>
    </row>
    <row r="1488" spans="1:16" x14ac:dyDescent="0.35">
      <c r="A1488" s="535" t="str">
        <f t="shared" si="205"/>
        <v/>
      </c>
      <c r="B1488" s="337"/>
      <c r="C1488" s="337"/>
      <c r="D1488" s="342"/>
      <c r="E1488" s="660" t="s">
        <v>950</v>
      </c>
      <c r="F1488" s="343">
        <v>100</v>
      </c>
      <c r="G1488" s="343" t="s">
        <v>73</v>
      </c>
      <c r="H1488" s="343">
        <f>ROUND(($F$1474)*((($F$1486)*(($F$1488)/($F$1487+$FY1488)))
/((($F$1486)*(($F$1487)/($F$1487+$FY1488)))+(($F$1486)*(($F$1488)/($F$1487+$FY1488)))+($F$1475)+($F$1476)+($F$1477)+($F$1478)+($F$1479)+($F$1480)+($F$1481)+($F$1482)+($F$1483)+($F$1484)+($F$1485))),2)</f>
        <v>9.0299999999999994</v>
      </c>
      <c r="I1488" s="343"/>
      <c r="J1488" s="345"/>
      <c r="K1488" s="685"/>
      <c r="L1488" s="535"/>
      <c r="M1488" s="552" t="str">
        <f t="shared" si="203"/>
        <v/>
      </c>
      <c r="N1488" s="552"/>
      <c r="O1488" s="552" t="str">
        <f t="shared" si="204"/>
        <v/>
      </c>
      <c r="P1488" s="39"/>
    </row>
    <row r="1489" spans="1:16" x14ac:dyDescent="0.35">
      <c r="A1489" s="535" t="str">
        <f t="shared" si="205"/>
        <v/>
      </c>
      <c r="B1489" s="330"/>
      <c r="C1489" s="330"/>
      <c r="D1489" s="355"/>
      <c r="E1489" s="355" t="s">
        <v>952</v>
      </c>
      <c r="F1489" s="356">
        <v>50</v>
      </c>
      <c r="G1489" s="356" t="s">
        <v>73</v>
      </c>
      <c r="H1489" s="515"/>
      <c r="I1489" s="356"/>
      <c r="J1489" s="515"/>
      <c r="K1489" s="684"/>
      <c r="L1489" s="535"/>
      <c r="M1489" s="552" t="str">
        <f t="shared" si="203"/>
        <v/>
      </c>
      <c r="N1489" s="552"/>
      <c r="O1489" s="552" t="str">
        <f t="shared" si="204"/>
        <v/>
      </c>
      <c r="P1489" s="39"/>
    </row>
    <row r="1490" spans="1:16" x14ac:dyDescent="0.35">
      <c r="A1490" s="535" t="str">
        <f t="shared" si="205"/>
        <v/>
      </c>
      <c r="B1490" s="337"/>
      <c r="C1490" s="337"/>
      <c r="D1490" s="326" t="s">
        <v>63</v>
      </c>
      <c r="E1490" s="419" t="s">
        <v>953</v>
      </c>
      <c r="F1490" s="335">
        <v>70</v>
      </c>
      <c r="G1490" s="335" t="s">
        <v>73</v>
      </c>
      <c r="H1490" s="335">
        <f>ROUND(($F$1489)*((F1490)/($F$1490+$F$1491+$F$1492)),2)</f>
        <v>36.840000000000003</v>
      </c>
      <c r="I1490" s="335" t="s">
        <v>73</v>
      </c>
      <c r="J1490" s="337"/>
      <c r="K1490" s="680">
        <f>$A$1467*((H1490)+(H1490*0.2))</f>
        <v>1458.8640000000003</v>
      </c>
      <c r="L1490" s="535"/>
      <c r="M1490" s="552" t="str">
        <f t="shared" si="203"/>
        <v/>
      </c>
      <c r="N1490" s="552"/>
      <c r="O1490" s="552" t="str">
        <f t="shared" si="204"/>
        <v/>
      </c>
      <c r="P1490" s="39"/>
    </row>
    <row r="1491" spans="1:16" x14ac:dyDescent="0.35">
      <c r="A1491" s="535" t="str">
        <f t="shared" si="205"/>
        <v/>
      </c>
      <c r="B1491" s="330"/>
      <c r="C1491" s="330"/>
      <c r="D1491" s="326" t="s">
        <v>129</v>
      </c>
      <c r="E1491" s="475" t="s">
        <v>789</v>
      </c>
      <c r="F1491" s="328">
        <v>20</v>
      </c>
      <c r="G1491" s="328" t="s">
        <v>73</v>
      </c>
      <c r="H1491" s="328">
        <f t="shared" ref="H1491:H1492" si="208">ROUND(($F$1489)*((F1491)/($F$1490+$F$1491+$F$1492)),2)</f>
        <v>10.53</v>
      </c>
      <c r="I1491" s="328" t="s">
        <v>73</v>
      </c>
      <c r="J1491" s="330"/>
      <c r="K1491" s="681">
        <f t="shared" si="206"/>
        <v>347.48999999999995</v>
      </c>
      <c r="L1491" s="535"/>
      <c r="M1491" s="552" t="str">
        <f t="shared" si="203"/>
        <v/>
      </c>
      <c r="N1491" s="552"/>
      <c r="O1491" s="552" t="str">
        <f t="shared" si="204"/>
        <v/>
      </c>
      <c r="P1491" s="39"/>
    </row>
    <row r="1492" spans="1:16" x14ac:dyDescent="0.35">
      <c r="A1492" s="535" t="str">
        <f t="shared" si="205"/>
        <v/>
      </c>
      <c r="B1492" s="337"/>
      <c r="C1492" s="337"/>
      <c r="D1492" s="326" t="s">
        <v>47</v>
      </c>
      <c r="E1492" s="419" t="s">
        <v>724</v>
      </c>
      <c r="F1492" s="335">
        <v>5</v>
      </c>
      <c r="G1492" s="335" t="s">
        <v>73</v>
      </c>
      <c r="H1492" s="335">
        <f t="shared" si="208"/>
        <v>2.63</v>
      </c>
      <c r="I1492" s="335" t="s">
        <v>73</v>
      </c>
      <c r="J1492" s="337"/>
      <c r="K1492" s="680">
        <f t="shared" si="206"/>
        <v>86.789999999999992</v>
      </c>
      <c r="L1492" s="535"/>
      <c r="M1492" s="552" t="str">
        <f t="shared" si="203"/>
        <v/>
      </c>
      <c r="N1492" s="552"/>
      <c r="O1492" s="552" t="str">
        <f t="shared" si="204"/>
        <v/>
      </c>
      <c r="P1492" s="39"/>
    </row>
    <row r="1493" spans="1:16" x14ac:dyDescent="0.35">
      <c r="A1493" s="545" t="str">
        <f t="shared" si="205"/>
        <v/>
      </c>
      <c r="B1493" s="546"/>
      <c r="C1493" s="546"/>
      <c r="D1493" s="545"/>
      <c r="E1493" s="545"/>
      <c r="F1493" s="546"/>
      <c r="G1493" s="546"/>
      <c r="H1493" s="546"/>
      <c r="I1493" s="546"/>
      <c r="J1493" s="546"/>
      <c r="K1493" s="676"/>
      <c r="L1493" s="535"/>
      <c r="M1493" s="552" t="str">
        <f t="shared" si="203"/>
        <v/>
      </c>
      <c r="N1493" s="552"/>
      <c r="O1493" s="552" t="str">
        <f t="shared" si="204"/>
        <v/>
      </c>
      <c r="P1493" s="39"/>
    </row>
    <row r="1494" spans="1:16" x14ac:dyDescent="0.35">
      <c r="A1494" s="565">
        <f>IFERROR(INDEX($Q$17:$Q$201,MATCH(B1494,$R$17:$R$201, 0)), "")</f>
        <v>35</v>
      </c>
      <c r="B1494" s="382" t="s">
        <v>1340</v>
      </c>
      <c r="C1494" s="325" t="s">
        <v>954</v>
      </c>
      <c r="D1494" s="326" t="s">
        <v>48</v>
      </c>
      <c r="E1494" s="334" t="s">
        <v>716</v>
      </c>
      <c r="F1494" s="335">
        <v>10</v>
      </c>
      <c r="G1494" s="335" t="s">
        <v>73</v>
      </c>
      <c r="H1494" s="335">
        <v>10</v>
      </c>
      <c r="I1494" s="335" t="s">
        <v>73</v>
      </c>
      <c r="J1494" s="337"/>
      <c r="K1494" s="680">
        <f>$A$1494*H1494</f>
        <v>350</v>
      </c>
      <c r="L1494" s="535"/>
      <c r="M1494" s="552" t="str">
        <f t="shared" si="203"/>
        <v/>
      </c>
      <c r="N1494" s="552"/>
      <c r="O1494" s="552" t="str">
        <f t="shared" si="204"/>
        <v/>
      </c>
      <c r="P1494" s="39"/>
    </row>
    <row r="1495" spans="1:16" x14ac:dyDescent="0.35">
      <c r="A1495" s="535" t="str">
        <f t="shared" si="205"/>
        <v/>
      </c>
      <c r="B1495" s="330"/>
      <c r="C1495" s="330"/>
      <c r="D1495" s="326" t="s">
        <v>50</v>
      </c>
      <c r="E1495" s="327" t="s">
        <v>1003</v>
      </c>
      <c r="F1495" s="328">
        <v>25</v>
      </c>
      <c r="G1495" s="328" t="s">
        <v>73</v>
      </c>
      <c r="H1495" s="328">
        <v>25</v>
      </c>
      <c r="I1495" s="328" t="s">
        <v>73</v>
      </c>
      <c r="J1495" s="330"/>
      <c r="K1495" s="681">
        <f>$A$1494*H1495</f>
        <v>875</v>
      </c>
      <c r="L1495" s="535"/>
      <c r="M1495" s="552" t="str">
        <f t="shared" si="203"/>
        <v/>
      </c>
      <c r="N1495" s="552"/>
      <c r="O1495" s="552" t="str">
        <f t="shared" si="204"/>
        <v/>
      </c>
      <c r="P1495" s="39"/>
    </row>
    <row r="1496" spans="1:16" x14ac:dyDescent="0.35">
      <c r="A1496" s="535" t="str">
        <f t="shared" si="205"/>
        <v/>
      </c>
      <c r="B1496" s="337"/>
      <c r="C1496" s="337"/>
      <c r="D1496" s="326" t="s">
        <v>375</v>
      </c>
      <c r="E1496" s="334" t="s">
        <v>1002</v>
      </c>
      <c r="F1496" s="335">
        <v>25</v>
      </c>
      <c r="G1496" s="335" t="s">
        <v>73</v>
      </c>
      <c r="H1496" s="335">
        <v>25</v>
      </c>
      <c r="I1496" s="335" t="s">
        <v>73</v>
      </c>
      <c r="J1496" s="337"/>
      <c r="K1496" s="680">
        <f t="shared" ref="K1496:K1523" si="209">$A$1494*H1496</f>
        <v>875</v>
      </c>
      <c r="L1496" s="535"/>
      <c r="M1496" s="552" t="str">
        <f t="shared" si="203"/>
        <v/>
      </c>
      <c r="N1496" s="552"/>
      <c r="O1496" s="552" t="str">
        <f t="shared" si="204"/>
        <v/>
      </c>
      <c r="P1496" s="39"/>
    </row>
    <row r="1497" spans="1:16" x14ac:dyDescent="0.35">
      <c r="A1497" s="535" t="str">
        <f t="shared" si="205"/>
        <v/>
      </c>
      <c r="B1497" s="330"/>
      <c r="C1497" s="330"/>
      <c r="D1497" s="326" t="s">
        <v>402</v>
      </c>
      <c r="E1497" s="327" t="s">
        <v>403</v>
      </c>
      <c r="F1497" s="328">
        <v>25</v>
      </c>
      <c r="G1497" s="328" t="s">
        <v>73</v>
      </c>
      <c r="H1497" s="328">
        <v>25</v>
      </c>
      <c r="I1497" s="328" t="s">
        <v>73</v>
      </c>
      <c r="J1497" s="330"/>
      <c r="K1497" s="681">
        <f t="shared" si="209"/>
        <v>875</v>
      </c>
      <c r="L1497" s="535"/>
      <c r="M1497" s="552" t="str">
        <f t="shared" si="203"/>
        <v/>
      </c>
      <c r="N1497" s="552"/>
      <c r="O1497" s="552" t="str">
        <f t="shared" si="204"/>
        <v/>
      </c>
      <c r="P1497" s="39"/>
    </row>
    <row r="1498" spans="1:16" x14ac:dyDescent="0.35">
      <c r="A1498" s="535" t="str">
        <f t="shared" si="205"/>
        <v/>
      </c>
      <c r="B1498" s="337"/>
      <c r="C1498" s="337"/>
      <c r="D1498" s="326" t="s">
        <v>41</v>
      </c>
      <c r="E1498" s="334" t="s">
        <v>320</v>
      </c>
      <c r="F1498" s="335">
        <v>2</v>
      </c>
      <c r="G1498" s="335" t="s">
        <v>73</v>
      </c>
      <c r="H1498" s="335">
        <v>2</v>
      </c>
      <c r="I1498" s="335" t="s">
        <v>73</v>
      </c>
      <c r="J1498" s="337"/>
      <c r="K1498" s="680">
        <f t="shared" si="209"/>
        <v>70</v>
      </c>
      <c r="L1498" s="535"/>
      <c r="M1498" s="552" t="str">
        <f t="shared" si="203"/>
        <v/>
      </c>
      <c r="N1498" s="552"/>
      <c r="O1498" s="552" t="str">
        <f t="shared" si="204"/>
        <v/>
      </c>
      <c r="P1498" s="39"/>
    </row>
    <row r="1499" spans="1:16" x14ac:dyDescent="0.35">
      <c r="A1499" s="535" t="str">
        <f t="shared" si="205"/>
        <v/>
      </c>
      <c r="B1499" s="330"/>
      <c r="C1499" s="330"/>
      <c r="D1499" s="326" t="s">
        <v>387</v>
      </c>
      <c r="E1499" s="327" t="s">
        <v>1001</v>
      </c>
      <c r="F1499" s="328">
        <v>15</v>
      </c>
      <c r="G1499" s="328" t="s">
        <v>73</v>
      </c>
      <c r="H1499" s="328">
        <v>15</v>
      </c>
      <c r="I1499" s="328" t="s">
        <v>73</v>
      </c>
      <c r="J1499" s="330"/>
      <c r="K1499" s="681">
        <f t="shared" si="209"/>
        <v>525</v>
      </c>
      <c r="L1499" s="535"/>
      <c r="M1499" s="552" t="str">
        <f t="shared" si="203"/>
        <v/>
      </c>
      <c r="N1499" s="552"/>
      <c r="O1499" s="552" t="str">
        <f t="shared" si="204"/>
        <v/>
      </c>
      <c r="P1499" s="39"/>
    </row>
    <row r="1500" spans="1:16" x14ac:dyDescent="0.35">
      <c r="A1500" s="535" t="str">
        <f t="shared" si="205"/>
        <v/>
      </c>
      <c r="B1500" s="337"/>
      <c r="C1500" s="337"/>
      <c r="D1500" s="326" t="s">
        <v>47</v>
      </c>
      <c r="E1500" s="334" t="s">
        <v>724</v>
      </c>
      <c r="F1500" s="335">
        <v>10</v>
      </c>
      <c r="G1500" s="335" t="s">
        <v>73</v>
      </c>
      <c r="H1500" s="335">
        <v>10</v>
      </c>
      <c r="I1500" s="335" t="s">
        <v>73</v>
      </c>
      <c r="J1500" s="337"/>
      <c r="K1500" s="680">
        <f t="shared" si="209"/>
        <v>350</v>
      </c>
      <c r="L1500" s="535"/>
      <c r="M1500" s="552" t="str">
        <f t="shared" si="203"/>
        <v/>
      </c>
      <c r="N1500" s="552"/>
      <c r="O1500" s="552" t="str">
        <f t="shared" si="204"/>
        <v/>
      </c>
      <c r="P1500" s="39"/>
    </row>
    <row r="1501" spans="1:16" x14ac:dyDescent="0.35">
      <c r="A1501" s="535" t="str">
        <f t="shared" si="205"/>
        <v/>
      </c>
      <c r="B1501" s="330"/>
      <c r="C1501" s="330"/>
      <c r="D1501" s="355"/>
      <c r="E1501" s="355" t="s">
        <v>943</v>
      </c>
      <c r="F1501" s="356">
        <v>350</v>
      </c>
      <c r="G1501" s="356" t="s">
        <v>73</v>
      </c>
      <c r="H1501" s="515"/>
      <c r="I1501" s="515"/>
      <c r="J1501" s="515"/>
      <c r="K1501" s="684"/>
      <c r="L1501" s="535"/>
      <c r="M1501" s="552" t="str">
        <f t="shared" si="203"/>
        <v/>
      </c>
      <c r="N1501" s="552"/>
      <c r="O1501" s="552" t="str">
        <f t="shared" si="204"/>
        <v/>
      </c>
      <c r="P1501" s="39"/>
    </row>
    <row r="1502" spans="1:16" x14ac:dyDescent="0.35">
      <c r="A1502" s="535" t="str">
        <f t="shared" si="205"/>
        <v/>
      </c>
      <c r="B1502" s="337"/>
      <c r="C1502" s="337"/>
      <c r="D1502" s="342"/>
      <c r="E1502" s="561" t="s">
        <v>81</v>
      </c>
      <c r="F1502" s="343">
        <v>1000</v>
      </c>
      <c r="G1502" s="343" t="s">
        <v>73</v>
      </c>
      <c r="H1502" s="343">
        <f>ROUND(($F$1501)*((F1502)/((($F$1513)*(($F$1514)/($F$1514+$F$1515)))+(($F$1513)*(($F$1515)/($F$1514+$F$1515)))+($F$1502)+($F$1503)+($F$1504)+($F$1505)+($F$1506)+($F$1507)+($F$1508)+($F$1509)+($F$1510)+($F$1511)+($F$1512))),2)</f>
        <v>308.91000000000003</v>
      </c>
      <c r="I1502" s="345"/>
      <c r="J1502" s="345"/>
      <c r="K1502" s="685"/>
      <c r="L1502" s="535"/>
      <c r="M1502" s="552" t="str">
        <f t="shared" si="203"/>
        <v/>
      </c>
      <c r="N1502" s="552"/>
      <c r="O1502" s="552" t="str">
        <f t="shared" si="204"/>
        <v/>
      </c>
      <c r="P1502" s="39"/>
    </row>
    <row r="1503" spans="1:16" x14ac:dyDescent="0.35">
      <c r="A1503" s="535" t="str">
        <f t="shared" si="205"/>
        <v/>
      </c>
      <c r="B1503" s="330"/>
      <c r="C1503" s="330"/>
      <c r="D1503" s="326" t="s">
        <v>50</v>
      </c>
      <c r="E1503" s="495" t="s">
        <v>944</v>
      </c>
      <c r="F1503" s="328">
        <v>10</v>
      </c>
      <c r="G1503" s="328" t="s">
        <v>73</v>
      </c>
      <c r="H1503" s="328">
        <f t="shared" ref="H1503:H1512" si="210">ROUND(($F$1501)*((F1503)/((($F$1513)*(($F$1514)/($F$1514+$F$1515)))+(($F$1513)*(($F$1515)/($F$1514+$F$1515)))+($F$1502)+($F$1503)+($F$1504)+($F$1505)+($F$1506)+($F$1507)+($F$1508)+($F$1509)+($F$1510)+($F$1511)+($F$1512))),2)</f>
        <v>3.09</v>
      </c>
      <c r="I1503" s="328" t="s">
        <v>73</v>
      </c>
      <c r="J1503" s="330"/>
      <c r="K1503" s="681">
        <f t="shared" si="209"/>
        <v>108.14999999999999</v>
      </c>
      <c r="L1503" s="535"/>
      <c r="M1503" s="552" t="str">
        <f t="shared" si="203"/>
        <v/>
      </c>
      <c r="N1503" s="552"/>
      <c r="O1503" s="552" t="str">
        <f t="shared" si="204"/>
        <v/>
      </c>
      <c r="P1503" s="39"/>
    </row>
    <row r="1504" spans="1:16" x14ac:dyDescent="0.35">
      <c r="A1504" s="535" t="str">
        <f t="shared" si="205"/>
        <v/>
      </c>
      <c r="B1504" s="337"/>
      <c r="C1504" s="337"/>
      <c r="D1504" s="326" t="s">
        <v>49</v>
      </c>
      <c r="E1504" s="560" t="s">
        <v>945</v>
      </c>
      <c r="F1504" s="335">
        <v>10</v>
      </c>
      <c r="G1504" s="335" t="s">
        <v>73</v>
      </c>
      <c r="H1504" s="335">
        <f t="shared" si="210"/>
        <v>3.09</v>
      </c>
      <c r="I1504" s="335" t="s">
        <v>73</v>
      </c>
      <c r="J1504" s="337"/>
      <c r="K1504" s="680">
        <f t="shared" si="209"/>
        <v>108.14999999999999</v>
      </c>
      <c r="L1504" s="535"/>
      <c r="M1504" s="552" t="str">
        <f t="shared" si="203"/>
        <v/>
      </c>
      <c r="N1504" s="552"/>
      <c r="O1504" s="552" t="str">
        <f t="shared" si="204"/>
        <v/>
      </c>
      <c r="P1504" s="39"/>
    </row>
    <row r="1505" spans="1:16" x14ac:dyDescent="0.35">
      <c r="A1505" s="535" t="str">
        <f t="shared" si="205"/>
        <v/>
      </c>
      <c r="B1505" s="330"/>
      <c r="C1505" s="330"/>
      <c r="D1505" s="326" t="s">
        <v>674</v>
      </c>
      <c r="E1505" s="495" t="s">
        <v>841</v>
      </c>
      <c r="F1505" s="328">
        <v>50</v>
      </c>
      <c r="G1505" s="328" t="s">
        <v>73</v>
      </c>
      <c r="H1505" s="328">
        <f t="shared" si="210"/>
        <v>15.45</v>
      </c>
      <c r="I1505" s="328" t="s">
        <v>73</v>
      </c>
      <c r="J1505" s="330"/>
      <c r="K1505" s="681">
        <f t="shared" si="209"/>
        <v>540.75</v>
      </c>
      <c r="L1505" s="535"/>
      <c r="M1505" s="552" t="str">
        <f t="shared" si="203"/>
        <v/>
      </c>
      <c r="N1505" s="552"/>
      <c r="O1505" s="552" t="str">
        <f t="shared" si="204"/>
        <v/>
      </c>
      <c r="P1505" s="39"/>
    </row>
    <row r="1506" spans="1:16" x14ac:dyDescent="0.35">
      <c r="A1506" s="535" t="str">
        <f t="shared" si="205"/>
        <v/>
      </c>
      <c r="B1506" s="337"/>
      <c r="C1506" s="337"/>
      <c r="D1506" s="326" t="s">
        <v>696</v>
      </c>
      <c r="E1506" s="560" t="s">
        <v>946</v>
      </c>
      <c r="F1506" s="335">
        <v>13</v>
      </c>
      <c r="G1506" s="335" t="s">
        <v>73</v>
      </c>
      <c r="H1506" s="335">
        <f t="shared" si="210"/>
        <v>4.0199999999999996</v>
      </c>
      <c r="I1506" s="335" t="s">
        <v>73</v>
      </c>
      <c r="J1506" s="337"/>
      <c r="K1506" s="680">
        <f t="shared" si="209"/>
        <v>140.69999999999999</v>
      </c>
      <c r="L1506" s="535"/>
      <c r="M1506" s="552" t="str">
        <f t="shared" si="203"/>
        <v/>
      </c>
      <c r="N1506" s="552"/>
      <c r="O1506" s="552" t="str">
        <f t="shared" si="204"/>
        <v/>
      </c>
      <c r="P1506" s="39"/>
    </row>
    <row r="1507" spans="1:16" x14ac:dyDescent="0.35">
      <c r="A1507" s="535" t="str">
        <f t="shared" si="205"/>
        <v/>
      </c>
      <c r="B1507" s="330"/>
      <c r="C1507" s="330"/>
      <c r="D1507" s="326" t="s">
        <v>672</v>
      </c>
      <c r="E1507" s="495" t="s">
        <v>961</v>
      </c>
      <c r="F1507" s="328">
        <v>10</v>
      </c>
      <c r="G1507" s="328" t="s">
        <v>73</v>
      </c>
      <c r="H1507" s="328">
        <f t="shared" si="210"/>
        <v>3.09</v>
      </c>
      <c r="I1507" s="328" t="s">
        <v>73</v>
      </c>
      <c r="J1507" s="330"/>
      <c r="K1507" s="681">
        <f t="shared" si="209"/>
        <v>108.14999999999999</v>
      </c>
      <c r="L1507" s="535"/>
      <c r="M1507" s="552" t="str">
        <f t="shared" si="203"/>
        <v/>
      </c>
      <c r="N1507" s="552"/>
      <c r="O1507" s="552" t="str">
        <f t="shared" si="204"/>
        <v/>
      </c>
      <c r="P1507" s="39"/>
    </row>
    <row r="1508" spans="1:16" x14ac:dyDescent="0.35">
      <c r="A1508" s="535" t="str">
        <f t="shared" si="205"/>
        <v/>
      </c>
      <c r="B1508" s="337"/>
      <c r="C1508" s="337"/>
      <c r="D1508" s="326" t="s">
        <v>47</v>
      </c>
      <c r="E1508" s="560" t="s">
        <v>724</v>
      </c>
      <c r="F1508" s="335">
        <v>3</v>
      </c>
      <c r="G1508" s="335" t="s">
        <v>73</v>
      </c>
      <c r="H1508" s="335">
        <f t="shared" si="210"/>
        <v>0.93</v>
      </c>
      <c r="I1508" s="335" t="s">
        <v>73</v>
      </c>
      <c r="J1508" s="337"/>
      <c r="K1508" s="680">
        <f t="shared" si="209"/>
        <v>32.550000000000004</v>
      </c>
      <c r="L1508" s="535"/>
      <c r="M1508" s="552" t="str">
        <f t="shared" si="203"/>
        <v/>
      </c>
      <c r="N1508" s="552"/>
      <c r="O1508" s="552" t="str">
        <f t="shared" si="204"/>
        <v/>
      </c>
      <c r="P1508" s="39"/>
    </row>
    <row r="1509" spans="1:16" x14ac:dyDescent="0.35">
      <c r="A1509" s="535" t="str">
        <f t="shared" si="205"/>
        <v/>
      </c>
      <c r="B1509" s="330"/>
      <c r="C1509" s="330"/>
      <c r="D1509" s="326" t="s">
        <v>341</v>
      </c>
      <c r="E1509" s="495" t="s">
        <v>764</v>
      </c>
      <c r="F1509" s="328">
        <v>10</v>
      </c>
      <c r="G1509" s="328" t="s">
        <v>73</v>
      </c>
      <c r="H1509" s="328">
        <f t="shared" si="210"/>
        <v>3.09</v>
      </c>
      <c r="I1509" s="328" t="s">
        <v>73</v>
      </c>
      <c r="J1509" s="330"/>
      <c r="K1509" s="681">
        <f t="shared" si="209"/>
        <v>108.14999999999999</v>
      </c>
      <c r="L1509" s="535"/>
      <c r="M1509" s="552" t="str">
        <f t="shared" si="203"/>
        <v/>
      </c>
      <c r="N1509" s="552"/>
      <c r="O1509" s="552" t="str">
        <f t="shared" si="204"/>
        <v/>
      </c>
      <c r="P1509" s="39"/>
    </row>
    <row r="1510" spans="1:16" x14ac:dyDescent="0.35">
      <c r="A1510" s="535" t="str">
        <f t="shared" si="205"/>
        <v/>
      </c>
      <c r="B1510" s="337"/>
      <c r="C1510" s="337"/>
      <c r="D1510" s="326" t="s">
        <v>333</v>
      </c>
      <c r="E1510" s="560" t="s">
        <v>947</v>
      </c>
      <c r="F1510" s="335">
        <v>10</v>
      </c>
      <c r="G1510" s="335" t="s">
        <v>73</v>
      </c>
      <c r="H1510" s="335">
        <f t="shared" si="210"/>
        <v>3.09</v>
      </c>
      <c r="I1510" s="335" t="s">
        <v>73</v>
      </c>
      <c r="J1510" s="337"/>
      <c r="K1510" s="680">
        <f t="shared" si="209"/>
        <v>108.14999999999999</v>
      </c>
      <c r="L1510" s="535"/>
      <c r="M1510" s="552" t="str">
        <f t="shared" si="203"/>
        <v/>
      </c>
      <c r="N1510" s="552"/>
      <c r="O1510" s="552" t="str">
        <f t="shared" si="204"/>
        <v/>
      </c>
      <c r="P1510" s="39"/>
    </row>
    <row r="1511" spans="1:16" x14ac:dyDescent="0.35">
      <c r="A1511" s="535" t="str">
        <f t="shared" si="205"/>
        <v/>
      </c>
      <c r="B1511" s="330"/>
      <c r="C1511" s="330"/>
      <c r="D1511" s="326" t="s">
        <v>43</v>
      </c>
      <c r="E1511" s="495" t="s">
        <v>105</v>
      </c>
      <c r="F1511" s="328">
        <v>1.5</v>
      </c>
      <c r="G1511" s="328" t="s">
        <v>73</v>
      </c>
      <c r="H1511" s="328">
        <f t="shared" si="210"/>
        <v>0.46</v>
      </c>
      <c r="I1511" s="328" t="s">
        <v>73</v>
      </c>
      <c r="J1511" s="330"/>
      <c r="K1511" s="681">
        <f t="shared" si="209"/>
        <v>16.100000000000001</v>
      </c>
      <c r="L1511" s="535"/>
      <c r="M1511" s="552" t="str">
        <f t="shared" si="203"/>
        <v/>
      </c>
      <c r="N1511" s="552"/>
      <c r="O1511" s="552" t="str">
        <f t="shared" si="204"/>
        <v/>
      </c>
      <c r="P1511" s="39"/>
    </row>
    <row r="1512" spans="1:16" x14ac:dyDescent="0.35">
      <c r="A1512" s="535" t="str">
        <f t="shared" si="205"/>
        <v/>
      </c>
      <c r="B1512" s="337"/>
      <c r="C1512" s="337"/>
      <c r="D1512" s="326" t="s">
        <v>42</v>
      </c>
      <c r="E1512" s="560" t="s">
        <v>95</v>
      </c>
      <c r="F1512" s="335">
        <v>0.5</v>
      </c>
      <c r="G1512" s="335" t="s">
        <v>73</v>
      </c>
      <c r="H1512" s="335">
        <f t="shared" si="210"/>
        <v>0.15</v>
      </c>
      <c r="I1512" s="335" t="s">
        <v>73</v>
      </c>
      <c r="J1512" s="337"/>
      <c r="K1512" s="680">
        <f t="shared" si="209"/>
        <v>5.25</v>
      </c>
      <c r="L1512" s="535"/>
      <c r="M1512" s="552" t="str">
        <f t="shared" si="203"/>
        <v/>
      </c>
      <c r="N1512" s="552"/>
      <c r="O1512" s="552" t="str">
        <f t="shared" si="204"/>
        <v/>
      </c>
      <c r="P1512" s="39"/>
    </row>
    <row r="1513" spans="1:16" x14ac:dyDescent="0.35">
      <c r="A1513" s="535" t="str">
        <f t="shared" si="205"/>
        <v/>
      </c>
      <c r="B1513" s="330"/>
      <c r="C1513" s="330"/>
      <c r="D1513" s="355"/>
      <c r="E1513" s="657" t="s">
        <v>948</v>
      </c>
      <c r="F1513" s="356">
        <v>15</v>
      </c>
      <c r="G1513" s="356" t="s">
        <v>73</v>
      </c>
      <c r="H1513" s="356"/>
      <c r="I1513" s="356"/>
      <c r="J1513" s="515"/>
      <c r="K1513" s="684"/>
      <c r="L1513" s="535"/>
      <c r="M1513" s="552" t="str">
        <f t="shared" si="203"/>
        <v/>
      </c>
      <c r="N1513" s="552"/>
      <c r="O1513" s="552" t="str">
        <f t="shared" si="204"/>
        <v/>
      </c>
      <c r="P1513" s="39"/>
    </row>
    <row r="1514" spans="1:16" x14ac:dyDescent="0.35">
      <c r="A1514" s="535" t="str">
        <f t="shared" si="205"/>
        <v/>
      </c>
      <c r="B1514" s="337"/>
      <c r="C1514" s="337"/>
      <c r="D1514" s="326" t="s">
        <v>40</v>
      </c>
      <c r="E1514" s="659" t="s">
        <v>949</v>
      </c>
      <c r="F1514" s="335">
        <v>50</v>
      </c>
      <c r="G1514" s="335" t="s">
        <v>73</v>
      </c>
      <c r="H1514" s="335">
        <f>ROUND(($F$1501)*((($F$1513)*(($F$1514)/($F$1514+$F$1515)))
/((($F$1513)*(($F$1514)/($F$1514+$F$1515)))+(($F$1513)*(($F$1515)/($F$1514+$F$1515)))+($F$1502)+($F$1503)+($F$1504)+($F$1505)+($F$1506)+($F$1507)+($F$1508)+($F$1509)+($F$1510)+($F$1511)+($F$1512))),2)</f>
        <v>1.54</v>
      </c>
      <c r="I1514" s="335" t="s">
        <v>73</v>
      </c>
      <c r="J1514" s="337"/>
      <c r="K1514" s="680">
        <f t="shared" si="209"/>
        <v>53.9</v>
      </c>
      <c r="L1514" s="535"/>
      <c r="M1514" s="552" t="str">
        <f t="shared" si="203"/>
        <v/>
      </c>
      <c r="N1514" s="552"/>
      <c r="O1514" s="552" t="str">
        <f t="shared" si="204"/>
        <v/>
      </c>
      <c r="P1514" s="39"/>
    </row>
    <row r="1515" spans="1:16" x14ac:dyDescent="0.35">
      <c r="A1515" s="535" t="str">
        <f t="shared" si="205"/>
        <v/>
      </c>
      <c r="B1515" s="330"/>
      <c r="C1515" s="330"/>
      <c r="D1515" s="342"/>
      <c r="E1515" s="660" t="s">
        <v>950</v>
      </c>
      <c r="F1515" s="343">
        <v>100</v>
      </c>
      <c r="G1515" s="343" t="s">
        <v>73</v>
      </c>
      <c r="H1515" s="343">
        <f>ROUND(($F$1501)*((($F$1513)*(($F$1515)/($F$1514+$F$1515)))
/((($F$1513)*(($F$1514)/($F$1514+$F$1515)))+(($F$1513)*(($F$1515)/($F$1514+$F$1515)))+($F$1502)+($F$1503)+($F$1504)+($F$1505)+($F$1506)+($F$1507)+($F$1508)+($F$1509)+($F$1510)+($F$1511)+($F$1512))),2)</f>
        <v>3.09</v>
      </c>
      <c r="I1515" s="343"/>
      <c r="J1515" s="345"/>
      <c r="K1515" s="685"/>
      <c r="L1515" s="535"/>
      <c r="M1515" s="552" t="str">
        <f t="shared" si="203"/>
        <v/>
      </c>
      <c r="N1515" s="552"/>
      <c r="O1515" s="552" t="str">
        <f t="shared" si="204"/>
        <v/>
      </c>
      <c r="P1515" s="39"/>
    </row>
    <row r="1516" spans="1:16" x14ac:dyDescent="0.35">
      <c r="A1516" s="535" t="str">
        <f t="shared" si="205"/>
        <v/>
      </c>
      <c r="B1516" s="337"/>
      <c r="C1516" s="337"/>
      <c r="D1516" s="355"/>
      <c r="E1516" s="355" t="s">
        <v>952</v>
      </c>
      <c r="F1516" s="356">
        <v>50</v>
      </c>
      <c r="G1516" s="356" t="s">
        <v>73</v>
      </c>
      <c r="H1516" s="515"/>
      <c r="I1516" s="356"/>
      <c r="J1516" s="515"/>
      <c r="K1516" s="684"/>
      <c r="L1516" s="535"/>
      <c r="M1516" s="552" t="str">
        <f t="shared" si="203"/>
        <v/>
      </c>
      <c r="N1516" s="552"/>
      <c r="O1516" s="552" t="str">
        <f t="shared" si="204"/>
        <v/>
      </c>
      <c r="P1516" s="39"/>
    </row>
    <row r="1517" spans="1:16" x14ac:dyDescent="0.35">
      <c r="A1517" s="535" t="str">
        <f t="shared" si="205"/>
        <v/>
      </c>
      <c r="B1517" s="330"/>
      <c r="C1517" s="330"/>
      <c r="D1517" s="326" t="s">
        <v>63</v>
      </c>
      <c r="E1517" s="475" t="s">
        <v>953</v>
      </c>
      <c r="F1517" s="328">
        <v>70</v>
      </c>
      <c r="G1517" s="328" t="s">
        <v>73</v>
      </c>
      <c r="H1517" s="328">
        <f>ROUND(($F$1516)*((F1517)/($F$1517+$F$1508+$F$1519)),2)</f>
        <v>44.87</v>
      </c>
      <c r="I1517" s="328" t="s">
        <v>73</v>
      </c>
      <c r="J1517" s="330"/>
      <c r="K1517" s="681">
        <f>$A$1494*((H1517)+(H1517*0.2))</f>
        <v>1884.5399999999997</v>
      </c>
      <c r="L1517" s="535"/>
      <c r="M1517" s="552" t="str">
        <f t="shared" si="203"/>
        <v/>
      </c>
      <c r="N1517" s="552"/>
      <c r="O1517" s="552" t="str">
        <f t="shared" si="204"/>
        <v/>
      </c>
      <c r="P1517" s="39"/>
    </row>
    <row r="1518" spans="1:16" x14ac:dyDescent="0.35">
      <c r="A1518" s="535" t="str">
        <f t="shared" si="205"/>
        <v/>
      </c>
      <c r="B1518" s="337"/>
      <c r="C1518" s="337"/>
      <c r="D1518" s="326" t="s">
        <v>129</v>
      </c>
      <c r="E1518" s="419" t="s">
        <v>789</v>
      </c>
      <c r="F1518" s="335">
        <v>20</v>
      </c>
      <c r="G1518" s="335" t="s">
        <v>73</v>
      </c>
      <c r="H1518" s="335">
        <f t="shared" ref="H1518:H1519" si="211">ROUND(($F$1516)*((F1518)/($F$1517+$F$1508+$F$1519)),2)</f>
        <v>12.82</v>
      </c>
      <c r="I1518" s="335" t="s">
        <v>73</v>
      </c>
      <c r="J1518" s="337"/>
      <c r="K1518" s="680">
        <f t="shared" si="209"/>
        <v>448.7</v>
      </c>
      <c r="L1518" s="535"/>
      <c r="M1518" s="552" t="str">
        <f t="shared" ref="M1518:M1581" si="212">IF(Q1518&gt;0, Q1518, "")</f>
        <v/>
      </c>
      <c r="N1518" s="552"/>
      <c r="O1518" s="552" t="str">
        <f t="shared" ref="O1518:O1581" si="213">IF(V1519&gt;0, V1519, "")</f>
        <v/>
      </c>
      <c r="P1518" s="39"/>
    </row>
    <row r="1519" spans="1:16" x14ac:dyDescent="0.35">
      <c r="A1519" s="535" t="str">
        <f t="shared" si="205"/>
        <v/>
      </c>
      <c r="B1519" s="330"/>
      <c r="C1519" s="330"/>
      <c r="D1519" s="326" t="s">
        <v>47</v>
      </c>
      <c r="E1519" s="475" t="s">
        <v>724</v>
      </c>
      <c r="F1519" s="328">
        <v>5</v>
      </c>
      <c r="G1519" s="328" t="s">
        <v>73</v>
      </c>
      <c r="H1519" s="328">
        <f t="shared" si="211"/>
        <v>3.21</v>
      </c>
      <c r="I1519" s="328" t="s">
        <v>73</v>
      </c>
      <c r="J1519" s="330"/>
      <c r="K1519" s="681">
        <f t="shared" si="209"/>
        <v>112.35</v>
      </c>
      <c r="L1519" s="535"/>
      <c r="M1519" s="552" t="str">
        <f t="shared" si="212"/>
        <v/>
      </c>
      <c r="N1519" s="552"/>
      <c r="O1519" s="552" t="str">
        <f t="shared" si="213"/>
        <v/>
      </c>
      <c r="P1519" s="39"/>
    </row>
    <row r="1520" spans="1:16" x14ac:dyDescent="0.35">
      <c r="A1520" s="535" t="str">
        <f t="shared" si="205"/>
        <v/>
      </c>
      <c r="B1520" s="337"/>
      <c r="C1520" s="337"/>
      <c r="D1520" s="355"/>
      <c r="E1520" s="567" t="s">
        <v>754</v>
      </c>
      <c r="F1520" s="356">
        <v>180</v>
      </c>
      <c r="G1520" s="378" t="s">
        <v>73</v>
      </c>
      <c r="H1520" s="515"/>
      <c r="I1520" s="356"/>
      <c r="J1520" s="515"/>
      <c r="K1520" s="684"/>
      <c r="L1520" s="535"/>
      <c r="M1520" s="552" t="str">
        <f t="shared" si="212"/>
        <v/>
      </c>
      <c r="N1520" s="552"/>
      <c r="O1520" s="552" t="str">
        <f t="shared" si="213"/>
        <v/>
      </c>
      <c r="P1520" s="39"/>
    </row>
    <row r="1521" spans="1:16" x14ac:dyDescent="0.35">
      <c r="A1521" s="535" t="str">
        <f t="shared" si="205"/>
        <v/>
      </c>
      <c r="B1521" s="330"/>
      <c r="C1521" s="330"/>
      <c r="D1521" s="342"/>
      <c r="E1521" s="561" t="s">
        <v>81</v>
      </c>
      <c r="F1521" s="404">
        <v>1300</v>
      </c>
      <c r="G1521" s="404" t="s">
        <v>73</v>
      </c>
      <c r="H1521" s="343">
        <f>ROUND(($F$1520)*(($F$1521)/($F$1521+$F$1522+$F$1523)),2)</f>
        <v>101.74</v>
      </c>
      <c r="I1521" s="343"/>
      <c r="J1521" s="345"/>
      <c r="K1521" s="685"/>
      <c r="L1521" s="535"/>
      <c r="M1521" s="552" t="str">
        <f t="shared" si="212"/>
        <v/>
      </c>
      <c r="N1521" s="552"/>
      <c r="O1521" s="552" t="str">
        <f t="shared" si="213"/>
        <v/>
      </c>
      <c r="P1521" s="39"/>
    </row>
    <row r="1522" spans="1:16" x14ac:dyDescent="0.35">
      <c r="A1522" s="535" t="str">
        <f t="shared" ref="A1522:A1583" si="214">IFERROR(INDEX($Q$17:$Q$41,MATCH(B1522,$R$17:$R$41, 0)), "")</f>
        <v/>
      </c>
      <c r="B1522" s="337"/>
      <c r="C1522" s="337"/>
      <c r="D1522" s="326" t="s">
        <v>1660</v>
      </c>
      <c r="E1522" s="560" t="s">
        <v>1897</v>
      </c>
      <c r="F1522" s="18">
        <v>1000</v>
      </c>
      <c r="G1522" s="18" t="s">
        <v>73</v>
      </c>
      <c r="H1522" s="335">
        <f>ROUND(($F$1520)*(($F$1522)/($F$1521+$F$1522+$F$1523)),2)</f>
        <v>78.260000000000005</v>
      </c>
      <c r="I1522" s="335" t="s">
        <v>73</v>
      </c>
      <c r="J1522" s="337"/>
      <c r="K1522" s="680">
        <f t="shared" si="209"/>
        <v>2739.1000000000004</v>
      </c>
      <c r="L1522" s="535"/>
      <c r="M1522" s="552" t="str">
        <f t="shared" si="212"/>
        <v/>
      </c>
      <c r="N1522" s="552"/>
      <c r="O1522" s="552" t="str">
        <f t="shared" si="213"/>
        <v/>
      </c>
      <c r="P1522" s="39"/>
    </row>
    <row r="1523" spans="1:16" x14ac:dyDescent="0.35">
      <c r="A1523" s="535" t="str">
        <f t="shared" si="214"/>
        <v/>
      </c>
      <c r="B1523" s="330"/>
      <c r="C1523" s="330"/>
      <c r="D1523" s="326"/>
      <c r="E1523" s="495" t="s">
        <v>753</v>
      </c>
      <c r="F1523" s="22">
        <v>0</v>
      </c>
      <c r="G1523" s="22" t="s">
        <v>73</v>
      </c>
      <c r="H1523" s="328">
        <f>ROUND(($F$1520)*(($F$1523)/($F$1521+$F$1522+$F$1523)),2)</f>
        <v>0</v>
      </c>
      <c r="I1523" s="328" t="s">
        <v>73</v>
      </c>
      <c r="J1523" s="330"/>
      <c r="K1523" s="681">
        <f t="shared" si="209"/>
        <v>0</v>
      </c>
      <c r="L1523" s="535"/>
      <c r="M1523" s="552" t="str">
        <f t="shared" si="212"/>
        <v/>
      </c>
      <c r="N1523" s="552"/>
      <c r="O1523" s="552" t="str">
        <f t="shared" si="213"/>
        <v/>
      </c>
      <c r="P1523" s="39"/>
    </row>
    <row r="1524" spans="1:16" x14ac:dyDescent="0.35">
      <c r="A1524" s="545" t="str">
        <f t="shared" si="214"/>
        <v/>
      </c>
      <c r="B1524" s="546"/>
      <c r="C1524" s="546"/>
      <c r="D1524" s="545"/>
      <c r="E1524" s="545"/>
      <c r="F1524" s="546"/>
      <c r="G1524" s="546"/>
      <c r="H1524" s="546"/>
      <c r="I1524" s="546"/>
      <c r="J1524" s="546"/>
      <c r="K1524" s="676"/>
      <c r="L1524" s="535"/>
      <c r="M1524" s="552" t="str">
        <f t="shared" si="212"/>
        <v/>
      </c>
      <c r="N1524" s="552"/>
      <c r="O1524" s="552" t="str">
        <f t="shared" si="213"/>
        <v/>
      </c>
      <c r="P1524" s="39"/>
    </row>
    <row r="1525" spans="1:16" x14ac:dyDescent="0.35">
      <c r="A1525" s="565">
        <f>IFERROR(INDEX($Q$17:$Q$201,MATCH(B1525,$R$17:$R$201, 0)), "")</f>
        <v>101</v>
      </c>
      <c r="B1525" s="382" t="s">
        <v>1345</v>
      </c>
      <c r="C1525" s="325" t="s">
        <v>955</v>
      </c>
      <c r="D1525" s="571"/>
      <c r="E1525" s="571" t="s">
        <v>81</v>
      </c>
      <c r="F1525" s="466">
        <v>300</v>
      </c>
      <c r="G1525" s="493" t="s">
        <v>73</v>
      </c>
      <c r="H1525" s="573"/>
      <c r="I1525" s="573"/>
      <c r="J1525" s="573"/>
      <c r="K1525" s="693"/>
      <c r="L1525" s="535"/>
      <c r="M1525" s="552" t="str">
        <f t="shared" si="212"/>
        <v/>
      </c>
      <c r="N1525" s="552"/>
      <c r="O1525" s="552" t="str">
        <f t="shared" si="213"/>
        <v/>
      </c>
      <c r="P1525" s="39"/>
    </row>
    <row r="1526" spans="1:16" x14ac:dyDescent="0.35">
      <c r="A1526" s="535" t="str">
        <f t="shared" si="214"/>
        <v/>
      </c>
      <c r="B1526" s="337"/>
      <c r="C1526" s="337"/>
      <c r="D1526" s="326" t="s">
        <v>312</v>
      </c>
      <c r="E1526" s="334" t="s">
        <v>962</v>
      </c>
      <c r="F1526" s="335">
        <v>5.5</v>
      </c>
      <c r="G1526" s="18" t="s">
        <v>73</v>
      </c>
      <c r="H1526" s="335">
        <v>5.5</v>
      </c>
      <c r="I1526" s="18" t="s">
        <v>73</v>
      </c>
      <c r="J1526" s="337"/>
      <c r="K1526" s="680">
        <f t="shared" ref="K1526:K1538" si="215">($A$1525*H1526)</f>
        <v>555.5</v>
      </c>
      <c r="L1526" s="535"/>
      <c r="M1526" s="552" t="str">
        <f t="shared" si="212"/>
        <v/>
      </c>
      <c r="N1526" s="552"/>
      <c r="O1526" s="552" t="str">
        <f t="shared" si="213"/>
        <v/>
      </c>
      <c r="P1526" s="39"/>
    </row>
    <row r="1527" spans="1:16" x14ac:dyDescent="0.35">
      <c r="A1527" s="535" t="str">
        <f t="shared" si="214"/>
        <v/>
      </c>
      <c r="B1527" s="330"/>
      <c r="C1527" s="330"/>
      <c r="D1527" s="326" t="s">
        <v>333</v>
      </c>
      <c r="E1527" s="327" t="s">
        <v>956</v>
      </c>
      <c r="F1527" s="328">
        <v>2.5</v>
      </c>
      <c r="G1527" s="22" t="s">
        <v>73</v>
      </c>
      <c r="H1527" s="328">
        <v>2.5</v>
      </c>
      <c r="I1527" s="22" t="s">
        <v>73</v>
      </c>
      <c r="J1527" s="330"/>
      <c r="K1527" s="681">
        <f t="shared" si="215"/>
        <v>252.5</v>
      </c>
      <c r="L1527" s="535"/>
      <c r="M1527" s="552" t="str">
        <f t="shared" si="212"/>
        <v/>
      </c>
      <c r="N1527" s="552"/>
      <c r="O1527" s="552" t="str">
        <f t="shared" si="213"/>
        <v/>
      </c>
      <c r="P1527" s="39"/>
    </row>
    <row r="1528" spans="1:16" x14ac:dyDescent="0.35">
      <c r="A1528" s="535" t="str">
        <f t="shared" si="214"/>
        <v/>
      </c>
      <c r="B1528" s="337"/>
      <c r="C1528" s="337"/>
      <c r="D1528" s="326" t="s">
        <v>43</v>
      </c>
      <c r="E1528" s="334" t="s">
        <v>105</v>
      </c>
      <c r="F1528" s="335">
        <v>1</v>
      </c>
      <c r="G1528" s="18" t="s">
        <v>73</v>
      </c>
      <c r="H1528" s="335">
        <v>1</v>
      </c>
      <c r="I1528" s="18" t="s">
        <v>73</v>
      </c>
      <c r="J1528" s="337"/>
      <c r="K1528" s="680">
        <f t="shared" si="215"/>
        <v>101</v>
      </c>
      <c r="L1528" s="535"/>
      <c r="M1528" s="552" t="str">
        <f t="shared" si="212"/>
        <v/>
      </c>
      <c r="N1528" s="552"/>
      <c r="O1528" s="552" t="str">
        <f t="shared" si="213"/>
        <v/>
      </c>
      <c r="P1528" s="39"/>
    </row>
    <row r="1529" spans="1:16" x14ac:dyDescent="0.35">
      <c r="A1529" s="535" t="str">
        <f t="shared" si="214"/>
        <v/>
      </c>
      <c r="B1529" s="330"/>
      <c r="C1529" s="330"/>
      <c r="D1529" s="326" t="s">
        <v>161</v>
      </c>
      <c r="E1529" s="327" t="s">
        <v>162</v>
      </c>
      <c r="F1529" s="328">
        <v>31</v>
      </c>
      <c r="G1529" s="22" t="s">
        <v>73</v>
      </c>
      <c r="H1529" s="328">
        <v>31</v>
      </c>
      <c r="I1529" s="22" t="s">
        <v>73</v>
      </c>
      <c r="J1529" s="330"/>
      <c r="K1529" s="681">
        <f t="shared" si="215"/>
        <v>3131</v>
      </c>
      <c r="L1529" s="535"/>
      <c r="M1529" s="552" t="str">
        <f t="shared" si="212"/>
        <v/>
      </c>
      <c r="N1529" s="552"/>
      <c r="O1529" s="552" t="str">
        <f t="shared" si="213"/>
        <v/>
      </c>
      <c r="P1529" s="39"/>
    </row>
    <row r="1530" spans="1:16" x14ac:dyDescent="0.35">
      <c r="A1530" s="535" t="str">
        <f t="shared" si="214"/>
        <v/>
      </c>
      <c r="B1530" s="337"/>
      <c r="C1530" s="337"/>
      <c r="D1530" s="326" t="s">
        <v>672</v>
      </c>
      <c r="E1530" s="334" t="s">
        <v>961</v>
      </c>
      <c r="F1530" s="335">
        <v>3</v>
      </c>
      <c r="G1530" s="18" t="s">
        <v>73</v>
      </c>
      <c r="H1530" s="335">
        <v>3</v>
      </c>
      <c r="I1530" s="18" t="s">
        <v>73</v>
      </c>
      <c r="J1530" s="337"/>
      <c r="K1530" s="680">
        <f t="shared" si="215"/>
        <v>303</v>
      </c>
      <c r="L1530" s="535"/>
      <c r="M1530" s="552" t="str">
        <f t="shared" si="212"/>
        <v/>
      </c>
      <c r="N1530" s="552"/>
      <c r="O1530" s="552" t="str">
        <f t="shared" si="213"/>
        <v/>
      </c>
      <c r="P1530" s="39"/>
    </row>
    <row r="1531" spans="1:16" x14ac:dyDescent="0.35">
      <c r="A1531" s="535" t="str">
        <f t="shared" si="214"/>
        <v/>
      </c>
      <c r="B1531" s="330"/>
      <c r="C1531" s="330"/>
      <c r="D1531" s="326" t="s">
        <v>50</v>
      </c>
      <c r="E1531" s="327" t="s">
        <v>1161</v>
      </c>
      <c r="F1531" s="328">
        <v>50</v>
      </c>
      <c r="G1531" s="22" t="s">
        <v>73</v>
      </c>
      <c r="H1531" s="328">
        <v>50</v>
      </c>
      <c r="I1531" s="22" t="s">
        <v>73</v>
      </c>
      <c r="J1531" s="330"/>
      <c r="K1531" s="681">
        <f t="shared" si="215"/>
        <v>5050</v>
      </c>
      <c r="L1531" s="535"/>
      <c r="M1531" s="552" t="str">
        <f t="shared" si="212"/>
        <v/>
      </c>
      <c r="N1531" s="552"/>
      <c r="O1531" s="552" t="str">
        <f t="shared" si="213"/>
        <v/>
      </c>
      <c r="P1531" s="39"/>
    </row>
    <row r="1532" spans="1:16" x14ac:dyDescent="0.35">
      <c r="A1532" s="535" t="str">
        <f t="shared" si="214"/>
        <v/>
      </c>
      <c r="B1532" s="337"/>
      <c r="C1532" s="337"/>
      <c r="D1532" s="326" t="s">
        <v>402</v>
      </c>
      <c r="E1532" s="334" t="s">
        <v>957</v>
      </c>
      <c r="F1532" s="335">
        <v>70</v>
      </c>
      <c r="G1532" s="18" t="s">
        <v>73</v>
      </c>
      <c r="H1532" s="335">
        <v>70</v>
      </c>
      <c r="I1532" s="18" t="s">
        <v>73</v>
      </c>
      <c r="J1532" s="337"/>
      <c r="K1532" s="680">
        <f t="shared" si="215"/>
        <v>7070</v>
      </c>
      <c r="L1532" s="535"/>
      <c r="M1532" s="552" t="str">
        <f t="shared" si="212"/>
        <v/>
      </c>
      <c r="N1532" s="552"/>
      <c r="O1532" s="552" t="str">
        <f t="shared" si="213"/>
        <v/>
      </c>
      <c r="P1532" s="39"/>
    </row>
    <row r="1533" spans="1:16" x14ac:dyDescent="0.35">
      <c r="A1533" s="535" t="str">
        <f t="shared" si="214"/>
        <v/>
      </c>
      <c r="B1533" s="330"/>
      <c r="C1533" s="330"/>
      <c r="D1533" s="326" t="s">
        <v>521</v>
      </c>
      <c r="E1533" s="327" t="s">
        <v>958</v>
      </c>
      <c r="F1533" s="328">
        <v>65</v>
      </c>
      <c r="G1533" s="22" t="s">
        <v>73</v>
      </c>
      <c r="H1533" s="328">
        <v>65</v>
      </c>
      <c r="I1533" s="22" t="s">
        <v>73</v>
      </c>
      <c r="J1533" s="330"/>
      <c r="K1533" s="681">
        <f t="shared" si="215"/>
        <v>6565</v>
      </c>
      <c r="L1533" s="535"/>
      <c r="M1533" s="552" t="str">
        <f t="shared" si="212"/>
        <v/>
      </c>
      <c r="N1533" s="552"/>
      <c r="O1533" s="552" t="str">
        <f t="shared" si="213"/>
        <v/>
      </c>
      <c r="P1533" s="39"/>
    </row>
    <row r="1534" spans="1:16" x14ac:dyDescent="0.35">
      <c r="A1534" s="535" t="str">
        <f t="shared" si="214"/>
        <v/>
      </c>
      <c r="B1534" s="337"/>
      <c r="C1534" s="337"/>
      <c r="D1534" s="326" t="s">
        <v>48</v>
      </c>
      <c r="E1534" s="334" t="s">
        <v>959</v>
      </c>
      <c r="F1534" s="335">
        <v>10</v>
      </c>
      <c r="G1534" s="18" t="s">
        <v>73</v>
      </c>
      <c r="H1534" s="335">
        <v>10</v>
      </c>
      <c r="I1534" s="18" t="s">
        <v>73</v>
      </c>
      <c r="J1534" s="337"/>
      <c r="K1534" s="680">
        <f t="shared" si="215"/>
        <v>1010</v>
      </c>
      <c r="L1534" s="535"/>
      <c r="M1534" s="552" t="str">
        <f t="shared" si="212"/>
        <v/>
      </c>
      <c r="N1534" s="552"/>
      <c r="O1534" s="552" t="str">
        <f t="shared" si="213"/>
        <v/>
      </c>
      <c r="P1534" s="39"/>
    </row>
    <row r="1535" spans="1:16" x14ac:dyDescent="0.35">
      <c r="A1535" s="535" t="str">
        <f t="shared" si="214"/>
        <v/>
      </c>
      <c r="B1535" s="330"/>
      <c r="C1535" s="330"/>
      <c r="D1535" s="355"/>
      <c r="E1535" s="355" t="s">
        <v>952</v>
      </c>
      <c r="F1535" s="356">
        <v>50</v>
      </c>
      <c r="G1535" s="378" t="s">
        <v>73</v>
      </c>
      <c r="H1535" s="515"/>
      <c r="I1535" s="515"/>
      <c r="J1535" s="515"/>
      <c r="K1535" s="684"/>
      <c r="L1535" s="535"/>
      <c r="M1535" s="552" t="str">
        <f t="shared" si="212"/>
        <v/>
      </c>
      <c r="N1535" s="552"/>
      <c r="O1535" s="552" t="str">
        <f t="shared" si="213"/>
        <v/>
      </c>
      <c r="P1535" s="39"/>
    </row>
    <row r="1536" spans="1:16" x14ac:dyDescent="0.35">
      <c r="A1536" s="535" t="str">
        <f t="shared" si="214"/>
        <v/>
      </c>
      <c r="B1536" s="337"/>
      <c r="C1536" s="337"/>
      <c r="D1536" s="326" t="s">
        <v>63</v>
      </c>
      <c r="E1536" s="419" t="s">
        <v>953</v>
      </c>
      <c r="F1536" s="335">
        <v>70</v>
      </c>
      <c r="G1536" s="335" t="s">
        <v>73</v>
      </c>
      <c r="H1536" s="335">
        <f>ROUND(($F$1535)*((F1536)/($F$1536+$F$1537+$F$1538)),2)</f>
        <v>36.840000000000003</v>
      </c>
      <c r="I1536" s="335" t="s">
        <v>73</v>
      </c>
      <c r="J1536" s="337"/>
      <c r="K1536" s="680">
        <f>($A$1525*((H1536)+(H1536*0.2)))</f>
        <v>4465.0080000000007</v>
      </c>
      <c r="L1536" s="535"/>
      <c r="M1536" s="552" t="str">
        <f t="shared" si="212"/>
        <v/>
      </c>
      <c r="N1536" s="552"/>
      <c r="O1536" s="552" t="str">
        <f t="shared" si="213"/>
        <v/>
      </c>
      <c r="P1536" s="39"/>
    </row>
    <row r="1537" spans="1:16" x14ac:dyDescent="0.35">
      <c r="A1537" s="535" t="str">
        <f t="shared" si="214"/>
        <v/>
      </c>
      <c r="B1537" s="330"/>
      <c r="C1537" s="330"/>
      <c r="D1537" s="326" t="s">
        <v>129</v>
      </c>
      <c r="E1537" s="475" t="s">
        <v>789</v>
      </c>
      <c r="F1537" s="328">
        <v>20</v>
      </c>
      <c r="G1537" s="328" t="s">
        <v>73</v>
      </c>
      <c r="H1537" s="328">
        <f t="shared" ref="H1537:H1538" si="216">ROUND(($F$1535)*((F1537)/($F$1536+$F$1537+$F$1538)),2)</f>
        <v>10.53</v>
      </c>
      <c r="I1537" s="328" t="s">
        <v>73</v>
      </c>
      <c r="J1537" s="330"/>
      <c r="K1537" s="681">
        <f t="shared" si="215"/>
        <v>1063.53</v>
      </c>
      <c r="L1537" s="535"/>
      <c r="M1537" s="552" t="str">
        <f t="shared" si="212"/>
        <v/>
      </c>
      <c r="N1537" s="552"/>
      <c r="O1537" s="552" t="str">
        <f t="shared" si="213"/>
        <v/>
      </c>
      <c r="P1537" s="39"/>
    </row>
    <row r="1538" spans="1:16" x14ac:dyDescent="0.35">
      <c r="A1538" s="535" t="str">
        <f t="shared" si="214"/>
        <v/>
      </c>
      <c r="B1538" s="337"/>
      <c r="C1538" s="337"/>
      <c r="D1538" s="326" t="s">
        <v>47</v>
      </c>
      <c r="E1538" s="419" t="s">
        <v>724</v>
      </c>
      <c r="F1538" s="335">
        <v>5</v>
      </c>
      <c r="G1538" s="335" t="s">
        <v>73</v>
      </c>
      <c r="H1538" s="335">
        <f t="shared" si="216"/>
        <v>2.63</v>
      </c>
      <c r="I1538" s="335" t="s">
        <v>73</v>
      </c>
      <c r="J1538" s="337"/>
      <c r="K1538" s="680">
        <f t="shared" si="215"/>
        <v>265.63</v>
      </c>
      <c r="L1538" s="535"/>
      <c r="M1538" s="552" t="str">
        <f t="shared" si="212"/>
        <v/>
      </c>
      <c r="N1538" s="552"/>
      <c r="O1538" s="552" t="str">
        <f t="shared" si="213"/>
        <v/>
      </c>
      <c r="P1538" s="39"/>
    </row>
    <row r="1539" spans="1:16" x14ac:dyDescent="0.35">
      <c r="A1539" s="545" t="str">
        <f t="shared" si="214"/>
        <v/>
      </c>
      <c r="B1539" s="546"/>
      <c r="C1539" s="546"/>
      <c r="D1539" s="545"/>
      <c r="E1539" s="545"/>
      <c r="F1539" s="546"/>
      <c r="G1539" s="546"/>
      <c r="H1539" s="546"/>
      <c r="I1539" s="546"/>
      <c r="J1539" s="546"/>
      <c r="K1539" s="676"/>
      <c r="L1539" s="535"/>
      <c r="M1539" s="552" t="str">
        <f t="shared" si="212"/>
        <v/>
      </c>
      <c r="N1539" s="552"/>
      <c r="O1539" s="552" t="str">
        <f t="shared" si="213"/>
        <v/>
      </c>
      <c r="P1539" s="39"/>
    </row>
    <row r="1540" spans="1:16" x14ac:dyDescent="0.35">
      <c r="A1540" s="565">
        <f>IFERROR(INDEX($Q$17:$Q$201,MATCH(B1540,$R$17:$R$201, 0)), "")</f>
        <v>115</v>
      </c>
      <c r="B1540" s="382" t="s">
        <v>1344</v>
      </c>
      <c r="C1540" s="325" t="s">
        <v>963</v>
      </c>
      <c r="D1540" s="342"/>
      <c r="E1540" s="342" t="s">
        <v>81</v>
      </c>
      <c r="F1540" s="343">
        <v>300</v>
      </c>
      <c r="G1540" s="404" t="s">
        <v>73</v>
      </c>
      <c r="H1540" s="345"/>
      <c r="I1540" s="345"/>
      <c r="J1540" s="345"/>
      <c r="K1540" s="685"/>
      <c r="L1540" s="535"/>
      <c r="M1540" s="552" t="str">
        <f t="shared" si="212"/>
        <v/>
      </c>
      <c r="N1540" s="552"/>
      <c r="O1540" s="552" t="str">
        <f t="shared" si="213"/>
        <v/>
      </c>
      <c r="P1540" s="39"/>
    </row>
    <row r="1541" spans="1:16" x14ac:dyDescent="0.35">
      <c r="A1541" s="535" t="str">
        <f t="shared" si="214"/>
        <v/>
      </c>
      <c r="B1541" s="330"/>
      <c r="C1541" s="330"/>
      <c r="D1541" s="326" t="s">
        <v>312</v>
      </c>
      <c r="E1541" s="327" t="s">
        <v>962</v>
      </c>
      <c r="F1541" s="328">
        <v>5.5</v>
      </c>
      <c r="G1541" s="22" t="s">
        <v>73</v>
      </c>
      <c r="H1541" s="328">
        <v>5.5</v>
      </c>
      <c r="I1541" s="22" t="s">
        <v>73</v>
      </c>
      <c r="J1541" s="330"/>
      <c r="K1541" s="681">
        <f t="shared" ref="K1541:K1557" si="217">($A$1540*H1541)</f>
        <v>632.5</v>
      </c>
      <c r="L1541" s="535"/>
      <c r="M1541" s="552" t="str">
        <f t="shared" si="212"/>
        <v/>
      </c>
      <c r="N1541" s="552"/>
      <c r="O1541" s="552" t="str">
        <f t="shared" si="213"/>
        <v/>
      </c>
      <c r="P1541" s="39"/>
    </row>
    <row r="1542" spans="1:16" x14ac:dyDescent="0.35">
      <c r="A1542" s="535" t="str">
        <f t="shared" si="214"/>
        <v/>
      </c>
      <c r="B1542" s="337"/>
      <c r="C1542" s="337"/>
      <c r="D1542" s="326" t="s">
        <v>333</v>
      </c>
      <c r="E1542" s="334" t="s">
        <v>956</v>
      </c>
      <c r="F1542" s="335">
        <v>2.5</v>
      </c>
      <c r="G1542" s="18" t="s">
        <v>73</v>
      </c>
      <c r="H1542" s="335">
        <v>2.5</v>
      </c>
      <c r="I1542" s="18" t="s">
        <v>73</v>
      </c>
      <c r="J1542" s="337"/>
      <c r="K1542" s="680">
        <f t="shared" si="217"/>
        <v>287.5</v>
      </c>
      <c r="L1542" s="535"/>
      <c r="M1542" s="552" t="str">
        <f t="shared" si="212"/>
        <v/>
      </c>
      <c r="N1542" s="552"/>
      <c r="O1542" s="552" t="str">
        <f t="shared" si="213"/>
        <v/>
      </c>
      <c r="P1542" s="39"/>
    </row>
    <row r="1543" spans="1:16" x14ac:dyDescent="0.35">
      <c r="A1543" s="535" t="str">
        <f t="shared" si="214"/>
        <v/>
      </c>
      <c r="B1543" s="330"/>
      <c r="C1543" s="330"/>
      <c r="D1543" s="326" t="s">
        <v>43</v>
      </c>
      <c r="E1543" s="327" t="s">
        <v>105</v>
      </c>
      <c r="F1543" s="328">
        <v>1</v>
      </c>
      <c r="G1543" s="22" t="s">
        <v>73</v>
      </c>
      <c r="H1543" s="328">
        <v>1</v>
      </c>
      <c r="I1543" s="22" t="s">
        <v>73</v>
      </c>
      <c r="J1543" s="330"/>
      <c r="K1543" s="681">
        <f t="shared" si="217"/>
        <v>115</v>
      </c>
      <c r="L1543" s="535"/>
      <c r="M1543" s="552" t="str">
        <f t="shared" si="212"/>
        <v/>
      </c>
      <c r="N1543" s="552"/>
      <c r="O1543" s="552" t="str">
        <f t="shared" si="213"/>
        <v/>
      </c>
      <c r="P1543" s="39"/>
    </row>
    <row r="1544" spans="1:16" x14ac:dyDescent="0.35">
      <c r="A1544" s="535" t="str">
        <f t="shared" si="214"/>
        <v/>
      </c>
      <c r="B1544" s="337"/>
      <c r="C1544" s="337"/>
      <c r="D1544" s="326" t="s">
        <v>161</v>
      </c>
      <c r="E1544" s="334" t="s">
        <v>162</v>
      </c>
      <c r="F1544" s="335">
        <v>31</v>
      </c>
      <c r="G1544" s="18" t="s">
        <v>73</v>
      </c>
      <c r="H1544" s="335">
        <v>31</v>
      </c>
      <c r="I1544" s="18" t="s">
        <v>73</v>
      </c>
      <c r="J1544" s="337"/>
      <c r="K1544" s="680">
        <f t="shared" si="217"/>
        <v>3565</v>
      </c>
      <c r="L1544" s="535"/>
      <c r="M1544" s="552" t="str">
        <f t="shared" si="212"/>
        <v/>
      </c>
      <c r="N1544" s="552"/>
      <c r="O1544" s="552" t="str">
        <f t="shared" si="213"/>
        <v/>
      </c>
      <c r="P1544" s="39"/>
    </row>
    <row r="1545" spans="1:16" x14ac:dyDescent="0.35">
      <c r="A1545" s="535" t="str">
        <f t="shared" si="214"/>
        <v/>
      </c>
      <c r="B1545" s="330"/>
      <c r="C1545" s="330"/>
      <c r="D1545" s="326" t="s">
        <v>672</v>
      </c>
      <c r="E1545" s="327" t="s">
        <v>961</v>
      </c>
      <c r="F1545" s="328">
        <v>3</v>
      </c>
      <c r="G1545" s="22" t="s">
        <v>73</v>
      </c>
      <c r="H1545" s="328">
        <v>3</v>
      </c>
      <c r="I1545" s="22" t="s">
        <v>73</v>
      </c>
      <c r="J1545" s="330"/>
      <c r="K1545" s="681">
        <f t="shared" si="217"/>
        <v>345</v>
      </c>
      <c r="L1545" s="535"/>
      <c r="M1545" s="552" t="str">
        <f t="shared" si="212"/>
        <v/>
      </c>
      <c r="N1545" s="552"/>
      <c r="O1545" s="552" t="str">
        <f t="shared" si="213"/>
        <v/>
      </c>
      <c r="P1545" s="39"/>
    </row>
    <row r="1546" spans="1:16" x14ac:dyDescent="0.35">
      <c r="A1546" s="535" t="str">
        <f t="shared" si="214"/>
        <v/>
      </c>
      <c r="B1546" s="337"/>
      <c r="C1546" s="337"/>
      <c r="D1546" s="326" t="s">
        <v>50</v>
      </c>
      <c r="E1546" s="334" t="s">
        <v>717</v>
      </c>
      <c r="F1546" s="335">
        <v>50</v>
      </c>
      <c r="G1546" s="18" t="s">
        <v>73</v>
      </c>
      <c r="H1546" s="335">
        <v>50</v>
      </c>
      <c r="I1546" s="18" t="s">
        <v>73</v>
      </c>
      <c r="J1546" s="337"/>
      <c r="K1546" s="680">
        <f t="shared" si="217"/>
        <v>5750</v>
      </c>
      <c r="L1546" s="535"/>
      <c r="M1546" s="552" t="str">
        <f t="shared" si="212"/>
        <v/>
      </c>
      <c r="N1546" s="552"/>
      <c r="O1546" s="552" t="str">
        <f t="shared" si="213"/>
        <v/>
      </c>
      <c r="P1546" s="39"/>
    </row>
    <row r="1547" spans="1:16" x14ac:dyDescent="0.35">
      <c r="A1547" s="535" t="str">
        <f t="shared" si="214"/>
        <v/>
      </c>
      <c r="B1547" s="330"/>
      <c r="C1547" s="330"/>
      <c r="D1547" s="326" t="s">
        <v>402</v>
      </c>
      <c r="E1547" s="327" t="s">
        <v>957</v>
      </c>
      <c r="F1547" s="328">
        <v>70</v>
      </c>
      <c r="G1547" s="22" t="s">
        <v>73</v>
      </c>
      <c r="H1547" s="328">
        <v>70</v>
      </c>
      <c r="I1547" s="22" t="s">
        <v>73</v>
      </c>
      <c r="J1547" s="330"/>
      <c r="K1547" s="681">
        <f t="shared" si="217"/>
        <v>8050</v>
      </c>
      <c r="L1547" s="535"/>
      <c r="M1547" s="552" t="str">
        <f t="shared" si="212"/>
        <v/>
      </c>
      <c r="N1547" s="552"/>
      <c r="O1547" s="552" t="str">
        <f t="shared" si="213"/>
        <v/>
      </c>
      <c r="P1547" s="39"/>
    </row>
    <row r="1548" spans="1:16" x14ac:dyDescent="0.35">
      <c r="A1548" s="535" t="str">
        <f t="shared" si="214"/>
        <v/>
      </c>
      <c r="B1548" s="337"/>
      <c r="C1548" s="337"/>
      <c r="D1548" s="326" t="s">
        <v>521</v>
      </c>
      <c r="E1548" s="334" t="s">
        <v>958</v>
      </c>
      <c r="F1548" s="335">
        <v>65</v>
      </c>
      <c r="G1548" s="18" t="s">
        <v>73</v>
      </c>
      <c r="H1548" s="335">
        <v>65</v>
      </c>
      <c r="I1548" s="18" t="s">
        <v>73</v>
      </c>
      <c r="J1548" s="337"/>
      <c r="K1548" s="680">
        <f t="shared" si="217"/>
        <v>7475</v>
      </c>
      <c r="L1548" s="535"/>
      <c r="M1548" s="552" t="str">
        <f t="shared" si="212"/>
        <v/>
      </c>
      <c r="N1548" s="552"/>
      <c r="O1548" s="552" t="str">
        <f t="shared" si="213"/>
        <v/>
      </c>
      <c r="P1548" s="39"/>
    </row>
    <row r="1549" spans="1:16" x14ac:dyDescent="0.35">
      <c r="A1549" s="535" t="str">
        <f t="shared" si="214"/>
        <v/>
      </c>
      <c r="B1549" s="330"/>
      <c r="C1549" s="330"/>
      <c r="D1549" s="326" t="s">
        <v>48</v>
      </c>
      <c r="E1549" s="327" t="s">
        <v>959</v>
      </c>
      <c r="F1549" s="328">
        <v>10</v>
      </c>
      <c r="G1549" s="22" t="s">
        <v>73</v>
      </c>
      <c r="H1549" s="328">
        <v>10</v>
      </c>
      <c r="I1549" s="22" t="s">
        <v>73</v>
      </c>
      <c r="J1549" s="330"/>
      <c r="K1549" s="681">
        <f t="shared" si="217"/>
        <v>1150</v>
      </c>
      <c r="L1549" s="535"/>
      <c r="M1549" s="552" t="str">
        <f t="shared" si="212"/>
        <v/>
      </c>
      <c r="N1549" s="552"/>
      <c r="O1549" s="552" t="str">
        <f t="shared" si="213"/>
        <v/>
      </c>
      <c r="P1549" s="39"/>
    </row>
    <row r="1550" spans="1:16" x14ac:dyDescent="0.35">
      <c r="A1550" s="535" t="str">
        <f t="shared" si="214"/>
        <v/>
      </c>
      <c r="B1550" s="337"/>
      <c r="C1550" s="337"/>
      <c r="D1550" s="355"/>
      <c r="E1550" s="355" t="s">
        <v>952</v>
      </c>
      <c r="F1550" s="356">
        <v>50</v>
      </c>
      <c r="G1550" s="378" t="s">
        <v>73</v>
      </c>
      <c r="H1550" s="515"/>
      <c r="I1550" s="515"/>
      <c r="J1550" s="515"/>
      <c r="K1550" s="684"/>
      <c r="L1550" s="535"/>
      <c r="M1550" s="552" t="str">
        <f t="shared" si="212"/>
        <v/>
      </c>
      <c r="N1550" s="552"/>
      <c r="O1550" s="552" t="str">
        <f t="shared" si="213"/>
        <v/>
      </c>
      <c r="P1550" s="39"/>
    </row>
    <row r="1551" spans="1:16" x14ac:dyDescent="0.35">
      <c r="A1551" s="535" t="str">
        <f t="shared" si="214"/>
        <v/>
      </c>
      <c r="B1551" s="330"/>
      <c r="C1551" s="330"/>
      <c r="D1551" s="326" t="s">
        <v>63</v>
      </c>
      <c r="E1551" s="475" t="s">
        <v>953</v>
      </c>
      <c r="F1551" s="328">
        <v>70</v>
      </c>
      <c r="G1551" s="328" t="s">
        <v>73</v>
      </c>
      <c r="H1551" s="328">
        <f>ROUND(($F$1550)*((F1551)/($F$1551+$F$1552+$F$1553)),2)</f>
        <v>36.840000000000003</v>
      </c>
      <c r="I1551" s="328" t="s">
        <v>73</v>
      </c>
      <c r="J1551" s="330"/>
      <c r="K1551" s="681">
        <f>($A$1540*((H1551)+(H1551*0.2)))</f>
        <v>5083.920000000001</v>
      </c>
      <c r="L1551" s="535"/>
      <c r="M1551" s="552" t="str">
        <f t="shared" si="212"/>
        <v/>
      </c>
      <c r="N1551" s="552"/>
      <c r="O1551" s="552" t="str">
        <f t="shared" si="213"/>
        <v/>
      </c>
      <c r="P1551" s="39"/>
    </row>
    <row r="1552" spans="1:16" x14ac:dyDescent="0.35">
      <c r="A1552" s="535" t="str">
        <f t="shared" si="214"/>
        <v/>
      </c>
      <c r="B1552" s="337"/>
      <c r="C1552" s="337"/>
      <c r="D1552" s="326" t="s">
        <v>129</v>
      </c>
      <c r="E1552" s="419" t="s">
        <v>789</v>
      </c>
      <c r="F1552" s="335">
        <v>20</v>
      </c>
      <c r="G1552" s="335" t="s">
        <v>73</v>
      </c>
      <c r="H1552" s="335">
        <f t="shared" ref="H1552:H1553" si="218">ROUND(($F$1550)*((F1552)/($F$1551+$F$1552+$F$1553)),2)</f>
        <v>10.53</v>
      </c>
      <c r="I1552" s="335" t="s">
        <v>73</v>
      </c>
      <c r="J1552" s="337"/>
      <c r="K1552" s="680">
        <f t="shared" si="217"/>
        <v>1210.9499999999998</v>
      </c>
      <c r="L1552" s="535"/>
      <c r="M1552" s="552" t="str">
        <f t="shared" si="212"/>
        <v/>
      </c>
      <c r="N1552" s="552"/>
      <c r="O1552" s="552" t="str">
        <f t="shared" si="213"/>
        <v/>
      </c>
      <c r="P1552" s="39"/>
    </row>
    <row r="1553" spans="1:16" x14ac:dyDescent="0.35">
      <c r="A1553" s="535" t="str">
        <f t="shared" si="214"/>
        <v/>
      </c>
      <c r="B1553" s="330"/>
      <c r="C1553" s="330"/>
      <c r="D1553" s="326" t="s">
        <v>47</v>
      </c>
      <c r="E1553" s="475" t="s">
        <v>724</v>
      </c>
      <c r="F1553" s="328">
        <v>5</v>
      </c>
      <c r="G1553" s="328" t="s">
        <v>73</v>
      </c>
      <c r="H1553" s="328">
        <f t="shared" si="218"/>
        <v>2.63</v>
      </c>
      <c r="I1553" s="328" t="s">
        <v>73</v>
      </c>
      <c r="J1553" s="330"/>
      <c r="K1553" s="681">
        <f t="shared" si="217"/>
        <v>302.45</v>
      </c>
      <c r="L1553" s="535"/>
      <c r="M1553" s="552" t="str">
        <f t="shared" si="212"/>
        <v/>
      </c>
      <c r="N1553" s="552"/>
      <c r="O1553" s="552" t="str">
        <f t="shared" si="213"/>
        <v/>
      </c>
      <c r="P1553" s="39"/>
    </row>
    <row r="1554" spans="1:16" x14ac:dyDescent="0.35">
      <c r="A1554" s="535" t="str">
        <f t="shared" si="214"/>
        <v/>
      </c>
      <c r="B1554" s="337"/>
      <c r="C1554" s="337"/>
      <c r="D1554" s="355"/>
      <c r="E1554" s="549" t="s">
        <v>754</v>
      </c>
      <c r="F1554" s="356">
        <v>180</v>
      </c>
      <c r="G1554" s="378" t="s">
        <v>73</v>
      </c>
      <c r="H1554" s="515"/>
      <c r="I1554" s="356"/>
      <c r="J1554" s="515"/>
      <c r="K1554" s="684"/>
      <c r="L1554" s="535"/>
      <c r="M1554" s="552" t="str">
        <f t="shared" si="212"/>
        <v/>
      </c>
      <c r="N1554" s="552"/>
      <c r="O1554" s="552" t="str">
        <f t="shared" si="213"/>
        <v/>
      </c>
      <c r="P1554" s="39"/>
    </row>
    <row r="1555" spans="1:16" x14ac:dyDescent="0.35">
      <c r="A1555" s="535" t="str">
        <f t="shared" si="214"/>
        <v/>
      </c>
      <c r="B1555" s="330"/>
      <c r="C1555" s="330"/>
      <c r="D1555" s="342"/>
      <c r="E1555" s="561" t="s">
        <v>81</v>
      </c>
      <c r="F1555" s="404">
        <v>1300</v>
      </c>
      <c r="G1555" s="404" t="s">
        <v>73</v>
      </c>
      <c r="H1555" s="343">
        <f>ROUND(($F$1554)*(($F$1555)/($F$1555+$F$1556+$F$1557)),2)</f>
        <v>101.74</v>
      </c>
      <c r="I1555" s="343"/>
      <c r="J1555" s="345"/>
      <c r="K1555" s="685"/>
      <c r="L1555" s="535"/>
      <c r="M1555" s="552" t="str">
        <f t="shared" si="212"/>
        <v/>
      </c>
      <c r="N1555" s="552"/>
      <c r="O1555" s="552" t="str">
        <f t="shared" si="213"/>
        <v/>
      </c>
      <c r="P1555" s="39"/>
    </row>
    <row r="1556" spans="1:16" x14ac:dyDescent="0.35">
      <c r="A1556" s="535" t="str">
        <f t="shared" si="214"/>
        <v/>
      </c>
      <c r="B1556" s="337"/>
      <c r="C1556" s="337"/>
      <c r="D1556" s="326" t="s">
        <v>1660</v>
      </c>
      <c r="E1556" s="560" t="s">
        <v>1897</v>
      </c>
      <c r="F1556" s="18">
        <v>1000</v>
      </c>
      <c r="G1556" s="18" t="s">
        <v>73</v>
      </c>
      <c r="H1556" s="335">
        <f>ROUND(($F$1554)*(($F$1556)/($F$1555+$F$1556+$F$1557)),2)</f>
        <v>78.260000000000005</v>
      </c>
      <c r="I1556" s="335" t="s">
        <v>73</v>
      </c>
      <c r="J1556" s="337"/>
      <c r="K1556" s="680">
        <f t="shared" si="217"/>
        <v>8999.9000000000015</v>
      </c>
      <c r="L1556" s="535"/>
      <c r="M1556" s="552" t="str">
        <f t="shared" si="212"/>
        <v/>
      </c>
      <c r="N1556" s="552"/>
      <c r="O1556" s="552" t="str">
        <f t="shared" si="213"/>
        <v/>
      </c>
      <c r="P1556" s="39"/>
    </row>
    <row r="1557" spans="1:16" x14ac:dyDescent="0.35">
      <c r="A1557" s="535" t="str">
        <f t="shared" si="214"/>
        <v/>
      </c>
      <c r="B1557" s="330"/>
      <c r="C1557" s="330"/>
      <c r="D1557" s="326"/>
      <c r="E1557" s="495" t="s">
        <v>753</v>
      </c>
      <c r="F1557" s="22">
        <v>0</v>
      </c>
      <c r="G1557" s="22" t="s">
        <v>73</v>
      </c>
      <c r="H1557" s="328">
        <f>ROUND(($F$1554)*(($F$1557)/($F$1555+$F$1556+$F$1557)),2)</f>
        <v>0</v>
      </c>
      <c r="I1557" s="328" t="s">
        <v>73</v>
      </c>
      <c r="J1557" s="330"/>
      <c r="K1557" s="681">
        <f t="shared" si="217"/>
        <v>0</v>
      </c>
      <c r="L1557" s="535"/>
      <c r="M1557" s="552" t="str">
        <f t="shared" si="212"/>
        <v/>
      </c>
      <c r="N1557" s="552"/>
      <c r="O1557" s="552" t="str">
        <f t="shared" si="213"/>
        <v/>
      </c>
      <c r="P1557" s="39"/>
    </row>
    <row r="1558" spans="1:16" x14ac:dyDescent="0.35">
      <c r="A1558" s="545" t="str">
        <f t="shared" si="214"/>
        <v/>
      </c>
      <c r="B1558" s="546"/>
      <c r="C1558" s="546"/>
      <c r="D1558" s="545"/>
      <c r="E1558" s="545"/>
      <c r="F1558" s="546"/>
      <c r="G1558" s="546"/>
      <c r="H1558" s="546"/>
      <c r="I1558" s="546"/>
      <c r="J1558" s="546"/>
      <c r="K1558" s="676"/>
      <c r="L1558" s="535"/>
      <c r="M1558" s="552" t="str">
        <f t="shared" si="212"/>
        <v/>
      </c>
      <c r="N1558" s="552"/>
      <c r="O1558" s="552" t="str">
        <f t="shared" si="213"/>
        <v/>
      </c>
      <c r="P1558" s="39"/>
    </row>
    <row r="1559" spans="1:16" x14ac:dyDescent="0.35">
      <c r="A1559" s="565">
        <f>IFERROR(INDEX($Q$17:$Q$201,MATCH(B1559,$R$17:$R$201, 0)), "")</f>
        <v>94</v>
      </c>
      <c r="B1559" s="382" t="s">
        <v>1304</v>
      </c>
      <c r="C1559" s="325" t="s">
        <v>964</v>
      </c>
      <c r="D1559" s="326" t="s">
        <v>682</v>
      </c>
      <c r="E1559" s="327" t="s">
        <v>683</v>
      </c>
      <c r="F1559" s="328">
        <v>10</v>
      </c>
      <c r="G1559" s="328" t="s">
        <v>73</v>
      </c>
      <c r="H1559" s="328">
        <v>10</v>
      </c>
      <c r="I1559" s="328" t="s">
        <v>73</v>
      </c>
      <c r="J1559" s="330"/>
      <c r="K1559" s="681">
        <f>$A$1559*H1559</f>
        <v>940</v>
      </c>
      <c r="L1559" s="535"/>
      <c r="M1559" s="552" t="str">
        <f t="shared" si="212"/>
        <v/>
      </c>
      <c r="N1559" s="552"/>
      <c r="O1559" s="552" t="str">
        <f t="shared" si="213"/>
        <v/>
      </c>
      <c r="P1559" s="39"/>
    </row>
    <row r="1560" spans="1:16" x14ac:dyDescent="0.35">
      <c r="A1560" s="535" t="str">
        <f t="shared" si="214"/>
        <v/>
      </c>
      <c r="B1560" s="337"/>
      <c r="C1560" s="337"/>
      <c r="D1560" s="326" t="s">
        <v>505</v>
      </c>
      <c r="E1560" s="334" t="s">
        <v>722</v>
      </c>
      <c r="F1560" s="335">
        <v>0.5</v>
      </c>
      <c r="G1560" s="335" t="s">
        <v>73</v>
      </c>
      <c r="H1560" s="335">
        <v>0.5</v>
      </c>
      <c r="I1560" s="335" t="s">
        <v>73</v>
      </c>
      <c r="J1560" s="337"/>
      <c r="K1560" s="680">
        <f t="shared" ref="K1560:K1584" si="219">($A$1559*H1560)</f>
        <v>47</v>
      </c>
      <c r="L1560" s="535"/>
      <c r="M1560" s="552" t="str">
        <f t="shared" si="212"/>
        <v/>
      </c>
      <c r="N1560" s="552"/>
      <c r="O1560" s="552" t="str">
        <f t="shared" si="213"/>
        <v/>
      </c>
      <c r="P1560" s="39"/>
    </row>
    <row r="1561" spans="1:16" x14ac:dyDescent="0.35">
      <c r="A1561" s="535" t="str">
        <f t="shared" si="214"/>
        <v/>
      </c>
      <c r="B1561" s="330"/>
      <c r="C1561" s="330"/>
      <c r="D1561" s="326" t="s">
        <v>398</v>
      </c>
      <c r="E1561" s="327" t="s">
        <v>967</v>
      </c>
      <c r="F1561" s="328">
        <v>10</v>
      </c>
      <c r="G1561" s="328" t="s">
        <v>73</v>
      </c>
      <c r="H1561" s="328">
        <v>10</v>
      </c>
      <c r="I1561" s="328" t="s">
        <v>73</v>
      </c>
      <c r="J1561" s="330"/>
      <c r="K1561" s="681">
        <f t="shared" si="219"/>
        <v>940</v>
      </c>
      <c r="L1561" s="535"/>
      <c r="M1561" s="552" t="str">
        <f t="shared" si="212"/>
        <v/>
      </c>
      <c r="N1561" s="552"/>
      <c r="O1561" s="552" t="str">
        <f t="shared" si="213"/>
        <v/>
      </c>
      <c r="P1561" s="39"/>
    </row>
    <row r="1562" spans="1:16" x14ac:dyDescent="0.35">
      <c r="A1562" s="593" t="str">
        <f>IFERROR(INDEX($Q$17:$Q$41,MATCH(B1562,$R$17:$R$41, 0)), "")</f>
        <v/>
      </c>
      <c r="B1562" s="337"/>
      <c r="C1562" s="337"/>
      <c r="D1562" s="326" t="s">
        <v>511</v>
      </c>
      <c r="E1562" s="334" t="s">
        <v>512</v>
      </c>
      <c r="F1562" s="335">
        <v>4</v>
      </c>
      <c r="G1562" s="335" t="s">
        <v>73</v>
      </c>
      <c r="H1562" s="335">
        <v>4</v>
      </c>
      <c r="I1562" s="335" t="s">
        <v>73</v>
      </c>
      <c r="J1562" s="337"/>
      <c r="K1562" s="680">
        <f t="shared" si="219"/>
        <v>376</v>
      </c>
      <c r="L1562" s="535"/>
      <c r="M1562" s="552" t="str">
        <f t="shared" si="212"/>
        <v/>
      </c>
      <c r="N1562" s="552"/>
      <c r="O1562" s="552" t="str">
        <f t="shared" si="213"/>
        <v/>
      </c>
      <c r="P1562" s="39"/>
    </row>
    <row r="1563" spans="1:16" x14ac:dyDescent="0.35">
      <c r="A1563" s="593" t="str">
        <f>IFERROR(INDEX($Q$17:$Q$41,MATCH(B1563,$R$17:$R$41, 0)), "")</f>
        <v/>
      </c>
      <c r="B1563" s="330"/>
      <c r="C1563" s="330"/>
      <c r="D1563" s="326" t="s">
        <v>1070</v>
      </c>
      <c r="E1563" s="327" t="s">
        <v>1071</v>
      </c>
      <c r="F1563" s="328">
        <v>60</v>
      </c>
      <c r="G1563" s="328" t="s">
        <v>73</v>
      </c>
      <c r="H1563" s="328">
        <v>60</v>
      </c>
      <c r="I1563" s="328" t="s">
        <v>73</v>
      </c>
      <c r="J1563" s="330"/>
      <c r="K1563" s="681">
        <f t="shared" si="219"/>
        <v>5640</v>
      </c>
      <c r="L1563" s="535"/>
      <c r="M1563" s="552" t="str">
        <f t="shared" si="212"/>
        <v/>
      </c>
      <c r="N1563" s="552"/>
      <c r="O1563" s="552" t="str">
        <f t="shared" si="213"/>
        <v/>
      </c>
      <c r="P1563" s="39"/>
    </row>
    <row r="1564" spans="1:16" x14ac:dyDescent="0.35">
      <c r="A1564" s="593" t="str">
        <f>IFERROR(INDEX($Q$17:$Q$41,MATCH(B1564,$R$17:$R$41, 0)), "")</f>
        <v/>
      </c>
      <c r="B1564" s="337"/>
      <c r="C1564" s="337"/>
      <c r="D1564" s="326" t="s">
        <v>141</v>
      </c>
      <c r="E1564" s="334" t="s">
        <v>142</v>
      </c>
      <c r="F1564" s="335">
        <v>25</v>
      </c>
      <c r="G1564" s="335" t="s">
        <v>73</v>
      </c>
      <c r="H1564" s="335">
        <v>25</v>
      </c>
      <c r="I1564" s="335" t="s">
        <v>73</v>
      </c>
      <c r="J1564" s="337"/>
      <c r="K1564" s="680">
        <f t="shared" si="219"/>
        <v>2350</v>
      </c>
      <c r="L1564" s="535"/>
      <c r="M1564" s="552" t="str">
        <f t="shared" si="212"/>
        <v/>
      </c>
      <c r="N1564" s="552"/>
      <c r="O1564" s="552" t="str">
        <f t="shared" si="213"/>
        <v/>
      </c>
      <c r="P1564" s="39"/>
    </row>
    <row r="1565" spans="1:16" x14ac:dyDescent="0.35">
      <c r="A1565" s="535" t="str">
        <f t="shared" si="214"/>
        <v/>
      </c>
      <c r="B1565" s="330"/>
      <c r="C1565" s="330"/>
      <c r="D1565" s="326" t="s">
        <v>371</v>
      </c>
      <c r="E1565" s="327" t="s">
        <v>966</v>
      </c>
      <c r="F1565" s="328">
        <v>8</v>
      </c>
      <c r="G1565" s="328" t="s">
        <v>73</v>
      </c>
      <c r="H1565" s="328">
        <v>8</v>
      </c>
      <c r="I1565" s="328" t="s">
        <v>73</v>
      </c>
      <c r="J1565" s="330"/>
      <c r="K1565" s="681">
        <f t="shared" si="219"/>
        <v>752</v>
      </c>
      <c r="L1565" s="535"/>
      <c r="M1565" s="552" t="str">
        <f t="shared" si="212"/>
        <v/>
      </c>
      <c r="N1565" s="552"/>
      <c r="O1565" s="552" t="str">
        <f t="shared" si="213"/>
        <v/>
      </c>
      <c r="P1565" s="39"/>
    </row>
    <row r="1566" spans="1:16" x14ac:dyDescent="0.35">
      <c r="A1566" s="535" t="str">
        <f t="shared" si="214"/>
        <v/>
      </c>
      <c r="B1566" s="337"/>
      <c r="C1566" s="337"/>
      <c r="D1566" s="355"/>
      <c r="E1566" s="567" t="s">
        <v>754</v>
      </c>
      <c r="F1566" s="356">
        <v>90</v>
      </c>
      <c r="G1566" s="378" t="s">
        <v>73</v>
      </c>
      <c r="H1566" s="515"/>
      <c r="I1566" s="515"/>
      <c r="J1566" s="515"/>
      <c r="K1566" s="684"/>
      <c r="L1566" s="535"/>
      <c r="M1566" s="552" t="str">
        <f t="shared" si="212"/>
        <v/>
      </c>
      <c r="N1566" s="552"/>
      <c r="O1566" s="552" t="str">
        <f t="shared" si="213"/>
        <v/>
      </c>
      <c r="P1566" s="39"/>
    </row>
    <row r="1567" spans="1:16" x14ac:dyDescent="0.35">
      <c r="A1567" s="535" t="str">
        <f t="shared" si="214"/>
        <v/>
      </c>
      <c r="B1567" s="330"/>
      <c r="C1567" s="330"/>
      <c r="D1567" s="342"/>
      <c r="E1567" s="561" t="s">
        <v>81</v>
      </c>
      <c r="F1567" s="404">
        <v>1300</v>
      </c>
      <c r="G1567" s="404" t="s">
        <v>73</v>
      </c>
      <c r="H1567" s="343">
        <f>ROUND(($F$1566)*(($F$1567)/($F$1567+$F$1568+$F$1569)),2)</f>
        <v>50.87</v>
      </c>
      <c r="I1567" s="345"/>
      <c r="J1567" s="345"/>
      <c r="K1567" s="685"/>
      <c r="L1567" s="535"/>
      <c r="M1567" s="552" t="str">
        <f t="shared" si="212"/>
        <v/>
      </c>
      <c r="N1567" s="552"/>
      <c r="O1567" s="552" t="str">
        <f t="shared" si="213"/>
        <v/>
      </c>
      <c r="P1567" s="39"/>
    </row>
    <row r="1568" spans="1:16" x14ac:dyDescent="0.35">
      <c r="A1568" s="535" t="str">
        <f t="shared" si="214"/>
        <v/>
      </c>
      <c r="B1568" s="337"/>
      <c r="C1568" s="337"/>
      <c r="D1568" s="326" t="s">
        <v>1660</v>
      </c>
      <c r="E1568" s="560" t="s">
        <v>1897</v>
      </c>
      <c r="F1568" s="18">
        <v>1000</v>
      </c>
      <c r="G1568" s="18" t="s">
        <v>73</v>
      </c>
      <c r="H1568" s="335">
        <f>ROUND(($F$1566)*(($F$1568)/($F$1567+$F$1568+$F$1569)),2)</f>
        <v>39.130000000000003</v>
      </c>
      <c r="I1568" s="335" t="s">
        <v>73</v>
      </c>
      <c r="J1568" s="337"/>
      <c r="K1568" s="680">
        <f t="shared" si="219"/>
        <v>3678.2200000000003</v>
      </c>
      <c r="L1568" s="535"/>
      <c r="M1568" s="552" t="str">
        <f t="shared" si="212"/>
        <v/>
      </c>
      <c r="N1568" s="552"/>
      <c r="O1568" s="552" t="str">
        <f t="shared" si="213"/>
        <v/>
      </c>
      <c r="P1568" s="39"/>
    </row>
    <row r="1569" spans="1:16" x14ac:dyDescent="0.35">
      <c r="A1569" s="535" t="str">
        <f t="shared" si="214"/>
        <v/>
      </c>
      <c r="B1569" s="330"/>
      <c r="C1569" s="330"/>
      <c r="D1569" s="326"/>
      <c r="E1569" s="495" t="s">
        <v>753</v>
      </c>
      <c r="F1569" s="22">
        <v>0</v>
      </c>
      <c r="G1569" s="22" t="s">
        <v>73</v>
      </c>
      <c r="H1569" s="328">
        <f>ROUND(($F$1566)*(($F$1569)/($F$1567+$F$1568+$F$1569)),2)</f>
        <v>0</v>
      </c>
      <c r="I1569" s="328" t="s">
        <v>73</v>
      </c>
      <c r="J1569" s="330"/>
      <c r="K1569" s="681">
        <f t="shared" si="219"/>
        <v>0</v>
      </c>
      <c r="L1569" s="535"/>
      <c r="M1569" s="552" t="str">
        <f t="shared" si="212"/>
        <v/>
      </c>
      <c r="N1569" s="552"/>
      <c r="O1569" s="552" t="str">
        <f t="shared" si="213"/>
        <v/>
      </c>
      <c r="P1569" s="39"/>
    </row>
    <row r="1570" spans="1:16" x14ac:dyDescent="0.35">
      <c r="A1570" s="535" t="str">
        <f t="shared" si="214"/>
        <v/>
      </c>
      <c r="B1570" s="337"/>
      <c r="C1570" s="337"/>
      <c r="D1570" s="355"/>
      <c r="E1570" s="549" t="s">
        <v>769</v>
      </c>
      <c r="F1570" s="378">
        <v>20</v>
      </c>
      <c r="G1570" s="378" t="s">
        <v>73</v>
      </c>
      <c r="H1570" s="515"/>
      <c r="I1570" s="356"/>
      <c r="J1570" s="515"/>
      <c r="K1570" s="684"/>
      <c r="L1570" s="535"/>
      <c r="M1570" s="552" t="str">
        <f t="shared" si="212"/>
        <v/>
      </c>
      <c r="N1570" s="552"/>
      <c r="O1570" s="552" t="str">
        <f t="shared" si="213"/>
        <v/>
      </c>
      <c r="P1570" s="39"/>
    </row>
    <row r="1571" spans="1:16" x14ac:dyDescent="0.35">
      <c r="A1571" s="535" t="str">
        <f t="shared" si="214"/>
        <v/>
      </c>
      <c r="B1571" s="330"/>
      <c r="C1571" s="330"/>
      <c r="D1571" s="326" t="s">
        <v>521</v>
      </c>
      <c r="E1571" s="366" t="s">
        <v>906</v>
      </c>
      <c r="F1571" s="22">
        <v>200</v>
      </c>
      <c r="G1571" s="22" t="s">
        <v>73</v>
      </c>
      <c r="H1571" s="328">
        <f>ROUND(($F$1570)*(($F$1571)/((($F$1572)*(($F$1573)/($F$1573+$F$1574)))+(($F$1572)*(($F$1574)/($F$1573+$F$1574)))+($F$1571))),2)</f>
        <v>17.39</v>
      </c>
      <c r="I1571" s="328" t="s">
        <v>73</v>
      </c>
      <c r="J1571" s="330"/>
      <c r="K1571" s="681">
        <f t="shared" si="219"/>
        <v>1634.66</v>
      </c>
      <c r="L1571" s="535"/>
      <c r="M1571" s="552" t="str">
        <f t="shared" si="212"/>
        <v/>
      </c>
      <c r="N1571" s="552"/>
      <c r="O1571" s="552" t="str">
        <f t="shared" si="213"/>
        <v/>
      </c>
      <c r="P1571" s="39"/>
    </row>
    <row r="1572" spans="1:16" x14ac:dyDescent="0.35">
      <c r="A1572" s="535" t="str">
        <f t="shared" si="214"/>
        <v/>
      </c>
      <c r="B1572" s="337"/>
      <c r="C1572" s="337"/>
      <c r="D1572" s="355"/>
      <c r="E1572" s="567" t="s">
        <v>770</v>
      </c>
      <c r="F1572" s="378">
        <v>30</v>
      </c>
      <c r="G1572" s="378" t="s">
        <v>73</v>
      </c>
      <c r="H1572" s="356"/>
      <c r="I1572" s="356"/>
      <c r="J1572" s="515"/>
      <c r="K1572" s="684"/>
      <c r="L1572" s="535"/>
      <c r="M1572" s="552" t="str">
        <f t="shared" si="212"/>
        <v/>
      </c>
      <c r="N1572" s="552"/>
      <c r="O1572" s="552" t="str">
        <f t="shared" si="213"/>
        <v/>
      </c>
      <c r="P1572" s="39"/>
    </row>
    <row r="1573" spans="1:16" x14ac:dyDescent="0.35">
      <c r="A1573" s="535" t="str">
        <f t="shared" si="214"/>
        <v/>
      </c>
      <c r="B1573" s="330"/>
      <c r="C1573" s="330"/>
      <c r="D1573" s="326" t="s">
        <v>537</v>
      </c>
      <c r="E1573" s="495" t="s">
        <v>771</v>
      </c>
      <c r="F1573" s="22">
        <v>1</v>
      </c>
      <c r="G1573" s="22" t="s">
        <v>73</v>
      </c>
      <c r="H1573" s="328">
        <f>ROUND(($F$1570)*((($F$1572)*(($F$1573)/($F$1573+$F$1574)))
/((($F$1572)*(($F$1573)/($F$1573+$F$1574)))+(($F$1572)*(($F$1574)/($F$1573+$F$1574)))+($F$1571))),2)</f>
        <v>0.03</v>
      </c>
      <c r="I1573" s="328" t="s">
        <v>73</v>
      </c>
      <c r="J1573" s="330"/>
      <c r="K1573" s="681">
        <f t="shared" si="219"/>
        <v>2.82</v>
      </c>
      <c r="L1573" s="535"/>
      <c r="M1573" s="552" t="str">
        <f t="shared" si="212"/>
        <v/>
      </c>
      <c r="N1573" s="552"/>
      <c r="O1573" s="552" t="str">
        <f t="shared" si="213"/>
        <v/>
      </c>
      <c r="P1573" s="39"/>
    </row>
    <row r="1574" spans="1:16" x14ac:dyDescent="0.35">
      <c r="A1574" s="535" t="str">
        <f t="shared" si="214"/>
        <v/>
      </c>
      <c r="B1574" s="337"/>
      <c r="C1574" s="337"/>
      <c r="D1574" s="571"/>
      <c r="E1574" s="656" t="s">
        <v>81</v>
      </c>
      <c r="F1574" s="493">
        <v>100</v>
      </c>
      <c r="G1574" s="493" t="s">
        <v>73</v>
      </c>
      <c r="H1574" s="466">
        <f>ROUND(($F$1570)*((($F$1572)*(($F$1574)/($F$1573+$F$1574)))
/((($F$1572)*(($F$1573)/($F$1573+$F$1574)))+(($F$1572)*(($F$1574)/($F$1573+$F$1574)))+($F$1571))),2)</f>
        <v>2.58</v>
      </c>
      <c r="I1574" s="466"/>
      <c r="J1574" s="573"/>
      <c r="K1574" s="693"/>
      <c r="L1574" s="535"/>
      <c r="M1574" s="552" t="str">
        <f t="shared" si="212"/>
        <v/>
      </c>
      <c r="N1574" s="552"/>
      <c r="O1574" s="552" t="str">
        <f t="shared" si="213"/>
        <v/>
      </c>
      <c r="P1574" s="39"/>
    </row>
    <row r="1575" spans="1:16" x14ac:dyDescent="0.35">
      <c r="A1575" s="535" t="str">
        <f t="shared" si="214"/>
        <v/>
      </c>
      <c r="B1575" s="330"/>
      <c r="C1575" s="330"/>
      <c r="D1575" s="355"/>
      <c r="E1575" s="355" t="s">
        <v>820</v>
      </c>
      <c r="F1575" s="356">
        <v>25</v>
      </c>
      <c r="G1575" s="356" t="s">
        <v>73</v>
      </c>
      <c r="H1575" s="515"/>
      <c r="I1575" s="356"/>
      <c r="J1575" s="515"/>
      <c r="K1575" s="684"/>
      <c r="L1575" s="535"/>
      <c r="M1575" s="552" t="str">
        <f t="shared" si="212"/>
        <v/>
      </c>
      <c r="N1575" s="552"/>
      <c r="O1575" s="552" t="str">
        <f t="shared" si="213"/>
        <v/>
      </c>
      <c r="P1575" s="39"/>
    </row>
    <row r="1576" spans="1:16" x14ac:dyDescent="0.35">
      <c r="A1576" s="535" t="str">
        <f t="shared" si="214"/>
        <v/>
      </c>
      <c r="B1576" s="337"/>
      <c r="C1576" s="337"/>
      <c r="D1576" s="326" t="s">
        <v>50</v>
      </c>
      <c r="E1576" s="360" t="s">
        <v>847</v>
      </c>
      <c r="F1576" s="335">
        <v>18</v>
      </c>
      <c r="G1576" s="335" t="s">
        <v>73</v>
      </c>
      <c r="H1576" s="335">
        <f>ROUND(($F$1575)*((F1576)/($F$1576+$F$1577+$F$1578+$F$1579)),2)</f>
        <v>5.36</v>
      </c>
      <c r="I1576" s="335" t="s">
        <v>73</v>
      </c>
      <c r="J1576" s="337"/>
      <c r="K1576" s="680">
        <f t="shared" si="219"/>
        <v>503.84000000000003</v>
      </c>
      <c r="L1576" s="535"/>
      <c r="M1576" s="552" t="str">
        <f t="shared" si="212"/>
        <v/>
      </c>
      <c r="N1576" s="552"/>
      <c r="O1576" s="552" t="str">
        <f t="shared" si="213"/>
        <v/>
      </c>
      <c r="P1576" s="39"/>
    </row>
    <row r="1577" spans="1:16" x14ac:dyDescent="0.35">
      <c r="A1577" s="535" t="str">
        <f t="shared" si="214"/>
        <v/>
      </c>
      <c r="B1577" s="330"/>
      <c r="C1577" s="330"/>
      <c r="D1577" s="326" t="s">
        <v>371</v>
      </c>
      <c r="E1577" s="366" t="s">
        <v>848</v>
      </c>
      <c r="F1577" s="328">
        <v>18</v>
      </c>
      <c r="G1577" s="328" t="s">
        <v>73</v>
      </c>
      <c r="H1577" s="328">
        <f t="shared" ref="H1577:H1579" si="220">ROUND(($F$1575)*((F1577)/($F$1576+$F$1577+$F$1578+$F$1579)),2)</f>
        <v>5.36</v>
      </c>
      <c r="I1577" s="328" t="s">
        <v>73</v>
      </c>
      <c r="J1577" s="330"/>
      <c r="K1577" s="681">
        <f t="shared" si="219"/>
        <v>503.84000000000003</v>
      </c>
      <c r="L1577" s="535"/>
      <c r="M1577" s="552" t="str">
        <f t="shared" si="212"/>
        <v/>
      </c>
      <c r="N1577" s="552"/>
      <c r="O1577" s="552" t="str">
        <f t="shared" si="213"/>
        <v/>
      </c>
      <c r="P1577" s="39"/>
    </row>
    <row r="1578" spans="1:16" x14ac:dyDescent="0.35">
      <c r="A1578" s="535" t="str">
        <f t="shared" si="214"/>
        <v/>
      </c>
      <c r="B1578" s="337"/>
      <c r="C1578" s="337"/>
      <c r="D1578" s="326" t="s">
        <v>48</v>
      </c>
      <c r="E1578" s="360" t="s">
        <v>849</v>
      </c>
      <c r="F1578" s="335">
        <v>18</v>
      </c>
      <c r="G1578" s="335" t="s">
        <v>73</v>
      </c>
      <c r="H1578" s="335">
        <f t="shared" si="220"/>
        <v>5.36</v>
      </c>
      <c r="I1578" s="335" t="s">
        <v>73</v>
      </c>
      <c r="J1578" s="337"/>
      <c r="K1578" s="680">
        <f t="shared" si="219"/>
        <v>503.84000000000003</v>
      </c>
      <c r="L1578" s="535"/>
      <c r="M1578" s="552" t="str">
        <f t="shared" si="212"/>
        <v/>
      </c>
      <c r="N1578" s="552"/>
      <c r="O1578" s="552" t="str">
        <f t="shared" si="213"/>
        <v/>
      </c>
      <c r="P1578" s="39"/>
    </row>
    <row r="1579" spans="1:16" x14ac:dyDescent="0.35">
      <c r="A1579" s="535" t="str">
        <f t="shared" si="214"/>
        <v/>
      </c>
      <c r="B1579" s="330"/>
      <c r="C1579" s="330"/>
      <c r="D1579" s="326" t="s">
        <v>400</v>
      </c>
      <c r="E1579" s="366" t="s">
        <v>850</v>
      </c>
      <c r="F1579" s="328">
        <v>30</v>
      </c>
      <c r="G1579" s="328" t="s">
        <v>73</v>
      </c>
      <c r="H1579" s="328">
        <f t="shared" si="220"/>
        <v>8.93</v>
      </c>
      <c r="I1579" s="328" t="s">
        <v>73</v>
      </c>
      <c r="J1579" s="330"/>
      <c r="K1579" s="681">
        <f t="shared" si="219"/>
        <v>839.42</v>
      </c>
      <c r="L1579" s="535"/>
      <c r="M1579" s="552" t="str">
        <f t="shared" si="212"/>
        <v/>
      </c>
      <c r="N1579" s="552"/>
      <c r="O1579" s="552" t="str">
        <f t="shared" si="213"/>
        <v/>
      </c>
      <c r="P1579" s="39"/>
    </row>
    <row r="1580" spans="1:16" x14ac:dyDescent="0.35">
      <c r="A1580" s="535" t="str">
        <f t="shared" si="214"/>
        <v/>
      </c>
      <c r="B1580" s="337"/>
      <c r="C1580" s="337"/>
      <c r="D1580" s="355"/>
      <c r="E1580" s="355" t="s">
        <v>853</v>
      </c>
      <c r="F1580" s="356">
        <v>25</v>
      </c>
      <c r="G1580" s="356" t="s">
        <v>73</v>
      </c>
      <c r="H1580" s="515"/>
      <c r="I1580" s="356"/>
      <c r="J1580" s="515"/>
      <c r="K1580" s="684"/>
      <c r="L1580" s="535"/>
      <c r="M1580" s="552" t="str">
        <f t="shared" si="212"/>
        <v/>
      </c>
      <c r="N1580" s="552"/>
      <c r="O1580" s="552" t="str">
        <f t="shared" si="213"/>
        <v/>
      </c>
      <c r="P1580" s="39"/>
    </row>
    <row r="1581" spans="1:16" x14ac:dyDescent="0.35">
      <c r="A1581" s="535" t="str">
        <f t="shared" si="214"/>
        <v/>
      </c>
      <c r="B1581" s="330"/>
      <c r="C1581" s="330"/>
      <c r="D1581" s="326" t="s">
        <v>1068</v>
      </c>
      <c r="E1581" s="366" t="s">
        <v>1069</v>
      </c>
      <c r="F1581" s="328">
        <v>60</v>
      </c>
      <c r="G1581" s="328" t="s">
        <v>73</v>
      </c>
      <c r="H1581" s="328">
        <f>ROUND(($F$1580)*((F1581)/($F$1581+$F$1582+$F$1583+$F$1584)),2)</f>
        <v>7.24</v>
      </c>
      <c r="I1581" s="328" t="s">
        <v>73</v>
      </c>
      <c r="J1581" s="330"/>
      <c r="K1581" s="681">
        <f t="shared" si="219"/>
        <v>680.56000000000006</v>
      </c>
      <c r="L1581" s="535"/>
      <c r="M1581" s="552" t="str">
        <f t="shared" si="212"/>
        <v/>
      </c>
      <c r="N1581" s="552"/>
      <c r="O1581" s="552" t="str">
        <f t="shared" si="213"/>
        <v/>
      </c>
      <c r="P1581" s="39"/>
    </row>
    <row r="1582" spans="1:16" x14ac:dyDescent="0.35">
      <c r="A1582" s="535" t="str">
        <f t="shared" si="214"/>
        <v/>
      </c>
      <c r="B1582" s="337"/>
      <c r="C1582" s="337"/>
      <c r="D1582" s="571"/>
      <c r="E1582" s="572" t="s">
        <v>854</v>
      </c>
      <c r="F1582" s="466">
        <v>90</v>
      </c>
      <c r="G1582" s="466" t="s">
        <v>73</v>
      </c>
      <c r="H1582" s="466">
        <f t="shared" ref="H1582:H1583" si="221">ROUND(($F$1580)*((F1582)/($F$1581+$F$1582+$F$1583+$F$1584)),2)</f>
        <v>10.86</v>
      </c>
      <c r="I1582" s="466"/>
      <c r="J1582" s="573"/>
      <c r="K1582" s="693"/>
      <c r="L1582" s="535"/>
      <c r="M1582" s="552" t="str">
        <f t="shared" ref="M1582:M1606" si="222">IF(Q1582&gt;0, Q1582, "")</f>
        <v/>
      </c>
      <c r="N1582" s="552"/>
      <c r="O1582" s="552" t="str">
        <f t="shared" ref="O1582:O1606" si="223">IF(V1583&gt;0, V1583, "")</f>
        <v/>
      </c>
      <c r="P1582" s="39"/>
    </row>
    <row r="1583" spans="1:16" x14ac:dyDescent="0.35">
      <c r="A1583" s="535" t="str">
        <f t="shared" si="214"/>
        <v/>
      </c>
      <c r="B1583" s="330"/>
      <c r="C1583" s="330"/>
      <c r="D1583" s="326" t="s">
        <v>45</v>
      </c>
      <c r="E1583" s="366" t="s">
        <v>101</v>
      </c>
      <c r="F1583" s="328">
        <v>1.5</v>
      </c>
      <c r="G1583" s="328" t="s">
        <v>73</v>
      </c>
      <c r="H1583" s="328">
        <f t="shared" si="221"/>
        <v>0.18</v>
      </c>
      <c r="I1583" s="328" t="s">
        <v>73</v>
      </c>
      <c r="J1583" s="330"/>
      <c r="K1583" s="681">
        <f t="shared" si="219"/>
        <v>16.919999999999998</v>
      </c>
      <c r="L1583" s="535"/>
      <c r="M1583" s="552" t="str">
        <f t="shared" si="222"/>
        <v/>
      </c>
      <c r="N1583" s="552"/>
      <c r="O1583" s="552" t="str">
        <f t="shared" si="223"/>
        <v/>
      </c>
      <c r="P1583" s="39"/>
    </row>
    <row r="1584" spans="1:16" x14ac:dyDescent="0.35">
      <c r="A1584" s="535" t="str">
        <f t="shared" ref="A1584:A1645" si="224">IFERROR(INDEX($Q$17:$Q$41,MATCH(B1584,$R$17:$R$41, 0)), "")</f>
        <v/>
      </c>
      <c r="B1584" s="337"/>
      <c r="C1584" s="337"/>
      <c r="D1584" s="326" t="s">
        <v>521</v>
      </c>
      <c r="E1584" s="360" t="s">
        <v>855</v>
      </c>
      <c r="F1584" s="335">
        <v>55.75</v>
      </c>
      <c r="G1584" s="335" t="s">
        <v>73</v>
      </c>
      <c r="H1584" s="335">
        <f>ROUND(($F$1580)*((F1584)/($F$1581+$F$1582+$F$1583+$F$1584)),2)</f>
        <v>6.72</v>
      </c>
      <c r="I1584" s="335" t="s">
        <v>73</v>
      </c>
      <c r="J1584" s="337"/>
      <c r="K1584" s="680">
        <f t="shared" si="219"/>
        <v>631.67999999999995</v>
      </c>
      <c r="L1584" s="535"/>
      <c r="M1584" s="552" t="str">
        <f t="shared" si="222"/>
        <v/>
      </c>
      <c r="N1584" s="552"/>
      <c r="O1584" s="552" t="str">
        <f t="shared" si="223"/>
        <v/>
      </c>
      <c r="P1584" s="39"/>
    </row>
    <row r="1585" spans="1:16" x14ac:dyDescent="0.35">
      <c r="A1585" s="545" t="str">
        <f t="shared" si="224"/>
        <v/>
      </c>
      <c r="B1585" s="546"/>
      <c r="C1585" s="546"/>
      <c r="D1585" s="545"/>
      <c r="E1585" s="545"/>
      <c r="F1585" s="546"/>
      <c r="G1585" s="579" t="s">
        <v>73</v>
      </c>
      <c r="H1585" s="546"/>
      <c r="I1585" s="546"/>
      <c r="J1585" s="546"/>
      <c r="K1585" s="676"/>
      <c r="L1585" s="535"/>
      <c r="M1585" s="552" t="str">
        <f t="shared" si="222"/>
        <v/>
      </c>
      <c r="N1585" s="552"/>
      <c r="O1585" s="552" t="str">
        <f t="shared" si="223"/>
        <v/>
      </c>
      <c r="P1585" s="39"/>
    </row>
    <row r="1586" spans="1:16" x14ac:dyDescent="0.35">
      <c r="A1586" s="565">
        <f>IFERROR(INDEX($Q$17:$Q$201,MATCH(B1586,$R$17:$R$201, 0)), "")</f>
        <v>27</v>
      </c>
      <c r="B1586" s="382" t="s">
        <v>1262</v>
      </c>
      <c r="C1586" s="325" t="s">
        <v>968</v>
      </c>
      <c r="D1586" s="326" t="s">
        <v>505</v>
      </c>
      <c r="E1586" s="334" t="s">
        <v>806</v>
      </c>
      <c r="F1586" s="335">
        <v>0.3</v>
      </c>
      <c r="G1586" s="335" t="s">
        <v>73</v>
      </c>
      <c r="H1586" s="335">
        <v>0.3</v>
      </c>
      <c r="I1586" s="335" t="s">
        <v>73</v>
      </c>
      <c r="J1586" s="337"/>
      <c r="K1586" s="680">
        <f>$A$1586*H1586</f>
        <v>8.1</v>
      </c>
      <c r="L1586" s="535"/>
      <c r="M1586" s="552" t="str">
        <f t="shared" si="222"/>
        <v/>
      </c>
      <c r="N1586" s="552"/>
      <c r="O1586" s="552" t="str">
        <f t="shared" si="223"/>
        <v/>
      </c>
      <c r="P1586" s="39"/>
    </row>
    <row r="1587" spans="1:16" x14ac:dyDescent="0.35">
      <c r="A1587" s="535" t="str">
        <f t="shared" si="224"/>
        <v/>
      </c>
      <c r="B1587" s="330"/>
      <c r="C1587" s="330"/>
      <c r="D1587" s="326" t="s">
        <v>402</v>
      </c>
      <c r="E1587" s="327" t="s">
        <v>969</v>
      </c>
      <c r="F1587" s="328">
        <v>60</v>
      </c>
      <c r="G1587" s="328" t="s">
        <v>73</v>
      </c>
      <c r="H1587" s="328">
        <v>60</v>
      </c>
      <c r="I1587" s="328" t="s">
        <v>73</v>
      </c>
      <c r="J1587" s="330"/>
      <c r="K1587" s="681">
        <f t="shared" ref="K1587:K1623" si="225">($A$1586*H1587)</f>
        <v>1620</v>
      </c>
      <c r="L1587" s="535"/>
      <c r="M1587" s="552" t="str">
        <f t="shared" si="222"/>
        <v/>
      </c>
      <c r="N1587" s="552"/>
      <c r="O1587" s="552" t="str">
        <f t="shared" si="223"/>
        <v/>
      </c>
      <c r="P1587" s="39"/>
    </row>
    <row r="1588" spans="1:16" x14ac:dyDescent="0.35">
      <c r="A1588" s="535" t="str">
        <f t="shared" si="224"/>
        <v/>
      </c>
      <c r="B1588" s="337"/>
      <c r="C1588" s="337"/>
      <c r="D1588" s="326" t="s">
        <v>392</v>
      </c>
      <c r="E1588" s="334" t="s">
        <v>798</v>
      </c>
      <c r="F1588" s="335">
        <v>0.3</v>
      </c>
      <c r="G1588" s="335" t="s">
        <v>73</v>
      </c>
      <c r="H1588" s="335">
        <v>0.3</v>
      </c>
      <c r="I1588" s="335" t="s">
        <v>73</v>
      </c>
      <c r="J1588" s="337"/>
      <c r="K1588" s="680">
        <f t="shared" si="225"/>
        <v>8.1</v>
      </c>
      <c r="L1588" s="535"/>
      <c r="M1588" s="552" t="str">
        <f t="shared" si="222"/>
        <v/>
      </c>
      <c r="N1588" s="552"/>
      <c r="O1588" s="552" t="str">
        <f t="shared" si="223"/>
        <v/>
      </c>
      <c r="P1588" s="39"/>
    </row>
    <row r="1589" spans="1:16" x14ac:dyDescent="0.35">
      <c r="A1589" s="535" t="str">
        <f t="shared" si="224"/>
        <v/>
      </c>
      <c r="B1589" s="330"/>
      <c r="C1589" s="330"/>
      <c r="D1589" s="326" t="s">
        <v>398</v>
      </c>
      <c r="E1589" s="327" t="s">
        <v>965</v>
      </c>
      <c r="F1589" s="328">
        <v>12</v>
      </c>
      <c r="G1589" s="328" t="s">
        <v>73</v>
      </c>
      <c r="H1589" s="328">
        <v>12</v>
      </c>
      <c r="I1589" s="328" t="s">
        <v>73</v>
      </c>
      <c r="J1589" s="330"/>
      <c r="K1589" s="681">
        <f t="shared" si="225"/>
        <v>324</v>
      </c>
      <c r="L1589" s="535"/>
      <c r="M1589" s="552" t="str">
        <f t="shared" si="222"/>
        <v/>
      </c>
      <c r="N1589" s="552"/>
      <c r="O1589" s="552" t="str">
        <f t="shared" si="223"/>
        <v/>
      </c>
      <c r="P1589" s="39"/>
    </row>
    <row r="1590" spans="1:16" x14ac:dyDescent="0.35">
      <c r="A1590" s="535" t="str">
        <f t="shared" si="224"/>
        <v/>
      </c>
      <c r="B1590" s="337"/>
      <c r="C1590" s="337"/>
      <c r="D1590" s="326" t="s">
        <v>141</v>
      </c>
      <c r="E1590" s="334" t="s">
        <v>970</v>
      </c>
      <c r="F1590" s="335">
        <v>35</v>
      </c>
      <c r="G1590" s="335" t="s">
        <v>73</v>
      </c>
      <c r="H1590" s="335">
        <v>35</v>
      </c>
      <c r="I1590" s="335" t="s">
        <v>73</v>
      </c>
      <c r="J1590" s="337"/>
      <c r="K1590" s="680">
        <f t="shared" si="225"/>
        <v>945</v>
      </c>
      <c r="L1590" s="535"/>
      <c r="M1590" s="552" t="str">
        <f t="shared" si="222"/>
        <v/>
      </c>
      <c r="N1590" s="552"/>
      <c r="O1590" s="552" t="str">
        <f t="shared" si="223"/>
        <v/>
      </c>
      <c r="P1590" s="39"/>
    </row>
    <row r="1591" spans="1:16" x14ac:dyDescent="0.35">
      <c r="A1591" s="535" t="str">
        <f t="shared" si="224"/>
        <v/>
      </c>
      <c r="B1591" s="330"/>
      <c r="C1591" s="330"/>
      <c r="D1591" s="326" t="s">
        <v>1070</v>
      </c>
      <c r="E1591" s="327" t="s">
        <v>1071</v>
      </c>
      <c r="F1591" s="328">
        <v>85</v>
      </c>
      <c r="G1591" s="328" t="s">
        <v>73</v>
      </c>
      <c r="H1591" s="328">
        <v>85</v>
      </c>
      <c r="I1591" s="328" t="s">
        <v>73</v>
      </c>
      <c r="J1591" s="330"/>
      <c r="K1591" s="681">
        <f t="shared" si="225"/>
        <v>2295</v>
      </c>
      <c r="L1591" s="535"/>
      <c r="M1591" s="552" t="str">
        <f t="shared" si="222"/>
        <v/>
      </c>
      <c r="N1591" s="552"/>
      <c r="O1591" s="552" t="str">
        <f t="shared" si="223"/>
        <v/>
      </c>
      <c r="P1591" s="39"/>
    </row>
    <row r="1592" spans="1:16" x14ac:dyDescent="0.35">
      <c r="A1592" s="535" t="str">
        <f t="shared" si="224"/>
        <v/>
      </c>
      <c r="B1592" s="337"/>
      <c r="C1592" s="337"/>
      <c r="D1592" s="355"/>
      <c r="E1592" s="567" t="s">
        <v>754</v>
      </c>
      <c r="F1592" s="356">
        <v>160</v>
      </c>
      <c r="G1592" s="378" t="s">
        <v>73</v>
      </c>
      <c r="H1592" s="515"/>
      <c r="I1592" s="515"/>
      <c r="J1592" s="515"/>
      <c r="K1592" s="684"/>
      <c r="L1592" s="535"/>
      <c r="M1592" s="552" t="str">
        <f t="shared" si="222"/>
        <v/>
      </c>
      <c r="N1592" s="552"/>
      <c r="O1592" s="552" t="str">
        <f t="shared" si="223"/>
        <v/>
      </c>
      <c r="P1592" s="39"/>
    </row>
    <row r="1593" spans="1:16" x14ac:dyDescent="0.35">
      <c r="A1593" s="535" t="str">
        <f t="shared" si="224"/>
        <v/>
      </c>
      <c r="B1593" s="330"/>
      <c r="C1593" s="330"/>
      <c r="D1593" s="571"/>
      <c r="E1593" s="656" t="s">
        <v>81</v>
      </c>
      <c r="F1593" s="493">
        <v>1300</v>
      </c>
      <c r="G1593" s="493" t="s">
        <v>73</v>
      </c>
      <c r="H1593" s="466">
        <f>ROUND(($F$1592)*(($F$1593)/($F$1593+$F$1594+$F$1595)),2)</f>
        <v>90.43</v>
      </c>
      <c r="I1593" s="573"/>
      <c r="J1593" s="573"/>
      <c r="K1593" s="693"/>
      <c r="L1593" s="535"/>
      <c r="M1593" s="552" t="str">
        <f t="shared" si="222"/>
        <v/>
      </c>
      <c r="N1593" s="552"/>
      <c r="O1593" s="552" t="str">
        <f t="shared" si="223"/>
        <v/>
      </c>
      <c r="P1593" s="39"/>
    </row>
    <row r="1594" spans="1:16" x14ac:dyDescent="0.35">
      <c r="A1594" s="535" t="str">
        <f t="shared" si="224"/>
        <v/>
      </c>
      <c r="B1594" s="337"/>
      <c r="C1594" s="337"/>
      <c r="D1594" s="326" t="s">
        <v>1660</v>
      </c>
      <c r="E1594" s="560" t="s">
        <v>1897</v>
      </c>
      <c r="F1594" s="18">
        <v>1000</v>
      </c>
      <c r="G1594" s="18" t="s">
        <v>73</v>
      </c>
      <c r="H1594" s="335">
        <f>ROUND(($F$1592)*(($F$1594)/($F$1593+$F$1594+$F$1595)),2)</f>
        <v>69.569999999999993</v>
      </c>
      <c r="I1594" s="335" t="s">
        <v>73</v>
      </c>
      <c r="J1594" s="337"/>
      <c r="K1594" s="680">
        <f t="shared" si="225"/>
        <v>1878.3899999999999</v>
      </c>
      <c r="L1594" s="535"/>
      <c r="M1594" s="552" t="str">
        <f t="shared" si="222"/>
        <v/>
      </c>
      <c r="N1594" s="552"/>
      <c r="O1594" s="552" t="str">
        <f t="shared" si="223"/>
        <v/>
      </c>
      <c r="P1594" s="39"/>
    </row>
    <row r="1595" spans="1:16" x14ac:dyDescent="0.35">
      <c r="A1595" s="535" t="str">
        <f t="shared" si="224"/>
        <v/>
      </c>
      <c r="B1595" s="330"/>
      <c r="C1595" s="330"/>
      <c r="D1595" s="326"/>
      <c r="E1595" s="495" t="s">
        <v>753</v>
      </c>
      <c r="F1595" s="22">
        <v>0</v>
      </c>
      <c r="G1595" s="22" t="s">
        <v>73</v>
      </c>
      <c r="H1595" s="328">
        <f>ROUND(($F$1592)*(($F$1595)/($F$1593+$F$1594+$F$1595)),2)</f>
        <v>0</v>
      </c>
      <c r="I1595" s="328" t="s">
        <v>73</v>
      </c>
      <c r="J1595" s="330"/>
      <c r="K1595" s="681">
        <f t="shared" si="225"/>
        <v>0</v>
      </c>
      <c r="L1595" s="535"/>
      <c r="M1595" s="552" t="str">
        <f t="shared" si="222"/>
        <v/>
      </c>
      <c r="N1595" s="552"/>
      <c r="O1595" s="552" t="str">
        <f t="shared" si="223"/>
        <v/>
      </c>
      <c r="P1595" s="39"/>
    </row>
    <row r="1596" spans="1:16" x14ac:dyDescent="0.35">
      <c r="A1596" s="535" t="str">
        <f t="shared" si="224"/>
        <v/>
      </c>
      <c r="B1596" s="337"/>
      <c r="C1596" s="337"/>
      <c r="D1596" s="355"/>
      <c r="E1596" s="549" t="s">
        <v>769</v>
      </c>
      <c r="F1596" s="378">
        <v>20</v>
      </c>
      <c r="G1596" s="378" t="s">
        <v>73</v>
      </c>
      <c r="H1596" s="515"/>
      <c r="I1596" s="356"/>
      <c r="J1596" s="515"/>
      <c r="K1596" s="684"/>
      <c r="L1596" s="535"/>
      <c r="M1596" s="552" t="str">
        <f t="shared" si="222"/>
        <v/>
      </c>
      <c r="N1596" s="552"/>
      <c r="O1596" s="552" t="str">
        <f t="shared" si="223"/>
        <v/>
      </c>
      <c r="P1596" s="39"/>
    </row>
    <row r="1597" spans="1:16" x14ac:dyDescent="0.35">
      <c r="A1597" s="535" t="str">
        <f t="shared" si="224"/>
        <v/>
      </c>
      <c r="B1597" s="330"/>
      <c r="C1597" s="330"/>
      <c r="D1597" s="326" t="s">
        <v>521</v>
      </c>
      <c r="E1597" s="366" t="s">
        <v>906</v>
      </c>
      <c r="F1597" s="22">
        <v>200</v>
      </c>
      <c r="G1597" s="22" t="s">
        <v>73</v>
      </c>
      <c r="H1597" s="328">
        <f>ROUND(($F$1596)*(($F$1597)/((($F$1598)*(($F$1599)/($F$1599+$F$1600)))+(($F$1598)*(($F$1600)/($F$1599+$F$1600)))+($F$1597))),2)</f>
        <v>17.39</v>
      </c>
      <c r="I1597" s="328" t="s">
        <v>73</v>
      </c>
      <c r="J1597" s="330"/>
      <c r="K1597" s="681">
        <f t="shared" si="225"/>
        <v>469.53000000000003</v>
      </c>
      <c r="L1597" s="535"/>
      <c r="M1597" s="552" t="str">
        <f t="shared" si="222"/>
        <v/>
      </c>
      <c r="N1597" s="552"/>
      <c r="O1597" s="552" t="str">
        <f t="shared" si="223"/>
        <v/>
      </c>
      <c r="P1597" s="39"/>
    </row>
    <row r="1598" spans="1:16" x14ac:dyDescent="0.35">
      <c r="A1598" s="535" t="str">
        <f t="shared" si="224"/>
        <v/>
      </c>
      <c r="B1598" s="337"/>
      <c r="C1598" s="337"/>
      <c r="D1598" s="355"/>
      <c r="E1598" s="567" t="s">
        <v>770</v>
      </c>
      <c r="F1598" s="378">
        <v>30</v>
      </c>
      <c r="G1598" s="378" t="s">
        <v>73</v>
      </c>
      <c r="H1598" s="356"/>
      <c r="I1598" s="356"/>
      <c r="J1598" s="515"/>
      <c r="K1598" s="684"/>
      <c r="L1598" s="535"/>
      <c r="M1598" s="552" t="str">
        <f t="shared" si="222"/>
        <v/>
      </c>
      <c r="N1598" s="552"/>
      <c r="O1598" s="552" t="str">
        <f t="shared" si="223"/>
        <v/>
      </c>
      <c r="P1598" s="39"/>
    </row>
    <row r="1599" spans="1:16" x14ac:dyDescent="0.35">
      <c r="A1599" s="535" t="str">
        <f t="shared" si="224"/>
        <v/>
      </c>
      <c r="B1599" s="330"/>
      <c r="C1599" s="330"/>
      <c r="D1599" s="326" t="s">
        <v>537</v>
      </c>
      <c r="E1599" s="495" t="s">
        <v>771</v>
      </c>
      <c r="F1599" s="22">
        <v>1</v>
      </c>
      <c r="G1599" s="22" t="s">
        <v>73</v>
      </c>
      <c r="H1599" s="328">
        <f>ROUND(($F$1596)*((($F$1598)*(($F$1599)/($F$1599+$F$1600)))
/((($F$1598)*(($F$1599)/($F$1599+$F$1600)))+(($F$1598)*(($F$1600)/($F$1599+$F$1600)))+($F$1597))),2)</f>
        <v>0.03</v>
      </c>
      <c r="I1599" s="328" t="s">
        <v>73</v>
      </c>
      <c r="J1599" s="330"/>
      <c r="K1599" s="681">
        <f t="shared" si="225"/>
        <v>0.80999999999999994</v>
      </c>
      <c r="L1599" s="535"/>
      <c r="M1599" s="552" t="str">
        <f t="shared" si="222"/>
        <v/>
      </c>
      <c r="N1599" s="552"/>
      <c r="O1599" s="552" t="str">
        <f t="shared" si="223"/>
        <v/>
      </c>
      <c r="P1599" s="39"/>
    </row>
    <row r="1600" spans="1:16" x14ac:dyDescent="0.35">
      <c r="A1600" s="535" t="str">
        <f t="shared" si="224"/>
        <v/>
      </c>
      <c r="B1600" s="337"/>
      <c r="C1600" s="337"/>
      <c r="D1600" s="571"/>
      <c r="E1600" s="656" t="s">
        <v>81</v>
      </c>
      <c r="F1600" s="493">
        <v>100</v>
      </c>
      <c r="G1600" s="493" t="s">
        <v>73</v>
      </c>
      <c r="H1600" s="466">
        <f>ROUND(($F$1596)*((($F$1598)*(($F$1600)/($F$1599+$F$1600)))
/((($F$1598)*(($F$1599)/($F$1599+$F$1600)))+(($F$1598)*(($F$1600)/($F$1599+$F$1600)))+($F$1597))),2)</f>
        <v>2.58</v>
      </c>
      <c r="I1600" s="466"/>
      <c r="J1600" s="573"/>
      <c r="K1600" s="693"/>
      <c r="L1600" s="535"/>
      <c r="M1600" s="552" t="str">
        <f t="shared" si="222"/>
        <v/>
      </c>
      <c r="N1600" s="552"/>
      <c r="O1600" s="552" t="str">
        <f t="shared" si="223"/>
        <v/>
      </c>
      <c r="P1600" s="39"/>
    </row>
    <row r="1601" spans="1:16" x14ac:dyDescent="0.35">
      <c r="A1601" s="535" t="str">
        <f t="shared" si="224"/>
        <v/>
      </c>
      <c r="B1601" s="330"/>
      <c r="C1601" s="330"/>
      <c r="D1601" s="355"/>
      <c r="E1601" s="355" t="s">
        <v>863</v>
      </c>
      <c r="F1601" s="356">
        <v>7</v>
      </c>
      <c r="G1601" s="356" t="s">
        <v>73</v>
      </c>
      <c r="H1601" s="515"/>
      <c r="I1601" s="356"/>
      <c r="J1601" s="515"/>
      <c r="K1601" s="684"/>
      <c r="L1601" s="535"/>
      <c r="M1601" s="552" t="str">
        <f t="shared" si="222"/>
        <v/>
      </c>
      <c r="N1601" s="552"/>
      <c r="O1601" s="552" t="str">
        <f t="shared" si="223"/>
        <v/>
      </c>
      <c r="P1601" s="39"/>
    </row>
    <row r="1602" spans="1:16" x14ac:dyDescent="0.35">
      <c r="A1602" s="535" t="str">
        <f t="shared" si="224"/>
        <v/>
      </c>
      <c r="B1602" s="337"/>
      <c r="C1602" s="337"/>
      <c r="D1602" s="326" t="s">
        <v>59</v>
      </c>
      <c r="E1602" s="360" t="s">
        <v>864</v>
      </c>
      <c r="F1602" s="335">
        <v>100</v>
      </c>
      <c r="G1602" s="335" t="s">
        <v>73</v>
      </c>
      <c r="H1602" s="335">
        <f>ROUND(($F$1601)*((F1602)/($F$1602+$F$1603+$F$1604+$F$1605+$F$1606)),2)</f>
        <v>4.7300000000000004</v>
      </c>
      <c r="I1602" s="335" t="s">
        <v>73</v>
      </c>
      <c r="J1602" s="337"/>
      <c r="K1602" s="680">
        <f t="shared" si="225"/>
        <v>127.71000000000001</v>
      </c>
      <c r="L1602" s="535"/>
      <c r="M1602" s="552" t="str">
        <f t="shared" si="222"/>
        <v/>
      </c>
      <c r="N1602" s="552"/>
      <c r="O1602" s="552" t="str">
        <f t="shared" si="223"/>
        <v/>
      </c>
      <c r="P1602" s="39"/>
    </row>
    <row r="1603" spans="1:16" x14ac:dyDescent="0.35">
      <c r="A1603" s="535" t="str">
        <f t="shared" si="224"/>
        <v/>
      </c>
      <c r="B1603" s="330"/>
      <c r="C1603" s="330"/>
      <c r="D1603" s="326" t="s">
        <v>45</v>
      </c>
      <c r="E1603" s="366" t="s">
        <v>321</v>
      </c>
      <c r="F1603" s="328">
        <v>3</v>
      </c>
      <c r="G1603" s="328" t="s">
        <v>73</v>
      </c>
      <c r="H1603" s="328">
        <f t="shared" ref="H1603:H1605" si="226">ROUND(($F$1601)*((F1603)/($F$1602+$F$1603+$F$1604+$F$1605+$F$1606)),2)</f>
        <v>0.14000000000000001</v>
      </c>
      <c r="I1603" s="328" t="s">
        <v>73</v>
      </c>
      <c r="J1603" s="330"/>
      <c r="K1603" s="681">
        <f t="shared" si="225"/>
        <v>3.7800000000000002</v>
      </c>
      <c r="L1603" s="535"/>
      <c r="M1603" s="552" t="str">
        <f t="shared" si="222"/>
        <v/>
      </c>
      <c r="N1603" s="552"/>
      <c r="O1603" s="552" t="str">
        <f t="shared" si="223"/>
        <v/>
      </c>
      <c r="P1603" s="39"/>
    </row>
    <row r="1604" spans="1:16" x14ac:dyDescent="0.35">
      <c r="A1604" s="535" t="str">
        <f t="shared" si="224"/>
        <v/>
      </c>
      <c r="B1604" s="337"/>
      <c r="C1604" s="337"/>
      <c r="D1604" s="326" t="s">
        <v>42</v>
      </c>
      <c r="E1604" s="360" t="s">
        <v>330</v>
      </c>
      <c r="F1604" s="335">
        <v>3</v>
      </c>
      <c r="G1604" s="335" t="s">
        <v>73</v>
      </c>
      <c r="H1604" s="335">
        <f t="shared" si="226"/>
        <v>0.14000000000000001</v>
      </c>
      <c r="I1604" s="335" t="s">
        <v>73</v>
      </c>
      <c r="J1604" s="337"/>
      <c r="K1604" s="680">
        <f t="shared" si="225"/>
        <v>3.7800000000000002</v>
      </c>
      <c r="L1604" s="535"/>
      <c r="M1604" s="552" t="str">
        <f t="shared" si="222"/>
        <v/>
      </c>
      <c r="N1604" s="552"/>
      <c r="O1604" s="552" t="str">
        <f t="shared" si="223"/>
        <v/>
      </c>
      <c r="P1604" s="39"/>
    </row>
    <row r="1605" spans="1:16" x14ac:dyDescent="0.35">
      <c r="A1605" s="535" t="str">
        <f t="shared" si="224"/>
        <v/>
      </c>
      <c r="B1605" s="330"/>
      <c r="C1605" s="330"/>
      <c r="D1605" s="326" t="s">
        <v>333</v>
      </c>
      <c r="E1605" s="366" t="s">
        <v>334</v>
      </c>
      <c r="F1605" s="328">
        <v>6</v>
      </c>
      <c r="G1605" s="328" t="s">
        <v>73</v>
      </c>
      <c r="H1605" s="328">
        <f t="shared" si="226"/>
        <v>0.28000000000000003</v>
      </c>
      <c r="I1605" s="328" t="s">
        <v>73</v>
      </c>
      <c r="J1605" s="330"/>
      <c r="K1605" s="681">
        <f t="shared" si="225"/>
        <v>7.5600000000000005</v>
      </c>
      <c r="L1605" s="535"/>
      <c r="M1605" s="552" t="str">
        <f t="shared" si="222"/>
        <v/>
      </c>
      <c r="N1605" s="552"/>
      <c r="O1605" s="552" t="str">
        <f t="shared" si="223"/>
        <v/>
      </c>
      <c r="P1605" s="39"/>
    </row>
    <row r="1606" spans="1:16" x14ac:dyDescent="0.35">
      <c r="A1606" s="535" t="str">
        <f t="shared" si="224"/>
        <v/>
      </c>
      <c r="B1606" s="337"/>
      <c r="C1606" s="337"/>
      <c r="D1606" s="571"/>
      <c r="E1606" s="572" t="s">
        <v>65</v>
      </c>
      <c r="F1606" s="466">
        <v>36</v>
      </c>
      <c r="G1606" s="466" t="s">
        <v>73</v>
      </c>
      <c r="H1606" s="466">
        <f>ROUND(($F$1601)*((F1606)/($F$1602+$F$1603+$F$1604+$F$1605+$F$1606)),2)</f>
        <v>1.7</v>
      </c>
      <c r="I1606" s="466"/>
      <c r="J1606" s="573"/>
      <c r="K1606" s="693"/>
      <c r="L1606" s="535"/>
      <c r="M1606" s="552" t="str">
        <f t="shared" si="222"/>
        <v/>
      </c>
      <c r="N1606" s="552"/>
      <c r="O1606" s="552" t="str">
        <f t="shared" si="223"/>
        <v/>
      </c>
      <c r="P1606" s="39"/>
    </row>
    <row r="1607" spans="1:16" x14ac:dyDescent="0.35">
      <c r="A1607" s="535" t="str">
        <f t="shared" si="224"/>
        <v/>
      </c>
      <c r="B1607" s="330"/>
      <c r="C1607" s="330"/>
      <c r="D1607" s="539"/>
      <c r="E1607" s="355" t="s">
        <v>84</v>
      </c>
      <c r="F1607" s="378">
        <v>20</v>
      </c>
      <c r="G1607" s="378" t="s">
        <v>73</v>
      </c>
      <c r="H1607" s="515"/>
      <c r="I1607" s="356"/>
      <c r="J1607" s="515"/>
      <c r="K1607" s="684"/>
      <c r="L1607" s="535"/>
      <c r="M1607" s="552" t="str">
        <f t="shared" ref="M1607:M1644" si="227">IF(Q1608&gt;0, Q1608, "")</f>
        <v/>
      </c>
      <c r="N1607" s="552"/>
      <c r="O1607" s="552" t="str">
        <f t="shared" ref="O1607:O1644" si="228">IF(V1609&gt;0, V1609, "")</f>
        <v/>
      </c>
      <c r="P1607" s="39"/>
    </row>
    <row r="1608" spans="1:16" x14ac:dyDescent="0.35">
      <c r="A1608" s="535" t="str">
        <f t="shared" si="224"/>
        <v/>
      </c>
      <c r="B1608" s="337"/>
      <c r="C1608" s="337"/>
      <c r="D1608" s="539"/>
      <c r="E1608" s="416" t="s">
        <v>26</v>
      </c>
      <c r="F1608" s="378">
        <v>1000</v>
      </c>
      <c r="G1608" s="378" t="s">
        <v>73</v>
      </c>
      <c r="H1608" s="515"/>
      <c r="I1608" s="356"/>
      <c r="J1608" s="515"/>
      <c r="K1608" s="684"/>
      <c r="L1608" s="535"/>
      <c r="M1608" s="552" t="str">
        <f t="shared" si="227"/>
        <v/>
      </c>
      <c r="N1608" s="552"/>
      <c r="O1608" s="552" t="str">
        <f t="shared" si="228"/>
        <v/>
      </c>
      <c r="P1608" s="39"/>
    </row>
    <row r="1609" spans="1:16" x14ac:dyDescent="0.35">
      <c r="A1609" s="535" t="str">
        <f t="shared" si="224"/>
        <v/>
      </c>
      <c r="B1609" s="330"/>
      <c r="C1609" s="330"/>
      <c r="D1609" s="417" t="s">
        <v>60</v>
      </c>
      <c r="E1609" s="418" t="s">
        <v>121</v>
      </c>
      <c r="F1609" s="22">
        <v>1000</v>
      </c>
      <c r="G1609" s="22" t="s">
        <v>73</v>
      </c>
      <c r="H1609" s="328">
        <f>ROUND(($F$1607)*((($F$1608)*(($F$1609)/($F$1609+$F$1610)))
/((($F$1608)*(($F$1609)/($F$1609+$F$1610)))+(($F$1608)*(($F$1610)/($F$1609+$F$1610)))+($F$1612)+($F$1613))),2)</f>
        <v>13.39</v>
      </c>
      <c r="I1609" s="328" t="s">
        <v>73</v>
      </c>
      <c r="J1609" s="330"/>
      <c r="K1609" s="681">
        <f t="shared" si="225"/>
        <v>361.53000000000003</v>
      </c>
      <c r="L1609" s="535"/>
      <c r="M1609" s="552" t="str">
        <f t="shared" si="227"/>
        <v/>
      </c>
      <c r="N1609" s="552"/>
      <c r="O1609" s="552" t="str">
        <f t="shared" si="228"/>
        <v/>
      </c>
      <c r="P1609" s="39"/>
    </row>
    <row r="1610" spans="1:16" x14ac:dyDescent="0.35">
      <c r="A1610" s="535" t="str">
        <f t="shared" si="224"/>
        <v/>
      </c>
      <c r="B1610" s="337"/>
      <c r="C1610" s="337"/>
      <c r="D1610" s="417" t="s">
        <v>43</v>
      </c>
      <c r="E1610" s="419" t="s">
        <v>94</v>
      </c>
      <c r="F1610" s="18">
        <v>30</v>
      </c>
      <c r="G1610" s="18" t="s">
        <v>73</v>
      </c>
      <c r="H1610" s="335">
        <f>ROUND(($F$1607)*((($F$1608)*(($F$1610)/($F$1609+$F$1610)))
/((($F$1608)*(($F$1609)/($F$1609+$F$1610)))+(($F$1608)*(($F$1610)/($F$1609+$F$1610)))+($F$1612)+($F$1613))),2)</f>
        <v>0.4</v>
      </c>
      <c r="I1610" s="335" t="s">
        <v>73</v>
      </c>
      <c r="J1610" s="337"/>
      <c r="K1610" s="680">
        <f t="shared" si="225"/>
        <v>10.8</v>
      </c>
      <c r="L1610" s="535"/>
      <c r="M1610" s="552" t="str">
        <f t="shared" si="227"/>
        <v/>
      </c>
      <c r="N1610" s="552"/>
      <c r="O1610" s="552" t="str">
        <f t="shared" si="228"/>
        <v/>
      </c>
      <c r="P1610" s="39"/>
    </row>
    <row r="1611" spans="1:16" x14ac:dyDescent="0.35">
      <c r="A1611" s="535" t="str">
        <f t="shared" si="224"/>
        <v/>
      </c>
      <c r="B1611" s="330"/>
      <c r="C1611" s="330"/>
      <c r="D1611" s="420"/>
      <c r="E1611" s="421" t="s">
        <v>81</v>
      </c>
      <c r="F1611" s="404">
        <v>400</v>
      </c>
      <c r="G1611" s="404" t="s">
        <v>73</v>
      </c>
      <c r="H1611" s="343"/>
      <c r="I1611" s="343"/>
      <c r="J1611" s="345"/>
      <c r="K1611" s="685"/>
      <c r="L1611" s="535"/>
      <c r="M1611" s="552" t="str">
        <f t="shared" si="227"/>
        <v/>
      </c>
      <c r="N1611" s="552"/>
      <c r="O1611" s="552" t="str">
        <f t="shared" si="228"/>
        <v/>
      </c>
      <c r="P1611" s="39"/>
    </row>
    <row r="1612" spans="1:16" x14ac:dyDescent="0.35">
      <c r="A1612" s="535" t="str">
        <f t="shared" si="224"/>
        <v/>
      </c>
      <c r="B1612" s="337"/>
      <c r="C1612" s="337"/>
      <c r="D1612" s="417" t="s">
        <v>59</v>
      </c>
      <c r="E1612" s="425" t="s">
        <v>27</v>
      </c>
      <c r="F1612" s="18">
        <v>350</v>
      </c>
      <c r="G1612" s="18" t="s">
        <v>73</v>
      </c>
      <c r="H1612" s="335">
        <f>ROUND(($F$1607)*((F1612)/((($F$1608)*(($F$1609)/($F$1609+$F$1610)))+(($F$1608)*(($F$1610)/($F$1609+$F$1610)))+($F$1612)+($F$1613))),2)</f>
        <v>4.83</v>
      </c>
      <c r="I1612" s="335" t="s">
        <v>73</v>
      </c>
      <c r="J1612" s="337"/>
      <c r="K1612" s="680">
        <f t="shared" si="225"/>
        <v>130.41</v>
      </c>
      <c r="L1612" s="535"/>
      <c r="M1612" s="552" t="str">
        <f t="shared" si="227"/>
        <v/>
      </c>
      <c r="N1612" s="552"/>
      <c r="O1612" s="552" t="str">
        <f t="shared" si="228"/>
        <v/>
      </c>
      <c r="P1612" s="39"/>
    </row>
    <row r="1613" spans="1:16" x14ac:dyDescent="0.35">
      <c r="A1613" s="535" t="str">
        <f t="shared" si="224"/>
        <v/>
      </c>
      <c r="B1613" s="330"/>
      <c r="C1613" s="330"/>
      <c r="D1613" s="417" t="s">
        <v>48</v>
      </c>
      <c r="E1613" s="426" t="s">
        <v>91</v>
      </c>
      <c r="F1613" s="22">
        <v>100</v>
      </c>
      <c r="G1613" s="22" t="s">
        <v>73</v>
      </c>
      <c r="H1613" s="328">
        <f>ROUND(($F$1607)*((F1613)/((($F$1608)*(($F$1609)/($F$1609+$F$1610)))+(($F$1608)*(($F$1610)/($F$1609+$F$1610)))+($F$1612)+($F$1613))),2)</f>
        <v>1.38</v>
      </c>
      <c r="I1613" s="328" t="s">
        <v>73</v>
      </c>
      <c r="J1613" s="330"/>
      <c r="K1613" s="681">
        <f t="shared" si="225"/>
        <v>37.26</v>
      </c>
      <c r="L1613" s="535"/>
      <c r="M1613" s="552" t="str">
        <f t="shared" si="227"/>
        <v/>
      </c>
      <c r="N1613" s="552"/>
      <c r="O1613" s="552" t="str">
        <f t="shared" si="228"/>
        <v/>
      </c>
      <c r="P1613" s="39"/>
    </row>
    <row r="1614" spans="1:16" x14ac:dyDescent="0.35">
      <c r="A1614" s="535" t="str">
        <f t="shared" si="224"/>
        <v/>
      </c>
      <c r="B1614" s="337"/>
      <c r="C1614" s="337"/>
      <c r="D1614" s="355"/>
      <c r="E1614" s="355" t="s">
        <v>973</v>
      </c>
      <c r="F1614" s="356">
        <v>40</v>
      </c>
      <c r="G1614" s="356" t="s">
        <v>73</v>
      </c>
      <c r="H1614" s="515"/>
      <c r="I1614" s="356"/>
      <c r="J1614" s="515"/>
      <c r="K1614" s="684"/>
      <c r="L1614" s="535"/>
      <c r="M1614" s="552" t="str">
        <f t="shared" si="227"/>
        <v/>
      </c>
      <c r="N1614" s="552"/>
      <c r="O1614" s="552" t="str">
        <f t="shared" si="228"/>
        <v/>
      </c>
      <c r="P1614" s="39"/>
    </row>
    <row r="1615" spans="1:16" x14ac:dyDescent="0.35">
      <c r="A1615" s="535" t="str">
        <f t="shared" si="224"/>
        <v/>
      </c>
      <c r="B1615" s="330"/>
      <c r="C1615" s="330"/>
      <c r="D1615" s="326" t="s">
        <v>47</v>
      </c>
      <c r="E1615" s="426" t="s">
        <v>740</v>
      </c>
      <c r="F1615" s="22">
        <v>3</v>
      </c>
      <c r="G1615" s="22" t="s">
        <v>73</v>
      </c>
      <c r="H1615" s="328">
        <f>ROUND(($F$1614)*((F1615)/($F$1615+$F$1616+$F$1617+$F$1618+$F$1619+$F$1620+$F$1621+$F$1622+$F$1623)),2)</f>
        <v>0.43</v>
      </c>
      <c r="I1615" s="328" t="s">
        <v>73</v>
      </c>
      <c r="J1615" s="330"/>
      <c r="K1615" s="681">
        <f t="shared" si="225"/>
        <v>11.61</v>
      </c>
      <c r="L1615" s="535"/>
      <c r="M1615" s="552" t="str">
        <f t="shared" si="227"/>
        <v/>
      </c>
      <c r="N1615" s="552"/>
      <c r="O1615" s="552" t="str">
        <f t="shared" si="228"/>
        <v/>
      </c>
      <c r="P1615" s="39"/>
    </row>
    <row r="1616" spans="1:16" x14ac:dyDescent="0.35">
      <c r="A1616" s="535" t="str">
        <f t="shared" si="224"/>
        <v/>
      </c>
      <c r="B1616" s="337"/>
      <c r="C1616" s="337"/>
      <c r="D1616" s="326" t="s">
        <v>49</v>
      </c>
      <c r="E1616" s="425" t="s">
        <v>916</v>
      </c>
      <c r="F1616" s="18">
        <v>8</v>
      </c>
      <c r="G1616" s="18" t="s">
        <v>73</v>
      </c>
      <c r="H1616" s="335">
        <f t="shared" ref="H1616:H1623" si="229">ROUND(($F$1614)*((F1616)/($F$1615+$F$1616+$F$1617+$F$1618+$F$1619+$F$1620+$F$1621+$F$1622+$F$1623)),2)</f>
        <v>1.1599999999999999</v>
      </c>
      <c r="I1616" s="335" t="s">
        <v>73</v>
      </c>
      <c r="J1616" s="337"/>
      <c r="K1616" s="680">
        <f t="shared" si="225"/>
        <v>31.319999999999997</v>
      </c>
      <c r="L1616" s="535"/>
      <c r="M1616" s="552" t="str">
        <f t="shared" si="227"/>
        <v/>
      </c>
      <c r="N1616" s="552"/>
      <c r="O1616" s="552" t="str">
        <f t="shared" si="228"/>
        <v/>
      </c>
      <c r="P1616" s="39"/>
    </row>
    <row r="1617" spans="1:16" x14ac:dyDescent="0.35">
      <c r="A1617" s="535" t="str">
        <f t="shared" si="224"/>
        <v/>
      </c>
      <c r="B1617" s="330"/>
      <c r="C1617" s="330"/>
      <c r="D1617" s="326" t="s">
        <v>50</v>
      </c>
      <c r="E1617" s="426" t="s">
        <v>917</v>
      </c>
      <c r="F1617" s="22">
        <v>40</v>
      </c>
      <c r="G1617" s="22" t="s">
        <v>73</v>
      </c>
      <c r="H1617" s="328">
        <f t="shared" si="229"/>
        <v>5.79</v>
      </c>
      <c r="I1617" s="328" t="s">
        <v>73</v>
      </c>
      <c r="J1617" s="330"/>
      <c r="K1617" s="681">
        <f t="shared" si="225"/>
        <v>156.33000000000001</v>
      </c>
      <c r="L1617" s="535"/>
      <c r="M1617" s="552" t="str">
        <f t="shared" si="227"/>
        <v/>
      </c>
      <c r="N1617" s="552"/>
      <c r="O1617" s="552" t="str">
        <f t="shared" si="228"/>
        <v/>
      </c>
      <c r="P1617" s="39"/>
    </row>
    <row r="1618" spans="1:16" x14ac:dyDescent="0.35">
      <c r="A1618" s="535" t="str">
        <f t="shared" si="224"/>
        <v/>
      </c>
      <c r="B1618" s="337"/>
      <c r="C1618" s="337"/>
      <c r="D1618" s="326" t="s">
        <v>371</v>
      </c>
      <c r="E1618" s="425" t="s">
        <v>918</v>
      </c>
      <c r="F1618" s="18">
        <v>20</v>
      </c>
      <c r="G1618" s="18" t="s">
        <v>73</v>
      </c>
      <c r="H1618" s="335">
        <f t="shared" si="229"/>
        <v>2.89</v>
      </c>
      <c r="I1618" s="335" t="s">
        <v>73</v>
      </c>
      <c r="J1618" s="337"/>
      <c r="K1618" s="680">
        <f t="shared" si="225"/>
        <v>78.03</v>
      </c>
      <c r="L1618" s="535"/>
      <c r="M1618" s="552" t="str">
        <f t="shared" si="227"/>
        <v/>
      </c>
      <c r="N1618" s="552"/>
      <c r="O1618" s="552" t="str">
        <f t="shared" si="228"/>
        <v/>
      </c>
      <c r="P1618" s="39"/>
    </row>
    <row r="1619" spans="1:16" x14ac:dyDescent="0.35">
      <c r="A1619" s="535" t="str">
        <f t="shared" si="224"/>
        <v/>
      </c>
      <c r="B1619" s="330"/>
      <c r="C1619" s="330"/>
      <c r="D1619" s="326" t="s">
        <v>379</v>
      </c>
      <c r="E1619" s="426" t="s">
        <v>919</v>
      </c>
      <c r="F1619" s="22">
        <v>10</v>
      </c>
      <c r="G1619" s="22" t="s">
        <v>73</v>
      </c>
      <c r="H1619" s="328">
        <f t="shared" si="229"/>
        <v>1.45</v>
      </c>
      <c r="I1619" s="328" t="s">
        <v>73</v>
      </c>
      <c r="J1619" s="330"/>
      <c r="K1619" s="681">
        <f t="shared" si="225"/>
        <v>39.15</v>
      </c>
      <c r="L1619" s="535"/>
      <c r="M1619" s="552" t="str">
        <f t="shared" si="227"/>
        <v/>
      </c>
      <c r="N1619" s="552"/>
      <c r="O1619" s="552" t="str">
        <f t="shared" si="228"/>
        <v/>
      </c>
      <c r="P1619" s="39"/>
    </row>
    <row r="1620" spans="1:16" x14ac:dyDescent="0.35">
      <c r="A1620" s="535" t="str">
        <f t="shared" si="224"/>
        <v/>
      </c>
      <c r="B1620" s="337"/>
      <c r="C1620" s="337"/>
      <c r="D1620" s="326" t="s">
        <v>505</v>
      </c>
      <c r="E1620" s="425" t="s">
        <v>722</v>
      </c>
      <c r="F1620" s="18">
        <v>0.5</v>
      </c>
      <c r="G1620" s="18" t="s">
        <v>73</v>
      </c>
      <c r="H1620" s="335">
        <f t="shared" si="229"/>
        <v>7.0000000000000007E-2</v>
      </c>
      <c r="I1620" s="335" t="s">
        <v>73</v>
      </c>
      <c r="J1620" s="337"/>
      <c r="K1620" s="680">
        <f t="shared" si="225"/>
        <v>1.8900000000000001</v>
      </c>
      <c r="L1620" s="535"/>
      <c r="M1620" s="552" t="str">
        <f t="shared" si="227"/>
        <v/>
      </c>
      <c r="N1620" s="552"/>
      <c r="O1620" s="552" t="str">
        <f t="shared" si="228"/>
        <v/>
      </c>
      <c r="P1620" s="39"/>
    </row>
    <row r="1621" spans="1:16" x14ac:dyDescent="0.35">
      <c r="A1621" s="535" t="str">
        <f t="shared" si="224"/>
        <v/>
      </c>
      <c r="B1621" s="330"/>
      <c r="C1621" s="330"/>
      <c r="D1621" s="326" t="s">
        <v>41</v>
      </c>
      <c r="E1621" s="426" t="s">
        <v>911</v>
      </c>
      <c r="F1621" s="22">
        <v>2</v>
      </c>
      <c r="G1621" s="22" t="s">
        <v>73</v>
      </c>
      <c r="H1621" s="328">
        <f t="shared" si="229"/>
        <v>0.28999999999999998</v>
      </c>
      <c r="I1621" s="328" t="s">
        <v>73</v>
      </c>
      <c r="J1621" s="330"/>
      <c r="K1621" s="681">
        <f t="shared" si="225"/>
        <v>7.8299999999999992</v>
      </c>
      <c r="L1621" s="535"/>
      <c r="M1621" s="552" t="str">
        <f t="shared" si="227"/>
        <v/>
      </c>
      <c r="N1621" s="552"/>
      <c r="O1621" s="552" t="str">
        <f t="shared" si="228"/>
        <v/>
      </c>
      <c r="P1621" s="39"/>
    </row>
    <row r="1622" spans="1:16" x14ac:dyDescent="0.35">
      <c r="A1622" s="535" t="str">
        <f t="shared" si="224"/>
        <v/>
      </c>
      <c r="B1622" s="337"/>
      <c r="C1622" s="337"/>
      <c r="D1622" s="326" t="s">
        <v>127</v>
      </c>
      <c r="E1622" s="425" t="s">
        <v>912</v>
      </c>
      <c r="F1622" s="18">
        <v>28</v>
      </c>
      <c r="G1622" s="18" t="s">
        <v>73</v>
      </c>
      <c r="H1622" s="335">
        <f t="shared" si="229"/>
        <v>4.05</v>
      </c>
      <c r="I1622" s="335" t="s">
        <v>73</v>
      </c>
      <c r="J1622" s="337"/>
      <c r="K1622" s="680">
        <f t="shared" si="225"/>
        <v>109.35</v>
      </c>
      <c r="L1622" s="535"/>
      <c r="M1622" s="552" t="str">
        <f t="shared" si="227"/>
        <v/>
      </c>
      <c r="N1622" s="552"/>
      <c r="O1622" s="552" t="str">
        <f t="shared" si="228"/>
        <v/>
      </c>
      <c r="P1622" s="39"/>
    </row>
    <row r="1623" spans="1:16" x14ac:dyDescent="0.35">
      <c r="A1623" s="535" t="str">
        <f t="shared" si="224"/>
        <v/>
      </c>
      <c r="B1623" s="330"/>
      <c r="C1623" s="330"/>
      <c r="D1623" s="326" t="s">
        <v>549</v>
      </c>
      <c r="E1623" s="426" t="s">
        <v>915</v>
      </c>
      <c r="F1623" s="22">
        <v>165</v>
      </c>
      <c r="G1623" s="22" t="s">
        <v>73</v>
      </c>
      <c r="H1623" s="328">
        <f t="shared" si="229"/>
        <v>23.87</v>
      </c>
      <c r="I1623" s="328" t="s">
        <v>73</v>
      </c>
      <c r="J1623" s="330"/>
      <c r="K1623" s="681">
        <f t="shared" si="225"/>
        <v>644.49</v>
      </c>
      <c r="L1623" s="535"/>
      <c r="M1623" s="552" t="str">
        <f t="shared" si="227"/>
        <v/>
      </c>
      <c r="N1623" s="552"/>
      <c r="O1623" s="552" t="str">
        <f t="shared" si="228"/>
        <v/>
      </c>
      <c r="P1623" s="39"/>
    </row>
    <row r="1624" spans="1:16" x14ac:dyDescent="0.35">
      <c r="A1624" s="545" t="str">
        <f t="shared" si="224"/>
        <v/>
      </c>
      <c r="B1624" s="546"/>
      <c r="C1624" s="546"/>
      <c r="D1624" s="545"/>
      <c r="E1624" s="545"/>
      <c r="F1624" s="546"/>
      <c r="G1624" s="546"/>
      <c r="H1624" s="546"/>
      <c r="I1624" s="546"/>
      <c r="J1624" s="546"/>
      <c r="K1624" s="676"/>
      <c r="L1624" s="535"/>
      <c r="M1624" s="552" t="str">
        <f t="shared" si="227"/>
        <v/>
      </c>
      <c r="N1624" s="552"/>
      <c r="O1624" s="552" t="str">
        <f t="shared" si="228"/>
        <v/>
      </c>
      <c r="P1624" s="39"/>
    </row>
    <row r="1625" spans="1:16" x14ac:dyDescent="0.35">
      <c r="A1625" s="565">
        <f>IFERROR(INDEX($Q$17:$Q$201,MATCH(B1625,$R$17:$R$201, 0)), "")</f>
        <v>17</v>
      </c>
      <c r="B1625" s="382" t="s">
        <v>1263</v>
      </c>
      <c r="C1625" s="325" t="s">
        <v>976</v>
      </c>
      <c r="D1625" s="326" t="s">
        <v>505</v>
      </c>
      <c r="E1625" s="327" t="s">
        <v>806</v>
      </c>
      <c r="F1625" s="328">
        <v>0.3</v>
      </c>
      <c r="G1625" s="328" t="s">
        <v>73</v>
      </c>
      <c r="H1625" s="328">
        <v>0.3</v>
      </c>
      <c r="I1625" s="328" t="s">
        <v>73</v>
      </c>
      <c r="J1625" s="330"/>
      <c r="K1625" s="681">
        <f t="shared" ref="K1625:K1662" si="230">($A$1625*H1625)</f>
        <v>5.0999999999999996</v>
      </c>
      <c r="L1625" s="535"/>
      <c r="M1625" s="552" t="str">
        <f t="shared" si="227"/>
        <v/>
      </c>
      <c r="N1625" s="552"/>
      <c r="O1625" s="552" t="str">
        <f t="shared" si="228"/>
        <v/>
      </c>
      <c r="P1625" s="39"/>
    </row>
    <row r="1626" spans="1:16" x14ac:dyDescent="0.35">
      <c r="A1626" s="535" t="str">
        <f t="shared" si="224"/>
        <v/>
      </c>
      <c r="B1626" s="337"/>
      <c r="C1626" s="337"/>
      <c r="D1626" s="326" t="s">
        <v>402</v>
      </c>
      <c r="E1626" s="334" t="s">
        <v>969</v>
      </c>
      <c r="F1626" s="335">
        <v>60</v>
      </c>
      <c r="G1626" s="335" t="s">
        <v>73</v>
      </c>
      <c r="H1626" s="335">
        <v>60</v>
      </c>
      <c r="I1626" s="335" t="s">
        <v>73</v>
      </c>
      <c r="J1626" s="337"/>
      <c r="K1626" s="680">
        <f t="shared" si="230"/>
        <v>1020</v>
      </c>
      <c r="L1626" s="535"/>
      <c r="M1626" s="552" t="str">
        <f t="shared" si="227"/>
        <v/>
      </c>
      <c r="N1626" s="552"/>
      <c r="O1626" s="552" t="str">
        <f t="shared" si="228"/>
        <v/>
      </c>
      <c r="P1626" s="39"/>
    </row>
    <row r="1627" spans="1:16" x14ac:dyDescent="0.35">
      <c r="A1627" s="535" t="str">
        <f t="shared" si="224"/>
        <v/>
      </c>
      <c r="B1627" s="330"/>
      <c r="C1627" s="330"/>
      <c r="D1627" s="326" t="s">
        <v>392</v>
      </c>
      <c r="E1627" s="327" t="s">
        <v>798</v>
      </c>
      <c r="F1627" s="328">
        <v>0.3</v>
      </c>
      <c r="G1627" s="328" t="s">
        <v>73</v>
      </c>
      <c r="H1627" s="328">
        <v>0.3</v>
      </c>
      <c r="I1627" s="328" t="s">
        <v>73</v>
      </c>
      <c r="J1627" s="330"/>
      <c r="K1627" s="681">
        <f t="shared" si="230"/>
        <v>5.0999999999999996</v>
      </c>
      <c r="L1627" s="535"/>
      <c r="M1627" s="552" t="str">
        <f t="shared" si="227"/>
        <v/>
      </c>
      <c r="N1627" s="552"/>
      <c r="O1627" s="552" t="str">
        <f t="shared" si="228"/>
        <v/>
      </c>
      <c r="P1627" s="39"/>
    </row>
    <row r="1628" spans="1:16" x14ac:dyDescent="0.35">
      <c r="A1628" s="535" t="str">
        <f t="shared" si="224"/>
        <v/>
      </c>
      <c r="B1628" s="337"/>
      <c r="C1628" s="337"/>
      <c r="D1628" s="326" t="s">
        <v>398</v>
      </c>
      <c r="E1628" s="334" t="s">
        <v>965</v>
      </c>
      <c r="F1628" s="335">
        <v>12</v>
      </c>
      <c r="G1628" s="335" t="s">
        <v>73</v>
      </c>
      <c r="H1628" s="335">
        <v>12</v>
      </c>
      <c r="I1628" s="335" t="s">
        <v>73</v>
      </c>
      <c r="J1628" s="337"/>
      <c r="K1628" s="680">
        <f t="shared" si="230"/>
        <v>204</v>
      </c>
      <c r="L1628" s="535"/>
      <c r="M1628" s="552" t="str">
        <f t="shared" si="227"/>
        <v/>
      </c>
      <c r="N1628" s="552"/>
      <c r="O1628" s="552" t="str">
        <f t="shared" si="228"/>
        <v/>
      </c>
      <c r="P1628" s="39"/>
    </row>
    <row r="1629" spans="1:16" x14ac:dyDescent="0.35">
      <c r="A1629" s="535" t="str">
        <f t="shared" si="224"/>
        <v/>
      </c>
      <c r="B1629" s="330"/>
      <c r="C1629" s="330"/>
      <c r="D1629" s="326" t="s">
        <v>139</v>
      </c>
      <c r="E1629" s="327" t="s">
        <v>140</v>
      </c>
      <c r="F1629" s="328">
        <v>35</v>
      </c>
      <c r="G1629" s="328" t="s">
        <v>73</v>
      </c>
      <c r="H1629" s="328">
        <v>35</v>
      </c>
      <c r="I1629" s="328" t="s">
        <v>73</v>
      </c>
      <c r="J1629" s="330"/>
      <c r="K1629" s="681">
        <f t="shared" si="230"/>
        <v>595</v>
      </c>
      <c r="L1629" s="535"/>
      <c r="M1629" s="552" t="str">
        <f t="shared" si="227"/>
        <v/>
      </c>
      <c r="N1629" s="552"/>
      <c r="O1629" s="552" t="str">
        <f t="shared" si="228"/>
        <v/>
      </c>
      <c r="P1629" s="39"/>
    </row>
    <row r="1630" spans="1:16" x14ac:dyDescent="0.35">
      <c r="A1630" s="535" t="str">
        <f t="shared" si="224"/>
        <v/>
      </c>
      <c r="B1630" s="337"/>
      <c r="C1630" s="337"/>
      <c r="D1630" s="326" t="s">
        <v>1070</v>
      </c>
      <c r="E1630" s="334" t="s">
        <v>1071</v>
      </c>
      <c r="F1630" s="335">
        <v>85</v>
      </c>
      <c r="G1630" s="335" t="s">
        <v>73</v>
      </c>
      <c r="H1630" s="335">
        <v>85</v>
      </c>
      <c r="I1630" s="335" t="s">
        <v>73</v>
      </c>
      <c r="J1630" s="337"/>
      <c r="K1630" s="680">
        <f t="shared" si="230"/>
        <v>1445</v>
      </c>
      <c r="L1630" s="535"/>
      <c r="M1630" s="552" t="str">
        <f t="shared" si="227"/>
        <v/>
      </c>
      <c r="N1630" s="552"/>
      <c r="O1630" s="552" t="str">
        <f t="shared" si="228"/>
        <v/>
      </c>
      <c r="P1630" s="39"/>
    </row>
    <row r="1631" spans="1:16" x14ac:dyDescent="0.35">
      <c r="A1631" s="535" t="str">
        <f t="shared" si="224"/>
        <v/>
      </c>
      <c r="B1631" s="330"/>
      <c r="C1631" s="330"/>
      <c r="D1631" s="355"/>
      <c r="E1631" s="567" t="s">
        <v>754</v>
      </c>
      <c r="F1631" s="356">
        <v>160</v>
      </c>
      <c r="G1631" s="378" t="s">
        <v>73</v>
      </c>
      <c r="H1631" s="515"/>
      <c r="I1631" s="356"/>
      <c r="J1631" s="515"/>
      <c r="K1631" s="684"/>
      <c r="L1631" s="535"/>
      <c r="M1631" s="552" t="str">
        <f t="shared" si="227"/>
        <v/>
      </c>
      <c r="N1631" s="552"/>
      <c r="O1631" s="552" t="str">
        <f t="shared" si="228"/>
        <v/>
      </c>
      <c r="P1631" s="39"/>
    </row>
    <row r="1632" spans="1:16" x14ac:dyDescent="0.35">
      <c r="A1632" s="535" t="str">
        <f t="shared" si="224"/>
        <v/>
      </c>
      <c r="B1632" s="337"/>
      <c r="C1632" s="337"/>
      <c r="D1632" s="571"/>
      <c r="E1632" s="656" t="s">
        <v>81</v>
      </c>
      <c r="F1632" s="493">
        <v>1300</v>
      </c>
      <c r="G1632" s="493" t="s">
        <v>73</v>
      </c>
      <c r="H1632" s="466">
        <f>ROUND(($F$1631)*(($F$1632)/($F$1632+$F$1633+$F$1634)),2)</f>
        <v>90.43</v>
      </c>
      <c r="I1632" s="466"/>
      <c r="J1632" s="573"/>
      <c r="K1632" s="693"/>
      <c r="L1632" s="535"/>
      <c r="M1632" s="552" t="str">
        <f t="shared" si="227"/>
        <v/>
      </c>
      <c r="N1632" s="552"/>
      <c r="O1632" s="552" t="str">
        <f t="shared" si="228"/>
        <v/>
      </c>
      <c r="P1632" s="39"/>
    </row>
    <row r="1633" spans="1:16" x14ac:dyDescent="0.35">
      <c r="A1633" s="535" t="str">
        <f t="shared" si="224"/>
        <v/>
      </c>
      <c r="B1633" s="330"/>
      <c r="C1633" s="330"/>
      <c r="D1633" s="326" t="s">
        <v>1660</v>
      </c>
      <c r="E1633" s="495" t="s">
        <v>1897</v>
      </c>
      <c r="F1633" s="22">
        <v>1000</v>
      </c>
      <c r="G1633" s="22" t="s">
        <v>73</v>
      </c>
      <c r="H1633" s="328">
        <f>ROUND(($F$1631)*(($F$1633)/($F$1632+$F$1633+$F$1634)),2)</f>
        <v>69.569999999999993</v>
      </c>
      <c r="I1633" s="328" t="s">
        <v>73</v>
      </c>
      <c r="J1633" s="330"/>
      <c r="K1633" s="681">
        <f t="shared" si="230"/>
        <v>1182.6899999999998</v>
      </c>
      <c r="L1633" s="535"/>
      <c r="M1633" s="552" t="str">
        <f t="shared" si="227"/>
        <v/>
      </c>
      <c r="N1633" s="552"/>
      <c r="O1633" s="552" t="str">
        <f t="shared" si="228"/>
        <v/>
      </c>
      <c r="P1633" s="39"/>
    </row>
    <row r="1634" spans="1:16" x14ac:dyDescent="0.35">
      <c r="A1634" s="535" t="str">
        <f t="shared" si="224"/>
        <v/>
      </c>
      <c r="B1634" s="337"/>
      <c r="C1634" s="337"/>
      <c r="D1634" s="326"/>
      <c r="E1634" s="560" t="s">
        <v>753</v>
      </c>
      <c r="F1634" s="18">
        <v>0</v>
      </c>
      <c r="G1634" s="18" t="s">
        <v>73</v>
      </c>
      <c r="H1634" s="335">
        <f>ROUND(($F$1631)*(($F$1634)/($F$1632+$F$1633+$F$1634)),2)</f>
        <v>0</v>
      </c>
      <c r="I1634" s="335" t="s">
        <v>73</v>
      </c>
      <c r="J1634" s="337"/>
      <c r="K1634" s="680">
        <f t="shared" si="230"/>
        <v>0</v>
      </c>
      <c r="L1634" s="535"/>
      <c r="M1634" s="552" t="str">
        <f t="shared" si="227"/>
        <v/>
      </c>
      <c r="N1634" s="552"/>
      <c r="O1634" s="552" t="str">
        <f t="shared" si="228"/>
        <v/>
      </c>
      <c r="P1634" s="39"/>
    </row>
    <row r="1635" spans="1:16" x14ac:dyDescent="0.35">
      <c r="A1635" s="535" t="str">
        <f t="shared" si="224"/>
        <v/>
      </c>
      <c r="B1635" s="330"/>
      <c r="C1635" s="330"/>
      <c r="D1635" s="355"/>
      <c r="E1635" s="549" t="s">
        <v>769</v>
      </c>
      <c r="F1635" s="378">
        <v>20</v>
      </c>
      <c r="G1635" s="378" t="s">
        <v>73</v>
      </c>
      <c r="H1635" s="515"/>
      <c r="I1635" s="356"/>
      <c r="J1635" s="515"/>
      <c r="K1635" s="684"/>
      <c r="L1635" s="535"/>
      <c r="M1635" s="552" t="str">
        <f t="shared" si="227"/>
        <v/>
      </c>
      <c r="N1635" s="552"/>
      <c r="O1635" s="552" t="str">
        <f t="shared" si="228"/>
        <v/>
      </c>
      <c r="P1635" s="39"/>
    </row>
    <row r="1636" spans="1:16" x14ac:dyDescent="0.35">
      <c r="A1636" s="535" t="str">
        <f t="shared" si="224"/>
        <v/>
      </c>
      <c r="B1636" s="337"/>
      <c r="C1636" s="337"/>
      <c r="D1636" s="326" t="s">
        <v>521</v>
      </c>
      <c r="E1636" s="360" t="s">
        <v>906</v>
      </c>
      <c r="F1636" s="18">
        <v>200</v>
      </c>
      <c r="G1636" s="18" t="s">
        <v>73</v>
      </c>
      <c r="H1636" s="335">
        <f>ROUND(($F$1635)*(($F$1636)/((($F$1637)*(($F$1638)/($F$1638+$F$1639)))+(($F$1637)*(($F$1639)/($F$1638+$F$1639)))+($F$1636))),2)</f>
        <v>17.39</v>
      </c>
      <c r="I1636" s="335" t="s">
        <v>73</v>
      </c>
      <c r="J1636" s="337"/>
      <c r="K1636" s="680">
        <f t="shared" si="230"/>
        <v>295.63</v>
      </c>
      <c r="L1636" s="535"/>
      <c r="M1636" s="552" t="str">
        <f t="shared" si="227"/>
        <v/>
      </c>
      <c r="N1636" s="552"/>
      <c r="O1636" s="552" t="str">
        <f t="shared" si="228"/>
        <v/>
      </c>
      <c r="P1636" s="39"/>
    </row>
    <row r="1637" spans="1:16" x14ac:dyDescent="0.35">
      <c r="A1637" s="535" t="str">
        <f t="shared" si="224"/>
        <v/>
      </c>
      <c r="B1637" s="330"/>
      <c r="C1637" s="330"/>
      <c r="D1637" s="355"/>
      <c r="E1637" s="567" t="s">
        <v>770</v>
      </c>
      <c r="F1637" s="378">
        <v>30</v>
      </c>
      <c r="G1637" s="378" t="s">
        <v>73</v>
      </c>
      <c r="H1637" s="356"/>
      <c r="I1637" s="356"/>
      <c r="J1637" s="515"/>
      <c r="K1637" s="684"/>
      <c r="L1637" s="535"/>
      <c r="M1637" s="552" t="str">
        <f t="shared" si="227"/>
        <v/>
      </c>
      <c r="N1637" s="552"/>
      <c r="O1637" s="552" t="str">
        <f t="shared" si="228"/>
        <v/>
      </c>
      <c r="P1637" s="39"/>
    </row>
    <row r="1638" spans="1:16" x14ac:dyDescent="0.35">
      <c r="A1638" s="535" t="str">
        <f t="shared" si="224"/>
        <v/>
      </c>
      <c r="B1638" s="337"/>
      <c r="C1638" s="337"/>
      <c r="D1638" s="326" t="s">
        <v>537</v>
      </c>
      <c r="E1638" s="560" t="s">
        <v>771</v>
      </c>
      <c r="F1638" s="18">
        <v>1</v>
      </c>
      <c r="G1638" s="18" t="s">
        <v>73</v>
      </c>
      <c r="H1638" s="335">
        <f>ROUND(($F$1635)*((($F$1637)*(($F$1638)/($F$1638+$F$1639)))
/((($F$1637)*(($F$1638)/($F$1638+$F$1639)))+(($F$1637)*(($F$1639)/($F$1638+$F$1639)))+($F$1636))),2)</f>
        <v>0.03</v>
      </c>
      <c r="I1638" s="335" t="s">
        <v>73</v>
      </c>
      <c r="J1638" s="337"/>
      <c r="K1638" s="680">
        <f t="shared" si="230"/>
        <v>0.51</v>
      </c>
      <c r="L1638" s="535"/>
      <c r="M1638" s="552" t="str">
        <f t="shared" si="227"/>
        <v/>
      </c>
      <c r="N1638" s="552"/>
      <c r="O1638" s="552" t="str">
        <f t="shared" si="228"/>
        <v/>
      </c>
      <c r="P1638" s="39"/>
    </row>
    <row r="1639" spans="1:16" x14ac:dyDescent="0.35">
      <c r="A1639" s="535" t="str">
        <f t="shared" si="224"/>
        <v/>
      </c>
      <c r="B1639" s="330"/>
      <c r="C1639" s="330"/>
      <c r="D1639" s="571"/>
      <c r="E1639" s="656" t="s">
        <v>81</v>
      </c>
      <c r="F1639" s="493">
        <v>100</v>
      </c>
      <c r="G1639" s="493" t="s">
        <v>73</v>
      </c>
      <c r="H1639" s="466">
        <f>ROUND(($F$1635)*((($F$1637)*(($F$1639)/($F$1638+$F$1639)))
/((($F$1637)*(($F$1638)/($F$1638+$F$1639)))+(($F$1637)*(($F$1639)/($F$1638+$F$1639)))+($F$1636))),2)</f>
        <v>2.58</v>
      </c>
      <c r="I1639" s="466"/>
      <c r="J1639" s="573"/>
      <c r="K1639" s="693"/>
      <c r="L1639" s="535"/>
      <c r="M1639" s="552" t="str">
        <f t="shared" si="227"/>
        <v/>
      </c>
      <c r="N1639" s="552"/>
      <c r="O1639" s="552" t="str">
        <f t="shared" si="228"/>
        <v/>
      </c>
      <c r="P1639" s="39"/>
    </row>
    <row r="1640" spans="1:16" x14ac:dyDescent="0.35">
      <c r="A1640" s="535" t="str">
        <f t="shared" si="224"/>
        <v/>
      </c>
      <c r="B1640" s="337"/>
      <c r="C1640" s="337"/>
      <c r="D1640" s="355"/>
      <c r="E1640" s="355" t="s">
        <v>863</v>
      </c>
      <c r="F1640" s="356">
        <v>7</v>
      </c>
      <c r="G1640" s="356" t="s">
        <v>73</v>
      </c>
      <c r="H1640" s="515"/>
      <c r="I1640" s="356"/>
      <c r="J1640" s="515"/>
      <c r="K1640" s="684"/>
      <c r="L1640" s="535"/>
      <c r="M1640" s="552" t="str">
        <f t="shared" si="227"/>
        <v/>
      </c>
      <c r="N1640" s="552"/>
      <c r="O1640" s="552" t="str">
        <f t="shared" si="228"/>
        <v/>
      </c>
      <c r="P1640" s="39"/>
    </row>
    <row r="1641" spans="1:16" x14ac:dyDescent="0.35">
      <c r="A1641" s="535" t="str">
        <f t="shared" si="224"/>
        <v/>
      </c>
      <c r="B1641" s="330"/>
      <c r="C1641" s="330"/>
      <c r="D1641" s="326" t="s">
        <v>59</v>
      </c>
      <c r="E1641" s="366" t="s">
        <v>864</v>
      </c>
      <c r="F1641" s="328">
        <v>100</v>
      </c>
      <c r="G1641" s="328" t="s">
        <v>73</v>
      </c>
      <c r="H1641" s="22">
        <f>ROUND(($F$1640)*((F1641)/($F$1641+$F$1642+$F$1643+$F$1644+$F$1645)),2)</f>
        <v>4.7300000000000004</v>
      </c>
      <c r="I1641" s="328" t="s">
        <v>73</v>
      </c>
      <c r="J1641" s="330"/>
      <c r="K1641" s="681">
        <f t="shared" si="230"/>
        <v>80.410000000000011</v>
      </c>
      <c r="L1641" s="535"/>
      <c r="M1641" s="552" t="str">
        <f t="shared" si="227"/>
        <v/>
      </c>
      <c r="N1641" s="552"/>
      <c r="O1641" s="552" t="str">
        <f t="shared" si="228"/>
        <v/>
      </c>
      <c r="P1641" s="39"/>
    </row>
    <row r="1642" spans="1:16" x14ac:dyDescent="0.35">
      <c r="A1642" s="535" t="str">
        <f t="shared" si="224"/>
        <v/>
      </c>
      <c r="B1642" s="337"/>
      <c r="C1642" s="337"/>
      <c r="D1642" s="326" t="s">
        <v>45</v>
      </c>
      <c r="E1642" s="360" t="s">
        <v>321</v>
      </c>
      <c r="F1642" s="335">
        <v>3</v>
      </c>
      <c r="G1642" s="335" t="s">
        <v>73</v>
      </c>
      <c r="H1642" s="18">
        <f t="shared" ref="H1642:H1645" si="231">ROUND(($F$1640)*((F1642)/($F$1641+$F$1642+$F$1643+$F$1644+$F$1645)),2)</f>
        <v>0.14000000000000001</v>
      </c>
      <c r="I1642" s="335" t="s">
        <v>73</v>
      </c>
      <c r="J1642" s="337"/>
      <c r="K1642" s="680">
        <f t="shared" si="230"/>
        <v>2.3800000000000003</v>
      </c>
      <c r="L1642" s="535"/>
      <c r="M1642" s="552" t="str">
        <f t="shared" si="227"/>
        <v/>
      </c>
      <c r="N1642" s="552"/>
      <c r="O1642" s="552" t="str">
        <f t="shared" si="228"/>
        <v/>
      </c>
      <c r="P1642" s="39"/>
    </row>
    <row r="1643" spans="1:16" x14ac:dyDescent="0.35">
      <c r="A1643" s="535" t="str">
        <f t="shared" si="224"/>
        <v/>
      </c>
      <c r="B1643" s="330"/>
      <c r="C1643" s="330"/>
      <c r="D1643" s="326" t="s">
        <v>42</v>
      </c>
      <c r="E1643" s="366" t="s">
        <v>330</v>
      </c>
      <c r="F1643" s="328">
        <v>3</v>
      </c>
      <c r="G1643" s="328" t="s">
        <v>73</v>
      </c>
      <c r="H1643" s="22">
        <f t="shared" si="231"/>
        <v>0.14000000000000001</v>
      </c>
      <c r="I1643" s="328" t="s">
        <v>73</v>
      </c>
      <c r="J1643" s="330"/>
      <c r="K1643" s="681">
        <f t="shared" si="230"/>
        <v>2.3800000000000003</v>
      </c>
      <c r="L1643" s="535"/>
      <c r="M1643" s="552" t="str">
        <f t="shared" si="227"/>
        <v/>
      </c>
      <c r="N1643" s="552"/>
      <c r="O1643" s="552" t="str">
        <f t="shared" si="228"/>
        <v/>
      </c>
      <c r="P1643" s="39"/>
    </row>
    <row r="1644" spans="1:16" x14ac:dyDescent="0.35">
      <c r="A1644" s="535" t="str">
        <f t="shared" si="224"/>
        <v/>
      </c>
      <c r="B1644" s="337"/>
      <c r="C1644" s="337"/>
      <c r="D1644" s="326" t="s">
        <v>333</v>
      </c>
      <c r="E1644" s="360" t="s">
        <v>334</v>
      </c>
      <c r="F1644" s="335">
        <v>6</v>
      </c>
      <c r="G1644" s="335" t="s">
        <v>73</v>
      </c>
      <c r="H1644" s="18">
        <f t="shared" si="231"/>
        <v>0.28000000000000003</v>
      </c>
      <c r="I1644" s="335" t="s">
        <v>73</v>
      </c>
      <c r="J1644" s="337"/>
      <c r="K1644" s="680">
        <f t="shared" si="230"/>
        <v>4.7600000000000007</v>
      </c>
      <c r="L1644" s="535"/>
      <c r="M1644" s="552" t="str">
        <f t="shared" si="227"/>
        <v/>
      </c>
      <c r="N1644" s="552"/>
      <c r="O1644" s="552" t="str">
        <f t="shared" si="228"/>
        <v/>
      </c>
      <c r="P1644" s="39"/>
    </row>
    <row r="1645" spans="1:16" x14ac:dyDescent="0.35">
      <c r="A1645" s="535" t="str">
        <f t="shared" si="224"/>
        <v/>
      </c>
      <c r="B1645" s="330"/>
      <c r="C1645" s="330"/>
      <c r="D1645" s="571"/>
      <c r="E1645" s="572" t="s">
        <v>65</v>
      </c>
      <c r="F1645" s="466">
        <v>36</v>
      </c>
      <c r="G1645" s="466" t="s">
        <v>73</v>
      </c>
      <c r="H1645" s="493">
        <f t="shared" si="231"/>
        <v>1.7</v>
      </c>
      <c r="I1645" s="466"/>
      <c r="J1645" s="573"/>
      <c r="K1645" s="693"/>
      <c r="L1645" s="535"/>
      <c r="M1645" s="552" t="str">
        <f t="shared" ref="M1645" si="232">IF(Q1646&gt;0, Q1646, "")</f>
        <v/>
      </c>
      <c r="N1645" s="552"/>
      <c r="O1645" s="552" t="str">
        <f t="shared" ref="O1645" si="233">IF(V1647&gt;0, V1647, "")</f>
        <v/>
      </c>
      <c r="P1645" s="39"/>
    </row>
    <row r="1646" spans="1:16" x14ac:dyDescent="0.35">
      <c r="A1646" s="535" t="str">
        <f t="shared" ref="A1646:A1663" si="234">IFERROR(INDEX($Q$17:$Q$41,MATCH(B1646,$R$17:$R$41, 0)), "")</f>
        <v/>
      </c>
      <c r="B1646" s="337"/>
      <c r="C1646" s="337"/>
      <c r="D1646" s="539"/>
      <c r="E1646" s="355" t="s">
        <v>84</v>
      </c>
      <c r="F1646" s="378">
        <v>20</v>
      </c>
      <c r="G1646" s="378" t="s">
        <v>73</v>
      </c>
      <c r="H1646" s="515"/>
      <c r="I1646" s="356"/>
      <c r="J1646" s="515"/>
      <c r="K1646" s="684"/>
      <c r="L1646" s="535"/>
      <c r="M1646" s="552" t="str">
        <f t="shared" ref="M1646:M1684" si="235">IF(Q1648&gt;0, Q1648, "")</f>
        <v/>
      </c>
      <c r="N1646" s="552"/>
      <c r="O1646" s="552" t="str">
        <f t="shared" ref="O1646:O1684" si="236">IF(V1649&gt;0, V1649, "")</f>
        <v/>
      </c>
      <c r="P1646" s="39"/>
    </row>
    <row r="1647" spans="1:16" x14ac:dyDescent="0.35">
      <c r="A1647" s="535" t="str">
        <f t="shared" si="234"/>
        <v/>
      </c>
      <c r="B1647" s="330"/>
      <c r="C1647" s="330"/>
      <c r="D1647" s="539"/>
      <c r="E1647" s="416" t="s">
        <v>26</v>
      </c>
      <c r="F1647" s="378">
        <v>1000</v>
      </c>
      <c r="G1647" s="378" t="s">
        <v>73</v>
      </c>
      <c r="H1647" s="515"/>
      <c r="I1647" s="356"/>
      <c r="J1647" s="515"/>
      <c r="K1647" s="684"/>
      <c r="L1647" s="535"/>
      <c r="M1647" s="552" t="str">
        <f t="shared" si="235"/>
        <v/>
      </c>
      <c r="N1647" s="552"/>
      <c r="O1647" s="552" t="str">
        <f t="shared" si="236"/>
        <v/>
      </c>
      <c r="P1647" s="39"/>
    </row>
    <row r="1648" spans="1:16" x14ac:dyDescent="0.35">
      <c r="A1648" s="535" t="str">
        <f t="shared" si="234"/>
        <v/>
      </c>
      <c r="B1648" s="337"/>
      <c r="C1648" s="337"/>
      <c r="D1648" s="417" t="s">
        <v>60</v>
      </c>
      <c r="E1648" s="614" t="s">
        <v>121</v>
      </c>
      <c r="F1648" s="18">
        <v>1000</v>
      </c>
      <c r="G1648" s="18" t="s">
        <v>73</v>
      </c>
      <c r="H1648" s="335">
        <f>ROUND(($F$1646)*((($F$1647)*(($F$1648)/($F$1648+$F$1649)))
/((($F$1647)*(($F$1648)/($F$1648+$F$1649)))+(($F$1647)*(($F$1649)/($F$1648+$F$1649)))+($F$1651)+($F$1652))),2)</f>
        <v>13.39</v>
      </c>
      <c r="I1648" s="335" t="s">
        <v>73</v>
      </c>
      <c r="J1648" s="337"/>
      <c r="K1648" s="680">
        <f t="shared" si="230"/>
        <v>227.63</v>
      </c>
      <c r="L1648" s="535"/>
      <c r="M1648" s="552" t="str">
        <f t="shared" si="235"/>
        <v/>
      </c>
      <c r="N1648" s="552"/>
      <c r="O1648" s="552" t="str">
        <f t="shared" si="236"/>
        <v/>
      </c>
      <c r="P1648" s="39"/>
    </row>
    <row r="1649" spans="1:16" x14ac:dyDescent="0.35">
      <c r="A1649" s="535" t="str">
        <f t="shared" si="234"/>
        <v/>
      </c>
      <c r="B1649" s="330"/>
      <c r="C1649" s="330"/>
      <c r="D1649" s="417" t="s">
        <v>43</v>
      </c>
      <c r="E1649" s="475" t="s">
        <v>94</v>
      </c>
      <c r="F1649" s="22">
        <v>30</v>
      </c>
      <c r="G1649" s="22" t="s">
        <v>73</v>
      </c>
      <c r="H1649" s="328">
        <f>ROUND(($F$1646)*((($F$1647)*(($F$1649)/($F$1648+$F$1649)))
/((($F$1647)*(($F$1648)/($F$1648+$F$1649)))+(($F$1647)*(($F$1649)/($F$1648+$F$1649)))+($F$1651)+($F$1652))),2)</f>
        <v>0.4</v>
      </c>
      <c r="I1649" s="328" t="s">
        <v>73</v>
      </c>
      <c r="J1649" s="330"/>
      <c r="K1649" s="681">
        <f t="shared" si="230"/>
        <v>6.8000000000000007</v>
      </c>
      <c r="L1649" s="535"/>
      <c r="M1649" s="552" t="str">
        <f t="shared" si="235"/>
        <v/>
      </c>
      <c r="N1649" s="552"/>
      <c r="O1649" s="552" t="str">
        <f t="shared" si="236"/>
        <v/>
      </c>
      <c r="P1649" s="39"/>
    </row>
    <row r="1650" spans="1:16" x14ac:dyDescent="0.35">
      <c r="A1650" s="535" t="str">
        <f t="shared" si="234"/>
        <v/>
      </c>
      <c r="B1650" s="337"/>
      <c r="C1650" s="337"/>
      <c r="D1650" s="420"/>
      <c r="E1650" s="421" t="s">
        <v>81</v>
      </c>
      <c r="F1650" s="404">
        <v>400</v>
      </c>
      <c r="G1650" s="404" t="s">
        <v>73</v>
      </c>
      <c r="H1650" s="343"/>
      <c r="I1650" s="343"/>
      <c r="J1650" s="345"/>
      <c r="K1650" s="685"/>
      <c r="L1650" s="535"/>
      <c r="M1650" s="552" t="str">
        <f t="shared" si="235"/>
        <v/>
      </c>
      <c r="N1650" s="552"/>
      <c r="O1650" s="552" t="str">
        <f t="shared" si="236"/>
        <v/>
      </c>
      <c r="P1650" s="39"/>
    </row>
    <row r="1651" spans="1:16" x14ac:dyDescent="0.35">
      <c r="A1651" s="535" t="str">
        <f t="shared" si="234"/>
        <v/>
      </c>
      <c r="B1651" s="330"/>
      <c r="C1651" s="330"/>
      <c r="D1651" s="417" t="s">
        <v>59</v>
      </c>
      <c r="E1651" s="426" t="s">
        <v>27</v>
      </c>
      <c r="F1651" s="22">
        <v>350</v>
      </c>
      <c r="G1651" s="22" t="s">
        <v>73</v>
      </c>
      <c r="H1651" s="328">
        <f>ROUND(($F$1646)*((F1651)/((($F$1647)*(($F$1648)/($F$1648+$F$1649)))+(($F$1647)*(($F$1649)/($F$1648+$F$1649)))+($F$1651)+($F$1652))),2)</f>
        <v>4.83</v>
      </c>
      <c r="I1651" s="328" t="s">
        <v>73</v>
      </c>
      <c r="J1651" s="330"/>
      <c r="K1651" s="681">
        <f t="shared" si="230"/>
        <v>82.11</v>
      </c>
      <c r="L1651" s="535"/>
      <c r="M1651" s="552" t="str">
        <f t="shared" si="235"/>
        <v/>
      </c>
      <c r="N1651" s="552"/>
      <c r="O1651" s="552" t="str">
        <f t="shared" si="236"/>
        <v/>
      </c>
      <c r="P1651" s="39"/>
    </row>
    <row r="1652" spans="1:16" x14ac:dyDescent="0.35">
      <c r="A1652" s="535" t="str">
        <f t="shared" si="234"/>
        <v/>
      </c>
      <c r="B1652" s="337"/>
      <c r="C1652" s="337"/>
      <c r="D1652" s="417" t="s">
        <v>48</v>
      </c>
      <c r="E1652" s="425" t="s">
        <v>91</v>
      </c>
      <c r="F1652" s="18">
        <v>100</v>
      </c>
      <c r="G1652" s="18" t="s">
        <v>73</v>
      </c>
      <c r="H1652" s="335">
        <f>ROUND(($F$1646)*((F1652)/((($F$1647)*(($F$1648)/($F$1648+$F$1649)))+(($F$1647)*(($F$1649)/($F$1648+$F$1649)))+($F$1651)+($F$1652))),2)</f>
        <v>1.38</v>
      </c>
      <c r="I1652" s="335" t="s">
        <v>73</v>
      </c>
      <c r="J1652" s="337"/>
      <c r="K1652" s="680">
        <f t="shared" si="230"/>
        <v>23.459999999999997</v>
      </c>
      <c r="L1652" s="535"/>
      <c r="M1652" s="552" t="str">
        <f t="shared" si="235"/>
        <v/>
      </c>
      <c r="N1652" s="552"/>
      <c r="O1652" s="552" t="str">
        <f t="shared" si="236"/>
        <v/>
      </c>
      <c r="P1652" s="39"/>
    </row>
    <row r="1653" spans="1:16" x14ac:dyDescent="0.35">
      <c r="A1653" s="535" t="str">
        <f t="shared" si="234"/>
        <v/>
      </c>
      <c r="B1653" s="330"/>
      <c r="C1653" s="330"/>
      <c r="D1653" s="355"/>
      <c r="E1653" s="355" t="s">
        <v>973</v>
      </c>
      <c r="F1653" s="356">
        <v>40</v>
      </c>
      <c r="G1653" s="356" t="s">
        <v>73</v>
      </c>
      <c r="H1653" s="515"/>
      <c r="I1653" s="356"/>
      <c r="J1653" s="515"/>
      <c r="K1653" s="684"/>
      <c r="L1653" s="535"/>
      <c r="M1653" s="552" t="str">
        <f t="shared" si="235"/>
        <v/>
      </c>
      <c r="N1653" s="552"/>
      <c r="O1653" s="552" t="str">
        <f t="shared" si="236"/>
        <v/>
      </c>
      <c r="P1653" s="39"/>
    </row>
    <row r="1654" spans="1:16" x14ac:dyDescent="0.35">
      <c r="A1654" s="535" t="str">
        <f t="shared" si="234"/>
        <v/>
      </c>
      <c r="B1654" s="337"/>
      <c r="C1654" s="337"/>
      <c r="D1654" s="326" t="s">
        <v>47</v>
      </c>
      <c r="E1654" s="425" t="s">
        <v>740</v>
      </c>
      <c r="F1654" s="18">
        <v>3</v>
      </c>
      <c r="G1654" s="18" t="s">
        <v>73</v>
      </c>
      <c r="H1654" s="335">
        <f>ROUND(($F$1653)*((F1654)/($F$1654+$F$1655+$F$1656+$F$1657+$F$1658+$F$1659+$F$1660+$F$1661+$F$1662)),2)</f>
        <v>0.43</v>
      </c>
      <c r="I1654" s="335" t="s">
        <v>73</v>
      </c>
      <c r="J1654" s="337"/>
      <c r="K1654" s="680">
        <f t="shared" si="230"/>
        <v>7.31</v>
      </c>
      <c r="L1654" s="535"/>
      <c r="M1654" s="552" t="str">
        <f t="shared" si="235"/>
        <v/>
      </c>
      <c r="N1654" s="552"/>
      <c r="O1654" s="552" t="str">
        <f t="shared" si="236"/>
        <v/>
      </c>
      <c r="P1654" s="39"/>
    </row>
    <row r="1655" spans="1:16" x14ac:dyDescent="0.35">
      <c r="A1655" s="535" t="str">
        <f t="shared" si="234"/>
        <v/>
      </c>
      <c r="B1655" s="330"/>
      <c r="C1655" s="330"/>
      <c r="D1655" s="326" t="s">
        <v>49</v>
      </c>
      <c r="E1655" s="426" t="s">
        <v>916</v>
      </c>
      <c r="F1655" s="22">
        <v>8</v>
      </c>
      <c r="G1655" s="22" t="s">
        <v>73</v>
      </c>
      <c r="H1655" s="328">
        <f t="shared" ref="H1655:H1662" si="237">ROUND(($F$1653)*((F1655)/($F$1654+$F$1655+$F$1656+$F$1657+$F$1658+$F$1659+$F$1660+$F$1661+$F$1662)),2)</f>
        <v>1.1599999999999999</v>
      </c>
      <c r="I1655" s="328" t="s">
        <v>73</v>
      </c>
      <c r="J1655" s="330"/>
      <c r="K1655" s="681">
        <f t="shared" si="230"/>
        <v>19.72</v>
      </c>
      <c r="L1655" s="535"/>
      <c r="M1655" s="552" t="str">
        <f t="shared" si="235"/>
        <v/>
      </c>
      <c r="N1655" s="552"/>
      <c r="O1655" s="552" t="str">
        <f t="shared" si="236"/>
        <v/>
      </c>
      <c r="P1655" s="39"/>
    </row>
    <row r="1656" spans="1:16" x14ac:dyDescent="0.35">
      <c r="A1656" s="535" t="str">
        <f t="shared" si="234"/>
        <v/>
      </c>
      <c r="B1656" s="337"/>
      <c r="C1656" s="337"/>
      <c r="D1656" s="326" t="s">
        <v>50</v>
      </c>
      <c r="E1656" s="425" t="s">
        <v>917</v>
      </c>
      <c r="F1656" s="18">
        <v>40</v>
      </c>
      <c r="G1656" s="18" t="s">
        <v>73</v>
      </c>
      <c r="H1656" s="335">
        <f t="shared" si="237"/>
        <v>5.79</v>
      </c>
      <c r="I1656" s="335" t="s">
        <v>73</v>
      </c>
      <c r="J1656" s="337"/>
      <c r="K1656" s="680">
        <f t="shared" si="230"/>
        <v>98.43</v>
      </c>
      <c r="L1656" s="535"/>
      <c r="M1656" s="552" t="str">
        <f t="shared" si="235"/>
        <v/>
      </c>
      <c r="N1656" s="552"/>
      <c r="O1656" s="552" t="str">
        <f t="shared" si="236"/>
        <v/>
      </c>
      <c r="P1656" s="39"/>
    </row>
    <row r="1657" spans="1:16" x14ac:dyDescent="0.35">
      <c r="A1657" s="535" t="str">
        <f t="shared" si="234"/>
        <v/>
      </c>
      <c r="B1657" s="330"/>
      <c r="C1657" s="330"/>
      <c r="D1657" s="326" t="s">
        <v>371</v>
      </c>
      <c r="E1657" s="426" t="s">
        <v>918</v>
      </c>
      <c r="F1657" s="22">
        <v>20</v>
      </c>
      <c r="G1657" s="22" t="s">
        <v>73</v>
      </c>
      <c r="H1657" s="328">
        <f t="shared" si="237"/>
        <v>2.89</v>
      </c>
      <c r="I1657" s="328" t="s">
        <v>73</v>
      </c>
      <c r="J1657" s="330"/>
      <c r="K1657" s="681">
        <f t="shared" si="230"/>
        <v>49.13</v>
      </c>
      <c r="L1657" s="535"/>
      <c r="M1657" s="552" t="str">
        <f t="shared" si="235"/>
        <v/>
      </c>
      <c r="N1657" s="552"/>
      <c r="O1657" s="552" t="str">
        <f t="shared" si="236"/>
        <v/>
      </c>
      <c r="P1657" s="39"/>
    </row>
    <row r="1658" spans="1:16" x14ac:dyDescent="0.35">
      <c r="A1658" s="535" t="str">
        <f t="shared" si="234"/>
        <v/>
      </c>
      <c r="B1658" s="337"/>
      <c r="C1658" s="337"/>
      <c r="D1658" s="326" t="s">
        <v>379</v>
      </c>
      <c r="E1658" s="425" t="s">
        <v>919</v>
      </c>
      <c r="F1658" s="18">
        <v>10</v>
      </c>
      <c r="G1658" s="18" t="s">
        <v>73</v>
      </c>
      <c r="H1658" s="335">
        <f t="shared" si="237"/>
        <v>1.45</v>
      </c>
      <c r="I1658" s="335" t="s">
        <v>73</v>
      </c>
      <c r="J1658" s="337"/>
      <c r="K1658" s="680">
        <f t="shared" si="230"/>
        <v>24.65</v>
      </c>
      <c r="L1658" s="535"/>
      <c r="M1658" s="552" t="str">
        <f t="shared" si="235"/>
        <v/>
      </c>
      <c r="N1658" s="552"/>
      <c r="O1658" s="552" t="str">
        <f t="shared" si="236"/>
        <v/>
      </c>
      <c r="P1658" s="39"/>
    </row>
    <row r="1659" spans="1:16" x14ac:dyDescent="0.35">
      <c r="A1659" s="535" t="str">
        <f t="shared" si="234"/>
        <v/>
      </c>
      <c r="B1659" s="330"/>
      <c r="C1659" s="330"/>
      <c r="D1659" s="326" t="s">
        <v>505</v>
      </c>
      <c r="E1659" s="426" t="s">
        <v>722</v>
      </c>
      <c r="F1659" s="22">
        <v>0.5</v>
      </c>
      <c r="G1659" s="22" t="s">
        <v>73</v>
      </c>
      <c r="H1659" s="328">
        <f t="shared" si="237"/>
        <v>7.0000000000000007E-2</v>
      </c>
      <c r="I1659" s="328" t="s">
        <v>73</v>
      </c>
      <c r="J1659" s="330"/>
      <c r="K1659" s="681">
        <f t="shared" si="230"/>
        <v>1.1900000000000002</v>
      </c>
      <c r="L1659" s="535"/>
      <c r="M1659" s="552" t="str">
        <f t="shared" si="235"/>
        <v/>
      </c>
      <c r="N1659" s="552"/>
      <c r="O1659" s="552" t="str">
        <f t="shared" si="236"/>
        <v/>
      </c>
      <c r="P1659" s="39"/>
    </row>
    <row r="1660" spans="1:16" x14ac:dyDescent="0.35">
      <c r="A1660" s="535" t="str">
        <f t="shared" si="234"/>
        <v/>
      </c>
      <c r="B1660" s="337"/>
      <c r="C1660" s="337"/>
      <c r="D1660" s="326" t="s">
        <v>41</v>
      </c>
      <c r="E1660" s="425" t="s">
        <v>911</v>
      </c>
      <c r="F1660" s="18">
        <v>2</v>
      </c>
      <c r="G1660" s="18" t="s">
        <v>73</v>
      </c>
      <c r="H1660" s="335">
        <f t="shared" si="237"/>
        <v>0.28999999999999998</v>
      </c>
      <c r="I1660" s="335" t="s">
        <v>73</v>
      </c>
      <c r="J1660" s="337"/>
      <c r="K1660" s="680">
        <f t="shared" si="230"/>
        <v>4.93</v>
      </c>
      <c r="L1660" s="535"/>
      <c r="M1660" s="552" t="str">
        <f t="shared" si="235"/>
        <v/>
      </c>
      <c r="N1660" s="552"/>
      <c r="O1660" s="552" t="str">
        <f t="shared" si="236"/>
        <v/>
      </c>
      <c r="P1660" s="39"/>
    </row>
    <row r="1661" spans="1:16" x14ac:dyDescent="0.35">
      <c r="A1661" s="535" t="str">
        <f t="shared" si="234"/>
        <v/>
      </c>
      <c r="B1661" s="330"/>
      <c r="C1661" s="330"/>
      <c r="D1661" s="326" t="s">
        <v>127</v>
      </c>
      <c r="E1661" s="426" t="s">
        <v>912</v>
      </c>
      <c r="F1661" s="22">
        <v>28</v>
      </c>
      <c r="G1661" s="22" t="s">
        <v>73</v>
      </c>
      <c r="H1661" s="328">
        <f t="shared" si="237"/>
        <v>4.05</v>
      </c>
      <c r="I1661" s="328" t="s">
        <v>73</v>
      </c>
      <c r="J1661" s="330"/>
      <c r="K1661" s="681">
        <f t="shared" si="230"/>
        <v>68.849999999999994</v>
      </c>
      <c r="L1661" s="535"/>
      <c r="M1661" s="552" t="str">
        <f t="shared" si="235"/>
        <v/>
      </c>
      <c r="N1661" s="552"/>
      <c r="O1661" s="552" t="str">
        <f t="shared" si="236"/>
        <v/>
      </c>
      <c r="P1661" s="39"/>
    </row>
    <row r="1662" spans="1:16" x14ac:dyDescent="0.35">
      <c r="A1662" s="535" t="str">
        <f t="shared" si="234"/>
        <v/>
      </c>
      <c r="B1662" s="337"/>
      <c r="C1662" s="337"/>
      <c r="D1662" s="326" t="s">
        <v>549</v>
      </c>
      <c r="E1662" s="425" t="s">
        <v>915</v>
      </c>
      <c r="F1662" s="18">
        <v>165</v>
      </c>
      <c r="G1662" s="18" t="s">
        <v>73</v>
      </c>
      <c r="H1662" s="335">
        <f t="shared" si="237"/>
        <v>23.87</v>
      </c>
      <c r="I1662" s="335" t="s">
        <v>73</v>
      </c>
      <c r="J1662" s="337"/>
      <c r="K1662" s="680">
        <f t="shared" si="230"/>
        <v>405.79</v>
      </c>
      <c r="L1662" s="535"/>
      <c r="M1662" s="552" t="str">
        <f t="shared" si="235"/>
        <v/>
      </c>
      <c r="N1662" s="552"/>
      <c r="O1662" s="552" t="str">
        <f t="shared" si="236"/>
        <v/>
      </c>
      <c r="P1662" s="39"/>
    </row>
    <row r="1663" spans="1:16" x14ac:dyDescent="0.35">
      <c r="A1663" s="545" t="str">
        <f t="shared" si="234"/>
        <v/>
      </c>
      <c r="B1663" s="546"/>
      <c r="C1663" s="546"/>
      <c r="D1663" s="545"/>
      <c r="E1663" s="545"/>
      <c r="F1663" s="546"/>
      <c r="G1663" s="546"/>
      <c r="H1663" s="546"/>
      <c r="I1663" s="546"/>
      <c r="J1663" s="546"/>
      <c r="K1663" s="676"/>
      <c r="L1663" s="535"/>
      <c r="M1663" s="552" t="str">
        <f t="shared" si="235"/>
        <v/>
      </c>
      <c r="N1663" s="552"/>
      <c r="O1663" s="552" t="str">
        <f t="shared" si="236"/>
        <v/>
      </c>
      <c r="P1663" s="39"/>
    </row>
    <row r="1664" spans="1:16" x14ac:dyDescent="0.35">
      <c r="A1664" s="565">
        <f>IFERROR(INDEX($Q$17:$Q$201,MATCH(B1664,$R$17:$R$201, 0)), "")</f>
        <v>14</v>
      </c>
      <c r="B1664" s="382" t="s">
        <v>1264</v>
      </c>
      <c r="C1664" s="325" t="s">
        <v>977</v>
      </c>
      <c r="D1664" s="326" t="s">
        <v>505</v>
      </c>
      <c r="E1664" s="334" t="s">
        <v>806</v>
      </c>
      <c r="F1664" s="335">
        <v>0.3</v>
      </c>
      <c r="G1664" s="335" t="s">
        <v>73</v>
      </c>
      <c r="H1664" s="335">
        <v>0.3</v>
      </c>
      <c r="I1664" s="335" t="s">
        <v>73</v>
      </c>
      <c r="J1664" s="337"/>
      <c r="K1664" s="680">
        <f>($A$1664*H1664)</f>
        <v>4.2</v>
      </c>
      <c r="L1664" s="535"/>
      <c r="M1664" s="552" t="str">
        <f t="shared" si="235"/>
        <v/>
      </c>
      <c r="N1664" s="552"/>
      <c r="O1664" s="552" t="str">
        <f t="shared" si="236"/>
        <v/>
      </c>
      <c r="P1664" s="39"/>
    </row>
    <row r="1665" spans="1:16" x14ac:dyDescent="0.35">
      <c r="A1665" s="535" t="str">
        <f t="shared" ref="A1665:A1702" si="238">IFERROR(INDEX($Q$17:$Q$41,MATCH(B1665,$R$17:$R$41, 0)), "")</f>
        <v/>
      </c>
      <c r="B1665" s="330"/>
      <c r="C1665" s="330"/>
      <c r="D1665" s="326" t="s">
        <v>402</v>
      </c>
      <c r="E1665" s="327" t="s">
        <v>969</v>
      </c>
      <c r="F1665" s="328">
        <v>60</v>
      </c>
      <c r="G1665" s="328" t="s">
        <v>73</v>
      </c>
      <c r="H1665" s="328">
        <v>60</v>
      </c>
      <c r="I1665" s="328" t="s">
        <v>73</v>
      </c>
      <c r="J1665" s="330"/>
      <c r="K1665" s="681">
        <f>$A$1664*H1664</f>
        <v>4.2</v>
      </c>
      <c r="L1665" s="535"/>
      <c r="M1665" s="552" t="str">
        <f t="shared" si="235"/>
        <v/>
      </c>
      <c r="N1665" s="552"/>
      <c r="O1665" s="552" t="str">
        <f t="shared" si="236"/>
        <v/>
      </c>
      <c r="P1665" s="39"/>
    </row>
    <row r="1666" spans="1:16" x14ac:dyDescent="0.35">
      <c r="A1666" s="535" t="str">
        <f t="shared" si="238"/>
        <v/>
      </c>
      <c r="B1666" s="337"/>
      <c r="C1666" s="337"/>
      <c r="D1666" s="326" t="s">
        <v>392</v>
      </c>
      <c r="E1666" s="334" t="s">
        <v>798</v>
      </c>
      <c r="F1666" s="335">
        <v>0.3</v>
      </c>
      <c r="G1666" s="335" t="s">
        <v>73</v>
      </c>
      <c r="H1666" s="335">
        <v>0.3</v>
      </c>
      <c r="I1666" s="335" t="s">
        <v>73</v>
      </c>
      <c r="J1666" s="337"/>
      <c r="K1666" s="680">
        <f t="shared" ref="K1666:K1701" si="239">$A$1664*H1665</f>
        <v>840</v>
      </c>
      <c r="L1666" s="535"/>
      <c r="M1666" s="552" t="str">
        <f t="shared" si="235"/>
        <v/>
      </c>
      <c r="N1666" s="552"/>
      <c r="O1666" s="552" t="str">
        <f t="shared" si="236"/>
        <v/>
      </c>
      <c r="P1666" s="39"/>
    </row>
    <row r="1667" spans="1:16" x14ac:dyDescent="0.35">
      <c r="A1667" s="535" t="str">
        <f t="shared" si="238"/>
        <v/>
      </c>
      <c r="B1667" s="330"/>
      <c r="C1667" s="330"/>
      <c r="D1667" s="326" t="s">
        <v>398</v>
      </c>
      <c r="E1667" s="327" t="s">
        <v>965</v>
      </c>
      <c r="F1667" s="328">
        <v>8</v>
      </c>
      <c r="G1667" s="328" t="s">
        <v>73</v>
      </c>
      <c r="H1667" s="328">
        <v>8</v>
      </c>
      <c r="I1667" s="328" t="s">
        <v>73</v>
      </c>
      <c r="J1667" s="330"/>
      <c r="K1667" s="681">
        <f t="shared" si="239"/>
        <v>4.2</v>
      </c>
      <c r="L1667" s="535"/>
      <c r="M1667" s="552" t="str">
        <f t="shared" si="235"/>
        <v/>
      </c>
      <c r="N1667" s="552"/>
      <c r="O1667" s="552" t="str">
        <f t="shared" si="236"/>
        <v/>
      </c>
      <c r="P1667" s="39"/>
    </row>
    <row r="1668" spans="1:16" x14ac:dyDescent="0.35">
      <c r="A1668" s="535" t="str">
        <f t="shared" si="238"/>
        <v/>
      </c>
      <c r="B1668" s="337"/>
      <c r="C1668" s="337"/>
      <c r="D1668" s="326" t="s">
        <v>63</v>
      </c>
      <c r="E1668" s="334" t="s">
        <v>978</v>
      </c>
      <c r="F1668" s="335">
        <v>90</v>
      </c>
      <c r="G1668" s="335" t="s">
        <v>73</v>
      </c>
      <c r="H1668" s="335">
        <v>90</v>
      </c>
      <c r="I1668" s="335" t="s">
        <v>73</v>
      </c>
      <c r="J1668" s="337"/>
      <c r="K1668" s="680">
        <f t="shared" si="239"/>
        <v>112</v>
      </c>
      <c r="L1668" s="535"/>
      <c r="M1668" s="552" t="str">
        <f t="shared" si="235"/>
        <v/>
      </c>
      <c r="N1668" s="552"/>
      <c r="O1668" s="552" t="str">
        <f t="shared" si="236"/>
        <v/>
      </c>
      <c r="P1668" s="39"/>
    </row>
    <row r="1669" spans="1:16" x14ac:dyDescent="0.35">
      <c r="A1669" s="535" t="str">
        <f t="shared" si="238"/>
        <v/>
      </c>
      <c r="B1669" s="330"/>
      <c r="C1669" s="330"/>
      <c r="D1669" s="326" t="s">
        <v>129</v>
      </c>
      <c r="E1669" s="327" t="s">
        <v>130</v>
      </c>
      <c r="F1669" s="328">
        <v>50</v>
      </c>
      <c r="G1669" s="328" t="s">
        <v>73</v>
      </c>
      <c r="H1669" s="328">
        <v>50</v>
      </c>
      <c r="I1669" s="328" t="s">
        <v>73</v>
      </c>
      <c r="J1669" s="330"/>
      <c r="K1669" s="681">
        <f t="shared" si="239"/>
        <v>1260</v>
      </c>
      <c r="L1669" s="535"/>
      <c r="M1669" s="552" t="str">
        <f t="shared" si="235"/>
        <v/>
      </c>
      <c r="N1669" s="552"/>
      <c r="O1669" s="552" t="str">
        <f t="shared" si="236"/>
        <v/>
      </c>
      <c r="P1669" s="39"/>
    </row>
    <row r="1670" spans="1:16" x14ac:dyDescent="0.35">
      <c r="A1670" s="535" t="str">
        <f t="shared" si="238"/>
        <v/>
      </c>
      <c r="B1670" s="337"/>
      <c r="C1670" s="337"/>
      <c r="D1670" s="355"/>
      <c r="E1670" s="567" t="s">
        <v>754</v>
      </c>
      <c r="F1670" s="356">
        <v>160</v>
      </c>
      <c r="G1670" s="378" t="s">
        <v>73</v>
      </c>
      <c r="H1670" s="515"/>
      <c r="I1670" s="356"/>
      <c r="J1670" s="515"/>
      <c r="K1670" s="684"/>
      <c r="L1670" s="535"/>
      <c r="M1670" s="552" t="str">
        <f t="shared" si="235"/>
        <v/>
      </c>
      <c r="N1670" s="552"/>
      <c r="O1670" s="552" t="str">
        <f t="shared" si="236"/>
        <v/>
      </c>
      <c r="P1670" s="39"/>
    </row>
    <row r="1671" spans="1:16" x14ac:dyDescent="0.35">
      <c r="A1671" s="535" t="str">
        <f t="shared" si="238"/>
        <v/>
      </c>
      <c r="B1671" s="330"/>
      <c r="C1671" s="330"/>
      <c r="D1671" s="571"/>
      <c r="E1671" s="656" t="s">
        <v>81</v>
      </c>
      <c r="F1671" s="493">
        <v>1300</v>
      </c>
      <c r="G1671" s="493" t="s">
        <v>73</v>
      </c>
      <c r="H1671" s="466">
        <f>ROUND(($F$1670)*(($F$1671)/($F$1671+$F$1672+$F$1673)),2)</f>
        <v>90.43</v>
      </c>
      <c r="I1671" s="466"/>
      <c r="J1671" s="573"/>
      <c r="K1671" s="693"/>
      <c r="L1671" s="535"/>
      <c r="M1671" s="552" t="str">
        <f t="shared" si="235"/>
        <v/>
      </c>
      <c r="N1671" s="552"/>
      <c r="O1671" s="552" t="str">
        <f t="shared" si="236"/>
        <v/>
      </c>
      <c r="P1671" s="39"/>
    </row>
    <row r="1672" spans="1:16" x14ac:dyDescent="0.35">
      <c r="A1672" s="535" t="str">
        <f t="shared" si="238"/>
        <v/>
      </c>
      <c r="B1672" s="337"/>
      <c r="C1672" s="337"/>
      <c r="D1672" s="326" t="s">
        <v>1660</v>
      </c>
      <c r="E1672" s="560" t="s">
        <v>1897</v>
      </c>
      <c r="F1672" s="18">
        <v>1000</v>
      </c>
      <c r="G1672" s="18" t="s">
        <v>73</v>
      </c>
      <c r="H1672" s="335">
        <f>ROUND(($F$1670)*(($F$1672)/($F$1671+$F$1672+$F$1673)),2)</f>
        <v>69.569999999999993</v>
      </c>
      <c r="I1672" s="335" t="s">
        <v>73</v>
      </c>
      <c r="J1672" s="337"/>
      <c r="K1672" s="680">
        <f t="shared" si="239"/>
        <v>1266.02</v>
      </c>
      <c r="L1672" s="535"/>
      <c r="M1672" s="552" t="str">
        <f t="shared" si="235"/>
        <v/>
      </c>
      <c r="N1672" s="552"/>
      <c r="O1672" s="552" t="str">
        <f t="shared" si="236"/>
        <v/>
      </c>
      <c r="P1672" s="39"/>
    </row>
    <row r="1673" spans="1:16" x14ac:dyDescent="0.35">
      <c r="A1673" s="535" t="str">
        <f t="shared" si="238"/>
        <v/>
      </c>
      <c r="B1673" s="330"/>
      <c r="C1673" s="330"/>
      <c r="D1673" s="326"/>
      <c r="E1673" s="495" t="s">
        <v>753</v>
      </c>
      <c r="F1673" s="22">
        <v>0</v>
      </c>
      <c r="G1673" s="22" t="s">
        <v>73</v>
      </c>
      <c r="H1673" s="328">
        <f>ROUND(($F$1670)*(($F$1673)/($F$1671+$F$1672+$F$1673)),2)</f>
        <v>0</v>
      </c>
      <c r="I1673" s="328" t="s">
        <v>73</v>
      </c>
      <c r="J1673" s="330"/>
      <c r="K1673" s="681">
        <f t="shared" si="239"/>
        <v>973.9799999999999</v>
      </c>
      <c r="L1673" s="535"/>
      <c r="M1673" s="552" t="str">
        <f t="shared" si="235"/>
        <v/>
      </c>
      <c r="N1673" s="552"/>
      <c r="O1673" s="552" t="str">
        <f t="shared" si="236"/>
        <v/>
      </c>
      <c r="P1673" s="39"/>
    </row>
    <row r="1674" spans="1:16" x14ac:dyDescent="0.35">
      <c r="A1674" s="535" t="str">
        <f t="shared" si="238"/>
        <v/>
      </c>
      <c r="B1674" s="337"/>
      <c r="C1674" s="337"/>
      <c r="D1674" s="355"/>
      <c r="E1674" s="549" t="s">
        <v>769</v>
      </c>
      <c r="F1674" s="378">
        <v>20</v>
      </c>
      <c r="G1674" s="378" t="s">
        <v>73</v>
      </c>
      <c r="H1674" s="515"/>
      <c r="I1674" s="356"/>
      <c r="J1674" s="515"/>
      <c r="K1674" s="684"/>
      <c r="L1674" s="535"/>
      <c r="M1674" s="552" t="str">
        <f t="shared" si="235"/>
        <v/>
      </c>
      <c r="N1674" s="552"/>
      <c r="O1674" s="552" t="str">
        <f t="shared" si="236"/>
        <v/>
      </c>
      <c r="P1674" s="39"/>
    </row>
    <row r="1675" spans="1:16" x14ac:dyDescent="0.35">
      <c r="A1675" s="535" t="str">
        <f t="shared" si="238"/>
        <v/>
      </c>
      <c r="B1675" s="330"/>
      <c r="C1675" s="330"/>
      <c r="D1675" s="326" t="s">
        <v>521</v>
      </c>
      <c r="E1675" s="366" t="s">
        <v>906</v>
      </c>
      <c r="F1675" s="22">
        <v>200</v>
      </c>
      <c r="G1675" s="22" t="s">
        <v>73</v>
      </c>
      <c r="H1675" s="328">
        <f>ROUND(($F$1674)*(($F$1675)/((($F$1676)*(($F$1677)/($F$1677+$F$1678)))+(($F$1676)*(($F$1678)/($F$1677+$F$1678)))+($F$1675))),2)</f>
        <v>17.39</v>
      </c>
      <c r="I1675" s="328" t="s">
        <v>73</v>
      </c>
      <c r="J1675" s="330"/>
      <c r="K1675" s="681">
        <f t="shared" si="239"/>
        <v>0</v>
      </c>
      <c r="L1675" s="535"/>
      <c r="M1675" s="552" t="str">
        <f t="shared" si="235"/>
        <v/>
      </c>
      <c r="N1675" s="552"/>
      <c r="O1675" s="552" t="str">
        <f t="shared" si="236"/>
        <v/>
      </c>
      <c r="P1675" s="39"/>
    </row>
    <row r="1676" spans="1:16" x14ac:dyDescent="0.35">
      <c r="A1676" s="535" t="str">
        <f t="shared" si="238"/>
        <v/>
      </c>
      <c r="B1676" s="337"/>
      <c r="C1676" s="337"/>
      <c r="D1676" s="355"/>
      <c r="E1676" s="567" t="s">
        <v>770</v>
      </c>
      <c r="F1676" s="378">
        <v>30</v>
      </c>
      <c r="G1676" s="378" t="s">
        <v>73</v>
      </c>
      <c r="H1676" s="356"/>
      <c r="I1676" s="356"/>
      <c r="J1676" s="515"/>
      <c r="K1676" s="684"/>
      <c r="L1676" s="535"/>
      <c r="M1676" s="552" t="str">
        <f t="shared" si="235"/>
        <v/>
      </c>
      <c r="N1676" s="552"/>
      <c r="O1676" s="552" t="str">
        <f t="shared" si="236"/>
        <v/>
      </c>
      <c r="P1676" s="39"/>
    </row>
    <row r="1677" spans="1:16" x14ac:dyDescent="0.35">
      <c r="A1677" s="535" t="str">
        <f t="shared" si="238"/>
        <v/>
      </c>
      <c r="B1677" s="330"/>
      <c r="C1677" s="330"/>
      <c r="D1677" s="326" t="s">
        <v>537</v>
      </c>
      <c r="E1677" s="495" t="s">
        <v>771</v>
      </c>
      <c r="F1677" s="22">
        <v>1</v>
      </c>
      <c r="G1677" s="22" t="s">
        <v>73</v>
      </c>
      <c r="H1677" s="328">
        <f>ROUND(($F$1674)*((($F$1676)*(($F$1677)/($F$1677+$F$1678)))
/((($F$1676)*(($F$1677)/($F$1677+$F$1678)))+(($F$1676)*(($F$1678)/($F$1677+$F$1678)))+($F$1675))),2)</f>
        <v>0.03</v>
      </c>
      <c r="I1677" s="328" t="s">
        <v>73</v>
      </c>
      <c r="J1677" s="330"/>
      <c r="K1677" s="681">
        <f t="shared" si="239"/>
        <v>0</v>
      </c>
      <c r="L1677" s="535"/>
      <c r="M1677" s="552" t="str">
        <f t="shared" si="235"/>
        <v/>
      </c>
      <c r="N1677" s="552"/>
      <c r="O1677" s="552" t="str">
        <f t="shared" si="236"/>
        <v/>
      </c>
      <c r="P1677" s="39"/>
    </row>
    <row r="1678" spans="1:16" x14ac:dyDescent="0.35">
      <c r="A1678" s="535" t="str">
        <f t="shared" si="238"/>
        <v/>
      </c>
      <c r="B1678" s="337"/>
      <c r="C1678" s="337"/>
      <c r="D1678" s="571"/>
      <c r="E1678" s="656" t="s">
        <v>81</v>
      </c>
      <c r="F1678" s="493">
        <v>100</v>
      </c>
      <c r="G1678" s="493" t="s">
        <v>73</v>
      </c>
      <c r="H1678" s="466">
        <f>ROUND(($F$1674)*((($F$1676)*(($F$1678)/($F$1677+$F$1678)))
/((($F$1676)*(($F$1677)/($F$1677+$F$1678)))+(($F$1676)*(($F$1678)/($F$1677+$F$1678)))+($F$1675))),2)</f>
        <v>2.58</v>
      </c>
      <c r="I1678" s="466"/>
      <c r="J1678" s="573"/>
      <c r="K1678" s="693"/>
      <c r="L1678" s="535"/>
      <c r="M1678" s="552" t="str">
        <f t="shared" si="235"/>
        <v/>
      </c>
      <c r="N1678" s="552"/>
      <c r="O1678" s="552" t="str">
        <f t="shared" si="236"/>
        <v/>
      </c>
      <c r="P1678" s="39"/>
    </row>
    <row r="1679" spans="1:16" x14ac:dyDescent="0.35">
      <c r="A1679" s="535" t="str">
        <f t="shared" si="238"/>
        <v/>
      </c>
      <c r="B1679" s="330"/>
      <c r="C1679" s="330"/>
      <c r="D1679" s="355"/>
      <c r="E1679" s="355" t="s">
        <v>863</v>
      </c>
      <c r="F1679" s="356">
        <v>7</v>
      </c>
      <c r="G1679" s="356" t="s">
        <v>73</v>
      </c>
      <c r="H1679" s="515"/>
      <c r="I1679" s="356"/>
      <c r="J1679" s="515"/>
      <c r="K1679" s="684"/>
      <c r="L1679" s="535"/>
      <c r="M1679" s="552" t="str">
        <f t="shared" si="235"/>
        <v/>
      </c>
      <c r="N1679" s="552"/>
      <c r="O1679" s="552" t="str">
        <f t="shared" si="236"/>
        <v/>
      </c>
      <c r="P1679" s="39"/>
    </row>
    <row r="1680" spans="1:16" x14ac:dyDescent="0.35">
      <c r="A1680" s="535" t="str">
        <f t="shared" si="238"/>
        <v/>
      </c>
      <c r="B1680" s="337"/>
      <c r="C1680" s="337"/>
      <c r="D1680" s="326" t="s">
        <v>59</v>
      </c>
      <c r="E1680" s="360" t="s">
        <v>864</v>
      </c>
      <c r="F1680" s="335">
        <v>100</v>
      </c>
      <c r="G1680" s="335" t="s">
        <v>73</v>
      </c>
      <c r="H1680" s="335">
        <f>ROUND(($F$1679)*((F1680)/($F$1680+$F$1681+$F$1682+$F$1683+$F$1684)),2)</f>
        <v>4.7300000000000004</v>
      </c>
      <c r="I1680" s="335" t="s">
        <v>73</v>
      </c>
      <c r="J1680" s="337"/>
      <c r="K1680" s="680">
        <f t="shared" si="239"/>
        <v>0</v>
      </c>
      <c r="L1680" s="535"/>
      <c r="M1680" s="552" t="str">
        <f t="shared" si="235"/>
        <v/>
      </c>
      <c r="N1680" s="552"/>
      <c r="O1680" s="552" t="str">
        <f t="shared" si="236"/>
        <v/>
      </c>
      <c r="P1680" s="39"/>
    </row>
    <row r="1681" spans="1:16" x14ac:dyDescent="0.35">
      <c r="A1681" s="535" t="str">
        <f t="shared" si="238"/>
        <v/>
      </c>
      <c r="B1681" s="330"/>
      <c r="C1681" s="330"/>
      <c r="D1681" s="326" t="s">
        <v>45</v>
      </c>
      <c r="E1681" s="366" t="s">
        <v>321</v>
      </c>
      <c r="F1681" s="328">
        <v>3</v>
      </c>
      <c r="G1681" s="328" t="s">
        <v>73</v>
      </c>
      <c r="H1681" s="328">
        <f t="shared" ref="H1681:H1684" si="240">ROUND(($F$1679)*((F1681)/($F$1680+$F$1681+$F$1682+$F$1683+$F$1684)),2)</f>
        <v>0.14000000000000001</v>
      </c>
      <c r="I1681" s="328" t="s">
        <v>73</v>
      </c>
      <c r="J1681" s="330"/>
      <c r="K1681" s="681">
        <f t="shared" si="239"/>
        <v>66.22</v>
      </c>
      <c r="L1681" s="535"/>
      <c r="M1681" s="552" t="str">
        <f t="shared" si="235"/>
        <v/>
      </c>
      <c r="N1681" s="552"/>
      <c r="O1681" s="552" t="str">
        <f t="shared" si="236"/>
        <v/>
      </c>
      <c r="P1681" s="39"/>
    </row>
    <row r="1682" spans="1:16" x14ac:dyDescent="0.35">
      <c r="A1682" s="535" t="str">
        <f t="shared" si="238"/>
        <v/>
      </c>
      <c r="B1682" s="337"/>
      <c r="C1682" s="337"/>
      <c r="D1682" s="326" t="s">
        <v>42</v>
      </c>
      <c r="E1682" s="360" t="s">
        <v>330</v>
      </c>
      <c r="F1682" s="335">
        <v>3</v>
      </c>
      <c r="G1682" s="335" t="s">
        <v>73</v>
      </c>
      <c r="H1682" s="335">
        <f t="shared" si="240"/>
        <v>0.14000000000000001</v>
      </c>
      <c r="I1682" s="335" t="s">
        <v>73</v>
      </c>
      <c r="J1682" s="337"/>
      <c r="K1682" s="680">
        <f t="shared" si="239"/>
        <v>1.9600000000000002</v>
      </c>
      <c r="L1682" s="535"/>
      <c r="M1682" s="552" t="str">
        <f t="shared" si="235"/>
        <v/>
      </c>
      <c r="N1682" s="552"/>
      <c r="O1682" s="552" t="str">
        <f t="shared" si="236"/>
        <v/>
      </c>
      <c r="P1682" s="39"/>
    </row>
    <row r="1683" spans="1:16" x14ac:dyDescent="0.35">
      <c r="A1683" s="535" t="str">
        <f t="shared" si="238"/>
        <v/>
      </c>
      <c r="B1683" s="330"/>
      <c r="C1683" s="330"/>
      <c r="D1683" s="326" t="s">
        <v>333</v>
      </c>
      <c r="E1683" s="366" t="s">
        <v>334</v>
      </c>
      <c r="F1683" s="328">
        <v>6</v>
      </c>
      <c r="G1683" s="328" t="s">
        <v>73</v>
      </c>
      <c r="H1683" s="328">
        <f t="shared" si="240"/>
        <v>0.28000000000000003</v>
      </c>
      <c r="I1683" s="328" t="s">
        <v>73</v>
      </c>
      <c r="J1683" s="330"/>
      <c r="K1683" s="681">
        <f t="shared" si="239"/>
        <v>1.9600000000000002</v>
      </c>
      <c r="L1683" s="535"/>
      <c r="M1683" s="552" t="str">
        <f t="shared" si="235"/>
        <v/>
      </c>
      <c r="N1683" s="552"/>
      <c r="O1683" s="552" t="str">
        <f t="shared" si="236"/>
        <v/>
      </c>
      <c r="P1683" s="39"/>
    </row>
    <row r="1684" spans="1:16" x14ac:dyDescent="0.35">
      <c r="A1684" s="535" t="str">
        <f t="shared" si="238"/>
        <v/>
      </c>
      <c r="B1684" s="337"/>
      <c r="C1684" s="337"/>
      <c r="D1684" s="571"/>
      <c r="E1684" s="572" t="s">
        <v>65</v>
      </c>
      <c r="F1684" s="466">
        <v>36</v>
      </c>
      <c r="G1684" s="466" t="s">
        <v>73</v>
      </c>
      <c r="H1684" s="466">
        <f t="shared" si="240"/>
        <v>1.7</v>
      </c>
      <c r="I1684" s="466"/>
      <c r="J1684" s="573"/>
      <c r="K1684" s="693"/>
      <c r="L1684" s="535"/>
      <c r="M1684" s="552" t="str">
        <f t="shared" si="235"/>
        <v/>
      </c>
      <c r="N1684" s="552"/>
      <c r="O1684" s="552" t="str">
        <f t="shared" si="236"/>
        <v/>
      </c>
      <c r="P1684" s="39"/>
    </row>
    <row r="1685" spans="1:16" x14ac:dyDescent="0.35">
      <c r="A1685" s="535" t="str">
        <f t="shared" si="238"/>
        <v/>
      </c>
      <c r="B1685" s="330"/>
      <c r="C1685" s="330"/>
      <c r="D1685" s="539"/>
      <c r="E1685" s="355" t="s">
        <v>84</v>
      </c>
      <c r="F1685" s="378">
        <v>20</v>
      </c>
      <c r="G1685" s="378" t="s">
        <v>73</v>
      </c>
      <c r="H1685" s="515"/>
      <c r="I1685" s="356"/>
      <c r="J1685" s="515"/>
      <c r="K1685" s="684"/>
      <c r="L1685" s="535"/>
      <c r="M1685" s="552" t="str">
        <f t="shared" ref="M1685:M1726" si="241">IF(Q1688&gt;0, Q1688, "")</f>
        <v/>
      </c>
      <c r="N1685" s="552"/>
      <c r="O1685" s="552" t="str">
        <f t="shared" ref="O1685:O1726" si="242">IF(V1689&gt;0, V1689, "")</f>
        <v/>
      </c>
      <c r="P1685" s="39"/>
    </row>
    <row r="1686" spans="1:16" x14ac:dyDescent="0.35">
      <c r="A1686" s="535" t="str">
        <f t="shared" si="238"/>
        <v/>
      </c>
      <c r="B1686" s="337"/>
      <c r="C1686" s="337"/>
      <c r="D1686" s="539"/>
      <c r="E1686" s="416" t="s">
        <v>26</v>
      </c>
      <c r="F1686" s="378">
        <v>1000</v>
      </c>
      <c r="G1686" s="378" t="s">
        <v>73</v>
      </c>
      <c r="H1686" s="515"/>
      <c r="I1686" s="356"/>
      <c r="J1686" s="515"/>
      <c r="K1686" s="684"/>
      <c r="L1686" s="535"/>
      <c r="M1686" s="552" t="str">
        <f t="shared" si="241"/>
        <v/>
      </c>
      <c r="N1686" s="552"/>
      <c r="O1686" s="552" t="str">
        <f t="shared" si="242"/>
        <v/>
      </c>
      <c r="P1686" s="39"/>
    </row>
    <row r="1687" spans="1:16" x14ac:dyDescent="0.35">
      <c r="A1687" s="535" t="str">
        <f t="shared" si="238"/>
        <v/>
      </c>
      <c r="B1687" s="330"/>
      <c r="C1687" s="330"/>
      <c r="D1687" s="417" t="s">
        <v>60</v>
      </c>
      <c r="E1687" s="418" t="s">
        <v>121</v>
      </c>
      <c r="F1687" s="22">
        <v>1000</v>
      </c>
      <c r="G1687" s="22" t="s">
        <v>73</v>
      </c>
      <c r="H1687" s="328">
        <f>ROUND(($F$1685)*((($F$1686)*(($F$1687)/($F$1687+$F$1688)))
/((($F$1686)*(($F$1687)/($F$1687+$F$1688)))+(($F$1686)*(($F$1688)/($F$1687+$F$1688)))+($F$1690)+($F$1691))),2)</f>
        <v>13.39</v>
      </c>
      <c r="I1687" s="328" t="s">
        <v>73</v>
      </c>
      <c r="J1687" s="330"/>
      <c r="K1687" s="681">
        <f t="shared" si="239"/>
        <v>0</v>
      </c>
      <c r="L1687" s="535"/>
      <c r="M1687" s="552" t="str">
        <f t="shared" si="241"/>
        <v/>
      </c>
      <c r="N1687" s="552"/>
      <c r="O1687" s="552" t="str">
        <f t="shared" si="242"/>
        <v/>
      </c>
      <c r="P1687" s="39"/>
    </row>
    <row r="1688" spans="1:16" x14ac:dyDescent="0.35">
      <c r="A1688" s="535" t="str">
        <f t="shared" si="238"/>
        <v/>
      </c>
      <c r="B1688" s="337"/>
      <c r="C1688" s="337"/>
      <c r="D1688" s="417" t="s">
        <v>43</v>
      </c>
      <c r="E1688" s="419" t="s">
        <v>94</v>
      </c>
      <c r="F1688" s="18">
        <v>30</v>
      </c>
      <c r="G1688" s="18" t="s">
        <v>73</v>
      </c>
      <c r="H1688" s="335">
        <f>ROUND(($F$1685)*((($F$1686)*(($F$1688)/($F$1687+$F$1688)))
/((($F$1686)*(($F$1687)/($F$1687+$F$1688)))+(($F$1686)*(($F$1688)/($F$1687+$F$1688)))+($F$1690)+($F$1691))),2)</f>
        <v>0.4</v>
      </c>
      <c r="I1688" s="335" t="s">
        <v>73</v>
      </c>
      <c r="J1688" s="337"/>
      <c r="K1688" s="680">
        <f t="shared" si="239"/>
        <v>187.46</v>
      </c>
      <c r="L1688" s="535"/>
      <c r="M1688" s="552" t="str">
        <f t="shared" si="241"/>
        <v/>
      </c>
      <c r="N1688" s="552"/>
      <c r="O1688" s="552" t="str">
        <f t="shared" si="242"/>
        <v/>
      </c>
      <c r="P1688" s="39"/>
    </row>
    <row r="1689" spans="1:16" x14ac:dyDescent="0.35">
      <c r="A1689" s="535" t="str">
        <f t="shared" si="238"/>
        <v/>
      </c>
      <c r="B1689" s="330"/>
      <c r="C1689" s="330"/>
      <c r="D1689" s="420"/>
      <c r="E1689" s="421" t="s">
        <v>81</v>
      </c>
      <c r="F1689" s="404">
        <v>400</v>
      </c>
      <c r="G1689" s="404" t="s">
        <v>73</v>
      </c>
      <c r="H1689" s="343"/>
      <c r="I1689" s="343"/>
      <c r="J1689" s="345"/>
      <c r="K1689" s="685"/>
      <c r="L1689" s="535"/>
      <c r="M1689" s="552" t="str">
        <f t="shared" si="241"/>
        <v/>
      </c>
      <c r="N1689" s="552"/>
      <c r="O1689" s="552" t="str">
        <f t="shared" si="242"/>
        <v/>
      </c>
      <c r="P1689" s="39"/>
    </row>
    <row r="1690" spans="1:16" x14ac:dyDescent="0.35">
      <c r="A1690" s="535" t="str">
        <f t="shared" si="238"/>
        <v/>
      </c>
      <c r="B1690" s="337"/>
      <c r="C1690" s="337"/>
      <c r="D1690" s="417" t="s">
        <v>59</v>
      </c>
      <c r="E1690" s="425" t="s">
        <v>27</v>
      </c>
      <c r="F1690" s="18">
        <v>350</v>
      </c>
      <c r="G1690" s="18" t="s">
        <v>73</v>
      </c>
      <c r="H1690" s="335">
        <f>ROUND(($F$1685)*((F1690)/((($F$1686)*(($F$1687)/($F$1687+$F$1688)))+(($F$1686)*(($F$1688)/($F$1687+$F$1688)))+($F$1690)+($F$1691))),2)</f>
        <v>4.83</v>
      </c>
      <c r="I1690" s="335" t="s">
        <v>73</v>
      </c>
      <c r="J1690" s="337"/>
      <c r="K1690" s="680">
        <f t="shared" si="239"/>
        <v>0</v>
      </c>
      <c r="L1690" s="535"/>
      <c r="M1690" s="552" t="str">
        <f t="shared" si="241"/>
        <v/>
      </c>
      <c r="N1690" s="552"/>
      <c r="O1690" s="552" t="str">
        <f t="shared" si="242"/>
        <v/>
      </c>
      <c r="P1690" s="39"/>
    </row>
    <row r="1691" spans="1:16" x14ac:dyDescent="0.35">
      <c r="A1691" s="535" t="str">
        <f t="shared" si="238"/>
        <v/>
      </c>
      <c r="B1691" s="330"/>
      <c r="C1691" s="330"/>
      <c r="D1691" s="417" t="s">
        <v>48</v>
      </c>
      <c r="E1691" s="426" t="s">
        <v>91</v>
      </c>
      <c r="F1691" s="22">
        <v>100</v>
      </c>
      <c r="G1691" s="22" t="s">
        <v>73</v>
      </c>
      <c r="H1691" s="328">
        <f>ROUND(($F$1685)*((F1691)/((($F$1686)*(($F$1687)/($F$1687+$F$1688)))+(($F$1686)*(($F$1688)/($F$1687+$F$1688)))+($F$1690)+($F$1691))),2)</f>
        <v>1.38</v>
      </c>
      <c r="I1691" s="328" t="s">
        <v>73</v>
      </c>
      <c r="J1691" s="330"/>
      <c r="K1691" s="681">
        <f t="shared" si="239"/>
        <v>67.62</v>
      </c>
      <c r="L1691" s="535"/>
      <c r="M1691" s="552" t="str">
        <f t="shared" si="241"/>
        <v/>
      </c>
      <c r="N1691" s="552"/>
      <c r="O1691" s="552" t="str">
        <f t="shared" si="242"/>
        <v/>
      </c>
      <c r="P1691" s="39"/>
    </row>
    <row r="1692" spans="1:16" x14ac:dyDescent="0.35">
      <c r="A1692" s="535" t="str">
        <f t="shared" si="238"/>
        <v/>
      </c>
      <c r="B1692" s="337"/>
      <c r="C1692" s="337"/>
      <c r="D1692" s="355"/>
      <c r="E1692" s="355" t="s">
        <v>973</v>
      </c>
      <c r="F1692" s="356">
        <v>40</v>
      </c>
      <c r="G1692" s="356" t="s">
        <v>73</v>
      </c>
      <c r="H1692" s="515"/>
      <c r="I1692" s="356"/>
      <c r="J1692" s="515"/>
      <c r="K1692" s="684"/>
      <c r="L1692" s="535"/>
      <c r="M1692" s="552" t="str">
        <f t="shared" si="241"/>
        <v/>
      </c>
      <c r="N1692" s="552"/>
      <c r="O1692" s="552" t="str">
        <f t="shared" si="242"/>
        <v/>
      </c>
      <c r="P1692" s="39"/>
    </row>
    <row r="1693" spans="1:16" x14ac:dyDescent="0.35">
      <c r="A1693" s="535" t="str">
        <f t="shared" si="238"/>
        <v/>
      </c>
      <c r="B1693" s="330"/>
      <c r="C1693" s="330"/>
      <c r="D1693" s="326" t="s">
        <v>47</v>
      </c>
      <c r="E1693" s="426" t="s">
        <v>740</v>
      </c>
      <c r="F1693" s="22">
        <v>3</v>
      </c>
      <c r="G1693" s="22" t="s">
        <v>73</v>
      </c>
      <c r="H1693" s="328">
        <f>ROUND(($F$1692)*((F1693)/($F$1693+$F$1694+$F$1695+$F$1696+$F$1697+$F$1698+$F$1699+$F$1700+$F$1701)),2)</f>
        <v>0.43</v>
      </c>
      <c r="I1693" s="328" t="s">
        <v>73</v>
      </c>
      <c r="J1693" s="330"/>
      <c r="K1693" s="681">
        <f t="shared" si="239"/>
        <v>0</v>
      </c>
      <c r="L1693" s="535"/>
      <c r="M1693" s="552" t="str">
        <f t="shared" si="241"/>
        <v/>
      </c>
      <c r="N1693" s="552"/>
      <c r="O1693" s="552" t="str">
        <f t="shared" si="242"/>
        <v/>
      </c>
      <c r="P1693" s="39"/>
    </row>
    <row r="1694" spans="1:16" x14ac:dyDescent="0.35">
      <c r="A1694" s="535" t="str">
        <f t="shared" si="238"/>
        <v/>
      </c>
      <c r="B1694" s="337"/>
      <c r="C1694" s="337"/>
      <c r="D1694" s="326" t="s">
        <v>49</v>
      </c>
      <c r="E1694" s="425" t="s">
        <v>916</v>
      </c>
      <c r="F1694" s="18">
        <v>8</v>
      </c>
      <c r="G1694" s="18" t="s">
        <v>73</v>
      </c>
      <c r="H1694" s="335">
        <f t="shared" ref="H1694:H1701" si="243">ROUND(($F$1692)*((F1694)/($F$1693+$F$1694+$F$1695+$F$1696+$F$1697+$F$1698+$F$1699+$F$1700+$F$1701)),2)</f>
        <v>1.1599999999999999</v>
      </c>
      <c r="I1694" s="335" t="s">
        <v>73</v>
      </c>
      <c r="J1694" s="337"/>
      <c r="K1694" s="680">
        <f t="shared" si="239"/>
        <v>6.02</v>
      </c>
      <c r="L1694" s="535"/>
      <c r="M1694" s="552" t="str">
        <f t="shared" si="241"/>
        <v/>
      </c>
      <c r="N1694" s="552"/>
      <c r="O1694" s="552" t="str">
        <f t="shared" si="242"/>
        <v/>
      </c>
      <c r="P1694" s="39"/>
    </row>
    <row r="1695" spans="1:16" x14ac:dyDescent="0.35">
      <c r="A1695" s="535" t="str">
        <f t="shared" si="238"/>
        <v/>
      </c>
      <c r="B1695" s="330"/>
      <c r="C1695" s="330"/>
      <c r="D1695" s="326" t="s">
        <v>50</v>
      </c>
      <c r="E1695" s="426" t="s">
        <v>917</v>
      </c>
      <c r="F1695" s="22">
        <v>40</v>
      </c>
      <c r="G1695" s="22" t="s">
        <v>73</v>
      </c>
      <c r="H1695" s="328">
        <f t="shared" si="243"/>
        <v>5.79</v>
      </c>
      <c r="I1695" s="328" t="s">
        <v>73</v>
      </c>
      <c r="J1695" s="330"/>
      <c r="K1695" s="681">
        <f t="shared" si="239"/>
        <v>16.239999999999998</v>
      </c>
      <c r="L1695" s="535"/>
      <c r="M1695" s="552" t="str">
        <f t="shared" si="241"/>
        <v/>
      </c>
      <c r="N1695" s="552"/>
      <c r="O1695" s="552" t="str">
        <f t="shared" si="242"/>
        <v/>
      </c>
      <c r="P1695" s="39"/>
    </row>
    <row r="1696" spans="1:16" x14ac:dyDescent="0.35">
      <c r="A1696" s="535" t="str">
        <f t="shared" si="238"/>
        <v/>
      </c>
      <c r="B1696" s="337"/>
      <c r="C1696" s="337"/>
      <c r="D1696" s="326" t="s">
        <v>371</v>
      </c>
      <c r="E1696" s="425" t="s">
        <v>918</v>
      </c>
      <c r="F1696" s="18">
        <v>20</v>
      </c>
      <c r="G1696" s="18" t="s">
        <v>73</v>
      </c>
      <c r="H1696" s="335">
        <f t="shared" si="243"/>
        <v>2.89</v>
      </c>
      <c r="I1696" s="335" t="s">
        <v>73</v>
      </c>
      <c r="J1696" s="337"/>
      <c r="K1696" s="680">
        <f t="shared" si="239"/>
        <v>81.06</v>
      </c>
      <c r="L1696" s="535"/>
      <c r="M1696" s="552" t="str">
        <f t="shared" si="241"/>
        <v/>
      </c>
      <c r="N1696" s="552"/>
      <c r="O1696" s="552" t="str">
        <f t="shared" si="242"/>
        <v/>
      </c>
      <c r="P1696" s="39"/>
    </row>
    <row r="1697" spans="1:16" x14ac:dyDescent="0.35">
      <c r="A1697" s="535" t="str">
        <f t="shared" si="238"/>
        <v/>
      </c>
      <c r="B1697" s="330"/>
      <c r="C1697" s="330"/>
      <c r="D1697" s="326" t="s">
        <v>379</v>
      </c>
      <c r="E1697" s="426" t="s">
        <v>919</v>
      </c>
      <c r="F1697" s="22">
        <v>10</v>
      </c>
      <c r="G1697" s="22" t="s">
        <v>73</v>
      </c>
      <c r="H1697" s="328">
        <f t="shared" si="243"/>
        <v>1.45</v>
      </c>
      <c r="I1697" s="328" t="s">
        <v>73</v>
      </c>
      <c r="J1697" s="330"/>
      <c r="K1697" s="681">
        <f t="shared" si="239"/>
        <v>40.46</v>
      </c>
      <c r="L1697" s="535"/>
      <c r="M1697" s="552" t="str">
        <f t="shared" si="241"/>
        <v/>
      </c>
      <c r="N1697" s="552"/>
      <c r="O1697" s="552" t="str">
        <f t="shared" si="242"/>
        <v/>
      </c>
      <c r="P1697" s="39"/>
    </row>
    <row r="1698" spans="1:16" x14ac:dyDescent="0.35">
      <c r="A1698" s="535" t="str">
        <f t="shared" si="238"/>
        <v/>
      </c>
      <c r="B1698" s="337"/>
      <c r="C1698" s="337"/>
      <c r="D1698" s="326" t="s">
        <v>505</v>
      </c>
      <c r="E1698" s="425" t="s">
        <v>722</v>
      </c>
      <c r="F1698" s="18">
        <v>0.5</v>
      </c>
      <c r="G1698" s="18" t="s">
        <v>73</v>
      </c>
      <c r="H1698" s="335">
        <f t="shared" si="243"/>
        <v>7.0000000000000007E-2</v>
      </c>
      <c r="I1698" s="335" t="s">
        <v>73</v>
      </c>
      <c r="J1698" s="337"/>
      <c r="K1698" s="680">
        <f t="shared" si="239"/>
        <v>20.3</v>
      </c>
      <c r="L1698" s="535"/>
      <c r="M1698" s="552" t="str">
        <f t="shared" si="241"/>
        <v/>
      </c>
      <c r="N1698" s="552"/>
      <c r="O1698" s="552" t="str">
        <f t="shared" si="242"/>
        <v/>
      </c>
      <c r="P1698" s="39"/>
    </row>
    <row r="1699" spans="1:16" x14ac:dyDescent="0.35">
      <c r="A1699" s="535" t="str">
        <f t="shared" si="238"/>
        <v/>
      </c>
      <c r="B1699" s="330"/>
      <c r="C1699" s="330"/>
      <c r="D1699" s="326" t="s">
        <v>41</v>
      </c>
      <c r="E1699" s="426" t="s">
        <v>911</v>
      </c>
      <c r="F1699" s="22">
        <v>2</v>
      </c>
      <c r="G1699" s="22" t="s">
        <v>73</v>
      </c>
      <c r="H1699" s="328">
        <f t="shared" si="243"/>
        <v>0.28999999999999998</v>
      </c>
      <c r="I1699" s="328" t="s">
        <v>73</v>
      </c>
      <c r="J1699" s="330"/>
      <c r="K1699" s="681">
        <f t="shared" si="239"/>
        <v>0.98000000000000009</v>
      </c>
      <c r="L1699" s="535"/>
      <c r="M1699" s="552" t="str">
        <f t="shared" si="241"/>
        <v/>
      </c>
      <c r="N1699" s="552"/>
      <c r="O1699" s="552" t="str">
        <f t="shared" si="242"/>
        <v/>
      </c>
      <c r="P1699" s="39"/>
    </row>
    <row r="1700" spans="1:16" x14ac:dyDescent="0.35">
      <c r="A1700" s="535" t="str">
        <f t="shared" si="238"/>
        <v/>
      </c>
      <c r="B1700" s="337"/>
      <c r="C1700" s="337"/>
      <c r="D1700" s="326" t="s">
        <v>127</v>
      </c>
      <c r="E1700" s="425" t="s">
        <v>912</v>
      </c>
      <c r="F1700" s="18">
        <v>28</v>
      </c>
      <c r="G1700" s="18" t="s">
        <v>73</v>
      </c>
      <c r="H1700" s="335">
        <f t="shared" si="243"/>
        <v>4.05</v>
      </c>
      <c r="I1700" s="335" t="s">
        <v>73</v>
      </c>
      <c r="J1700" s="337"/>
      <c r="K1700" s="680">
        <f t="shared" si="239"/>
        <v>4.0599999999999996</v>
      </c>
      <c r="L1700" s="535"/>
      <c r="M1700" s="552" t="str">
        <f t="shared" si="241"/>
        <v/>
      </c>
      <c r="N1700" s="552"/>
      <c r="O1700" s="552" t="str">
        <f t="shared" si="242"/>
        <v/>
      </c>
      <c r="P1700" s="39"/>
    </row>
    <row r="1701" spans="1:16" x14ac:dyDescent="0.35">
      <c r="A1701" s="535" t="str">
        <f t="shared" si="238"/>
        <v/>
      </c>
      <c r="B1701" s="330"/>
      <c r="C1701" s="330"/>
      <c r="D1701" s="326" t="s">
        <v>549</v>
      </c>
      <c r="E1701" s="426" t="s">
        <v>915</v>
      </c>
      <c r="F1701" s="22">
        <v>165</v>
      </c>
      <c r="G1701" s="22" t="s">
        <v>73</v>
      </c>
      <c r="H1701" s="328">
        <f t="shared" si="243"/>
        <v>23.87</v>
      </c>
      <c r="I1701" s="328" t="s">
        <v>73</v>
      </c>
      <c r="J1701" s="330"/>
      <c r="K1701" s="681">
        <f t="shared" si="239"/>
        <v>56.699999999999996</v>
      </c>
      <c r="L1701" s="535"/>
      <c r="M1701" s="552" t="str">
        <f t="shared" si="241"/>
        <v/>
      </c>
      <c r="N1701" s="552"/>
      <c r="O1701" s="552" t="str">
        <f t="shared" si="242"/>
        <v/>
      </c>
      <c r="P1701" s="39"/>
    </row>
    <row r="1702" spans="1:16" x14ac:dyDescent="0.35">
      <c r="A1702" s="545" t="str">
        <f t="shared" si="238"/>
        <v/>
      </c>
      <c r="B1702" s="546"/>
      <c r="C1702" s="546"/>
      <c r="D1702" s="545"/>
      <c r="E1702" s="545"/>
      <c r="F1702" s="546"/>
      <c r="G1702" s="546"/>
      <c r="H1702" s="546"/>
      <c r="I1702" s="546"/>
      <c r="J1702" s="546"/>
      <c r="K1702" s="676"/>
      <c r="L1702" s="535"/>
      <c r="M1702" s="552" t="str">
        <f t="shared" si="241"/>
        <v/>
      </c>
      <c r="N1702" s="552"/>
      <c r="O1702" s="552" t="str">
        <f t="shared" si="242"/>
        <v/>
      </c>
      <c r="P1702" s="39"/>
    </row>
    <row r="1703" spans="1:16" x14ac:dyDescent="0.35">
      <c r="A1703" s="565">
        <f>IFERROR(INDEX($Q$17:$Q$201,MATCH(B1703,$R$17:$R$201, 0)), "")</f>
        <v>11</v>
      </c>
      <c r="B1703" s="382" t="s">
        <v>1265</v>
      </c>
      <c r="C1703" s="325" t="s">
        <v>979</v>
      </c>
      <c r="D1703" s="326" t="s">
        <v>505</v>
      </c>
      <c r="E1703" s="327" t="s">
        <v>806</v>
      </c>
      <c r="F1703" s="22">
        <v>0.3</v>
      </c>
      <c r="G1703" s="328" t="s">
        <v>73</v>
      </c>
      <c r="H1703" s="22">
        <v>0.3</v>
      </c>
      <c r="I1703" s="328" t="s">
        <v>73</v>
      </c>
      <c r="J1703" s="330"/>
      <c r="K1703" s="681">
        <f>$A$1703*H1703</f>
        <v>3.3</v>
      </c>
      <c r="L1703" s="535"/>
      <c r="M1703" s="552" t="str">
        <f t="shared" si="241"/>
        <v/>
      </c>
      <c r="N1703" s="552"/>
      <c r="O1703" s="552" t="str">
        <f t="shared" si="242"/>
        <v/>
      </c>
      <c r="P1703" s="39"/>
    </row>
    <row r="1704" spans="1:16" x14ac:dyDescent="0.35">
      <c r="A1704" s="535" t="str">
        <f t="shared" ref="A1704:A1711" si="244">IFERROR(INDEX($Q$17:$Q$41,MATCH(B1704,$R$17:$R$41, 0)), "")</f>
        <v/>
      </c>
      <c r="B1704" s="337"/>
      <c r="C1704" s="337"/>
      <c r="D1704" s="326" t="s">
        <v>402</v>
      </c>
      <c r="E1704" s="334" t="s">
        <v>969</v>
      </c>
      <c r="F1704" s="18">
        <v>60</v>
      </c>
      <c r="G1704" s="335" t="s">
        <v>73</v>
      </c>
      <c r="H1704" s="18">
        <v>60</v>
      </c>
      <c r="I1704" s="335" t="s">
        <v>73</v>
      </c>
      <c r="J1704" s="337"/>
      <c r="K1704" s="680">
        <f t="shared" ref="K1704:K1725" si="245">($A$1703*H1703)</f>
        <v>3.3</v>
      </c>
      <c r="L1704" s="535"/>
      <c r="M1704" s="552" t="str">
        <f t="shared" si="241"/>
        <v/>
      </c>
      <c r="N1704" s="552"/>
      <c r="O1704" s="552" t="str">
        <f t="shared" si="242"/>
        <v/>
      </c>
      <c r="P1704" s="39"/>
    </row>
    <row r="1705" spans="1:16" x14ac:dyDescent="0.35">
      <c r="A1705" s="535" t="str">
        <f t="shared" si="244"/>
        <v/>
      </c>
      <c r="B1705" s="330"/>
      <c r="C1705" s="330"/>
      <c r="D1705" s="326" t="s">
        <v>392</v>
      </c>
      <c r="E1705" s="327" t="s">
        <v>798</v>
      </c>
      <c r="F1705" s="22">
        <v>0.3</v>
      </c>
      <c r="G1705" s="328" t="s">
        <v>73</v>
      </c>
      <c r="H1705" s="22">
        <v>0.3</v>
      </c>
      <c r="I1705" s="328" t="s">
        <v>73</v>
      </c>
      <c r="J1705" s="330"/>
      <c r="K1705" s="681">
        <f t="shared" si="245"/>
        <v>660</v>
      </c>
      <c r="L1705" s="535"/>
      <c r="M1705" s="552" t="str">
        <f t="shared" si="241"/>
        <v/>
      </c>
      <c r="N1705" s="552"/>
      <c r="O1705" s="552" t="str">
        <f t="shared" si="242"/>
        <v/>
      </c>
      <c r="P1705" s="39"/>
    </row>
    <row r="1706" spans="1:16" x14ac:dyDescent="0.35">
      <c r="A1706" s="535" t="str">
        <f t="shared" si="244"/>
        <v/>
      </c>
      <c r="B1706" s="337"/>
      <c r="C1706" s="337"/>
      <c r="D1706" s="326" t="s">
        <v>398</v>
      </c>
      <c r="E1706" s="334" t="s">
        <v>965</v>
      </c>
      <c r="F1706" s="18">
        <v>8</v>
      </c>
      <c r="G1706" s="335" t="s">
        <v>73</v>
      </c>
      <c r="H1706" s="18">
        <v>8</v>
      </c>
      <c r="I1706" s="335" t="s">
        <v>73</v>
      </c>
      <c r="J1706" s="337"/>
      <c r="K1706" s="680">
        <f t="shared" si="245"/>
        <v>3.3</v>
      </c>
      <c r="L1706" s="535"/>
      <c r="M1706" s="552" t="str">
        <f t="shared" si="241"/>
        <v/>
      </c>
      <c r="N1706" s="552"/>
      <c r="O1706" s="552" t="str">
        <f t="shared" si="242"/>
        <v/>
      </c>
      <c r="P1706" s="39"/>
    </row>
    <row r="1707" spans="1:16" x14ac:dyDescent="0.35">
      <c r="A1707" s="535" t="str">
        <f t="shared" si="244"/>
        <v/>
      </c>
      <c r="B1707" s="330"/>
      <c r="C1707" s="330"/>
      <c r="D1707" s="326" t="s">
        <v>473</v>
      </c>
      <c r="E1707" s="327" t="s">
        <v>474</v>
      </c>
      <c r="F1707" s="22">
        <v>70</v>
      </c>
      <c r="G1707" s="328" t="s">
        <v>73</v>
      </c>
      <c r="H1707" s="22">
        <v>70</v>
      </c>
      <c r="I1707" s="328" t="s">
        <v>73</v>
      </c>
      <c r="J1707" s="330"/>
      <c r="K1707" s="681">
        <f t="shared" si="245"/>
        <v>88</v>
      </c>
      <c r="L1707" s="535"/>
      <c r="M1707" s="552" t="str">
        <f t="shared" si="241"/>
        <v/>
      </c>
      <c r="N1707" s="552"/>
      <c r="O1707" s="552" t="str">
        <f t="shared" si="242"/>
        <v/>
      </c>
      <c r="P1707" s="39"/>
    </row>
    <row r="1708" spans="1:16" x14ac:dyDescent="0.35">
      <c r="A1708" s="593" t="str">
        <f t="shared" si="244"/>
        <v/>
      </c>
      <c r="B1708" s="337"/>
      <c r="C1708" s="337"/>
      <c r="D1708" s="326" t="s">
        <v>163</v>
      </c>
      <c r="E1708" s="334" t="s">
        <v>164</v>
      </c>
      <c r="F1708" s="18">
        <v>30</v>
      </c>
      <c r="G1708" s="335" t="s">
        <v>73</v>
      </c>
      <c r="H1708" s="18">
        <v>30</v>
      </c>
      <c r="I1708" s="335" t="s">
        <v>73</v>
      </c>
      <c r="J1708" s="337"/>
      <c r="K1708" s="680">
        <f t="shared" si="245"/>
        <v>770</v>
      </c>
      <c r="L1708" s="535"/>
      <c r="M1708" s="552" t="str">
        <f t="shared" si="241"/>
        <v/>
      </c>
      <c r="N1708" s="552"/>
      <c r="O1708" s="552" t="str">
        <f t="shared" si="242"/>
        <v/>
      </c>
      <c r="P1708" s="39"/>
    </row>
    <row r="1709" spans="1:16" x14ac:dyDescent="0.35">
      <c r="A1709" s="593" t="str">
        <f t="shared" si="244"/>
        <v/>
      </c>
      <c r="B1709" s="330"/>
      <c r="C1709" s="330"/>
      <c r="D1709" s="326" t="s">
        <v>369</v>
      </c>
      <c r="E1709" s="327" t="s">
        <v>718</v>
      </c>
      <c r="F1709" s="22">
        <v>30</v>
      </c>
      <c r="G1709" s="328" t="s">
        <v>73</v>
      </c>
      <c r="H1709" s="22">
        <v>30</v>
      </c>
      <c r="I1709" s="328" t="s">
        <v>73</v>
      </c>
      <c r="J1709" s="330"/>
      <c r="K1709" s="681">
        <f t="shared" si="245"/>
        <v>330</v>
      </c>
      <c r="L1709" s="535"/>
      <c r="M1709" s="552" t="str">
        <f t="shared" si="241"/>
        <v/>
      </c>
      <c r="N1709" s="552"/>
      <c r="O1709" s="552" t="str">
        <f t="shared" si="242"/>
        <v/>
      </c>
      <c r="P1709" s="39"/>
    </row>
    <row r="1710" spans="1:16" x14ac:dyDescent="0.35">
      <c r="A1710" s="593" t="str">
        <f t="shared" si="244"/>
        <v/>
      </c>
      <c r="B1710" s="337"/>
      <c r="C1710" s="337"/>
      <c r="D1710" s="326" t="s">
        <v>50</v>
      </c>
      <c r="E1710" s="334" t="s">
        <v>980</v>
      </c>
      <c r="F1710" s="18">
        <v>30</v>
      </c>
      <c r="G1710" s="335" t="s">
        <v>73</v>
      </c>
      <c r="H1710" s="18">
        <v>30</v>
      </c>
      <c r="I1710" s="335" t="s">
        <v>73</v>
      </c>
      <c r="J1710" s="337"/>
      <c r="K1710" s="680">
        <f t="shared" si="245"/>
        <v>330</v>
      </c>
      <c r="L1710" s="535"/>
      <c r="M1710" s="552" t="str">
        <f t="shared" si="241"/>
        <v/>
      </c>
      <c r="N1710" s="552"/>
      <c r="O1710" s="552" t="str">
        <f t="shared" si="242"/>
        <v/>
      </c>
      <c r="P1710" s="39"/>
    </row>
    <row r="1711" spans="1:16" x14ac:dyDescent="0.35">
      <c r="A1711" s="535" t="str">
        <f t="shared" si="244"/>
        <v/>
      </c>
      <c r="B1711" s="330"/>
      <c r="C1711" s="330"/>
      <c r="D1711" s="326" t="s">
        <v>413</v>
      </c>
      <c r="E1711" s="327" t="s">
        <v>981</v>
      </c>
      <c r="F1711" s="22">
        <v>30</v>
      </c>
      <c r="G1711" s="328" t="s">
        <v>73</v>
      </c>
      <c r="H1711" s="22">
        <v>30</v>
      </c>
      <c r="I1711" s="328" t="s">
        <v>73</v>
      </c>
      <c r="J1711" s="330"/>
      <c r="K1711" s="681">
        <f t="shared" si="245"/>
        <v>330</v>
      </c>
      <c r="L1711" s="535"/>
      <c r="M1711" s="552" t="str">
        <f t="shared" si="241"/>
        <v/>
      </c>
      <c r="N1711" s="552"/>
      <c r="O1711" s="552" t="str">
        <f t="shared" si="242"/>
        <v/>
      </c>
      <c r="P1711" s="39"/>
    </row>
    <row r="1712" spans="1:16" x14ac:dyDescent="0.35">
      <c r="A1712" s="535" t="str">
        <f t="shared" ref="A1712:A1773" si="246">IFERROR(INDEX($Q$17:$Q$41,MATCH(B1712,$R$17:$R$41, 0)), "")</f>
        <v/>
      </c>
      <c r="B1712" s="337"/>
      <c r="C1712" s="337"/>
      <c r="D1712" s="355"/>
      <c r="E1712" s="567" t="s">
        <v>754</v>
      </c>
      <c r="F1712" s="356">
        <v>160</v>
      </c>
      <c r="G1712" s="378" t="s">
        <v>73</v>
      </c>
      <c r="H1712" s="515"/>
      <c r="I1712" s="515"/>
      <c r="J1712" s="515"/>
      <c r="K1712" s="684"/>
      <c r="L1712" s="535"/>
      <c r="M1712" s="552" t="str">
        <f t="shared" si="241"/>
        <v/>
      </c>
      <c r="N1712" s="552"/>
      <c r="O1712" s="552" t="str">
        <f t="shared" si="242"/>
        <v/>
      </c>
      <c r="P1712" s="39"/>
    </row>
    <row r="1713" spans="1:16" x14ac:dyDescent="0.35">
      <c r="A1713" s="535" t="str">
        <f t="shared" si="246"/>
        <v/>
      </c>
      <c r="B1713" s="330"/>
      <c r="C1713" s="330"/>
      <c r="D1713" s="571"/>
      <c r="E1713" s="656" t="s">
        <v>81</v>
      </c>
      <c r="F1713" s="493">
        <v>1300</v>
      </c>
      <c r="G1713" s="493" t="s">
        <v>73</v>
      </c>
      <c r="H1713" s="466">
        <f>ROUND(($F$1712)*(($F$1713)/($F$1713+$F$1714+$F$1715)),2)</f>
        <v>90.43</v>
      </c>
      <c r="I1713" s="573"/>
      <c r="J1713" s="573"/>
      <c r="K1713" s="693"/>
      <c r="L1713" s="535"/>
      <c r="M1713" s="552" t="str">
        <f t="shared" si="241"/>
        <v/>
      </c>
      <c r="N1713" s="552"/>
      <c r="O1713" s="552" t="str">
        <f t="shared" si="242"/>
        <v/>
      </c>
      <c r="P1713" s="39"/>
    </row>
    <row r="1714" spans="1:16" x14ac:dyDescent="0.35">
      <c r="A1714" s="535" t="str">
        <f t="shared" si="246"/>
        <v/>
      </c>
      <c r="B1714" s="337"/>
      <c r="C1714" s="337"/>
      <c r="D1714" s="326" t="s">
        <v>1660</v>
      </c>
      <c r="E1714" s="560" t="s">
        <v>1897</v>
      </c>
      <c r="F1714" s="18">
        <v>1000</v>
      </c>
      <c r="G1714" s="18" t="s">
        <v>73</v>
      </c>
      <c r="H1714" s="335">
        <f>ROUND(($F$1712)*(($F$1714)/($F$1713+$F$1714+$F$1715)),2)</f>
        <v>69.569999999999993</v>
      </c>
      <c r="I1714" s="335" t="s">
        <v>73</v>
      </c>
      <c r="J1714" s="337"/>
      <c r="K1714" s="680">
        <f t="shared" si="245"/>
        <v>994.73</v>
      </c>
      <c r="L1714" s="535"/>
      <c r="M1714" s="552" t="str">
        <f t="shared" si="241"/>
        <v/>
      </c>
      <c r="N1714" s="552"/>
      <c r="O1714" s="552" t="str">
        <f t="shared" si="242"/>
        <v/>
      </c>
      <c r="P1714" s="39"/>
    </row>
    <row r="1715" spans="1:16" x14ac:dyDescent="0.35">
      <c r="A1715" s="535" t="str">
        <f t="shared" si="246"/>
        <v/>
      </c>
      <c r="B1715" s="330"/>
      <c r="C1715" s="330"/>
      <c r="D1715" s="326"/>
      <c r="E1715" s="495" t="s">
        <v>753</v>
      </c>
      <c r="F1715" s="22">
        <v>0</v>
      </c>
      <c r="G1715" s="22" t="s">
        <v>73</v>
      </c>
      <c r="H1715" s="328">
        <f>ROUND(($F$1712)*(($F$1715)/($F$1713+$F$1714+$F$1715)),2)</f>
        <v>0</v>
      </c>
      <c r="I1715" s="328" t="s">
        <v>73</v>
      </c>
      <c r="J1715" s="330"/>
      <c r="K1715" s="681">
        <f t="shared" si="245"/>
        <v>765.27</v>
      </c>
      <c r="L1715" s="535"/>
      <c r="M1715" s="552" t="str">
        <f t="shared" si="241"/>
        <v/>
      </c>
      <c r="N1715" s="552"/>
      <c r="O1715" s="552" t="str">
        <f t="shared" si="242"/>
        <v/>
      </c>
      <c r="P1715" s="39"/>
    </row>
    <row r="1716" spans="1:16" x14ac:dyDescent="0.35">
      <c r="A1716" s="535" t="str">
        <f t="shared" si="246"/>
        <v/>
      </c>
      <c r="B1716" s="337"/>
      <c r="C1716" s="337"/>
      <c r="D1716" s="355"/>
      <c r="E1716" s="549" t="s">
        <v>769</v>
      </c>
      <c r="F1716" s="378">
        <v>20</v>
      </c>
      <c r="G1716" s="378" t="s">
        <v>73</v>
      </c>
      <c r="H1716" s="515"/>
      <c r="I1716" s="356"/>
      <c r="J1716" s="515"/>
      <c r="K1716" s="684"/>
      <c r="L1716" s="535"/>
      <c r="M1716" s="552" t="str">
        <f t="shared" si="241"/>
        <v/>
      </c>
      <c r="N1716" s="552"/>
      <c r="O1716" s="552" t="str">
        <f t="shared" si="242"/>
        <v/>
      </c>
      <c r="P1716" s="39"/>
    </row>
    <row r="1717" spans="1:16" x14ac:dyDescent="0.35">
      <c r="A1717" s="535" t="str">
        <f t="shared" si="246"/>
        <v/>
      </c>
      <c r="B1717" s="330"/>
      <c r="C1717" s="330"/>
      <c r="D1717" s="326" t="s">
        <v>521</v>
      </c>
      <c r="E1717" s="366" t="s">
        <v>906</v>
      </c>
      <c r="F1717" s="22">
        <v>200</v>
      </c>
      <c r="G1717" s="22" t="s">
        <v>73</v>
      </c>
      <c r="H1717" s="328">
        <f>ROUND(($F$1716)*(($F$1717)/((($F$1718)*(($F$1719)/($F$1719+$F$1720)))+(($F$1718)*(($F$1720)/($F$1719+$F$1720)))+($F$1717))),2)</f>
        <v>17.39</v>
      </c>
      <c r="I1717" s="328" t="s">
        <v>73</v>
      </c>
      <c r="J1717" s="330"/>
      <c r="K1717" s="681">
        <f t="shared" si="245"/>
        <v>0</v>
      </c>
      <c r="L1717" s="535"/>
      <c r="M1717" s="552" t="str">
        <f t="shared" si="241"/>
        <v/>
      </c>
      <c r="N1717" s="552"/>
      <c r="O1717" s="552" t="str">
        <f t="shared" si="242"/>
        <v/>
      </c>
      <c r="P1717" s="39"/>
    </row>
    <row r="1718" spans="1:16" x14ac:dyDescent="0.35">
      <c r="A1718" s="535" t="str">
        <f t="shared" si="246"/>
        <v/>
      </c>
      <c r="B1718" s="337"/>
      <c r="C1718" s="337"/>
      <c r="D1718" s="355"/>
      <c r="E1718" s="567" t="s">
        <v>770</v>
      </c>
      <c r="F1718" s="378">
        <v>30</v>
      </c>
      <c r="G1718" s="378" t="s">
        <v>73</v>
      </c>
      <c r="H1718" s="356"/>
      <c r="I1718" s="356"/>
      <c r="J1718" s="515"/>
      <c r="K1718" s="684"/>
      <c r="L1718" s="535"/>
      <c r="M1718" s="552" t="str">
        <f t="shared" si="241"/>
        <v/>
      </c>
      <c r="N1718" s="552"/>
      <c r="O1718" s="552" t="str">
        <f t="shared" si="242"/>
        <v/>
      </c>
      <c r="P1718" s="39"/>
    </row>
    <row r="1719" spans="1:16" x14ac:dyDescent="0.35">
      <c r="A1719" s="535" t="str">
        <f t="shared" si="246"/>
        <v/>
      </c>
      <c r="B1719" s="330"/>
      <c r="C1719" s="330"/>
      <c r="D1719" s="326" t="s">
        <v>537</v>
      </c>
      <c r="E1719" s="495" t="s">
        <v>771</v>
      </c>
      <c r="F1719" s="22">
        <v>1</v>
      </c>
      <c r="G1719" s="22" t="s">
        <v>73</v>
      </c>
      <c r="H1719" s="328">
        <f>ROUND(($F$1716)*((($F$1718)*(($F$1719)/($F$1719+$F$1720)))
/((($F$1718)*(($F$1719)/($F$1719+$F$1720)))+(($F$1718)*(($F$1720)/($F$1719+$F$1720)))+($F$1717))),2)</f>
        <v>0.03</v>
      </c>
      <c r="I1719" s="328" t="s">
        <v>73</v>
      </c>
      <c r="J1719" s="330"/>
      <c r="K1719" s="681">
        <f t="shared" si="245"/>
        <v>0</v>
      </c>
      <c r="L1719" s="535"/>
      <c r="M1719" s="552" t="str">
        <f t="shared" si="241"/>
        <v/>
      </c>
      <c r="N1719" s="552"/>
      <c r="O1719" s="552" t="str">
        <f t="shared" si="242"/>
        <v/>
      </c>
      <c r="P1719" s="39"/>
    </row>
    <row r="1720" spans="1:16" x14ac:dyDescent="0.35">
      <c r="A1720" s="535" t="str">
        <f t="shared" si="246"/>
        <v/>
      </c>
      <c r="B1720" s="337"/>
      <c r="C1720" s="337"/>
      <c r="D1720" s="571"/>
      <c r="E1720" s="656" t="s">
        <v>81</v>
      </c>
      <c r="F1720" s="493">
        <v>100</v>
      </c>
      <c r="G1720" s="493" t="s">
        <v>73</v>
      </c>
      <c r="H1720" s="466">
        <f>ROUND(($F$1716)*((($F$1718)*(($F$1720)/($F$1719+$F$1720)))
/((($F$1718)*(($F$1719)/($F$1719+$F$1720)))+(($F$1718)*(($F$1720)/($F$1719+$F$1720)))+($F$1717))),2)</f>
        <v>2.58</v>
      </c>
      <c r="I1720" s="466"/>
      <c r="J1720" s="573"/>
      <c r="K1720" s="693"/>
      <c r="L1720" s="535"/>
      <c r="M1720" s="552" t="str">
        <f t="shared" si="241"/>
        <v/>
      </c>
      <c r="N1720" s="552"/>
      <c r="O1720" s="552" t="str">
        <f t="shared" si="242"/>
        <v/>
      </c>
      <c r="P1720" s="39"/>
    </row>
    <row r="1721" spans="1:16" x14ac:dyDescent="0.35">
      <c r="A1721" s="535" t="str">
        <f t="shared" si="246"/>
        <v/>
      </c>
      <c r="B1721" s="330"/>
      <c r="C1721" s="330"/>
      <c r="D1721" s="355"/>
      <c r="E1721" s="355" t="s">
        <v>863</v>
      </c>
      <c r="F1721" s="356">
        <v>7</v>
      </c>
      <c r="G1721" s="356" t="s">
        <v>73</v>
      </c>
      <c r="H1721" s="515"/>
      <c r="I1721" s="356"/>
      <c r="J1721" s="515"/>
      <c r="K1721" s="684"/>
      <c r="L1721" s="535"/>
      <c r="M1721" s="552" t="str">
        <f t="shared" si="241"/>
        <v/>
      </c>
      <c r="N1721" s="552"/>
      <c r="O1721" s="552" t="str">
        <f t="shared" si="242"/>
        <v/>
      </c>
      <c r="P1721" s="39"/>
    </row>
    <row r="1722" spans="1:16" x14ac:dyDescent="0.35">
      <c r="A1722" s="535" t="str">
        <f t="shared" si="246"/>
        <v/>
      </c>
      <c r="B1722" s="337"/>
      <c r="C1722" s="337"/>
      <c r="D1722" s="326" t="s">
        <v>59</v>
      </c>
      <c r="E1722" s="360" t="s">
        <v>864</v>
      </c>
      <c r="F1722" s="335">
        <v>100</v>
      </c>
      <c r="G1722" s="335" t="s">
        <v>73</v>
      </c>
      <c r="H1722" s="335">
        <f>ROUND(($F$1721)*((F1722)/($F$1722+$F$1723+$F$1724+$F$1725+$F$1726)),2)</f>
        <v>4.7300000000000004</v>
      </c>
      <c r="I1722" s="335" t="s">
        <v>73</v>
      </c>
      <c r="J1722" s="337"/>
      <c r="K1722" s="680">
        <f t="shared" si="245"/>
        <v>0</v>
      </c>
      <c r="L1722" s="535"/>
      <c r="M1722" s="552" t="str">
        <f t="shared" si="241"/>
        <v/>
      </c>
      <c r="N1722" s="552"/>
      <c r="O1722" s="552" t="str">
        <f t="shared" si="242"/>
        <v/>
      </c>
      <c r="P1722" s="39"/>
    </row>
    <row r="1723" spans="1:16" x14ac:dyDescent="0.35">
      <c r="A1723" s="535" t="str">
        <f t="shared" si="246"/>
        <v/>
      </c>
      <c r="B1723" s="330"/>
      <c r="C1723" s="330"/>
      <c r="D1723" s="326" t="s">
        <v>45</v>
      </c>
      <c r="E1723" s="366" t="s">
        <v>321</v>
      </c>
      <c r="F1723" s="328">
        <v>3</v>
      </c>
      <c r="G1723" s="328" t="s">
        <v>73</v>
      </c>
      <c r="H1723" s="328">
        <f t="shared" ref="H1723:H1726" si="247">ROUND(($F$1721)*((F1723)/($F$1722+$F$1723+$F$1724+$F$1725+$F$1726)),2)</f>
        <v>0.14000000000000001</v>
      </c>
      <c r="I1723" s="328" t="s">
        <v>73</v>
      </c>
      <c r="J1723" s="330"/>
      <c r="K1723" s="681">
        <f t="shared" si="245"/>
        <v>52.03</v>
      </c>
      <c r="L1723" s="535"/>
      <c r="M1723" s="552" t="str">
        <f t="shared" si="241"/>
        <v/>
      </c>
      <c r="N1723" s="552"/>
      <c r="O1723" s="552" t="str">
        <f t="shared" si="242"/>
        <v/>
      </c>
      <c r="P1723" s="39"/>
    </row>
    <row r="1724" spans="1:16" x14ac:dyDescent="0.35">
      <c r="A1724" s="535" t="str">
        <f t="shared" si="246"/>
        <v/>
      </c>
      <c r="B1724" s="337"/>
      <c r="C1724" s="337"/>
      <c r="D1724" s="326" t="s">
        <v>42</v>
      </c>
      <c r="E1724" s="360" t="s">
        <v>330</v>
      </c>
      <c r="F1724" s="335">
        <v>3</v>
      </c>
      <c r="G1724" s="335" t="s">
        <v>73</v>
      </c>
      <c r="H1724" s="335">
        <f t="shared" si="247"/>
        <v>0.14000000000000001</v>
      </c>
      <c r="I1724" s="335" t="s">
        <v>73</v>
      </c>
      <c r="J1724" s="337"/>
      <c r="K1724" s="680">
        <f t="shared" si="245"/>
        <v>1.54</v>
      </c>
      <c r="L1724" s="535"/>
      <c r="M1724" s="552" t="str">
        <f t="shared" si="241"/>
        <v/>
      </c>
      <c r="N1724" s="552"/>
      <c r="O1724" s="552" t="str">
        <f t="shared" si="242"/>
        <v/>
      </c>
      <c r="P1724" s="39"/>
    </row>
    <row r="1725" spans="1:16" x14ac:dyDescent="0.35">
      <c r="A1725" s="535" t="str">
        <f t="shared" si="246"/>
        <v/>
      </c>
      <c r="B1725" s="330"/>
      <c r="C1725" s="330"/>
      <c r="D1725" s="326" t="s">
        <v>333</v>
      </c>
      <c r="E1725" s="366" t="s">
        <v>334</v>
      </c>
      <c r="F1725" s="328">
        <v>6</v>
      </c>
      <c r="G1725" s="328" t="s">
        <v>73</v>
      </c>
      <c r="H1725" s="328">
        <f t="shared" si="247"/>
        <v>0.28000000000000003</v>
      </c>
      <c r="I1725" s="328" t="s">
        <v>73</v>
      </c>
      <c r="J1725" s="330"/>
      <c r="K1725" s="681">
        <f t="shared" si="245"/>
        <v>1.54</v>
      </c>
      <c r="L1725" s="535"/>
      <c r="M1725" s="552" t="str">
        <f t="shared" si="241"/>
        <v/>
      </c>
      <c r="N1725" s="552"/>
      <c r="O1725" s="552" t="str">
        <f t="shared" si="242"/>
        <v/>
      </c>
      <c r="P1725" s="39"/>
    </row>
    <row r="1726" spans="1:16" x14ac:dyDescent="0.35">
      <c r="A1726" s="535" t="str">
        <f t="shared" si="246"/>
        <v/>
      </c>
      <c r="B1726" s="337"/>
      <c r="C1726" s="337"/>
      <c r="D1726" s="571"/>
      <c r="E1726" s="572" t="s">
        <v>65</v>
      </c>
      <c r="F1726" s="466">
        <v>36</v>
      </c>
      <c r="G1726" s="466" t="s">
        <v>73</v>
      </c>
      <c r="H1726" s="466">
        <f t="shared" si="247"/>
        <v>1.7</v>
      </c>
      <c r="I1726" s="466"/>
      <c r="J1726" s="573"/>
      <c r="K1726" s="693"/>
      <c r="L1726" s="535"/>
      <c r="M1726" s="552" t="str">
        <f t="shared" si="241"/>
        <v/>
      </c>
      <c r="N1726" s="552"/>
      <c r="O1726" s="552" t="str">
        <f t="shared" si="242"/>
        <v/>
      </c>
      <c r="P1726" s="39"/>
    </row>
    <row r="1727" spans="1:16" x14ac:dyDescent="0.35">
      <c r="A1727" s="535" t="str">
        <f t="shared" si="246"/>
        <v/>
      </c>
      <c r="B1727" s="330"/>
      <c r="C1727" s="330"/>
      <c r="D1727" s="539"/>
      <c r="E1727" s="355" t="s">
        <v>84</v>
      </c>
      <c r="F1727" s="378">
        <v>20</v>
      </c>
      <c r="G1727" s="378" t="s">
        <v>73</v>
      </c>
      <c r="H1727" s="515"/>
      <c r="I1727" s="356"/>
      <c r="J1727" s="515"/>
      <c r="K1727" s="684"/>
      <c r="L1727" s="535"/>
      <c r="M1727" s="552" t="str">
        <f t="shared" ref="M1727:M1769" si="248">IF(Q1731&gt;0, Q1731, "")</f>
        <v/>
      </c>
      <c r="N1727" s="552"/>
      <c r="O1727" s="552" t="str">
        <f t="shared" ref="O1727:O1769" si="249">IF(V1732&gt;0, V1732, "")</f>
        <v/>
      </c>
      <c r="P1727" s="39"/>
    </row>
    <row r="1728" spans="1:16" x14ac:dyDescent="0.35">
      <c r="A1728" s="535" t="str">
        <f t="shared" si="246"/>
        <v/>
      </c>
      <c r="B1728" s="337"/>
      <c r="C1728" s="337"/>
      <c r="D1728" s="539"/>
      <c r="E1728" s="416" t="s">
        <v>26</v>
      </c>
      <c r="F1728" s="378">
        <v>1000</v>
      </c>
      <c r="G1728" s="378" t="s">
        <v>73</v>
      </c>
      <c r="H1728" s="515"/>
      <c r="I1728" s="356"/>
      <c r="J1728" s="515"/>
      <c r="K1728" s="684"/>
      <c r="L1728" s="535"/>
      <c r="M1728" s="552" t="str">
        <f t="shared" si="248"/>
        <v/>
      </c>
      <c r="N1728" s="552"/>
      <c r="O1728" s="552" t="str">
        <f t="shared" si="249"/>
        <v/>
      </c>
      <c r="P1728" s="39"/>
    </row>
    <row r="1729" spans="1:16" x14ac:dyDescent="0.35">
      <c r="A1729" s="535" t="str">
        <f t="shared" si="246"/>
        <v/>
      </c>
      <c r="B1729" s="330"/>
      <c r="C1729" s="330"/>
      <c r="D1729" s="417" t="s">
        <v>60</v>
      </c>
      <c r="E1729" s="418" t="s">
        <v>121</v>
      </c>
      <c r="F1729" s="22">
        <v>1000</v>
      </c>
      <c r="G1729" s="22" t="s">
        <v>73</v>
      </c>
      <c r="H1729" s="328">
        <f>ROUND(($F$1727)*((($F$1728)*(($F$1729)/($F$1729+$F$1730)))
/((($F$1728)*(($F$1729)/($F$1729+$F$1730)))+(($F$1728)*(($F$1730)/($F$1729+$F$1730)))+($F$1732)+($F$1733))),2)</f>
        <v>13.39</v>
      </c>
      <c r="I1729" s="328" t="s">
        <v>73</v>
      </c>
      <c r="J1729" s="330"/>
      <c r="K1729" s="681">
        <f t="shared" ref="K1729:K1743" si="250">($A$1703*H1728)</f>
        <v>0</v>
      </c>
      <c r="L1729" s="535"/>
      <c r="M1729" s="552" t="str">
        <f t="shared" si="248"/>
        <v/>
      </c>
      <c r="N1729" s="552"/>
      <c r="O1729" s="552" t="str">
        <f t="shared" si="249"/>
        <v/>
      </c>
      <c r="P1729" s="39"/>
    </row>
    <row r="1730" spans="1:16" x14ac:dyDescent="0.35">
      <c r="A1730" s="535" t="str">
        <f t="shared" si="246"/>
        <v/>
      </c>
      <c r="B1730" s="337"/>
      <c r="C1730" s="337"/>
      <c r="D1730" s="417" t="s">
        <v>43</v>
      </c>
      <c r="E1730" s="419" t="s">
        <v>94</v>
      </c>
      <c r="F1730" s="18">
        <v>30</v>
      </c>
      <c r="G1730" s="18" t="s">
        <v>73</v>
      </c>
      <c r="H1730" s="335">
        <f>ROUND(($F$1727)*((($F$1728)*(($F$1730)/($F$1729+$F$1730)))
/((($F$1728)*(($F$1729)/($F$1729+$F$1730)))+(($F$1728)*(($F$1730)/($F$1729+$F$1730)))+($F$1732)+($F$1733))),2)</f>
        <v>0.4</v>
      </c>
      <c r="I1730" s="335" t="s">
        <v>73</v>
      </c>
      <c r="J1730" s="337"/>
      <c r="K1730" s="680">
        <f t="shared" si="250"/>
        <v>147.29000000000002</v>
      </c>
      <c r="L1730" s="535"/>
      <c r="M1730" s="552" t="str">
        <f t="shared" si="248"/>
        <v/>
      </c>
      <c r="N1730" s="552"/>
      <c r="O1730" s="552" t="str">
        <f t="shared" si="249"/>
        <v/>
      </c>
      <c r="P1730" s="39"/>
    </row>
    <row r="1731" spans="1:16" x14ac:dyDescent="0.35">
      <c r="A1731" s="535" t="str">
        <f t="shared" si="246"/>
        <v/>
      </c>
      <c r="B1731" s="330"/>
      <c r="C1731" s="330"/>
      <c r="D1731" s="420"/>
      <c r="E1731" s="421" t="s">
        <v>81</v>
      </c>
      <c r="F1731" s="404">
        <v>400</v>
      </c>
      <c r="G1731" s="404" t="s">
        <v>73</v>
      </c>
      <c r="H1731" s="343"/>
      <c r="I1731" s="343"/>
      <c r="J1731" s="345"/>
      <c r="K1731" s="685"/>
      <c r="L1731" s="535"/>
      <c r="M1731" s="552" t="str">
        <f t="shared" si="248"/>
        <v/>
      </c>
      <c r="N1731" s="552"/>
      <c r="O1731" s="552" t="str">
        <f t="shared" si="249"/>
        <v/>
      </c>
      <c r="P1731" s="39"/>
    </row>
    <row r="1732" spans="1:16" x14ac:dyDescent="0.35">
      <c r="A1732" s="535" t="str">
        <f t="shared" si="246"/>
        <v/>
      </c>
      <c r="B1732" s="337"/>
      <c r="C1732" s="337"/>
      <c r="D1732" s="417" t="s">
        <v>59</v>
      </c>
      <c r="E1732" s="425" t="s">
        <v>27</v>
      </c>
      <c r="F1732" s="18">
        <v>350</v>
      </c>
      <c r="G1732" s="18" t="s">
        <v>73</v>
      </c>
      <c r="H1732" s="335">
        <f>ROUND(($F$1727)*((F1732)/((($F$1728)*(($F$1729)/($F$1729+$F$1730)))+(($F$1728)*(($F$1730)/($F$1729+$F$1730)))+($F$1732)+($F$1733))),2)</f>
        <v>4.83</v>
      </c>
      <c r="I1732" s="335" t="s">
        <v>73</v>
      </c>
      <c r="J1732" s="337"/>
      <c r="K1732" s="680">
        <f t="shared" si="250"/>
        <v>0</v>
      </c>
      <c r="L1732" s="535"/>
      <c r="M1732" s="552" t="str">
        <f t="shared" si="248"/>
        <v/>
      </c>
      <c r="N1732" s="552"/>
      <c r="O1732" s="552" t="str">
        <f t="shared" si="249"/>
        <v/>
      </c>
      <c r="P1732" s="39"/>
    </row>
    <row r="1733" spans="1:16" x14ac:dyDescent="0.35">
      <c r="A1733" s="535" t="str">
        <f t="shared" si="246"/>
        <v/>
      </c>
      <c r="B1733" s="330"/>
      <c r="C1733" s="330"/>
      <c r="D1733" s="417" t="s">
        <v>48</v>
      </c>
      <c r="E1733" s="426" t="s">
        <v>91</v>
      </c>
      <c r="F1733" s="22">
        <v>100</v>
      </c>
      <c r="G1733" s="22" t="s">
        <v>73</v>
      </c>
      <c r="H1733" s="328">
        <f>ROUND(($F$1727)*((F1733)/((($F$1728)*(($F$1729)/($F$1729+$F$1730)))+(($F$1728)*(($F$1730)/($F$1729+$F$1730)))+($F$1732)+($F$1733))),2)</f>
        <v>1.38</v>
      </c>
      <c r="I1733" s="328" t="s">
        <v>73</v>
      </c>
      <c r="J1733" s="330"/>
      <c r="K1733" s="681">
        <f t="shared" si="250"/>
        <v>53.13</v>
      </c>
      <c r="L1733" s="535"/>
      <c r="M1733" s="552" t="str">
        <f t="shared" si="248"/>
        <v/>
      </c>
      <c r="N1733" s="552"/>
      <c r="O1733" s="552" t="str">
        <f t="shared" si="249"/>
        <v/>
      </c>
      <c r="P1733" s="39"/>
    </row>
    <row r="1734" spans="1:16" x14ac:dyDescent="0.35">
      <c r="A1734" s="535" t="str">
        <f t="shared" si="246"/>
        <v/>
      </c>
      <c r="B1734" s="337"/>
      <c r="C1734" s="337"/>
      <c r="D1734" s="355"/>
      <c r="E1734" s="355" t="s">
        <v>973</v>
      </c>
      <c r="F1734" s="356">
        <v>40</v>
      </c>
      <c r="G1734" s="356" t="s">
        <v>73</v>
      </c>
      <c r="H1734" s="515"/>
      <c r="I1734" s="356"/>
      <c r="J1734" s="515"/>
      <c r="K1734" s="684"/>
      <c r="L1734" s="535"/>
      <c r="M1734" s="552" t="str">
        <f t="shared" si="248"/>
        <v/>
      </c>
      <c r="N1734" s="552"/>
      <c r="O1734" s="552" t="str">
        <f t="shared" si="249"/>
        <v/>
      </c>
      <c r="P1734" s="39"/>
    </row>
    <row r="1735" spans="1:16" x14ac:dyDescent="0.35">
      <c r="A1735" s="535" t="str">
        <f t="shared" si="246"/>
        <v/>
      </c>
      <c r="B1735" s="330"/>
      <c r="C1735" s="330"/>
      <c r="D1735" s="326" t="s">
        <v>47</v>
      </c>
      <c r="E1735" s="426" t="s">
        <v>740</v>
      </c>
      <c r="F1735" s="22">
        <v>3</v>
      </c>
      <c r="G1735" s="22" t="s">
        <v>73</v>
      </c>
      <c r="H1735" s="328">
        <f>ROUND(($F$1734)*((F1735)/($F$1735+$F$1736+$F$1737+$F$1738+$F$1739+$F$1740+$F$1741+$F$1742+$F$1743)),2)</f>
        <v>0.43</v>
      </c>
      <c r="I1735" s="328" t="s">
        <v>73</v>
      </c>
      <c r="J1735" s="330"/>
      <c r="K1735" s="681">
        <f t="shared" si="250"/>
        <v>0</v>
      </c>
      <c r="L1735" s="535"/>
      <c r="M1735" s="552" t="str">
        <f t="shared" si="248"/>
        <v/>
      </c>
      <c r="N1735" s="552"/>
      <c r="O1735" s="552" t="str">
        <f t="shared" si="249"/>
        <v/>
      </c>
      <c r="P1735" s="39"/>
    </row>
    <row r="1736" spans="1:16" x14ac:dyDescent="0.35">
      <c r="A1736" s="535" t="str">
        <f t="shared" si="246"/>
        <v/>
      </c>
      <c r="B1736" s="337"/>
      <c r="C1736" s="337"/>
      <c r="D1736" s="326" t="s">
        <v>49</v>
      </c>
      <c r="E1736" s="425" t="s">
        <v>916</v>
      </c>
      <c r="F1736" s="18">
        <v>8</v>
      </c>
      <c r="G1736" s="18" t="s">
        <v>73</v>
      </c>
      <c r="H1736" s="335">
        <f t="shared" ref="H1736:H1743" si="251">ROUND(($F$1734)*((F1736)/($F$1735+$F$1736+$F$1737+$F$1738+$F$1739+$F$1740+$F$1741+$F$1742+$F$1743)),2)</f>
        <v>1.1599999999999999</v>
      </c>
      <c r="I1736" s="335" t="s">
        <v>73</v>
      </c>
      <c r="J1736" s="337"/>
      <c r="K1736" s="680">
        <f t="shared" si="250"/>
        <v>4.7299999999999995</v>
      </c>
      <c r="L1736" s="535"/>
      <c r="M1736" s="552" t="str">
        <f t="shared" si="248"/>
        <v/>
      </c>
      <c r="N1736" s="552"/>
      <c r="O1736" s="552" t="str">
        <f t="shared" si="249"/>
        <v/>
      </c>
      <c r="P1736" s="39"/>
    </row>
    <row r="1737" spans="1:16" x14ac:dyDescent="0.35">
      <c r="A1737" s="535" t="str">
        <f t="shared" si="246"/>
        <v/>
      </c>
      <c r="B1737" s="330"/>
      <c r="C1737" s="330"/>
      <c r="D1737" s="326" t="s">
        <v>50</v>
      </c>
      <c r="E1737" s="426" t="s">
        <v>993</v>
      </c>
      <c r="F1737" s="22">
        <v>40</v>
      </c>
      <c r="G1737" s="22" t="s">
        <v>73</v>
      </c>
      <c r="H1737" s="328">
        <f t="shared" si="251"/>
        <v>5.79</v>
      </c>
      <c r="I1737" s="328" t="s">
        <v>73</v>
      </c>
      <c r="J1737" s="330"/>
      <c r="K1737" s="681">
        <f t="shared" si="250"/>
        <v>12.76</v>
      </c>
      <c r="L1737" s="535"/>
      <c r="M1737" s="552" t="str">
        <f t="shared" si="248"/>
        <v/>
      </c>
      <c r="N1737" s="552"/>
      <c r="O1737" s="552" t="str">
        <f t="shared" si="249"/>
        <v/>
      </c>
      <c r="P1737" s="39"/>
    </row>
    <row r="1738" spans="1:16" x14ac:dyDescent="0.35">
      <c r="A1738" s="535" t="str">
        <f t="shared" si="246"/>
        <v/>
      </c>
      <c r="B1738" s="337"/>
      <c r="C1738" s="337"/>
      <c r="D1738" s="326" t="s">
        <v>371</v>
      </c>
      <c r="E1738" s="425" t="s">
        <v>918</v>
      </c>
      <c r="F1738" s="18">
        <v>20</v>
      </c>
      <c r="G1738" s="18" t="s">
        <v>73</v>
      </c>
      <c r="H1738" s="335">
        <f t="shared" si="251"/>
        <v>2.89</v>
      </c>
      <c r="I1738" s="335" t="s">
        <v>73</v>
      </c>
      <c r="J1738" s="337"/>
      <c r="K1738" s="680">
        <f t="shared" si="250"/>
        <v>63.69</v>
      </c>
      <c r="L1738" s="535"/>
      <c r="M1738" s="552" t="str">
        <f t="shared" si="248"/>
        <v/>
      </c>
      <c r="N1738" s="552"/>
      <c r="O1738" s="552" t="str">
        <f t="shared" si="249"/>
        <v/>
      </c>
      <c r="P1738" s="39"/>
    </row>
    <row r="1739" spans="1:16" x14ac:dyDescent="0.35">
      <c r="A1739" s="535" t="str">
        <f t="shared" si="246"/>
        <v/>
      </c>
      <c r="B1739" s="330"/>
      <c r="C1739" s="330"/>
      <c r="D1739" s="326" t="s">
        <v>379</v>
      </c>
      <c r="E1739" s="426" t="s">
        <v>919</v>
      </c>
      <c r="F1739" s="22">
        <v>10</v>
      </c>
      <c r="G1739" s="22" t="s">
        <v>73</v>
      </c>
      <c r="H1739" s="328">
        <f>ROUND(($F$1734)*((F1739)/($F$1735+$F$1736+$F$1737+$F$1738+$F$1739+$F$1740+$F$1741+$F$1742+$F$1743)),2)</f>
        <v>1.45</v>
      </c>
      <c r="I1739" s="328" t="s">
        <v>73</v>
      </c>
      <c r="J1739" s="330"/>
      <c r="K1739" s="681">
        <f t="shared" si="250"/>
        <v>31.790000000000003</v>
      </c>
      <c r="L1739" s="535"/>
      <c r="M1739" s="552" t="str">
        <f t="shared" si="248"/>
        <v/>
      </c>
      <c r="N1739" s="552"/>
      <c r="O1739" s="552" t="str">
        <f t="shared" si="249"/>
        <v/>
      </c>
      <c r="P1739" s="39"/>
    </row>
    <row r="1740" spans="1:16" x14ac:dyDescent="0.35">
      <c r="A1740" s="535" t="str">
        <f t="shared" si="246"/>
        <v/>
      </c>
      <c r="B1740" s="337"/>
      <c r="C1740" s="337"/>
      <c r="D1740" s="326" t="s">
        <v>505</v>
      </c>
      <c r="E1740" s="425" t="s">
        <v>722</v>
      </c>
      <c r="F1740" s="18">
        <v>0.5</v>
      </c>
      <c r="G1740" s="18" t="s">
        <v>73</v>
      </c>
      <c r="H1740" s="335">
        <f t="shared" si="251"/>
        <v>7.0000000000000007E-2</v>
      </c>
      <c r="I1740" s="335" t="s">
        <v>73</v>
      </c>
      <c r="J1740" s="337"/>
      <c r="K1740" s="680">
        <f t="shared" si="250"/>
        <v>15.95</v>
      </c>
      <c r="L1740" s="535"/>
      <c r="M1740" s="552" t="str">
        <f t="shared" si="248"/>
        <v/>
      </c>
      <c r="N1740" s="552"/>
      <c r="O1740" s="552" t="str">
        <f t="shared" si="249"/>
        <v/>
      </c>
      <c r="P1740" s="39"/>
    </row>
    <row r="1741" spans="1:16" x14ac:dyDescent="0.35">
      <c r="A1741" s="535" t="str">
        <f t="shared" si="246"/>
        <v/>
      </c>
      <c r="B1741" s="330"/>
      <c r="C1741" s="330"/>
      <c r="D1741" s="326" t="s">
        <v>41</v>
      </c>
      <c r="E1741" s="426" t="s">
        <v>911</v>
      </c>
      <c r="F1741" s="22">
        <v>2</v>
      </c>
      <c r="G1741" s="22" t="s">
        <v>73</v>
      </c>
      <c r="H1741" s="328">
        <f t="shared" si="251"/>
        <v>0.28999999999999998</v>
      </c>
      <c r="I1741" s="328" t="s">
        <v>73</v>
      </c>
      <c r="J1741" s="330"/>
      <c r="K1741" s="681">
        <f t="shared" si="250"/>
        <v>0.77</v>
      </c>
      <c r="L1741" s="535"/>
      <c r="M1741" s="552" t="str">
        <f t="shared" si="248"/>
        <v/>
      </c>
      <c r="N1741" s="552"/>
      <c r="O1741" s="552" t="str">
        <f t="shared" si="249"/>
        <v/>
      </c>
      <c r="P1741" s="39"/>
    </row>
    <row r="1742" spans="1:16" x14ac:dyDescent="0.35">
      <c r="A1742" s="535" t="str">
        <f t="shared" si="246"/>
        <v/>
      </c>
      <c r="B1742" s="337"/>
      <c r="C1742" s="337"/>
      <c r="D1742" s="326" t="s">
        <v>127</v>
      </c>
      <c r="E1742" s="425" t="s">
        <v>912</v>
      </c>
      <c r="F1742" s="18">
        <v>28</v>
      </c>
      <c r="G1742" s="18" t="s">
        <v>73</v>
      </c>
      <c r="H1742" s="335">
        <f t="shared" si="251"/>
        <v>4.05</v>
      </c>
      <c r="I1742" s="335" t="s">
        <v>73</v>
      </c>
      <c r="J1742" s="337"/>
      <c r="K1742" s="680">
        <f t="shared" si="250"/>
        <v>3.19</v>
      </c>
      <c r="L1742" s="535"/>
      <c r="M1742" s="552" t="str">
        <f t="shared" si="248"/>
        <v/>
      </c>
      <c r="N1742" s="552"/>
      <c r="O1742" s="552" t="str">
        <f t="shared" si="249"/>
        <v/>
      </c>
      <c r="P1742" s="39"/>
    </row>
    <row r="1743" spans="1:16" ht="15" thickBot="1" x14ac:dyDescent="0.4">
      <c r="A1743" s="535" t="str">
        <f t="shared" si="246"/>
        <v/>
      </c>
      <c r="B1743" s="330"/>
      <c r="C1743" s="330"/>
      <c r="D1743" s="326" t="s">
        <v>549</v>
      </c>
      <c r="E1743" s="426" t="s">
        <v>915</v>
      </c>
      <c r="F1743" s="22">
        <v>165</v>
      </c>
      <c r="G1743" s="22" t="s">
        <v>73</v>
      </c>
      <c r="H1743" s="328">
        <f t="shared" si="251"/>
        <v>23.87</v>
      </c>
      <c r="I1743" s="328" t="s">
        <v>73</v>
      </c>
      <c r="J1743" s="330"/>
      <c r="K1743" s="681">
        <f t="shared" si="250"/>
        <v>44.55</v>
      </c>
      <c r="L1743" s="535"/>
      <c r="M1743" s="552" t="str">
        <f t="shared" si="248"/>
        <v/>
      </c>
      <c r="N1743" s="552"/>
      <c r="O1743" s="552" t="str">
        <f t="shared" si="249"/>
        <v/>
      </c>
      <c r="P1743" s="39"/>
    </row>
    <row r="1744" spans="1:16" ht="15.5" thickTop="1" thickBot="1" x14ac:dyDescent="0.4">
      <c r="A1744" s="585" t="str">
        <f t="shared" si="246"/>
        <v/>
      </c>
      <c r="B1744" s="574"/>
      <c r="C1744" s="574"/>
      <c r="D1744" s="575"/>
      <c r="E1744" s="574"/>
      <c r="F1744" s="574"/>
      <c r="G1744" s="574"/>
      <c r="H1744" s="574"/>
      <c r="I1744" s="574"/>
      <c r="J1744" s="574"/>
      <c r="K1744" s="683"/>
      <c r="L1744" s="535"/>
      <c r="M1744" s="552" t="str">
        <f t="shared" si="248"/>
        <v/>
      </c>
      <c r="N1744" s="552"/>
      <c r="O1744" s="552" t="str">
        <f t="shared" si="249"/>
        <v/>
      </c>
      <c r="P1744" s="39"/>
    </row>
    <row r="1745" spans="1:16" ht="15" thickTop="1" x14ac:dyDescent="0.35">
      <c r="A1745" s="565">
        <f>IFERROR(INDEX($Q$17:$Q$201,MATCH(B1745,$R$17:$R$201, 0)), "")</f>
        <v>39</v>
      </c>
      <c r="B1745" s="382" t="s">
        <v>1300</v>
      </c>
      <c r="C1745" s="325" t="s">
        <v>983</v>
      </c>
      <c r="D1745" s="347" t="s">
        <v>50</v>
      </c>
      <c r="E1745" s="327" t="s">
        <v>992</v>
      </c>
      <c r="F1745" s="22">
        <v>70</v>
      </c>
      <c r="G1745" s="22" t="s">
        <v>73</v>
      </c>
      <c r="H1745" s="22">
        <v>70</v>
      </c>
      <c r="I1745" s="22" t="s">
        <v>73</v>
      </c>
      <c r="J1745" s="330"/>
      <c r="K1745" s="681">
        <f t="shared" ref="K1745:K1788" si="252">($A$1745*H1745)</f>
        <v>2730</v>
      </c>
      <c r="L1745" s="535"/>
      <c r="M1745" s="552" t="str">
        <f t="shared" si="248"/>
        <v/>
      </c>
      <c r="N1745" s="552"/>
      <c r="O1745" s="552" t="str">
        <f t="shared" si="249"/>
        <v/>
      </c>
      <c r="P1745" s="39"/>
    </row>
    <row r="1746" spans="1:16" x14ac:dyDescent="0.35">
      <c r="A1746" s="535" t="str">
        <f t="shared" si="246"/>
        <v/>
      </c>
      <c r="B1746" s="337"/>
      <c r="C1746" s="337"/>
      <c r="D1746" s="326" t="s">
        <v>369</v>
      </c>
      <c r="E1746" s="334" t="s">
        <v>995</v>
      </c>
      <c r="F1746" s="18">
        <v>40</v>
      </c>
      <c r="G1746" s="18" t="s">
        <v>73</v>
      </c>
      <c r="H1746" s="18">
        <v>40</v>
      </c>
      <c r="I1746" s="18" t="s">
        <v>73</v>
      </c>
      <c r="J1746" s="337"/>
      <c r="K1746" s="680">
        <f t="shared" si="252"/>
        <v>1560</v>
      </c>
      <c r="L1746" s="535"/>
      <c r="M1746" s="552" t="str">
        <f t="shared" si="248"/>
        <v/>
      </c>
      <c r="N1746" s="552"/>
      <c r="O1746" s="552" t="str">
        <f t="shared" si="249"/>
        <v/>
      </c>
      <c r="P1746" s="39"/>
    </row>
    <row r="1747" spans="1:16" x14ac:dyDescent="0.35">
      <c r="A1747" s="535" t="str">
        <f t="shared" si="246"/>
        <v/>
      </c>
      <c r="B1747" s="330"/>
      <c r="C1747" s="330"/>
      <c r="D1747" s="326" t="s">
        <v>489</v>
      </c>
      <c r="E1747" s="327" t="s">
        <v>996</v>
      </c>
      <c r="F1747" s="22">
        <v>100</v>
      </c>
      <c r="G1747" s="22" t="s">
        <v>73</v>
      </c>
      <c r="H1747" s="22">
        <v>100</v>
      </c>
      <c r="I1747" s="22" t="s">
        <v>73</v>
      </c>
      <c r="J1747" s="330"/>
      <c r="K1747" s="681">
        <f t="shared" si="252"/>
        <v>3900</v>
      </c>
      <c r="L1747" s="535"/>
      <c r="M1747" s="552" t="str">
        <f t="shared" si="248"/>
        <v/>
      </c>
      <c r="N1747" s="552"/>
      <c r="O1747" s="552" t="str">
        <f t="shared" si="249"/>
        <v/>
      </c>
      <c r="P1747" s="39"/>
    </row>
    <row r="1748" spans="1:16" x14ac:dyDescent="0.35">
      <c r="A1748" s="535" t="str">
        <f t="shared" si="246"/>
        <v/>
      </c>
      <c r="B1748" s="337"/>
      <c r="C1748" s="337"/>
      <c r="D1748" s="326" t="s">
        <v>676</v>
      </c>
      <c r="E1748" s="334" t="s">
        <v>677</v>
      </c>
      <c r="F1748" s="18">
        <v>15</v>
      </c>
      <c r="G1748" s="18" t="s">
        <v>73</v>
      </c>
      <c r="H1748" s="18">
        <v>15</v>
      </c>
      <c r="I1748" s="18" t="s">
        <v>73</v>
      </c>
      <c r="J1748" s="337"/>
      <c r="K1748" s="680">
        <f t="shared" si="252"/>
        <v>585</v>
      </c>
      <c r="L1748" s="535"/>
      <c r="M1748" s="552" t="str">
        <f t="shared" si="248"/>
        <v/>
      </c>
      <c r="N1748" s="552"/>
      <c r="O1748" s="552" t="str">
        <f t="shared" si="249"/>
        <v/>
      </c>
      <c r="P1748" s="39"/>
    </row>
    <row r="1749" spans="1:16" x14ac:dyDescent="0.35">
      <c r="A1749" s="535" t="str">
        <f t="shared" si="246"/>
        <v/>
      </c>
      <c r="B1749" s="330"/>
      <c r="C1749" s="330"/>
      <c r="D1749" s="326" t="s">
        <v>445</v>
      </c>
      <c r="E1749" s="327" t="s">
        <v>446</v>
      </c>
      <c r="F1749" s="22">
        <v>8</v>
      </c>
      <c r="G1749" s="22" t="s">
        <v>74</v>
      </c>
      <c r="H1749" s="22">
        <v>8</v>
      </c>
      <c r="I1749" s="22" t="s">
        <v>74</v>
      </c>
      <c r="J1749" s="330"/>
      <c r="K1749" s="681">
        <f t="shared" si="252"/>
        <v>312</v>
      </c>
      <c r="L1749" s="535"/>
      <c r="M1749" s="552" t="str">
        <f t="shared" si="248"/>
        <v/>
      </c>
      <c r="N1749" s="552"/>
      <c r="O1749" s="552" t="str">
        <f t="shared" si="249"/>
        <v/>
      </c>
      <c r="P1749" s="39"/>
    </row>
    <row r="1750" spans="1:16" x14ac:dyDescent="0.35">
      <c r="A1750" s="535" t="str">
        <f t="shared" si="246"/>
        <v/>
      </c>
      <c r="B1750" s="337"/>
      <c r="C1750" s="337"/>
      <c r="D1750" s="326" t="s">
        <v>48</v>
      </c>
      <c r="E1750" s="334" t="s">
        <v>984</v>
      </c>
      <c r="F1750" s="18">
        <v>20</v>
      </c>
      <c r="G1750" s="18" t="s">
        <v>73</v>
      </c>
      <c r="H1750" s="18">
        <v>20</v>
      </c>
      <c r="I1750" s="18" t="s">
        <v>73</v>
      </c>
      <c r="J1750" s="337"/>
      <c r="K1750" s="680">
        <f t="shared" si="252"/>
        <v>780</v>
      </c>
      <c r="L1750" s="535"/>
      <c r="M1750" s="552" t="str">
        <f t="shared" si="248"/>
        <v/>
      </c>
      <c r="N1750" s="552"/>
      <c r="O1750" s="552" t="str">
        <f t="shared" si="249"/>
        <v/>
      </c>
      <c r="P1750" s="39"/>
    </row>
    <row r="1751" spans="1:16" x14ac:dyDescent="0.35">
      <c r="A1751" s="535" t="str">
        <f t="shared" si="246"/>
        <v/>
      </c>
      <c r="B1751" s="330"/>
      <c r="C1751" s="330"/>
      <c r="D1751" s="355" t="s">
        <v>997</v>
      </c>
      <c r="E1751" s="355" t="s">
        <v>985</v>
      </c>
      <c r="F1751" s="378">
        <v>300</v>
      </c>
      <c r="G1751" s="378" t="s">
        <v>73</v>
      </c>
      <c r="H1751" s="356">
        <v>300</v>
      </c>
      <c r="I1751" s="378" t="s">
        <v>73</v>
      </c>
      <c r="J1751" s="515"/>
      <c r="K1751" s="684">
        <f t="shared" si="252"/>
        <v>11700</v>
      </c>
      <c r="L1751" s="535"/>
      <c r="M1751" s="552" t="str">
        <f t="shared" si="248"/>
        <v/>
      </c>
      <c r="N1751" s="552"/>
      <c r="O1751" s="552" t="str">
        <f t="shared" si="249"/>
        <v/>
      </c>
      <c r="P1751" s="39"/>
    </row>
    <row r="1752" spans="1:16" x14ac:dyDescent="0.35">
      <c r="A1752" s="535" t="str">
        <f t="shared" si="246"/>
        <v/>
      </c>
      <c r="B1752" s="337"/>
      <c r="C1752" s="337"/>
      <c r="D1752" s="326"/>
      <c r="E1752" s="360" t="s">
        <v>985</v>
      </c>
      <c r="F1752" s="18">
        <v>1000</v>
      </c>
      <c r="G1752" s="18" t="s">
        <v>73</v>
      </c>
      <c r="H1752" s="335">
        <f>ROUND((($F$1751)*((F1752)/($F$1752+$F$1753+$F$1754))),2)</f>
        <v>287.08</v>
      </c>
      <c r="I1752" s="18"/>
      <c r="J1752" s="337"/>
      <c r="K1752" s="680"/>
      <c r="L1752" s="535"/>
      <c r="M1752" s="552" t="str">
        <f t="shared" si="248"/>
        <v/>
      </c>
      <c r="N1752" s="552"/>
      <c r="O1752" s="552" t="str">
        <f t="shared" si="249"/>
        <v/>
      </c>
      <c r="P1752" s="39"/>
    </row>
    <row r="1753" spans="1:16" x14ac:dyDescent="0.35">
      <c r="A1753" s="535" t="str">
        <f t="shared" si="246"/>
        <v/>
      </c>
      <c r="B1753" s="330"/>
      <c r="C1753" s="330"/>
      <c r="D1753" s="326" t="s">
        <v>513</v>
      </c>
      <c r="E1753" s="366" t="s">
        <v>986</v>
      </c>
      <c r="F1753" s="22">
        <v>35</v>
      </c>
      <c r="G1753" s="22" t="s">
        <v>73</v>
      </c>
      <c r="H1753" s="328">
        <f>ROUND((($F$1751)*((F1753)/($F$1752+$F$1753+$F$1754))),2)</f>
        <v>10.050000000000001</v>
      </c>
      <c r="I1753" s="22" t="s">
        <v>73</v>
      </c>
      <c r="J1753" s="330"/>
      <c r="K1753" s="681">
        <f t="shared" si="252"/>
        <v>391.95000000000005</v>
      </c>
      <c r="L1753" s="535"/>
      <c r="M1753" s="552" t="str">
        <f t="shared" si="248"/>
        <v/>
      </c>
      <c r="N1753" s="552"/>
      <c r="O1753" s="552" t="str">
        <f t="shared" si="249"/>
        <v/>
      </c>
      <c r="P1753" s="39"/>
    </row>
    <row r="1754" spans="1:16" x14ac:dyDescent="0.35">
      <c r="A1754" s="535" t="str">
        <f t="shared" si="246"/>
        <v/>
      </c>
      <c r="B1754" s="337"/>
      <c r="C1754" s="337"/>
      <c r="D1754" s="326" t="s">
        <v>43</v>
      </c>
      <c r="E1754" s="360" t="s">
        <v>768</v>
      </c>
      <c r="F1754" s="18">
        <v>10</v>
      </c>
      <c r="G1754" s="18" t="s">
        <v>73</v>
      </c>
      <c r="H1754" s="335">
        <f>ROUND((($F$1751)*((F1754)/($F$1752+$F$1753+$F$1754))),2)</f>
        <v>2.87</v>
      </c>
      <c r="I1754" s="18" t="s">
        <v>73</v>
      </c>
      <c r="J1754" s="337"/>
      <c r="K1754" s="680">
        <f t="shared" si="252"/>
        <v>111.93</v>
      </c>
      <c r="L1754" s="535"/>
      <c r="M1754" s="552" t="str">
        <f t="shared" si="248"/>
        <v/>
      </c>
      <c r="N1754" s="552"/>
      <c r="O1754" s="552" t="str">
        <f t="shared" si="249"/>
        <v/>
      </c>
      <c r="P1754" s="39"/>
    </row>
    <row r="1755" spans="1:16" x14ac:dyDescent="0.35">
      <c r="A1755" s="535" t="str">
        <f t="shared" si="246"/>
        <v/>
      </c>
      <c r="B1755" s="330"/>
      <c r="C1755" s="330"/>
      <c r="D1755" s="571"/>
      <c r="E1755" s="572" t="s">
        <v>81</v>
      </c>
      <c r="F1755" s="493">
        <v>100</v>
      </c>
      <c r="G1755" s="493" t="s">
        <v>73</v>
      </c>
      <c r="H1755" s="573"/>
      <c r="I1755" s="493"/>
      <c r="J1755" s="573"/>
      <c r="K1755" s="693"/>
      <c r="L1755" s="535"/>
      <c r="M1755" s="552" t="str">
        <f t="shared" si="248"/>
        <v/>
      </c>
      <c r="N1755" s="552"/>
      <c r="O1755" s="552" t="str">
        <f t="shared" si="249"/>
        <v/>
      </c>
      <c r="P1755" s="39"/>
    </row>
    <row r="1756" spans="1:16" x14ac:dyDescent="0.35">
      <c r="A1756" s="535" t="str">
        <f t="shared" si="246"/>
        <v/>
      </c>
      <c r="B1756" s="337"/>
      <c r="C1756" s="337"/>
      <c r="D1756" s="355"/>
      <c r="E1756" s="355" t="s">
        <v>987</v>
      </c>
      <c r="F1756" s="378">
        <v>150</v>
      </c>
      <c r="G1756" s="378" t="s">
        <v>73</v>
      </c>
      <c r="H1756" s="515"/>
      <c r="I1756" s="378"/>
      <c r="J1756" s="515"/>
      <c r="K1756" s="684"/>
      <c r="L1756" s="535"/>
      <c r="M1756" s="552" t="str">
        <f t="shared" si="248"/>
        <v/>
      </c>
      <c r="N1756" s="552"/>
      <c r="O1756" s="552" t="str">
        <f t="shared" si="249"/>
        <v/>
      </c>
      <c r="P1756" s="39"/>
    </row>
    <row r="1757" spans="1:16" x14ac:dyDescent="0.35">
      <c r="A1757" s="535" t="str">
        <f t="shared" si="246"/>
        <v/>
      </c>
      <c r="B1757" s="330"/>
      <c r="C1757" s="330"/>
      <c r="D1757" s="326" t="s">
        <v>125</v>
      </c>
      <c r="E1757" s="380" t="s">
        <v>126</v>
      </c>
      <c r="F1757" s="22">
        <v>425</v>
      </c>
      <c r="G1757" s="22" t="s">
        <v>73</v>
      </c>
      <c r="H1757" s="328">
        <f>ROUND((($F$1756)*(
(F1757)
/(($F$1757)+($F$1758)+($F$1759)+($F$1760)+($F$1761)+($F$1762)+
(($F$1763)*(($F$1764)/($F$1764+$F$1765+$F$1766+$F$1767+$F$1768)))+
(($F$1763)*(($F$1765)/($F$1764+$F$1765+$F$1766+$F$1767+$F$1768)))+
(($F$1763)*(($F$1766)/($F$1764+$F$1765+$F$1766+$F$1767+$F$1768)))+
(($F$1763)*(($F$1767)/($F$1764+$F$1765+$F$1766+$F$1767+$F$1768)))+
(($F$1763)*(($F$1768)/($F$1764+$F$1765+$F$1766+$F$1767+$F$1768)))+
(($F$1769)*(($F$1770)/((($F$1771)*(($F$1772)/($F$1772+$F$1773+$F$1774+$F$1775+$F$1776)))+
(($F$1771)*(($F$1773)/($F$1772+$F$1773+$F$1774+$F$1775+$F$1776)))+
(($F$1771)*(($F$1774)/($F$1772+$F$1773+$F$1774+$F$1775+$F$1776)))+
(($F$1771)*(($F$1775)/($F$1772+$F$1773+$F$1774+$F$1775+$F$1776)))+
(($F$1771)*(($F$1776)/($F$1772+$F$1773+$F$1774+$F$1775+$F$1776)))+
($F$1770))))+
(($F$1769)*((($F$1771)*(($F$1772)/($F$1772+$F$1773+$F$1774+$F$1775+$F$1776)))
/((($F$1771)*(($F$1772)/($F$1772+$F$1773+$F$1774+$F$1775+$F$1776)))+
(($F$1771)*(($F$1773)/($F$1772+$F$1773+$F$1774+$F$1775+$F$1776)))+
(($F$1771)*(($F$1774)/($F$1772+$F$1773+$F$1774+$F$1775+$F$1776)))+
(($F$1771)*(($F$1775)/($F$1772+$F$1773+$F$1774+$F$1775+$F$1776)))+
(($F$1771)*(($F$1776)/($F$1772+$F$1773+$F$1774+$F$1775+$F$1776)))+
($F$1770))))+
(($F$1769)*((($F$1771)*(($F$1773)/($F$1772+$F$1773+$F$1774+$F$1775+$F$1776)))
/((($F$1771)*(($F$1772)/($F$1772+$F$1773+$F$1774+$F$1775+$F$1776)))+
(($F$1771)*(($F$1773)/($F$1772+$F$1773+$F$1774+$F$1775+$F$1776)))+
(($F$1771)*(($F$1774)/($F$1772+$F$1773+$F$1774+$F$1775+$F$1776)))+
(($F$1771)*(($F$1775)/($F$1772+$F$1773+$F$1774+$F$1775+$F$1776)))+
(($F$1771)*(($F$1776)/($F$1772+$F$1773+$F$1774+$F$1775+$F$1776)))+
($F$1770))))+
(($F$1769)*((($F$1771)*(($F$1774)/($F$1772+$F$1773+$F$1774+$F$1775+$F$1776)))
/((($F$1771)*(($F$1772)/($F$1772+$F$1773+$F$1774+$F$1775+$F$1776)))+
(($F$1771)*(($F$1773)/($F$1772+$F$1773+$F$1774+$F$1775+$F$1776)))+
(($F$1771)*(($F$1774)/($F$1772+$F$1773+$F$1774+$F$1775+$F$1776)))+
(($F$1771)*(($F$1775)/($F$1772+$F$1773+$F$1774+$F$1775+$F$1776)))+
(($F$1771)*(($F$1776)/($F$1772+$F$1773+$F$1774+$F$1775+$F$1776)))+
($F$1770))))+
(($F$1769)*((($F$1771)*(($F$1775)/($F$1772+$F$1773+$F$1774+$F$1775+$F$1776)))
/((($F$1771)*(($F$1772)/($F$1772+$F$1773+$F$1774+$F$1775+$F$1776)))+
(($F$1771)*(($F$1773)/($F$1772+$F$1773+$F$1774+$F$1775+$F$1776)))+
(($F$1771)*(($F$1774)/($F$1772+$F$1773+$F$1774+$F$1775+$F$1776)))+
(($F$1771)*(($F$1775)/($F$1772+$F$1773+$F$1774+$F$1775+$F$1776)))+
(($F$1771)*(($F$1776)/($F$1772+$F$1773+$F$1774+$F$1775+$F$1776)))+
($F$1770))))+
(($F$1769)*((($F$1771)*(($F$1776)/($F$1772+$F$1773+$F$1774+$F$1775+$F$1776)))
/((($F$1771)*(($F$1772)/($F$1772+$F$1773+$F$1774+$F$1775+$F$1776)))+
(($F$1771)*(($F$1773)/($F$1772+$F$1773+$F$1774+$F$1775+$F$1776)))+
(($F$1771)*(($F$1774)/($F$1772+$F$1773+$F$1774+$F$1775+$F$1776)))+
(($F$1771)*(($F$1775)/($F$1772+$F$1773+$F$1774+$F$1775+$F$1776)))+
(($F$1771)*(($F$1776)/($F$1772+$F$1773+$F$1774+$F$1775+$F$1776)))+
($F$1770))))))),2)</f>
        <v>64.98</v>
      </c>
      <c r="I1757" s="22" t="s">
        <v>73</v>
      </c>
      <c r="J1757" s="330"/>
      <c r="K1757" s="681">
        <f t="shared" si="252"/>
        <v>2534.2200000000003</v>
      </c>
      <c r="L1757" s="535"/>
      <c r="M1757" s="552" t="str">
        <f t="shared" si="248"/>
        <v/>
      </c>
      <c r="N1757" s="552"/>
      <c r="O1757" s="552" t="str">
        <f t="shared" si="249"/>
        <v/>
      </c>
      <c r="P1757" s="39"/>
    </row>
    <row r="1758" spans="1:16" x14ac:dyDescent="0.35">
      <c r="A1758" s="535" t="str">
        <f t="shared" si="246"/>
        <v/>
      </c>
      <c r="B1758" s="337"/>
      <c r="C1758" s="337"/>
      <c r="D1758" s="326" t="s">
        <v>163</v>
      </c>
      <c r="E1758" s="379" t="s">
        <v>164</v>
      </c>
      <c r="F1758" s="18">
        <v>400</v>
      </c>
      <c r="G1758" s="18" t="s">
        <v>73</v>
      </c>
      <c r="H1758" s="335">
        <f t="shared" ref="H1758:H1762" si="253">ROUND((($F$1756)*(
(F1758)
/(($F$1757)+($F$1758)+($F$1759)+($F$1760)+($F$1761)+($F$1762)+
(($F$1763)*(($F$1764)/($F$1764+$F$1765+$F$1766+$F$1767+$F$1768)))+
(($F$1763)*(($F$1765)/($F$1764+$F$1765+$F$1766+$F$1767+$F$1768)))+
(($F$1763)*(($F$1766)/($F$1764+$F$1765+$F$1766+$F$1767+$F$1768)))+
(($F$1763)*(($F$1767)/($F$1764+$F$1765+$F$1766+$F$1767+$F$1768)))+
(($F$1763)*(($F$1768)/($F$1764+$F$1765+$F$1766+$F$1767+$F$1768)))+
(($F$1769)*(($F$1770)/((($F$1771)*(($F$1772)/($F$1772+$F$1773+$F$1774+$F$1775+$F$1776)))+
(($F$1771)*(($F$1773)/($F$1772+$F$1773+$F$1774+$F$1775+$F$1776)))+
(($F$1771)*(($F$1774)/($F$1772+$F$1773+$F$1774+$F$1775+$F$1776)))+
(($F$1771)*(($F$1775)/($F$1772+$F$1773+$F$1774+$F$1775+$F$1776)))+
(($F$1771)*(($F$1776)/($F$1772+$F$1773+$F$1774+$F$1775+$F$1776)))+
($F$1770))))+
(($F$1769)*((($F$1771)*(($F$1772)/($F$1772+$F$1773+$F$1774+$F$1775+$F$1776)))
/((($F$1771)*(($F$1772)/($F$1772+$F$1773+$F$1774+$F$1775+$F$1776)))+
(($F$1771)*(($F$1773)/($F$1772+$F$1773+$F$1774+$F$1775+$F$1776)))+
(($F$1771)*(($F$1774)/($F$1772+$F$1773+$F$1774+$F$1775+$F$1776)))+
(($F$1771)*(($F$1775)/($F$1772+$F$1773+$F$1774+$F$1775+$F$1776)))+
(($F$1771)*(($F$1776)/($F$1772+$F$1773+$F$1774+$F$1775+$F$1776)))+
($F$1770))))+
(($F$1769)*((($F$1771)*(($F$1773)/($F$1772+$F$1773+$F$1774+$F$1775+$F$1776)))
/((($F$1771)*(($F$1772)/($F$1772+$F$1773+$F$1774+$F$1775+$F$1776)))+
(($F$1771)*(($F$1773)/($F$1772+$F$1773+$F$1774+$F$1775+$F$1776)))+
(($F$1771)*(($F$1774)/($F$1772+$F$1773+$F$1774+$F$1775+$F$1776)))+
(($F$1771)*(($F$1775)/($F$1772+$F$1773+$F$1774+$F$1775+$F$1776)))+
(($F$1771)*(($F$1776)/($F$1772+$F$1773+$F$1774+$F$1775+$F$1776)))+
($F$1770))))+
(($F$1769)*((($F$1771)*(($F$1774)/($F$1772+$F$1773+$F$1774+$F$1775+$F$1776)))
/((($F$1771)*(($F$1772)/($F$1772+$F$1773+$F$1774+$F$1775+$F$1776)))+
(($F$1771)*(($F$1773)/($F$1772+$F$1773+$F$1774+$F$1775+$F$1776)))+
(($F$1771)*(($F$1774)/($F$1772+$F$1773+$F$1774+$F$1775+$F$1776)))+
(($F$1771)*(($F$1775)/($F$1772+$F$1773+$F$1774+$F$1775+$F$1776)))+
(($F$1771)*(($F$1776)/($F$1772+$F$1773+$F$1774+$F$1775+$F$1776)))+
($F$1770))))+
(($F$1769)*((($F$1771)*(($F$1775)/($F$1772+$F$1773+$F$1774+$F$1775+$F$1776)))
/((($F$1771)*(($F$1772)/($F$1772+$F$1773+$F$1774+$F$1775+$F$1776)))+
(($F$1771)*(($F$1773)/($F$1772+$F$1773+$F$1774+$F$1775+$F$1776)))+
(($F$1771)*(($F$1774)/($F$1772+$F$1773+$F$1774+$F$1775+$F$1776)))+
(($F$1771)*(($F$1775)/($F$1772+$F$1773+$F$1774+$F$1775+$F$1776)))+
(($F$1771)*(($F$1776)/($F$1772+$F$1773+$F$1774+$F$1775+$F$1776)))+
($F$1770))))+
(($F$1769)*((($F$1771)*(($F$1776)/($F$1772+$F$1773+$F$1774+$F$1775+$F$1776)))
/((($F$1771)*(($F$1772)/($F$1772+$F$1773+$F$1774+$F$1775+$F$1776)))+
(($F$1771)*(($F$1773)/($F$1772+$F$1773+$F$1774+$F$1775+$F$1776)))+
(($F$1771)*(($F$1774)/($F$1772+$F$1773+$F$1774+$F$1775+$F$1776)))+
(($F$1771)*(($F$1775)/($F$1772+$F$1773+$F$1774+$F$1775+$F$1776)))+
(($F$1771)*(($F$1776)/($F$1772+$F$1773+$F$1774+$F$1775+$F$1776)))+
($F$1770))))))),2)</f>
        <v>61.16</v>
      </c>
      <c r="I1758" s="18" t="s">
        <v>73</v>
      </c>
      <c r="J1758" s="337"/>
      <c r="K1758" s="680">
        <f t="shared" si="252"/>
        <v>2385.2399999999998</v>
      </c>
      <c r="L1758" s="535"/>
      <c r="M1758" s="552" t="str">
        <f t="shared" si="248"/>
        <v/>
      </c>
      <c r="N1758" s="552"/>
      <c r="O1758" s="552" t="str">
        <f t="shared" si="249"/>
        <v/>
      </c>
      <c r="P1758" s="39"/>
    </row>
    <row r="1759" spans="1:16" x14ac:dyDescent="0.35">
      <c r="A1759" s="535" t="str">
        <f t="shared" si="246"/>
        <v/>
      </c>
      <c r="B1759" s="330"/>
      <c r="C1759" s="330"/>
      <c r="D1759" s="326" t="s">
        <v>46</v>
      </c>
      <c r="E1759" s="380" t="s">
        <v>309</v>
      </c>
      <c r="F1759" s="22">
        <v>25</v>
      </c>
      <c r="G1759" s="22" t="s">
        <v>73</v>
      </c>
      <c r="H1759" s="328">
        <f t="shared" si="253"/>
        <v>3.82</v>
      </c>
      <c r="I1759" s="22" t="s">
        <v>73</v>
      </c>
      <c r="J1759" s="330"/>
      <c r="K1759" s="681">
        <f t="shared" si="252"/>
        <v>148.97999999999999</v>
      </c>
      <c r="L1759" s="535"/>
      <c r="M1759" s="552" t="str">
        <f t="shared" si="248"/>
        <v/>
      </c>
      <c r="N1759" s="552"/>
      <c r="O1759" s="552" t="str">
        <f t="shared" si="249"/>
        <v/>
      </c>
      <c r="P1759" s="39"/>
    </row>
    <row r="1760" spans="1:16" x14ac:dyDescent="0.35">
      <c r="A1760" s="535" t="str">
        <f t="shared" si="246"/>
        <v/>
      </c>
      <c r="B1760" s="337"/>
      <c r="C1760" s="337"/>
      <c r="D1760" s="326" t="s">
        <v>307</v>
      </c>
      <c r="E1760" s="379" t="s">
        <v>308</v>
      </c>
      <c r="F1760" s="18">
        <v>50</v>
      </c>
      <c r="G1760" s="18" t="s">
        <v>73</v>
      </c>
      <c r="H1760" s="335">
        <f t="shared" si="253"/>
        <v>7.65</v>
      </c>
      <c r="I1760" s="18" t="s">
        <v>73</v>
      </c>
      <c r="J1760" s="337"/>
      <c r="K1760" s="680">
        <f t="shared" si="252"/>
        <v>298.35000000000002</v>
      </c>
      <c r="L1760" s="535"/>
      <c r="M1760" s="552" t="str">
        <f t="shared" si="248"/>
        <v/>
      </c>
      <c r="N1760" s="552"/>
      <c r="O1760" s="552" t="str">
        <f t="shared" si="249"/>
        <v/>
      </c>
      <c r="P1760" s="39"/>
    </row>
    <row r="1761" spans="1:16" x14ac:dyDescent="0.35">
      <c r="A1761" s="535" t="str">
        <f t="shared" si="246"/>
        <v/>
      </c>
      <c r="B1761" s="330"/>
      <c r="C1761" s="330"/>
      <c r="D1761" s="326" t="s">
        <v>45</v>
      </c>
      <c r="E1761" s="380" t="s">
        <v>101</v>
      </c>
      <c r="F1761" s="22">
        <v>10</v>
      </c>
      <c r="G1761" s="22" t="s">
        <v>73</v>
      </c>
      <c r="H1761" s="328">
        <f t="shared" si="253"/>
        <v>1.53</v>
      </c>
      <c r="I1761" s="22" t="s">
        <v>73</v>
      </c>
      <c r="J1761" s="330"/>
      <c r="K1761" s="681">
        <f t="shared" si="252"/>
        <v>59.67</v>
      </c>
      <c r="L1761" s="535"/>
      <c r="M1761" s="552" t="str">
        <f t="shared" si="248"/>
        <v/>
      </c>
      <c r="N1761" s="552"/>
      <c r="O1761" s="552" t="str">
        <f t="shared" si="249"/>
        <v/>
      </c>
      <c r="P1761" s="39"/>
    </row>
    <row r="1762" spans="1:16" x14ac:dyDescent="0.35">
      <c r="A1762" s="535" t="str">
        <f t="shared" si="246"/>
        <v/>
      </c>
      <c r="B1762" s="337"/>
      <c r="C1762" s="337"/>
      <c r="D1762" s="326" t="s">
        <v>509</v>
      </c>
      <c r="E1762" s="379" t="s">
        <v>988</v>
      </c>
      <c r="F1762" s="18">
        <v>15</v>
      </c>
      <c r="G1762" s="18" t="s">
        <v>73</v>
      </c>
      <c r="H1762" s="335">
        <f t="shared" si="253"/>
        <v>2.29</v>
      </c>
      <c r="I1762" s="18" t="s">
        <v>73</v>
      </c>
      <c r="J1762" s="337"/>
      <c r="K1762" s="680">
        <f t="shared" si="252"/>
        <v>89.31</v>
      </c>
      <c r="L1762" s="535"/>
      <c r="M1762" s="552" t="str">
        <f t="shared" si="248"/>
        <v/>
      </c>
      <c r="N1762" s="552"/>
      <c r="O1762" s="552" t="str">
        <f t="shared" si="249"/>
        <v/>
      </c>
      <c r="P1762" s="39"/>
    </row>
    <row r="1763" spans="1:16" x14ac:dyDescent="0.35">
      <c r="A1763" s="535" t="str">
        <f t="shared" si="246"/>
        <v/>
      </c>
      <c r="B1763" s="330"/>
      <c r="C1763" s="330"/>
      <c r="D1763" s="355"/>
      <c r="E1763" s="540" t="s">
        <v>80</v>
      </c>
      <c r="F1763" s="378">
        <v>25</v>
      </c>
      <c r="G1763" s="378" t="s">
        <v>73</v>
      </c>
      <c r="H1763" s="356"/>
      <c r="I1763" s="378"/>
      <c r="J1763" s="515"/>
      <c r="K1763" s="684"/>
      <c r="L1763" s="535"/>
      <c r="M1763" s="552" t="str">
        <f t="shared" si="248"/>
        <v/>
      </c>
      <c r="N1763" s="552"/>
      <c r="O1763" s="552" t="str">
        <f t="shared" si="249"/>
        <v/>
      </c>
      <c r="P1763" s="39"/>
    </row>
    <row r="1764" spans="1:16" x14ac:dyDescent="0.35">
      <c r="A1764" s="535" t="str">
        <f t="shared" si="246"/>
        <v/>
      </c>
      <c r="B1764" s="337"/>
      <c r="C1764" s="337"/>
      <c r="D1764" s="326" t="s">
        <v>47</v>
      </c>
      <c r="E1764" s="474" t="s">
        <v>93</v>
      </c>
      <c r="F1764" s="18">
        <v>600</v>
      </c>
      <c r="G1764" s="18" t="s">
        <v>73</v>
      </c>
      <c r="H1764" s="335">
        <f>ROUND((($F$1756)*(
(($F$1763)*(($F$1764)/($F$1764+$F$1765+$F$1766+$F$1767+$F$1768)))
/(($F$1757)+($F$1758)+($F$1759)+($F$1760)+($F$1761)+($F$1762)+
(($F$1763)*(($F$1764)/($F$1764+$F$1765+$F$1766+$F$1767+$F$1768)))+
(($F$1763)*(($F$1765)/($F$1764+$F$1765+$F$1766+$F$1767+$F$1768)))+
(($F$1763)*(($F$1766)/($F$1764+$F$1765+$F$1766+$F$1767+$F$1768)))+
(($F$1763)*(($F$1767)/($F$1764+$F$1765+$F$1766+$F$1767+$F$1768)))+
(($F$1763)*(($F$1768)/($F$1764+$F$1765+$F$1766+$F$1767+$F$1768)))+
(($F$1769)*(($F$1770)/((($F$1771)*(($F$1772)/($F$1772+$F$1773+$F$1774+$F$1775+$F$1776)))+
(($F$1771)*(($F$1773)/($F$1772+$F$1773+$F$1774+$F$1775+$F$1776)))+
(($F$1771)*(($F$1774)/($F$1772+$F$1773+$F$1774+$F$1775+$F$1776)))+
(($F$1771)*(($F$1775)/($F$1772+$F$1773+$F$1774+$F$1775+$F$1776)))+
(($F$1771)*(($F$1776)/($F$1772+$F$1773+$F$1774+$F$1775+$F$1776)))+
($F$1770))))+
(($F$1769)*((($F$1771)*(($F$1772)/($F$1772+$F$1773+$F$1774+$F$1775+$F$1776)))
/((($F$1771)*(($F$1772)/($F$1772+$F$1773+$F$1774+$F$1775+$F$1776)))+
(($F$1771)*(($F$1773)/($F$1772+$F$1773+$F$1774+$F$1775+$F$1776)))+
(($F$1771)*(($F$1774)/($F$1772+$F$1773+$F$1774+$F$1775+$F$1776)))+
(($F$1771)*(($F$1775)/($F$1772+$F$1773+$F$1774+$F$1775+$F$1776)))+
(($F$1771)*(($F$1776)/($F$1772+$F$1773+$F$1774+$F$1775+$F$1776)))+
($F$1770))))+
(($F$1769)*((($F$1771)*(($F$1773)/($F$1772+$F$1773+$F$1774+$F$1775+$F$1776)))
/((($F$1771)*(($F$1772)/($F$1772+$F$1773+$F$1774+$F$1775+$F$1776)))+
(($F$1771)*(($F$1773)/($F$1772+$F$1773+$F$1774+$F$1775+$F$1776)))+
(($F$1771)*(($F$1774)/($F$1772+$F$1773+$F$1774+$F$1775+$F$1776)))+
(($F$1771)*(($F$1775)/($F$1772+$F$1773+$F$1774+$F$1775+$F$1776)))+
(($F$1771)*(($F$1776)/($F$1772+$F$1773+$F$1774+$F$1775+$F$1776)))+
($F$1770))))+
(($F$1769)*((($F$1771)*(($F$1774)/($F$1772+$F$1773+$F$1774+$F$1775+$F$1776)))
/((($F$1771)*(($F$1772)/($F$1772+$F$1773+$F$1774+$F$1775+$F$1776)))+
(($F$1771)*(($F$1773)/($F$1772+$F$1773+$F$1774+$F$1775+$F$1776)))+
(($F$1771)*(($F$1774)/($F$1772+$F$1773+$F$1774+$F$1775+$F$1776)))+
(($F$1771)*(($F$1775)/($F$1772+$F$1773+$F$1774+$F$1775+$F$1776)))+
(($F$1771)*(($F$1776)/($F$1772+$F$1773+$F$1774+$F$1775+$F$1776)))+
($F$1770))))+
(($F$1769)*((($F$1771)*(($F$1775)/($F$1772+$F$1773+$F$1774+$F$1775+$F$1776)))
/((($F$1771)*(($F$1772)/($F$1772+$F$1773+$F$1774+$F$1775+$F$1776)))+
(($F$1771)*(($F$1773)/($F$1772+$F$1773+$F$1774+$F$1775+$F$1776)))+
(($F$1771)*(($F$1774)/($F$1772+$F$1773+$F$1774+$F$1775+$F$1776)))+
(($F$1771)*(($F$1775)/($F$1772+$F$1773+$F$1774+$F$1775+$F$1776)))+
(($F$1771)*(($F$1776)/($F$1772+$F$1773+$F$1774+$F$1775+$F$1776)))+
($F$1770))))+
(($F$1769)*((($F$1771)*(($F$1776)/($F$1772+$F$1773+$F$1774+$F$1775+$F$1776)))
/((($F$1771)*(($F$1772)/($F$1772+$F$1773+$F$1774+$F$1775+$F$1776)))+
(($F$1771)*(($F$1773)/($F$1772+$F$1773+$F$1774+$F$1775+$F$1776)))+
(($F$1771)*(($F$1774)/($F$1772+$F$1773+$F$1774+$F$1775+$F$1776)))+
(($F$1771)*(($F$1775)/($F$1772+$F$1773+$F$1774+$F$1775+$F$1776)))+
(($F$1771)*(($F$1776)/($F$1772+$F$1773+$F$1774+$F$1775+$F$1776)))+
($F$1770))))))),2)</f>
        <v>2.5499999999999998</v>
      </c>
      <c r="I1764" s="18" t="s">
        <v>73</v>
      </c>
      <c r="J1764" s="337"/>
      <c r="K1764" s="680">
        <f t="shared" si="252"/>
        <v>99.449999999999989</v>
      </c>
      <c r="L1764" s="535"/>
      <c r="M1764" s="552" t="str">
        <f t="shared" si="248"/>
        <v/>
      </c>
      <c r="N1764" s="552"/>
      <c r="O1764" s="552" t="str">
        <f t="shared" si="249"/>
        <v/>
      </c>
      <c r="P1764" s="39"/>
    </row>
    <row r="1765" spans="1:16" x14ac:dyDescent="0.35">
      <c r="A1765" s="535" t="str">
        <f t="shared" si="246"/>
        <v/>
      </c>
      <c r="B1765" s="330"/>
      <c r="C1765" s="330"/>
      <c r="D1765" s="326" t="s">
        <v>48</v>
      </c>
      <c r="E1765" s="456" t="s">
        <v>91</v>
      </c>
      <c r="F1765" s="22">
        <v>100</v>
      </c>
      <c r="G1765" s="22" t="s">
        <v>73</v>
      </c>
      <c r="H1765" s="328">
        <f>ROUND((($F$1756)*(
(($F$1763)*(($F$1765)/($F$1764+$F$1765+$F$1766+$F$1767+$F$1768)))
/(($F$1757)+($F$1758)+($F$1759)+($F$1760)+($F$1761)+($F$1762)+
(($F$1763)*(($F$1764)/($F$1764+$F$1765+$F$1766+$F$1767+$F$1768)))+
(($F$1763)*(($F$1765)/($F$1764+$F$1765+$F$1766+$F$1767+$F$1768)))+
(($F$1763)*(($F$1766)/($F$1764+$F$1765+$F$1766+$F$1767+$F$1768)))+
(($F$1763)*(($F$1767)/($F$1764+$F$1765+$F$1766+$F$1767+$F$1768)))+
(($F$1763)*(($F$1768)/($F$1764+$F$1765+$F$1766+$F$1767+$F$1768)))+
(($F$1769)*(($F$1770)/((($F$1771)*(($F$1772)/($F$1772+$F$1773+$F$1774+$F$1775+$F$1776)))+
(($F$1771)*(($F$1773)/($F$1772+$F$1773+$F$1774+$F$1775+$F$1776)))+
(($F$1771)*(($F$1774)/($F$1772+$F$1773+$F$1774+$F$1775+$F$1776)))+
(($F$1771)*(($F$1775)/($F$1772+$F$1773+$F$1774+$F$1775+$F$1776)))+
(($F$1771)*(($F$1776)/($F$1772+$F$1773+$F$1774+$F$1775+$F$1776)))+
($F$1770))))+
(($F$1769)*((($F$1771)*(($F$1772)/($F$1772+$F$1773+$F$1774+$F$1775+$F$1776)))
/((($F$1771)*(($F$1772)/($F$1772+$F$1773+$F$1774+$F$1775+$F$1776)))+
(($F$1771)*(($F$1773)/($F$1772+$F$1773+$F$1774+$F$1775+$F$1776)))+
(($F$1771)*(($F$1774)/($F$1772+$F$1773+$F$1774+$F$1775+$F$1776)))+
(($F$1771)*(($F$1775)/($F$1772+$F$1773+$F$1774+$F$1775+$F$1776)))+
(($F$1771)*(($F$1776)/($F$1772+$F$1773+$F$1774+$F$1775+$F$1776)))+
($F$1770))))+
(($F$1769)*((($F$1771)*(($F$1773)/($F$1772+$F$1773+$F$1774+$F$1775+$F$1776)))
/((($F$1771)*(($F$1772)/($F$1772+$F$1773+$F$1774+$F$1775+$F$1776)))+
(($F$1771)*(($F$1773)/($F$1772+$F$1773+$F$1774+$F$1775+$F$1776)))+
(($F$1771)*(($F$1774)/($F$1772+$F$1773+$F$1774+$F$1775+$F$1776)))+
(($F$1771)*(($F$1775)/($F$1772+$F$1773+$F$1774+$F$1775+$F$1776)))+
(($F$1771)*(($F$1776)/($F$1772+$F$1773+$F$1774+$F$1775+$F$1776)))+
($F$1770))))+
(($F$1769)*((($F$1771)*(($F$1774)/($F$1772+$F$1773+$F$1774+$F$1775+$F$1776)))
/((($F$1771)*(($F$1772)/($F$1772+$F$1773+$F$1774+$F$1775+$F$1776)))+
(($F$1771)*(($F$1773)/($F$1772+$F$1773+$F$1774+$F$1775+$F$1776)))+
(($F$1771)*(($F$1774)/($F$1772+$F$1773+$F$1774+$F$1775+$F$1776)))+
(($F$1771)*(($F$1775)/($F$1772+$F$1773+$F$1774+$F$1775+$F$1776)))+
(($F$1771)*(($F$1776)/($F$1772+$F$1773+$F$1774+$F$1775+$F$1776)))+
($F$1770))))+
(($F$1769)*((($F$1771)*(($F$1775)/($F$1772+$F$1773+$F$1774+$F$1775+$F$1776)))
/((($F$1771)*(($F$1772)/($F$1772+$F$1773+$F$1774+$F$1775+$F$1776)))+
(($F$1771)*(($F$1773)/($F$1772+$F$1773+$F$1774+$F$1775+$F$1776)))+
(($F$1771)*(($F$1774)/($F$1772+$F$1773+$F$1774+$F$1775+$F$1776)))+
(($F$1771)*(($F$1775)/($F$1772+$F$1773+$F$1774+$F$1775+$F$1776)))+
(($F$1771)*(($F$1776)/($F$1772+$F$1773+$F$1774+$F$1775+$F$1776)))+
($F$1770))))+
(($F$1769)*((($F$1771)*(($F$1776)/($F$1772+$F$1773+$F$1774+$F$1775+$F$1776)))
/((($F$1771)*(($F$1772)/($F$1772+$F$1773+$F$1774+$F$1775+$F$1776)))+
(($F$1771)*(($F$1773)/($F$1772+$F$1773+$F$1774+$F$1775+$F$1776)))+
(($F$1771)*(($F$1774)/($F$1772+$F$1773+$F$1774+$F$1775+$F$1776)))+
(($F$1771)*(($F$1775)/($F$1772+$F$1773+$F$1774+$F$1775+$F$1776)))+
(($F$1771)*(($F$1776)/($F$1772+$F$1773+$F$1774+$F$1775+$F$1776)))+
($F$1770))))))),2)</f>
        <v>0.42</v>
      </c>
      <c r="I1765" s="22" t="s">
        <v>73</v>
      </c>
      <c r="J1765" s="330"/>
      <c r="K1765" s="681">
        <f t="shared" si="252"/>
        <v>16.38</v>
      </c>
      <c r="L1765" s="535"/>
      <c r="M1765" s="552" t="str">
        <f t="shared" si="248"/>
        <v/>
      </c>
      <c r="N1765" s="552"/>
      <c r="O1765" s="552" t="str">
        <f t="shared" si="249"/>
        <v/>
      </c>
      <c r="P1765" s="39"/>
    </row>
    <row r="1766" spans="1:16" x14ac:dyDescent="0.35">
      <c r="A1766" s="535" t="str">
        <f t="shared" si="246"/>
        <v/>
      </c>
      <c r="B1766" s="337"/>
      <c r="C1766" s="337"/>
      <c r="D1766" s="326" t="s">
        <v>50</v>
      </c>
      <c r="E1766" s="474" t="s">
        <v>92</v>
      </c>
      <c r="F1766" s="18">
        <v>100</v>
      </c>
      <c r="G1766" s="18" t="s">
        <v>73</v>
      </c>
      <c r="H1766" s="335">
        <f>ROUND((($F$1756)*(
(($F$1763)*(($F$1766)/($F$1764+$F$1765+$F$1766+$F$1767+$F$1768)))
/(($F$1757)+($F$1758)+($F$1759)+($F$1760)+($F$1761)+($F$1762)+
(($F$1763)*(($F$1764)/($F$1764+$F$1765+$F$1766+$F$1767+$F$1768)))+
(($F$1763)*(($F$1765)/($F$1764+$F$1765+$F$1766+$F$1767+$F$1768)))+
(($F$1763)*(($F$1766)/($F$1764+$F$1765+$F$1766+$F$1767+$F$1768)))+
(($F$1763)*(($F$1767)/($F$1764+$F$1765+$F$1766+$F$1767+$F$1768)))+
(($F$1763)*(($F$1768)/($F$1764+$F$1765+$F$1766+$F$1767+$F$1768)))+
(($F$1769)*(($F$1770)/((($F$1771)*(($F$1772)/($F$1772+$F$1773+$F$1774+$F$1775+$F$1776)))+
(($F$1771)*(($F$1773)/($F$1772+$F$1773+$F$1774+$F$1775+$F$1776)))+
(($F$1771)*(($F$1774)/($F$1772+$F$1773+$F$1774+$F$1775+$F$1776)))+
(($F$1771)*(($F$1775)/($F$1772+$F$1773+$F$1774+$F$1775+$F$1776)))+
(($F$1771)*(($F$1776)/($F$1772+$F$1773+$F$1774+$F$1775+$F$1776)))+
($F$1770))))+
(($F$1769)*((($F$1771)*(($F$1772)/($F$1772+$F$1773+$F$1774+$F$1775+$F$1776)))
/((($F$1771)*(($F$1772)/($F$1772+$F$1773+$F$1774+$F$1775+$F$1776)))+
(($F$1771)*(($F$1773)/($F$1772+$F$1773+$F$1774+$F$1775+$F$1776)))+
(($F$1771)*(($F$1774)/($F$1772+$F$1773+$F$1774+$F$1775+$F$1776)))+
(($F$1771)*(($F$1775)/($F$1772+$F$1773+$F$1774+$F$1775+$F$1776)))+
(($F$1771)*(($F$1776)/($F$1772+$F$1773+$F$1774+$F$1775+$F$1776)))+
($F$1770))))+
(($F$1769)*((($F$1771)*(($F$1773)/($F$1772+$F$1773+$F$1774+$F$1775+$F$1776)))
/((($F$1771)*(($F$1772)/($F$1772+$F$1773+$F$1774+$F$1775+$F$1776)))+
(($F$1771)*(($F$1773)/($F$1772+$F$1773+$F$1774+$F$1775+$F$1776)))+
(($F$1771)*(($F$1774)/($F$1772+$F$1773+$F$1774+$F$1775+$F$1776)))+
(($F$1771)*(($F$1775)/($F$1772+$F$1773+$F$1774+$F$1775+$F$1776)))+
(($F$1771)*(($F$1776)/($F$1772+$F$1773+$F$1774+$F$1775+$F$1776)))+
($F$1770))))+
(($F$1769)*((($F$1771)*(($F$1774)/($F$1772+$F$1773+$F$1774+$F$1775+$F$1776)))
/((($F$1771)*(($F$1772)/($F$1772+$F$1773+$F$1774+$F$1775+$F$1776)))+
(($F$1771)*(($F$1773)/($F$1772+$F$1773+$F$1774+$F$1775+$F$1776)))+
(($F$1771)*(($F$1774)/($F$1772+$F$1773+$F$1774+$F$1775+$F$1776)))+
(($F$1771)*(($F$1775)/($F$1772+$F$1773+$F$1774+$F$1775+$F$1776)))+
(($F$1771)*(($F$1776)/($F$1772+$F$1773+$F$1774+$F$1775+$F$1776)))+
($F$1770))))+
(($F$1769)*((($F$1771)*(($F$1775)/($F$1772+$F$1773+$F$1774+$F$1775+$F$1776)))
/((($F$1771)*(($F$1772)/($F$1772+$F$1773+$F$1774+$F$1775+$F$1776)))+
(($F$1771)*(($F$1773)/($F$1772+$F$1773+$F$1774+$F$1775+$F$1776)))+
(($F$1771)*(($F$1774)/($F$1772+$F$1773+$F$1774+$F$1775+$F$1776)))+
(($F$1771)*(($F$1775)/($F$1772+$F$1773+$F$1774+$F$1775+$F$1776)))+
(($F$1771)*(($F$1776)/($F$1772+$F$1773+$F$1774+$F$1775+$F$1776)))+
($F$1770))))+
(($F$1769)*((($F$1771)*(($F$1776)/($F$1772+$F$1773+$F$1774+$F$1775+$F$1776)))
/((($F$1771)*(($F$1772)/($F$1772+$F$1773+$F$1774+$F$1775+$F$1776)))+
(($F$1771)*(($F$1773)/($F$1772+$F$1773+$F$1774+$F$1775+$F$1776)))+
(($F$1771)*(($F$1774)/($F$1772+$F$1773+$F$1774+$F$1775+$F$1776)))+
(($F$1771)*(($F$1775)/($F$1772+$F$1773+$F$1774+$F$1775+$F$1776)))+
(($F$1771)*(($F$1776)/($F$1772+$F$1773+$F$1774+$F$1775+$F$1776)))+
($F$1770))))))),2)</f>
        <v>0.42</v>
      </c>
      <c r="I1766" s="18" t="s">
        <v>73</v>
      </c>
      <c r="J1766" s="337"/>
      <c r="K1766" s="680">
        <f t="shared" si="252"/>
        <v>16.38</v>
      </c>
      <c r="L1766" s="535"/>
      <c r="M1766" s="552" t="str">
        <f t="shared" si="248"/>
        <v/>
      </c>
      <c r="N1766" s="552"/>
      <c r="O1766" s="552" t="str">
        <f t="shared" si="249"/>
        <v/>
      </c>
      <c r="P1766" s="39"/>
    </row>
    <row r="1767" spans="1:16" x14ac:dyDescent="0.35">
      <c r="A1767" s="535" t="str">
        <f t="shared" si="246"/>
        <v/>
      </c>
      <c r="B1767" s="330"/>
      <c r="C1767" s="330"/>
      <c r="D1767" s="326" t="s">
        <v>49</v>
      </c>
      <c r="E1767" s="456" t="s">
        <v>99</v>
      </c>
      <c r="F1767" s="22">
        <v>50</v>
      </c>
      <c r="G1767" s="22" t="s">
        <v>73</v>
      </c>
      <c r="H1767" s="328">
        <f>ROUND((($F$1756)*(
(($F$1763)*(($F$1767)/($F$1764+$F$1765+$F$1766+$F$1767+$F$1768)))
/(($F$1757)+($F$1758)+($F$1759)+($F$1760)+($F$1761)+($F$1762)+
(($F$1763)*(($F$1764)/($F$1764+$F$1765+$F$1766+$F$1767+$F$1768)))+
(($F$1763)*(($F$1765)/($F$1764+$F$1765+$F$1766+$F$1767+$F$1768)))+
(($F$1763)*(($F$1766)/($F$1764+$F$1765+$F$1766+$F$1767+$F$1768)))+
(($F$1763)*(($F$1767)/($F$1764+$F$1765+$F$1766+$F$1767+$F$1768)))+
(($F$1763)*(($F$1768)/($F$1764+$F$1765+$F$1766+$F$1767+$F$1768)))+
(($F$1769)*(($F$1770)/((($F$1771)*(($F$1772)/($F$1772+$F$1773+$F$1774+$F$1775+$F$1776)))+
(($F$1771)*(($F$1773)/($F$1772+$F$1773+$F$1774+$F$1775+$F$1776)))+
(($F$1771)*(($F$1774)/($F$1772+$F$1773+$F$1774+$F$1775+$F$1776)))+
(($F$1771)*(($F$1775)/($F$1772+$F$1773+$F$1774+$F$1775+$F$1776)))+
(($F$1771)*(($F$1776)/($F$1772+$F$1773+$F$1774+$F$1775+$F$1776)))+
($F$1770))))+
(($F$1769)*((($F$1771)*(($F$1772)/($F$1772+$F$1773+$F$1774+$F$1775+$F$1776)))
/((($F$1771)*(($F$1772)/($F$1772+$F$1773+$F$1774+$F$1775+$F$1776)))+
(($F$1771)*(($F$1773)/($F$1772+$F$1773+$F$1774+$F$1775+$F$1776)))+
(($F$1771)*(($F$1774)/($F$1772+$F$1773+$F$1774+$F$1775+$F$1776)))+
(($F$1771)*(($F$1775)/($F$1772+$F$1773+$F$1774+$F$1775+$F$1776)))+
(($F$1771)*(($F$1776)/($F$1772+$F$1773+$F$1774+$F$1775+$F$1776)))+
($F$1770))))+
(($F$1769)*((($F$1771)*(($F$1773)/($F$1772+$F$1773+$F$1774+$F$1775+$F$1776)))
/((($F$1771)*(($F$1772)/($F$1772+$F$1773+$F$1774+$F$1775+$F$1776)))+
(($F$1771)*(($F$1773)/($F$1772+$F$1773+$F$1774+$F$1775+$F$1776)))+
(($F$1771)*(($F$1774)/($F$1772+$F$1773+$F$1774+$F$1775+$F$1776)))+
(($F$1771)*(($F$1775)/($F$1772+$F$1773+$F$1774+$F$1775+$F$1776)))+
(($F$1771)*(($F$1776)/($F$1772+$F$1773+$F$1774+$F$1775+$F$1776)))+
($F$1770))))+
(($F$1769)*((($F$1771)*(($F$1774)/($F$1772+$F$1773+$F$1774+$F$1775+$F$1776)))
/((($F$1771)*(($F$1772)/($F$1772+$F$1773+$F$1774+$F$1775+$F$1776)))+
(($F$1771)*(($F$1773)/($F$1772+$F$1773+$F$1774+$F$1775+$F$1776)))+
(($F$1771)*(($F$1774)/($F$1772+$F$1773+$F$1774+$F$1775+$F$1776)))+
(($F$1771)*(($F$1775)/($F$1772+$F$1773+$F$1774+$F$1775+$F$1776)))+
(($F$1771)*(($F$1776)/($F$1772+$F$1773+$F$1774+$F$1775+$F$1776)))+
($F$1770))))+
(($F$1769)*((($F$1771)*(($F$1775)/($F$1772+$F$1773+$F$1774+$F$1775+$F$1776)))
/((($F$1771)*(($F$1772)/($F$1772+$F$1773+$F$1774+$F$1775+$F$1776)))+
(($F$1771)*(($F$1773)/($F$1772+$F$1773+$F$1774+$F$1775+$F$1776)))+
(($F$1771)*(($F$1774)/($F$1772+$F$1773+$F$1774+$F$1775+$F$1776)))+
(($F$1771)*(($F$1775)/($F$1772+$F$1773+$F$1774+$F$1775+$F$1776)))+
(($F$1771)*(($F$1776)/($F$1772+$F$1773+$F$1774+$F$1775+$F$1776)))+
($F$1770))))+
(($F$1769)*((($F$1771)*(($F$1776)/($F$1772+$F$1773+$F$1774+$F$1775+$F$1776)))
/((($F$1771)*(($F$1772)/($F$1772+$F$1773+$F$1774+$F$1775+$F$1776)))+
(($F$1771)*(($F$1773)/($F$1772+$F$1773+$F$1774+$F$1775+$F$1776)))+
(($F$1771)*(($F$1774)/($F$1772+$F$1773+$F$1774+$F$1775+$F$1776)))+
(($F$1771)*(($F$1775)/($F$1772+$F$1773+$F$1774+$F$1775+$F$1776)))+
(($F$1771)*(($F$1776)/($F$1772+$F$1773+$F$1774+$F$1775+$F$1776)))+
($F$1770))))))),2)</f>
        <v>0.21</v>
      </c>
      <c r="I1767" s="22" t="s">
        <v>73</v>
      </c>
      <c r="J1767" s="330"/>
      <c r="K1767" s="681">
        <f t="shared" si="252"/>
        <v>8.19</v>
      </c>
      <c r="L1767" s="535"/>
      <c r="M1767" s="552" t="str">
        <f t="shared" si="248"/>
        <v/>
      </c>
      <c r="N1767" s="552"/>
      <c r="O1767" s="552" t="str">
        <f t="shared" si="249"/>
        <v/>
      </c>
      <c r="P1767" s="39"/>
    </row>
    <row r="1768" spans="1:16" x14ac:dyDescent="0.35">
      <c r="A1768" s="535" t="str">
        <f t="shared" si="246"/>
        <v/>
      </c>
      <c r="B1768" s="337"/>
      <c r="C1768" s="337"/>
      <c r="D1768" s="326" t="s">
        <v>51</v>
      </c>
      <c r="E1768" s="474" t="s">
        <v>98</v>
      </c>
      <c r="F1768" s="18">
        <v>50</v>
      </c>
      <c r="G1768" s="18" t="s">
        <v>73</v>
      </c>
      <c r="H1768" s="335">
        <f>ROUND((($F$1756)*(
(($F$1763)*(($F$1768)/($F$1764+$F$1765+$F$1766+$F$1767+$F$1768)))
/(($F$1757)+($F$1758)+($F$1759)+($F$1760)+($F$1761)+($F$1762)+
(($F$1763)*(($F$1764)/($F$1764+$F$1765+$F$1766+$F$1767+$F$1768)))+
(($F$1763)*(($F$1765)/($F$1764+$F$1765+$F$1766+$F$1767+$F$1768)))+
(($F$1763)*(($F$1766)/($F$1764+$F$1765+$F$1766+$F$1767+$F$1768)))+
(($F$1763)*(($F$1767)/($F$1764+$F$1765+$F$1766+$F$1767+$F$1768)))+
(($F$1763)*(($F$1768)/($F$1764+$F$1765+$F$1766+$F$1767+$F$1768)))+
(($F$1769)*(($F$1770)/((($F$1771)*(($F$1772)/($F$1772+$F$1773+$F$1774+$F$1775+$F$1776)))+
(($F$1771)*(($F$1773)/($F$1772+$F$1773+$F$1774+$F$1775+$F$1776)))+
(($F$1771)*(($F$1774)/($F$1772+$F$1773+$F$1774+$F$1775+$F$1776)))+
(($F$1771)*(($F$1775)/($F$1772+$F$1773+$F$1774+$F$1775+$F$1776)))+
(($F$1771)*(($F$1776)/($F$1772+$F$1773+$F$1774+$F$1775+$F$1776)))+
($F$1770))))+
(($F$1769)*((($F$1771)*(($F$1772)/($F$1772+$F$1773+$F$1774+$F$1775+$F$1776)))
/((($F$1771)*(($F$1772)/($F$1772+$F$1773+$F$1774+$F$1775+$F$1776)))+
(($F$1771)*(($F$1773)/($F$1772+$F$1773+$F$1774+$F$1775+$F$1776)))+
(($F$1771)*(($F$1774)/($F$1772+$F$1773+$F$1774+$F$1775+$F$1776)))+
(($F$1771)*(($F$1775)/($F$1772+$F$1773+$F$1774+$F$1775+$F$1776)))+
(($F$1771)*(($F$1776)/($F$1772+$F$1773+$F$1774+$F$1775+$F$1776)))+
($F$1770))))+
(($F$1769)*((($F$1771)*(($F$1773)/($F$1772+$F$1773+$F$1774+$F$1775+$F$1776)))
/((($F$1771)*(($F$1772)/($F$1772+$F$1773+$F$1774+$F$1775+$F$1776)))+
(($F$1771)*(($F$1773)/($F$1772+$F$1773+$F$1774+$F$1775+$F$1776)))+
(($F$1771)*(($F$1774)/($F$1772+$F$1773+$F$1774+$F$1775+$F$1776)))+
(($F$1771)*(($F$1775)/($F$1772+$F$1773+$F$1774+$F$1775+$F$1776)))+
(($F$1771)*(($F$1776)/($F$1772+$F$1773+$F$1774+$F$1775+$F$1776)))+
($F$1770))))+
(($F$1769)*((($F$1771)*(($F$1774)/($F$1772+$F$1773+$F$1774+$F$1775+$F$1776)))
/((($F$1771)*(($F$1772)/($F$1772+$F$1773+$F$1774+$F$1775+$F$1776)))+
(($F$1771)*(($F$1773)/($F$1772+$F$1773+$F$1774+$F$1775+$F$1776)))+
(($F$1771)*(($F$1774)/($F$1772+$F$1773+$F$1774+$F$1775+$F$1776)))+
(($F$1771)*(($F$1775)/($F$1772+$F$1773+$F$1774+$F$1775+$F$1776)))+
(($F$1771)*(($F$1776)/($F$1772+$F$1773+$F$1774+$F$1775+$F$1776)))+
($F$1770))))+
(($F$1769)*((($F$1771)*(($F$1775)/($F$1772+$F$1773+$F$1774+$F$1775+$F$1776)))
/((($F$1771)*(($F$1772)/($F$1772+$F$1773+$F$1774+$F$1775+$F$1776)))+
(($F$1771)*(($F$1773)/($F$1772+$F$1773+$F$1774+$F$1775+$F$1776)))+
(($F$1771)*(($F$1774)/($F$1772+$F$1773+$F$1774+$F$1775+$F$1776)))+
(($F$1771)*(($F$1775)/($F$1772+$F$1773+$F$1774+$F$1775+$F$1776)))+
(($F$1771)*(($F$1776)/($F$1772+$F$1773+$F$1774+$F$1775+$F$1776)))+
($F$1770))))+
(($F$1769)*((($F$1771)*(($F$1776)/($F$1772+$F$1773+$F$1774+$F$1775+$F$1776)))
/((($F$1771)*(($F$1772)/($F$1772+$F$1773+$F$1774+$F$1775+$F$1776)))+
(($F$1771)*(($F$1773)/($F$1772+$F$1773+$F$1774+$F$1775+$F$1776)))+
(($F$1771)*(($F$1774)/($F$1772+$F$1773+$F$1774+$F$1775+$F$1776)))+
(($F$1771)*(($F$1775)/($F$1772+$F$1773+$F$1774+$F$1775+$F$1776)))+
(($F$1771)*(($F$1776)/($F$1772+$F$1773+$F$1774+$F$1775+$F$1776)))+
($F$1770))))))),2)</f>
        <v>0.21</v>
      </c>
      <c r="I1768" s="18" t="s">
        <v>73</v>
      </c>
      <c r="J1768" s="337"/>
      <c r="K1768" s="680">
        <f t="shared" si="252"/>
        <v>8.19</v>
      </c>
      <c r="L1768" s="535"/>
      <c r="M1768" s="552" t="str">
        <f t="shared" si="248"/>
        <v/>
      </c>
      <c r="N1768" s="552"/>
      <c r="O1768" s="552" t="str">
        <f t="shared" si="249"/>
        <v/>
      </c>
      <c r="P1768" s="39"/>
    </row>
    <row r="1769" spans="1:16" x14ac:dyDescent="0.35">
      <c r="A1769" s="535" t="str">
        <f t="shared" si="246"/>
        <v/>
      </c>
      <c r="B1769" s="330"/>
      <c r="C1769" s="330"/>
      <c r="D1769" s="355"/>
      <c r="E1769" s="540" t="s">
        <v>989</v>
      </c>
      <c r="F1769" s="356">
        <v>31</v>
      </c>
      <c r="G1769" s="356" t="s">
        <v>73</v>
      </c>
      <c r="H1769" s="356"/>
      <c r="I1769" s="378"/>
      <c r="J1769" s="515"/>
      <c r="K1769" s="684"/>
      <c r="L1769" s="535"/>
      <c r="M1769" s="552" t="str">
        <f t="shared" si="248"/>
        <v/>
      </c>
      <c r="N1769" s="552"/>
      <c r="O1769" s="552" t="str">
        <f t="shared" si="249"/>
        <v/>
      </c>
      <c r="P1769" s="39"/>
    </row>
    <row r="1770" spans="1:16" x14ac:dyDescent="0.35">
      <c r="A1770" s="535" t="str">
        <f t="shared" si="246"/>
        <v/>
      </c>
      <c r="B1770" s="337"/>
      <c r="C1770" s="337"/>
      <c r="D1770" s="326" t="s">
        <v>385</v>
      </c>
      <c r="E1770" s="474" t="s">
        <v>990</v>
      </c>
      <c r="F1770" s="335">
        <v>200</v>
      </c>
      <c r="G1770" s="335" t="s">
        <v>73</v>
      </c>
      <c r="H1770" s="335">
        <f>ROUND((($F$1756)*(
(($F$1769)*(($F$1770)/((($F$1771)*(($F$1772)/($F$1772+$F$1773+$F$1774+$F$1775+$F$1776)))+
(($F$1771)*(($F$1773)/($F$1772+$F$1773+$F$1774+$F$1775+$F$1776)))+
(($F$1771)*(($F$1774)/($F$1772+$F$1773+$F$1774+$F$1775+$F$1776)))+
(($F$1771)*(($F$1775)/($F$1772+$F$1773+$F$1774+$F$1775+$F$1776)))+
(($F$1771)*(($F$1776)/($F$1772+$F$1773+$F$1774+$F$1775+$F$1776)))+
($F$1770))))
/(($F$1757)+($F$1758)+($F$1759)+($F$1760)+($F$1761)+($F$1762)+
(($F$1763)*(($F$1764)/($F$1764+$F$1765+$F$1766+$F$1767+$F$1768)))+
(($F$1763)*(($F$1765)/($F$1764+$F$1765+$F$1766+$F$1767+$F$1768)))+
(($F$1763)*(($F$1766)/($F$1764+$F$1765+$F$1766+$F$1767+$F$1768)))+
(($F$1763)*(($F$1767)/($F$1764+$F$1765+$F$1766+$F$1767+$F$1768)))+
(($F$1763)*(($F$1768)/($F$1764+$F$1765+$F$1766+$F$1767+$F$1768)))+
(($F$1769)*(($F$1770)/((($F$1771)*(($F$1772)/($F$1772+$F$1773+$F$1774+$F$1775+$F$1776)))+
(($F$1771)*(($F$1773)/($F$1772+$F$1773+$F$1774+$F$1775+$F$1776)))+
(($F$1771)*(($F$1774)/($F$1772+$F$1773+$F$1774+$F$1775+$F$1776)))+
(($F$1771)*(($F$1775)/($F$1772+$F$1773+$F$1774+$F$1775+$F$1776)))+
(($F$1771)*(($F$1776)/($F$1772+$F$1773+$F$1774+$F$1775+$F$1776)))+
($F$1770))))+
(($F$1769)*((($F$1771)*(($F$1772)/($F$1772+$F$1773+$F$1774+$F$1775+$F$1776)))
/((($F$1771)*(($F$1772)/($F$1772+$F$1773+$F$1774+$F$1775+$F$1776)))+
(($F$1771)*(($F$1773)/($F$1772+$F$1773+$F$1774+$F$1775+$F$1776)))+
(($F$1771)*(($F$1774)/($F$1772+$F$1773+$F$1774+$F$1775+$F$1776)))+
(($F$1771)*(($F$1775)/($F$1772+$F$1773+$F$1774+$F$1775+$F$1776)))+
(($F$1771)*(($F$1776)/($F$1772+$F$1773+$F$1774+$F$1775+$F$1776)))+
($F$1770))))+
(($F$1769)*((($F$1771)*(($F$1773)/($F$1772+$F$1773+$F$1774+$F$1775+$F$1776)))
/((($F$1771)*(($F$1772)/($F$1772+$F$1773+$F$1774+$F$1775+$F$1776)))+
(($F$1771)*(($F$1773)/($F$1772+$F$1773+$F$1774+$F$1775+$F$1776)))+
(($F$1771)*(($F$1774)/($F$1772+$F$1773+$F$1774+$F$1775+$F$1776)))+
(($F$1771)*(($F$1775)/($F$1772+$F$1773+$F$1774+$F$1775+$F$1776)))+
(($F$1771)*(($F$1776)/($F$1772+$F$1773+$F$1774+$F$1775+$F$1776)))+
($F$1770))))+
(($F$1769)*((($F$1771)*(($F$1774)/($F$1772+$F$1773+$F$1774+$F$1775+$F$1776)))
/((($F$1771)*(($F$1772)/($F$1772+$F$1773+$F$1774+$F$1775+$F$1776)))+
(($F$1771)*(($F$1773)/($F$1772+$F$1773+$F$1774+$F$1775+$F$1776)))+
(($F$1771)*(($F$1774)/($F$1772+$F$1773+$F$1774+$F$1775+$F$1776)))+
(($F$1771)*(($F$1775)/($F$1772+$F$1773+$F$1774+$F$1775+$F$1776)))+
(($F$1771)*(($F$1776)/($F$1772+$F$1773+$F$1774+$F$1775+$F$1776)))+
($F$1770))))+
(($F$1769)*((($F$1771)*(($F$1775)/($F$1772+$F$1773+$F$1774+$F$1775+$F$1776)))
/((($F$1771)*(($F$1772)/($F$1772+$F$1773+$F$1774+$F$1775+$F$1776)))+
(($F$1771)*(($F$1773)/($F$1772+$F$1773+$F$1774+$F$1775+$F$1776)))+
(($F$1771)*(($F$1774)/($F$1772+$F$1773+$F$1774+$F$1775+$F$1776)))+
(($F$1771)*(($F$1775)/($F$1772+$F$1773+$F$1774+$F$1775+$F$1776)))+
(($F$1771)*(($F$1776)/($F$1772+$F$1773+$F$1774+$F$1775+$F$1776)))+
($F$1770))))+
(($F$1769)*((($F$1771)*(($F$1776)/($F$1772+$F$1773+$F$1774+$F$1775+$F$1776)))
/((($F$1771)*(($F$1772)/($F$1772+$F$1773+$F$1774+$F$1775+$F$1776)))+
(($F$1771)*(($F$1773)/($F$1772+$F$1773+$F$1774+$F$1775+$F$1776)))+
(($F$1771)*(($F$1774)/($F$1772+$F$1773+$F$1774+$F$1775+$F$1776)))+
(($F$1771)*(($F$1775)/($F$1772+$F$1773+$F$1774+$F$1775+$F$1776)))+
(($F$1771)*(($F$1776)/($F$1772+$F$1773+$F$1774+$F$1775+$F$1776)))+
($F$1770))))))),2)</f>
        <v>3.16</v>
      </c>
      <c r="I1770" s="18" t="s">
        <v>73</v>
      </c>
      <c r="J1770" s="337"/>
      <c r="K1770" s="680">
        <f t="shared" si="252"/>
        <v>123.24000000000001</v>
      </c>
      <c r="L1770" s="535"/>
      <c r="M1770" s="552" t="str">
        <f t="shared" ref="M1770:M1833" si="254">IF(Q1774&gt;0, Q1774, "")</f>
        <v/>
      </c>
      <c r="N1770" s="552"/>
      <c r="O1770" s="552" t="str">
        <f t="shared" ref="O1770:O1833" si="255">IF(V1775&gt;0, V1775, "")</f>
        <v/>
      </c>
      <c r="P1770" s="39"/>
    </row>
    <row r="1771" spans="1:16" x14ac:dyDescent="0.35">
      <c r="A1771" s="535" t="str">
        <f t="shared" si="246"/>
        <v/>
      </c>
      <c r="B1771" s="330"/>
      <c r="C1771" s="330"/>
      <c r="D1771" s="355"/>
      <c r="E1771" s="662" t="s">
        <v>80</v>
      </c>
      <c r="F1771" s="378">
        <v>100</v>
      </c>
      <c r="G1771" s="378" t="s">
        <v>73</v>
      </c>
      <c r="H1771" s="356"/>
      <c r="I1771" s="378"/>
      <c r="J1771" s="515"/>
      <c r="K1771" s="684"/>
      <c r="L1771" s="535"/>
      <c r="M1771" s="552" t="str">
        <f t="shared" si="254"/>
        <v/>
      </c>
      <c r="N1771" s="552"/>
      <c r="O1771" s="552" t="str">
        <f t="shared" si="255"/>
        <v/>
      </c>
      <c r="P1771" s="39"/>
    </row>
    <row r="1772" spans="1:16" x14ac:dyDescent="0.35">
      <c r="A1772" s="535" t="str">
        <f t="shared" si="246"/>
        <v/>
      </c>
      <c r="B1772" s="337"/>
      <c r="C1772" s="337"/>
      <c r="D1772" s="326" t="s">
        <v>47</v>
      </c>
      <c r="E1772" s="663" t="s">
        <v>93</v>
      </c>
      <c r="F1772" s="18">
        <v>600</v>
      </c>
      <c r="G1772" s="18" t="s">
        <v>73</v>
      </c>
      <c r="H1772" s="335">
        <f>ROUND((($F$1756)*(
(($F$1769)*((($F$1771)*(($F$1772)/($F$1772+$F$1773+$F$1774+$F$1775+$F$1776)))
/((($F$1771)*(($F$1772)/($F$1772+$F$1773+$F$1774+$F$1775+$F$1776)))+
(($F$1771)*(($F$1773)/($F$1772+$F$1773+$F$1774+$F$1775+$F$1776)))+
(($F$1771)*(($F$1774)/($F$1772+$F$1773+$F$1774+$F$1775+$F$1776)))+
(($F$1771)*(($F$1775)/($F$1772+$F$1773+$F$1774+$F$1775+$F$1776)))+
(($F$1771)*(($F$1776)/($F$1772+$F$1773+$F$1774+$F$1775+$F$1776)))+
($F$1770))))
/(($F$1757)+($F$1758)+($F$1759)+($F$1760)+($F$1761)+($F$1762)+
(($F$1763)*(($F$1764)/($F$1764+$F$1765+$F$1766+$F$1767+$F$1768)))+
(($F$1763)*(($F$1765)/($F$1764+$F$1765+$F$1766+$F$1767+$F$1768)))+
(($F$1763)*(($F$1766)/($F$1764+$F$1765+$F$1766+$F$1767+$F$1768)))+
(($F$1763)*(($F$1767)/($F$1764+$F$1765+$F$1766+$F$1767+$F$1768)))+
(($F$1763)*(($F$1768)/($F$1764+$F$1765+$F$1766+$F$1767+$F$1768)))+
(($F$1769)*(($F$1770)/((($F$1771)*(($F$1772)/($F$1772+$F$1773+$F$1774+$F$1775+$F$1776)))+
(($F$1771)*(($F$1773)/($F$1772+$F$1773+$F$1774+$F$1775+$F$1776)))+
(($F$1771)*(($F$1774)/($F$1772+$F$1773+$F$1774+$F$1775+$F$1776)))+
(($F$1771)*(($F$1775)/($F$1772+$F$1773+$F$1774+$F$1775+$F$1776)))+
(($F$1771)*(($F$1776)/($F$1772+$F$1773+$F$1774+$F$1775+$F$1776)))+
($F$1770))))+
(($F$1769)*((($F$1771)*(($F$1772)/($F$1772+$F$1773+$F$1774+$F$1775+$F$1776)))
/((($F$1771)*(($F$1772)/($F$1772+$F$1773+$F$1774+$F$1775+$F$1776)))+
(($F$1771)*(($F$1773)/($F$1772+$F$1773+$F$1774+$F$1775+$F$1776)))+
(($F$1771)*(($F$1774)/($F$1772+$F$1773+$F$1774+$F$1775+$F$1776)))+
(($F$1771)*(($F$1775)/($F$1772+$F$1773+$F$1774+$F$1775+$F$1776)))+
(($F$1771)*(($F$1776)/($F$1772+$F$1773+$F$1774+$F$1775+$F$1776)))+
($F$1770))))+
(($F$1769)*((($F$1771)*(($F$1773)/($F$1772+$F$1773+$F$1774+$F$1775+$F$1776)))
/((($F$1771)*(($F$1772)/($F$1772+$F$1773+$F$1774+$F$1775+$F$1776)))+
(($F$1771)*(($F$1773)/($F$1772+$F$1773+$F$1774+$F$1775+$F$1776)))+
(($F$1771)*(($F$1774)/($F$1772+$F$1773+$F$1774+$F$1775+$F$1776)))+
(($F$1771)*(($F$1775)/($F$1772+$F$1773+$F$1774+$F$1775+$F$1776)))+
(($F$1771)*(($F$1776)/($F$1772+$F$1773+$F$1774+$F$1775+$F$1776)))+
($F$1770))))+
(($F$1769)*((($F$1771)*(($F$1774)/($F$1772+$F$1773+$F$1774+$F$1775+$F$1776)))
/((($F$1771)*(($F$1772)/($F$1772+$F$1773+$F$1774+$F$1775+$F$1776)))+
(($F$1771)*(($F$1773)/($F$1772+$F$1773+$F$1774+$F$1775+$F$1776)))+
(($F$1771)*(($F$1774)/($F$1772+$F$1773+$F$1774+$F$1775+$F$1776)))+
(($F$1771)*(($F$1775)/($F$1772+$F$1773+$F$1774+$F$1775+$F$1776)))+
(($F$1771)*(($F$1776)/($F$1772+$F$1773+$F$1774+$F$1775+$F$1776)))+
($F$1770))))+
(($F$1769)*((($F$1771)*(($F$1775)/($F$1772+$F$1773+$F$1774+$F$1775+$F$1776)))
/((($F$1771)*(($F$1772)/($F$1772+$F$1773+$F$1774+$F$1775+$F$1776)))+
(($F$1771)*(($F$1773)/($F$1772+$F$1773+$F$1774+$F$1775+$F$1776)))+
(($F$1771)*(($F$1774)/($F$1772+$F$1773+$F$1774+$F$1775+$F$1776)))+
(($F$1771)*(($F$1775)/($F$1772+$F$1773+$F$1774+$F$1775+$F$1776)))+
(($F$1771)*(($F$1776)/($F$1772+$F$1773+$F$1774+$F$1775+$F$1776)))+
($F$1770))))+
(($F$1769)*((($F$1771)*(($F$1776)/($F$1772+$F$1773+$F$1774+$F$1775+$F$1776)))
/((($F$1771)*(($F$1772)/($F$1772+$F$1773+$F$1774+$F$1775+$F$1776)))+
(($F$1771)*(($F$1773)/($F$1772+$F$1773+$F$1774+$F$1775+$F$1776)))+
(($F$1771)*(($F$1774)/($F$1772+$F$1773+$F$1774+$F$1775+$F$1776)))+
(($F$1771)*(($F$1775)/($F$1772+$F$1773+$F$1774+$F$1775+$F$1776)))+
(($F$1771)*(($F$1776)/($F$1772+$F$1773+$F$1774+$F$1775+$F$1776)))+
($F$1770))))))),2)</f>
        <v>1.05</v>
      </c>
      <c r="I1772" s="18" t="s">
        <v>73</v>
      </c>
      <c r="J1772" s="337"/>
      <c r="K1772" s="680">
        <f t="shared" si="252"/>
        <v>40.950000000000003</v>
      </c>
      <c r="L1772" s="535"/>
      <c r="M1772" s="552" t="str">
        <f t="shared" si="254"/>
        <v/>
      </c>
      <c r="N1772" s="552"/>
      <c r="O1772" s="552" t="str">
        <f t="shared" si="255"/>
        <v/>
      </c>
      <c r="P1772" s="39"/>
    </row>
    <row r="1773" spans="1:16" x14ac:dyDescent="0.35">
      <c r="A1773" s="535" t="str">
        <f t="shared" si="246"/>
        <v/>
      </c>
      <c r="B1773" s="330"/>
      <c r="C1773" s="330"/>
      <c r="D1773" s="326" t="s">
        <v>48</v>
      </c>
      <c r="E1773" s="664" t="s">
        <v>91</v>
      </c>
      <c r="F1773" s="22">
        <v>100</v>
      </c>
      <c r="G1773" s="22" t="s">
        <v>73</v>
      </c>
      <c r="H1773" s="328">
        <f>ROUND((($F$1756)*(
(($F$1769)*((($F$1771)*(($F$1773)/($F$1772+$F$1773+$F$1774+$F$1775+$F$1776)))
/((($F$1771)*(($F$1772)/($F$1772+$F$1773+$F$1774+$F$1775+$F$1776)))+
(($F$1771)*(($F$1773)/($F$1772+$F$1773+$F$1774+$F$1775+$F$1776)))+
(($F$1771)*(($F$1774)/($F$1772+$F$1773+$F$1774+$F$1775+$F$1776)))+
(($F$1771)*(($F$1775)/($F$1772+$F$1773+$F$1774+$F$1775+$F$1776)))+
(($F$1771)*(($F$1776)/($F$1772+$F$1773+$F$1774+$F$1775+$F$1776)))+
($F$1770))))
/(($F$1757)+($F$1758)+($F$1759)+($F$1760)+($F$1761)+($F$1762)+
(($F$1763)*(($F$1764)/($F$1764+$F$1765+$F$1766+$F$1767+$F$1768)))+
(($F$1763)*(($F$1765)/($F$1764+$F$1765+$F$1766+$F$1767+$F$1768)))+
(($F$1763)*(($F$1766)/($F$1764+$F$1765+$F$1766+$F$1767+$F$1768)))+
(($F$1763)*(($F$1767)/($F$1764+$F$1765+$F$1766+$F$1767+$F$1768)))+
(($F$1763)*(($F$1768)/($F$1764+$F$1765+$F$1766+$F$1767+$F$1768)))+
(($F$1769)*(($F$1770)/((($F$1771)*(($F$1772)/($F$1772+$F$1773+$F$1774+$F$1775+$F$1776)))+
(($F$1771)*(($F$1773)/($F$1772+$F$1773+$F$1774+$F$1775+$F$1776)))+
(($F$1771)*(($F$1774)/($F$1772+$F$1773+$F$1774+$F$1775+$F$1776)))+
(($F$1771)*(($F$1775)/($F$1772+$F$1773+$F$1774+$F$1775+$F$1776)))+
(($F$1771)*(($F$1776)/($F$1772+$F$1773+$F$1774+$F$1775+$F$1776)))+
($F$1770))))+
(($F$1769)*((($F$1771)*(($F$1772)/($F$1772+$F$1773+$F$1774+$F$1775+$F$1776)))
/((($F$1771)*(($F$1772)/($F$1772+$F$1773+$F$1774+$F$1775+$F$1776)))+
(($F$1771)*(($F$1773)/($F$1772+$F$1773+$F$1774+$F$1775+$F$1776)))+
(($F$1771)*(($F$1774)/($F$1772+$F$1773+$F$1774+$F$1775+$F$1776)))+
(($F$1771)*(($F$1775)/($F$1772+$F$1773+$F$1774+$F$1775+$F$1776)))+
(($F$1771)*(($F$1776)/($F$1772+$F$1773+$F$1774+$F$1775+$F$1776)))+
($F$1770))))+
(($F$1769)*((($F$1771)*(($F$1773)/($F$1772+$F$1773+$F$1774+$F$1775+$F$1776)))
/((($F$1771)*(($F$1772)/($F$1772+$F$1773+$F$1774+$F$1775+$F$1776)))+
(($F$1771)*(($F$1773)/($F$1772+$F$1773+$F$1774+$F$1775+$F$1776)))+
(($F$1771)*(($F$1774)/($F$1772+$F$1773+$F$1774+$F$1775+$F$1776)))+
(($F$1771)*(($F$1775)/($F$1772+$F$1773+$F$1774+$F$1775+$F$1776)))+
(($F$1771)*(($F$1776)/($F$1772+$F$1773+$F$1774+$F$1775+$F$1776)))+
($F$1770))))+
(($F$1769)*((($F$1771)*(($F$1774)/($F$1772+$F$1773+$F$1774+$F$1775+$F$1776)))
/((($F$1771)*(($F$1772)/($F$1772+$F$1773+$F$1774+$F$1775+$F$1776)))+
(($F$1771)*(($F$1773)/($F$1772+$F$1773+$F$1774+$F$1775+$F$1776)))+
(($F$1771)*(($F$1774)/($F$1772+$F$1773+$F$1774+$F$1775+$F$1776)))+
(($F$1771)*(($F$1775)/($F$1772+$F$1773+$F$1774+$F$1775+$F$1776)))+
(($F$1771)*(($F$1776)/($F$1772+$F$1773+$F$1774+$F$1775+$F$1776)))+
($F$1770))))+
(($F$1769)*((($F$1771)*(($F$1775)/($F$1772+$F$1773+$F$1774+$F$1775+$F$1776)))
/((($F$1771)*(($F$1772)/($F$1772+$F$1773+$F$1774+$F$1775+$F$1776)))+
(($F$1771)*(($F$1773)/($F$1772+$F$1773+$F$1774+$F$1775+$F$1776)))+
(($F$1771)*(($F$1774)/($F$1772+$F$1773+$F$1774+$F$1775+$F$1776)))+
(($F$1771)*(($F$1775)/($F$1772+$F$1773+$F$1774+$F$1775+$F$1776)))+
(($F$1771)*(($F$1776)/($F$1772+$F$1773+$F$1774+$F$1775+$F$1776)))+
($F$1770))))+
(($F$1769)*((($F$1771)*(($F$1776)/($F$1772+$F$1773+$F$1774+$F$1775+$F$1776)))
/((($F$1771)*(($F$1772)/($F$1772+$F$1773+$F$1774+$F$1775+$F$1776)))+
(($F$1771)*(($F$1773)/($F$1772+$F$1773+$F$1774+$F$1775+$F$1776)))+
(($F$1771)*(($F$1774)/($F$1772+$F$1773+$F$1774+$F$1775+$F$1776)))+
(($F$1771)*(($F$1775)/($F$1772+$F$1773+$F$1774+$F$1775+$F$1776)))+
(($F$1771)*(($F$1776)/($F$1772+$F$1773+$F$1774+$F$1775+$F$1776)))+
($F$1770))))))),2)</f>
        <v>0.18</v>
      </c>
      <c r="I1773" s="22" t="s">
        <v>73</v>
      </c>
      <c r="J1773" s="330"/>
      <c r="K1773" s="681">
        <f t="shared" si="252"/>
        <v>7.02</v>
      </c>
      <c r="L1773" s="535"/>
      <c r="M1773" s="552" t="str">
        <f t="shared" si="254"/>
        <v/>
      </c>
      <c r="N1773" s="552"/>
      <c r="O1773" s="552" t="str">
        <f t="shared" si="255"/>
        <v/>
      </c>
      <c r="P1773" s="39"/>
    </row>
    <row r="1774" spans="1:16" x14ac:dyDescent="0.35">
      <c r="A1774" s="535" t="str">
        <f t="shared" ref="A1774:A1839" si="256">IFERROR(INDEX($Q$17:$Q$41,MATCH(B1774,$R$17:$R$41, 0)), "")</f>
        <v/>
      </c>
      <c r="B1774" s="337"/>
      <c r="C1774" s="337"/>
      <c r="D1774" s="326" t="s">
        <v>50</v>
      </c>
      <c r="E1774" s="663" t="s">
        <v>92</v>
      </c>
      <c r="F1774" s="18">
        <v>100</v>
      </c>
      <c r="G1774" s="18" t="s">
        <v>73</v>
      </c>
      <c r="H1774" s="335">
        <f>ROUND((($F$1756)*(
(($F$1769)*((($F$1771)*(($F$1774)/($F$1772+$F$1773+$F$1774+$F$1775+$F$1776)))
/((($F$1771)*(($F$1772)/($F$1772+$F$1773+$F$1774+$F$1775+$F$1776)))+
(($F$1771)*(($F$1773)/($F$1772+$F$1773+$F$1774+$F$1775+$F$1776)))+
(($F$1771)*(($F$1774)/($F$1772+$F$1773+$F$1774+$F$1775+$F$1776)))+
(($F$1771)*(($F$1775)/($F$1772+$F$1773+$F$1774+$F$1775+$F$1776)))+
(($F$1771)*(($F$1776)/($F$1772+$F$1773+$F$1774+$F$1775+$F$1776)))+
($F$1770))))
/(($F$1757)+($F$1758)+($F$1759)+($F$1760)+($F$1761)+($F$1762)+
(($F$1763)*(($F$1764)/($F$1764+$F$1765+$F$1766+$F$1767+$F$1768)))+
(($F$1763)*(($F$1765)/($F$1764+$F$1765+$F$1766+$F$1767+$F$1768)))+
(($F$1763)*(($F$1766)/($F$1764+$F$1765+$F$1766+$F$1767+$F$1768)))+
(($F$1763)*(($F$1767)/($F$1764+$F$1765+$F$1766+$F$1767+$F$1768)))+
(($F$1763)*(($F$1768)/($F$1764+$F$1765+$F$1766+$F$1767+$F$1768)))+
(($F$1769)*(($F$1770)/((($F$1771)*(($F$1772)/($F$1772+$F$1773+$F$1774+$F$1775+$F$1776)))+
(($F$1771)*(($F$1773)/($F$1772+$F$1773+$F$1774+$F$1775+$F$1776)))+
(($F$1771)*(($F$1774)/($F$1772+$F$1773+$F$1774+$F$1775+$F$1776)))+
(($F$1771)*(($F$1775)/($F$1772+$F$1773+$F$1774+$F$1775+$F$1776)))+
(($F$1771)*(($F$1776)/($F$1772+$F$1773+$F$1774+$F$1775+$F$1776)))+
($F$1770))))+
(($F$1769)*((($F$1771)*(($F$1772)/($F$1772+$F$1773+$F$1774+$F$1775+$F$1776)))
/((($F$1771)*(($F$1772)/($F$1772+$F$1773+$F$1774+$F$1775+$F$1776)))+
(($F$1771)*(($F$1773)/($F$1772+$F$1773+$F$1774+$F$1775+$F$1776)))+
(($F$1771)*(($F$1774)/($F$1772+$F$1773+$F$1774+$F$1775+$F$1776)))+
(($F$1771)*(($F$1775)/($F$1772+$F$1773+$F$1774+$F$1775+$F$1776)))+
(($F$1771)*(($F$1776)/($F$1772+$F$1773+$F$1774+$F$1775+$F$1776)))+
($F$1770))))+
(($F$1769)*((($F$1771)*(($F$1773)/($F$1772+$F$1773+$F$1774+$F$1775+$F$1776)))
/((($F$1771)*(($F$1772)/($F$1772+$F$1773+$F$1774+$F$1775+$F$1776)))+
(($F$1771)*(($F$1773)/($F$1772+$F$1773+$F$1774+$F$1775+$F$1776)))+
(($F$1771)*(($F$1774)/($F$1772+$F$1773+$F$1774+$F$1775+$F$1776)))+
(($F$1771)*(($F$1775)/($F$1772+$F$1773+$F$1774+$F$1775+$F$1776)))+
(($F$1771)*(($F$1776)/($F$1772+$F$1773+$F$1774+$F$1775+$F$1776)))+
($F$1770))))+
(($F$1769)*((($F$1771)*(($F$1774)/($F$1772+$F$1773+$F$1774+$F$1775+$F$1776)))
/((($F$1771)*(($F$1772)/($F$1772+$F$1773+$F$1774+$F$1775+$F$1776)))+
(($F$1771)*(($F$1773)/($F$1772+$F$1773+$F$1774+$F$1775+$F$1776)))+
(($F$1771)*(($F$1774)/($F$1772+$F$1773+$F$1774+$F$1775+$F$1776)))+
(($F$1771)*(($F$1775)/($F$1772+$F$1773+$F$1774+$F$1775+$F$1776)))+
(($F$1771)*(($F$1776)/($F$1772+$F$1773+$F$1774+$F$1775+$F$1776)))+
($F$1770))))+
(($F$1769)*((($F$1771)*(($F$1775)/($F$1772+$F$1773+$F$1774+$F$1775+$F$1776)))
/((($F$1771)*(($F$1772)/($F$1772+$F$1773+$F$1774+$F$1775+$F$1776)))+
(($F$1771)*(($F$1773)/($F$1772+$F$1773+$F$1774+$F$1775+$F$1776)))+
(($F$1771)*(($F$1774)/($F$1772+$F$1773+$F$1774+$F$1775+$F$1776)))+
(($F$1771)*(($F$1775)/($F$1772+$F$1773+$F$1774+$F$1775+$F$1776)))+
(($F$1771)*(($F$1776)/($F$1772+$F$1773+$F$1774+$F$1775+$F$1776)))+
($F$1770))))+
(($F$1769)*((($F$1771)*(($F$1776)/($F$1772+$F$1773+$F$1774+$F$1775+$F$1776)))
/((($F$1771)*(($F$1772)/($F$1772+$F$1773+$F$1774+$F$1775+$F$1776)))+
(($F$1771)*(($F$1773)/($F$1772+$F$1773+$F$1774+$F$1775+$F$1776)))+
(($F$1771)*(($F$1774)/($F$1772+$F$1773+$F$1774+$F$1775+$F$1776)))+
(($F$1771)*(($F$1775)/($F$1772+$F$1773+$F$1774+$F$1775+$F$1776)))+
(($F$1771)*(($F$1776)/($F$1772+$F$1773+$F$1774+$F$1775+$F$1776)))+
($F$1770))))))),2)</f>
        <v>0.18</v>
      </c>
      <c r="I1774" s="18" t="s">
        <v>73</v>
      </c>
      <c r="J1774" s="337"/>
      <c r="K1774" s="680">
        <f t="shared" si="252"/>
        <v>7.02</v>
      </c>
      <c r="L1774" s="535"/>
      <c r="M1774" s="552" t="str">
        <f t="shared" si="254"/>
        <v/>
      </c>
      <c r="N1774" s="552"/>
      <c r="O1774" s="552" t="str">
        <f t="shared" si="255"/>
        <v/>
      </c>
      <c r="P1774" s="39"/>
    </row>
    <row r="1775" spans="1:16" x14ac:dyDescent="0.35">
      <c r="A1775" s="535" t="str">
        <f t="shared" si="256"/>
        <v/>
      </c>
      <c r="B1775" s="330"/>
      <c r="C1775" s="330"/>
      <c r="D1775" s="326" t="s">
        <v>49</v>
      </c>
      <c r="E1775" s="664" t="s">
        <v>99</v>
      </c>
      <c r="F1775" s="22">
        <v>50</v>
      </c>
      <c r="G1775" s="22" t="s">
        <v>73</v>
      </c>
      <c r="H1775" s="328">
        <f>ROUND((($F$1756)*(
(($F$1769)*((($F$1771)*(($F$1775)/($F$1772+$F$1773+$F$1774+$F$1775+$F$1776)))
/((($F$1771)*(($F$1772)/($F$1772+$F$1773+$F$1774+$F$1775+$F$1776)))+
(($F$1771)*(($F$1773)/($F$1772+$F$1773+$F$1774+$F$1775+$F$1776)))+
(($F$1771)*(($F$1774)/($F$1772+$F$1773+$F$1774+$F$1775+$F$1776)))+
(($F$1771)*(($F$1775)/($F$1772+$F$1773+$F$1774+$F$1775+$F$1776)))+
(($F$1771)*(($F$1776)/($F$1772+$F$1773+$F$1774+$F$1775+$F$1776)))+
($F$1770))))
/(($F$1757)+($F$1758)+($F$1759)+($F$1760)+($F$1761)+($F$1762)+
(($F$1763)*(($F$1764)/($F$1764+$F$1765+$F$1766+$F$1767+$F$1768)))+
(($F$1763)*(($F$1765)/($F$1764+$F$1765+$F$1766+$F$1767+$F$1768)))+
(($F$1763)*(($F$1766)/($F$1764+$F$1765+$F$1766+$F$1767+$F$1768)))+
(($F$1763)*(($F$1767)/($F$1764+$F$1765+$F$1766+$F$1767+$F$1768)))+
(($F$1763)*(($F$1768)/($F$1764+$F$1765+$F$1766+$F$1767+$F$1768)))+
(($F$1769)*(($F$1770)/((($F$1771)*(($F$1772)/($F$1772+$F$1773+$F$1774+$F$1775+$F$1776)))+
(($F$1771)*(($F$1773)/($F$1772+$F$1773+$F$1774+$F$1775+$F$1776)))+
(($F$1771)*(($F$1774)/($F$1772+$F$1773+$F$1774+$F$1775+$F$1776)))+
(($F$1771)*(($F$1775)/($F$1772+$F$1773+$F$1774+$F$1775+$F$1776)))+
(($F$1771)*(($F$1776)/($F$1772+$F$1773+$F$1774+$F$1775+$F$1776)))+
($F$1770))))+
(($F$1769)*((($F$1771)*(($F$1772)/($F$1772+$F$1773+$F$1774+$F$1775+$F$1776)))
/((($F$1771)*(($F$1772)/($F$1772+$F$1773+$F$1774+$F$1775+$F$1776)))+
(($F$1771)*(($F$1773)/($F$1772+$F$1773+$F$1774+$F$1775+$F$1776)))+
(($F$1771)*(($F$1774)/($F$1772+$F$1773+$F$1774+$F$1775+$F$1776)))+
(($F$1771)*(($F$1775)/($F$1772+$F$1773+$F$1774+$F$1775+$F$1776)))+
(($F$1771)*(($F$1776)/($F$1772+$F$1773+$F$1774+$F$1775+$F$1776)))+
($F$1770))))+
(($F$1769)*((($F$1771)*(($F$1773)/($F$1772+$F$1773+$F$1774+$F$1775+$F$1776)))
/((($F$1771)*(($F$1772)/($F$1772+$F$1773+$F$1774+$F$1775+$F$1776)))+
(($F$1771)*(($F$1773)/($F$1772+$F$1773+$F$1774+$F$1775+$F$1776)))+
(($F$1771)*(($F$1774)/($F$1772+$F$1773+$F$1774+$F$1775+$F$1776)))+
(($F$1771)*(($F$1775)/($F$1772+$F$1773+$F$1774+$F$1775+$F$1776)))+
(($F$1771)*(($F$1776)/($F$1772+$F$1773+$F$1774+$F$1775+$F$1776)))+
($F$1770))))+
(($F$1769)*((($F$1771)*(($F$1774)/($F$1772+$F$1773+$F$1774+$F$1775+$F$1776)))
/((($F$1771)*(($F$1772)/($F$1772+$F$1773+$F$1774+$F$1775+$F$1776)))+
(($F$1771)*(($F$1773)/($F$1772+$F$1773+$F$1774+$F$1775+$F$1776)))+
(($F$1771)*(($F$1774)/($F$1772+$F$1773+$F$1774+$F$1775+$F$1776)))+
(($F$1771)*(($F$1775)/($F$1772+$F$1773+$F$1774+$F$1775+$F$1776)))+
(($F$1771)*(($F$1776)/($F$1772+$F$1773+$F$1774+$F$1775+$F$1776)))+
($F$1770))))+
(($F$1769)*((($F$1771)*(($F$1775)/($F$1772+$F$1773+$F$1774+$F$1775+$F$1776)))
/((($F$1771)*(($F$1772)/($F$1772+$F$1773+$F$1774+$F$1775+$F$1776)))+
(($F$1771)*(($F$1773)/($F$1772+$F$1773+$F$1774+$F$1775+$F$1776)))+
(($F$1771)*(($F$1774)/($F$1772+$F$1773+$F$1774+$F$1775+$F$1776)))+
(($F$1771)*(($F$1775)/($F$1772+$F$1773+$F$1774+$F$1775+$F$1776)))+
(($F$1771)*(($F$1776)/($F$1772+$F$1773+$F$1774+$F$1775+$F$1776)))+
($F$1770))))+
(($F$1769)*((($F$1771)*(($F$1776)/($F$1772+$F$1773+$F$1774+$F$1775+$F$1776)))
/((($F$1771)*(($F$1772)/($F$1772+$F$1773+$F$1774+$F$1775+$F$1776)))+
(($F$1771)*(($F$1773)/($F$1772+$F$1773+$F$1774+$F$1775+$F$1776)))+
(($F$1771)*(($F$1774)/($F$1772+$F$1773+$F$1774+$F$1775+$F$1776)))+
(($F$1771)*(($F$1775)/($F$1772+$F$1773+$F$1774+$F$1775+$F$1776)))+
(($F$1771)*(($F$1776)/($F$1772+$F$1773+$F$1774+$F$1775+$F$1776)))+
($F$1770))))))),2)</f>
        <v>0.09</v>
      </c>
      <c r="I1775" s="22" t="s">
        <v>73</v>
      </c>
      <c r="J1775" s="330"/>
      <c r="K1775" s="681">
        <f t="shared" si="252"/>
        <v>3.51</v>
      </c>
      <c r="L1775" s="535"/>
      <c r="M1775" s="552" t="str">
        <f t="shared" si="254"/>
        <v/>
      </c>
      <c r="N1775" s="552"/>
      <c r="O1775" s="552" t="str">
        <f t="shared" si="255"/>
        <v/>
      </c>
      <c r="P1775" s="39"/>
    </row>
    <row r="1776" spans="1:16" x14ac:dyDescent="0.35">
      <c r="A1776" s="535" t="str">
        <f t="shared" si="256"/>
        <v/>
      </c>
      <c r="B1776" s="337"/>
      <c r="C1776" s="337"/>
      <c r="D1776" s="326" t="s">
        <v>51</v>
      </c>
      <c r="E1776" s="663" t="s">
        <v>98</v>
      </c>
      <c r="F1776" s="18">
        <v>50</v>
      </c>
      <c r="G1776" s="18" t="s">
        <v>73</v>
      </c>
      <c r="H1776" s="335">
        <f>ROUND((($F$1756)*(
(($F$1769)*((($F$1771)*(($F$1776)/($F$1772+$F$1773+$F$1774+$F$1775+$F$1776)))
/((($F$1771)*(($F$1772)/($F$1772+$F$1773+$F$1774+$F$1775+$F$1776)))+
(($F$1771)*(($F$1773)/($F$1772+$F$1773+$F$1774+$F$1775+$F$1776)))+
(($F$1771)*(($F$1774)/($F$1772+$F$1773+$F$1774+$F$1775+$F$1776)))+
(($F$1771)*(($F$1775)/($F$1772+$F$1773+$F$1774+$F$1775+$F$1776)))+
(($F$1771)*(($F$1776)/($F$1772+$F$1773+$F$1774+$F$1775+$F$1776)))+
($F$1770))))
/(($F$1757)+($F$1758)+($F$1759)+($F$1760)+($F$1761)+($F$1762)+
(($F$1763)*(($F$1764)/($F$1764+$F$1765+$F$1766+$F$1767+$F$1768)))+
(($F$1763)*(($F$1765)/($F$1764+$F$1765+$F$1766+$F$1767+$F$1768)))+
(($F$1763)*(($F$1766)/($F$1764+$F$1765+$F$1766+$F$1767+$F$1768)))+
(($F$1763)*(($F$1767)/($F$1764+$F$1765+$F$1766+$F$1767+$F$1768)))+
(($F$1763)*(($F$1768)/($F$1764+$F$1765+$F$1766+$F$1767+$F$1768)))+
(($F$1769)*(($F$1770)/((($F$1771)*(($F$1772)/($F$1772+$F$1773+$F$1774+$F$1775+$F$1776)))+
(($F$1771)*(($F$1773)/($F$1772+$F$1773+$F$1774+$F$1775+$F$1776)))+
(($F$1771)*(($F$1774)/($F$1772+$F$1773+$F$1774+$F$1775+$F$1776)))+
(($F$1771)*(($F$1775)/($F$1772+$F$1773+$F$1774+$F$1775+$F$1776)))+
(($F$1771)*(($F$1776)/($F$1772+$F$1773+$F$1774+$F$1775+$F$1776)))+
($F$1770))))+
(($F$1769)*((($F$1771)*(($F$1772)/($F$1772+$F$1773+$F$1774+$F$1775+$F$1776)))
/((($F$1771)*(($F$1772)/($F$1772+$F$1773+$F$1774+$F$1775+$F$1776)))+
(($F$1771)*(($F$1773)/($F$1772+$F$1773+$F$1774+$F$1775+$F$1776)))+
(($F$1771)*(($F$1774)/($F$1772+$F$1773+$F$1774+$F$1775+$F$1776)))+
(($F$1771)*(($F$1775)/($F$1772+$F$1773+$F$1774+$F$1775+$F$1776)))+
(($F$1771)*(($F$1776)/($F$1772+$F$1773+$F$1774+$F$1775+$F$1776)))+
($F$1770))))+
(($F$1769)*((($F$1771)*(($F$1773)/($F$1772+$F$1773+$F$1774+$F$1775+$F$1776)))
/((($F$1771)*(($F$1772)/($F$1772+$F$1773+$F$1774+$F$1775+$F$1776)))+
(($F$1771)*(($F$1773)/($F$1772+$F$1773+$F$1774+$F$1775+$F$1776)))+
(($F$1771)*(($F$1774)/($F$1772+$F$1773+$F$1774+$F$1775+$F$1776)))+
(($F$1771)*(($F$1775)/($F$1772+$F$1773+$F$1774+$F$1775+$F$1776)))+
(($F$1771)*(($F$1776)/($F$1772+$F$1773+$F$1774+$F$1775+$F$1776)))+
($F$1770))))+
(($F$1769)*((($F$1771)*(($F$1774)/($F$1772+$F$1773+$F$1774+$F$1775+$F$1776)))
/((($F$1771)*(($F$1772)/($F$1772+$F$1773+$F$1774+$F$1775+$F$1776)))+
(($F$1771)*(($F$1773)/($F$1772+$F$1773+$F$1774+$F$1775+$F$1776)))+
(($F$1771)*(($F$1774)/($F$1772+$F$1773+$F$1774+$F$1775+$F$1776)))+
(($F$1771)*(($F$1775)/($F$1772+$F$1773+$F$1774+$F$1775+$F$1776)))+
(($F$1771)*(($F$1776)/($F$1772+$F$1773+$F$1774+$F$1775+$F$1776)))+
($F$1770))))+
(($F$1769)*((($F$1771)*(($F$1775)/($F$1772+$F$1773+$F$1774+$F$1775+$F$1776)))
/((($F$1771)*(($F$1772)/($F$1772+$F$1773+$F$1774+$F$1775+$F$1776)))+
(($F$1771)*(($F$1773)/($F$1772+$F$1773+$F$1774+$F$1775+$F$1776)))+
(($F$1771)*(($F$1774)/($F$1772+$F$1773+$F$1774+$F$1775+$F$1776)))+
(($F$1771)*(($F$1775)/($F$1772+$F$1773+$F$1774+$F$1775+$F$1776)))+
(($F$1771)*(($F$1776)/($F$1772+$F$1773+$F$1774+$F$1775+$F$1776)))+
($F$1770))))+
(($F$1769)*((($F$1771)*(($F$1776)/($F$1772+$F$1773+$F$1774+$F$1775+$F$1776)))
/((($F$1771)*(($F$1772)/($F$1772+$F$1773+$F$1774+$F$1775+$F$1776)))+
(($F$1771)*(($F$1773)/($F$1772+$F$1773+$F$1774+$F$1775+$F$1776)))+
(($F$1771)*(($F$1774)/($F$1772+$F$1773+$F$1774+$F$1775+$F$1776)))+
(($F$1771)*(($F$1775)/($F$1772+$F$1773+$F$1774+$F$1775+$F$1776)))+
(($F$1771)*(($F$1776)/($F$1772+$F$1773+$F$1774+$F$1775+$F$1776)))+
($F$1770))))))),2)</f>
        <v>0.09</v>
      </c>
      <c r="I1776" s="18" t="s">
        <v>73</v>
      </c>
      <c r="J1776" s="337"/>
      <c r="K1776" s="680">
        <f t="shared" si="252"/>
        <v>3.51</v>
      </c>
      <c r="L1776" s="535"/>
      <c r="M1776" s="552" t="str">
        <f t="shared" si="254"/>
        <v/>
      </c>
      <c r="N1776" s="552"/>
      <c r="O1776" s="552" t="str">
        <f t="shared" si="255"/>
        <v/>
      </c>
      <c r="P1776" s="39"/>
    </row>
    <row r="1777" spans="1:16" x14ac:dyDescent="0.35">
      <c r="A1777" s="535" t="str">
        <f t="shared" si="256"/>
        <v/>
      </c>
      <c r="B1777" s="330"/>
      <c r="C1777" s="330"/>
      <c r="D1777" s="355"/>
      <c r="E1777" s="355" t="s">
        <v>85</v>
      </c>
      <c r="F1777" s="378">
        <v>0.3</v>
      </c>
      <c r="G1777" s="378" t="s">
        <v>73</v>
      </c>
      <c r="H1777" s="515"/>
      <c r="I1777" s="378"/>
      <c r="J1777" s="515"/>
      <c r="K1777" s="684"/>
      <c r="L1777" s="535"/>
      <c r="M1777" s="552" t="str">
        <f t="shared" si="254"/>
        <v/>
      </c>
      <c r="N1777" s="552"/>
      <c r="O1777" s="552" t="str">
        <f t="shared" si="255"/>
        <v/>
      </c>
      <c r="P1777" s="39"/>
    </row>
    <row r="1778" spans="1:16" x14ac:dyDescent="0.35">
      <c r="A1778" s="593" t="str">
        <f>IFERROR(INDEX($Q$17:$Q$41,MATCH(B1778,$R$17:$R$41, 0)), "")</f>
        <v/>
      </c>
      <c r="B1778" s="337"/>
      <c r="C1778" s="337"/>
      <c r="D1778" s="326" t="s">
        <v>52</v>
      </c>
      <c r="E1778" s="425" t="s">
        <v>106</v>
      </c>
      <c r="F1778" s="18">
        <v>5</v>
      </c>
      <c r="G1778" s="18" t="s">
        <v>73</v>
      </c>
      <c r="H1778" s="335">
        <f>ROUND(($F$1777)*(($F$1778)/((($F$1779)*(($F$1780)/($F$1780+$F$1781)))+
(($F$1779)*(($F$1781)/($F$1780+$F$1781)))+
($F$1778))),2)</f>
        <v>0.06</v>
      </c>
      <c r="I1778" s="18" t="s">
        <v>73</v>
      </c>
      <c r="J1778" s="337"/>
      <c r="K1778" s="680">
        <f t="shared" si="252"/>
        <v>2.34</v>
      </c>
      <c r="L1778" s="535"/>
      <c r="M1778" s="552" t="str">
        <f t="shared" si="254"/>
        <v/>
      </c>
      <c r="N1778" s="552"/>
      <c r="O1778" s="552" t="str">
        <f t="shared" si="255"/>
        <v/>
      </c>
      <c r="P1778" s="39"/>
    </row>
    <row r="1779" spans="1:16" x14ac:dyDescent="0.35">
      <c r="A1779" s="535" t="str">
        <f t="shared" si="256"/>
        <v/>
      </c>
      <c r="B1779" s="330"/>
      <c r="C1779" s="330"/>
      <c r="D1779" s="355"/>
      <c r="E1779" s="416" t="s">
        <v>23</v>
      </c>
      <c r="F1779" s="378">
        <v>20</v>
      </c>
      <c r="G1779" s="378" t="s">
        <v>73</v>
      </c>
      <c r="H1779" s="356"/>
      <c r="I1779" s="378"/>
      <c r="J1779" s="515"/>
      <c r="K1779" s="684"/>
      <c r="L1779" s="535"/>
      <c r="M1779" s="552" t="str">
        <f t="shared" si="254"/>
        <v/>
      </c>
      <c r="N1779" s="552"/>
      <c r="O1779" s="552" t="str">
        <f t="shared" si="255"/>
        <v/>
      </c>
      <c r="P1779" s="39"/>
    </row>
    <row r="1780" spans="1:16" x14ac:dyDescent="0.35">
      <c r="A1780" s="535" t="str">
        <f t="shared" si="256"/>
        <v/>
      </c>
      <c r="B1780" s="337"/>
      <c r="C1780" s="337"/>
      <c r="D1780" s="326" t="s">
        <v>43</v>
      </c>
      <c r="E1780" s="360" t="s">
        <v>94</v>
      </c>
      <c r="F1780" s="18">
        <v>85</v>
      </c>
      <c r="G1780" s="18" t="s">
        <v>73</v>
      </c>
      <c r="H1780" s="335">
        <f>ROUND(($F$1777)*((($F$1779)*(($F$1780)/($F$1780+$F$1781)))
/((($F$1779)*(($F$1780)/($F$1780+$F$1781)))+
(($F$1779)*(($F$1781)/($F$1780+$F$1781)))+
($F$1778))),2)</f>
        <v>0.2</v>
      </c>
      <c r="I1780" s="18" t="s">
        <v>73</v>
      </c>
      <c r="J1780" s="337"/>
      <c r="K1780" s="680">
        <f t="shared" si="252"/>
        <v>7.8000000000000007</v>
      </c>
      <c r="L1780" s="535"/>
      <c r="M1780" s="552" t="str">
        <f t="shared" si="254"/>
        <v/>
      </c>
      <c r="N1780" s="552"/>
      <c r="O1780" s="552" t="str">
        <f t="shared" si="255"/>
        <v/>
      </c>
      <c r="P1780" s="39"/>
    </row>
    <row r="1781" spans="1:16" x14ac:dyDescent="0.35">
      <c r="A1781" s="535" t="str">
        <f t="shared" si="256"/>
        <v/>
      </c>
      <c r="B1781" s="330"/>
      <c r="C1781" s="330"/>
      <c r="D1781" s="417" t="s">
        <v>42</v>
      </c>
      <c r="E1781" s="366" t="s">
        <v>95</v>
      </c>
      <c r="F1781" s="22">
        <v>15</v>
      </c>
      <c r="G1781" s="22" t="s">
        <v>73</v>
      </c>
      <c r="H1781" s="328">
        <f>ROUND(($F$1777)*((($F$1779)*(($F$1781)/($F$1780+$F$1781)))
/((($F$1779)*(($F$1780)/($F$1780+$F$1781)))+
(($F$1779)*(($F$1781)/($F$1780+$F$1781)))+
($F$1778))),2)</f>
        <v>0.04</v>
      </c>
      <c r="I1781" s="22" t="s">
        <v>73</v>
      </c>
      <c r="J1781" s="330"/>
      <c r="K1781" s="681">
        <f t="shared" si="252"/>
        <v>1.56</v>
      </c>
      <c r="L1781" s="535"/>
      <c r="M1781" s="552" t="str">
        <f t="shared" si="254"/>
        <v/>
      </c>
      <c r="N1781" s="552"/>
      <c r="O1781" s="552" t="str">
        <f t="shared" si="255"/>
        <v/>
      </c>
      <c r="P1781" s="39"/>
    </row>
    <row r="1782" spans="1:16" x14ac:dyDescent="0.35">
      <c r="A1782" s="593" t="str">
        <f>IFERROR(INDEX($Q$17:$Q$41,MATCH(B1782,$R$17:$R$41, 0)), "")</f>
        <v/>
      </c>
      <c r="B1782" s="337"/>
      <c r="C1782" s="337"/>
      <c r="D1782" s="539"/>
      <c r="E1782" s="549" t="s">
        <v>991</v>
      </c>
      <c r="F1782" s="378">
        <v>20</v>
      </c>
      <c r="G1782" s="378" t="s">
        <v>73</v>
      </c>
      <c r="H1782" s="356"/>
      <c r="I1782" s="378"/>
      <c r="J1782" s="515"/>
      <c r="K1782" s="684"/>
      <c r="L1782" s="535"/>
      <c r="M1782" s="552" t="str">
        <f t="shared" si="254"/>
        <v/>
      </c>
      <c r="N1782" s="552"/>
      <c r="O1782" s="552" t="str">
        <f t="shared" si="255"/>
        <v/>
      </c>
      <c r="P1782" s="39"/>
    </row>
    <row r="1783" spans="1:16" x14ac:dyDescent="0.35">
      <c r="A1783" s="535" t="str">
        <f t="shared" si="256"/>
        <v/>
      </c>
      <c r="B1783" s="330"/>
      <c r="C1783" s="330"/>
      <c r="D1783" s="326" t="s">
        <v>377</v>
      </c>
      <c r="E1783" s="475" t="s">
        <v>975</v>
      </c>
      <c r="F1783" s="328">
        <v>1000</v>
      </c>
      <c r="G1783" s="22" t="s">
        <v>73</v>
      </c>
      <c r="H1783" s="328">
        <f>ROUND(($F$1782)*((F1783)/(($F$1785)*(($F$1786)/($F$1786+$F$1787+$F$1788))+
($F$1785)*(($F$1787)/($F$1786+$F$1787+$F$1788))+
($F$1785)*(($F$1788)/($F$1786+$F$1787+$F$1788))+
($F$1783)+($F$1784))),2)</f>
        <v>16.39</v>
      </c>
      <c r="I1783" s="22" t="s">
        <v>73</v>
      </c>
      <c r="J1783" s="330"/>
      <c r="K1783" s="681">
        <f t="shared" si="252"/>
        <v>639.21</v>
      </c>
      <c r="L1783" s="535"/>
      <c r="M1783" s="552" t="str">
        <f t="shared" si="254"/>
        <v/>
      </c>
      <c r="N1783" s="552"/>
      <c r="O1783" s="552" t="str">
        <f t="shared" si="255"/>
        <v/>
      </c>
      <c r="P1783" s="39"/>
    </row>
    <row r="1784" spans="1:16" x14ac:dyDescent="0.35">
      <c r="A1784" s="535" t="str">
        <f t="shared" si="256"/>
        <v/>
      </c>
      <c r="B1784" s="337"/>
      <c r="C1784" s="337"/>
      <c r="D1784" s="326" t="s">
        <v>43</v>
      </c>
      <c r="E1784" s="419" t="s">
        <v>105</v>
      </c>
      <c r="F1784" s="335">
        <v>20</v>
      </c>
      <c r="G1784" s="18" t="s">
        <v>73</v>
      </c>
      <c r="H1784" s="335">
        <f>ROUND(($F$1782)*((F1784)/(($F$1785)*(($F$1786)/($F$1786+$F$1787+$F$1788))+
($F$1785)*(($F$1787)/($F$1786+$F$1787+$F$1788))+
($F$1785)*(($F$1788)/($F$1786+$F$1787+$F$1788))+
($F$1783)+($F$1784))),2)</f>
        <v>0.33</v>
      </c>
      <c r="I1784" s="18" t="s">
        <v>73</v>
      </c>
      <c r="J1784" s="337"/>
      <c r="K1784" s="680">
        <f t="shared" si="252"/>
        <v>12.870000000000001</v>
      </c>
      <c r="L1784" s="535"/>
      <c r="M1784" s="552" t="str">
        <f t="shared" si="254"/>
        <v/>
      </c>
      <c r="N1784" s="552"/>
      <c r="O1784" s="552" t="str">
        <f t="shared" si="255"/>
        <v/>
      </c>
      <c r="P1784" s="39"/>
    </row>
    <row r="1785" spans="1:16" x14ac:dyDescent="0.35">
      <c r="A1785" s="535" t="str">
        <f t="shared" si="256"/>
        <v/>
      </c>
      <c r="B1785" s="330"/>
      <c r="C1785" s="330"/>
      <c r="D1785" s="355"/>
      <c r="E1785" s="556" t="s">
        <v>889</v>
      </c>
      <c r="F1785" s="356">
        <v>200</v>
      </c>
      <c r="G1785" s="378" t="s">
        <v>73</v>
      </c>
      <c r="H1785" s="356"/>
      <c r="I1785" s="378"/>
      <c r="J1785" s="515"/>
      <c r="K1785" s="684"/>
      <c r="L1785" s="535"/>
      <c r="M1785" s="552" t="str">
        <f t="shared" si="254"/>
        <v/>
      </c>
      <c r="N1785" s="552"/>
      <c r="O1785" s="552" t="str">
        <f t="shared" si="255"/>
        <v/>
      </c>
      <c r="P1785" s="39"/>
    </row>
    <row r="1786" spans="1:16" x14ac:dyDescent="0.35">
      <c r="A1786" s="535" t="str">
        <f t="shared" si="256"/>
        <v/>
      </c>
      <c r="B1786" s="337"/>
      <c r="C1786" s="337"/>
      <c r="D1786" s="342"/>
      <c r="E1786" s="660" t="s">
        <v>81</v>
      </c>
      <c r="F1786" s="343">
        <v>200</v>
      </c>
      <c r="G1786" s="404" t="s">
        <v>73</v>
      </c>
      <c r="H1786" s="343">
        <f>ROUND(($F$1782)*(($F$1785)*(($F$1786)/($F$1786+$F$1787+$F$1788))
/(($F$1785)*(($F$1786)/($F$1786+$F$1787+$F$1788))+
($F$1785)*(($F$1787)/($F$1786+$F$1787+$F$1788))+
($F$1785)*(($F$1788)/($F$1786+$F$1787+$F$1788))+
($F$1783)+($F$1784))),2)</f>
        <v>1.37</v>
      </c>
      <c r="I1786" s="404"/>
      <c r="J1786" s="345"/>
      <c r="K1786" s="685"/>
      <c r="L1786" s="535"/>
      <c r="M1786" s="552" t="str">
        <f t="shared" si="254"/>
        <v/>
      </c>
      <c r="N1786" s="552"/>
      <c r="O1786" s="552" t="str">
        <f t="shared" si="255"/>
        <v/>
      </c>
      <c r="P1786" s="39"/>
    </row>
    <row r="1787" spans="1:16" x14ac:dyDescent="0.35">
      <c r="A1787" s="535" t="str">
        <f t="shared" si="256"/>
        <v/>
      </c>
      <c r="B1787" s="330"/>
      <c r="C1787" s="330"/>
      <c r="D1787" s="326" t="s">
        <v>333</v>
      </c>
      <c r="E1787" s="661" t="s">
        <v>334</v>
      </c>
      <c r="F1787" s="328">
        <v>250</v>
      </c>
      <c r="G1787" s="22" t="s">
        <v>73</v>
      </c>
      <c r="H1787" s="328">
        <f>ROUND(($F$1782)*(($F$1785)*(($F$1787)/($F$1786+$F$1787+$F$1788))
/(($F$1785)*(($F$1786)/($F$1786+$F$1787+$F$1788))+
($F$1785)*(($F$1787)/($F$1786+$F$1787+$F$1788))+
($F$1785)*(($F$1788)/($F$1786+$F$1787+$F$1788))+
($F$1783)+($F$1784))),2)</f>
        <v>1.71</v>
      </c>
      <c r="I1787" s="22" t="s">
        <v>73</v>
      </c>
      <c r="J1787" s="330"/>
      <c r="K1787" s="681">
        <f t="shared" si="252"/>
        <v>66.69</v>
      </c>
      <c r="L1787" s="535"/>
      <c r="M1787" s="552" t="str">
        <f t="shared" si="254"/>
        <v/>
      </c>
      <c r="N1787" s="552"/>
      <c r="O1787" s="552" t="str">
        <f t="shared" si="255"/>
        <v/>
      </c>
      <c r="P1787" s="39"/>
    </row>
    <row r="1788" spans="1:16" x14ac:dyDescent="0.35">
      <c r="A1788" s="535" t="str">
        <f t="shared" si="256"/>
        <v/>
      </c>
      <c r="B1788" s="337"/>
      <c r="C1788" s="337"/>
      <c r="D1788" s="326" t="s">
        <v>529</v>
      </c>
      <c r="E1788" s="659" t="s">
        <v>530</v>
      </c>
      <c r="F1788" s="335">
        <v>30</v>
      </c>
      <c r="G1788" s="18" t="s">
        <v>73</v>
      </c>
      <c r="H1788" s="335">
        <f>ROUND(($F$1782)*(($F$1785)*(($F$1788)/($F$1786+$F$1787+$F$1788))
/(($F$1785)*(($F$1786)/($F$1786+$F$1787+$F$1788))+
($F$1785)*(($F$1787)/($F$1786+$F$1787+$F$1788))+
($F$1785)*(($F$1788)/($F$1786+$F$1787+$F$1788))+
($F$1783)+($F$1784))),2)</f>
        <v>0.2</v>
      </c>
      <c r="I1788" s="18" t="s">
        <v>73</v>
      </c>
      <c r="J1788" s="337"/>
      <c r="K1788" s="680">
        <f t="shared" si="252"/>
        <v>7.8000000000000007</v>
      </c>
      <c r="L1788" s="535"/>
      <c r="M1788" s="552" t="str">
        <f t="shared" si="254"/>
        <v/>
      </c>
      <c r="N1788" s="552"/>
      <c r="O1788" s="552" t="str">
        <f t="shared" si="255"/>
        <v/>
      </c>
      <c r="P1788" s="39"/>
    </row>
    <row r="1789" spans="1:16" x14ac:dyDescent="0.35">
      <c r="A1789" s="545" t="str">
        <f t="shared" si="256"/>
        <v/>
      </c>
      <c r="B1789" s="546"/>
      <c r="C1789" s="546"/>
      <c r="D1789" s="545"/>
      <c r="E1789" s="545"/>
      <c r="F1789" s="546"/>
      <c r="G1789" s="546"/>
      <c r="H1789" s="546"/>
      <c r="I1789" s="546"/>
      <c r="J1789" s="546"/>
      <c r="K1789" s="676"/>
      <c r="L1789" s="535"/>
      <c r="M1789" s="552" t="str">
        <f t="shared" si="254"/>
        <v/>
      </c>
      <c r="N1789" s="552"/>
      <c r="O1789" s="552" t="str">
        <f t="shared" si="255"/>
        <v/>
      </c>
      <c r="P1789" s="39"/>
    </row>
    <row r="1790" spans="1:16" x14ac:dyDescent="0.35">
      <c r="A1790" s="565">
        <f>IFERROR(INDEX($Q$17:$Q$201,MATCH(B1790,$R$17:$R$201, 0)), "")</f>
        <v>27</v>
      </c>
      <c r="B1790" s="382" t="s">
        <v>1301</v>
      </c>
      <c r="C1790" s="325" t="s">
        <v>994</v>
      </c>
      <c r="D1790" s="326" t="s">
        <v>50</v>
      </c>
      <c r="E1790" s="334" t="s">
        <v>992</v>
      </c>
      <c r="F1790" s="18">
        <v>70</v>
      </c>
      <c r="G1790" s="18" t="s">
        <v>73</v>
      </c>
      <c r="H1790" s="18">
        <v>70</v>
      </c>
      <c r="I1790" s="18" t="s">
        <v>73</v>
      </c>
      <c r="J1790" s="337"/>
      <c r="K1790" s="680">
        <f>(A1790*H1790)</f>
        <v>1890</v>
      </c>
      <c r="L1790" s="535"/>
      <c r="M1790" s="552" t="str">
        <f t="shared" si="254"/>
        <v/>
      </c>
      <c r="N1790" s="552"/>
      <c r="O1790" s="552" t="str">
        <f t="shared" si="255"/>
        <v/>
      </c>
      <c r="P1790" s="39"/>
    </row>
    <row r="1791" spans="1:16" x14ac:dyDescent="0.35">
      <c r="A1791" s="535" t="str">
        <f t="shared" si="256"/>
        <v/>
      </c>
      <c r="B1791" s="330"/>
      <c r="C1791" s="330"/>
      <c r="D1791" s="326" t="s">
        <v>369</v>
      </c>
      <c r="E1791" s="327" t="s">
        <v>995</v>
      </c>
      <c r="F1791" s="22">
        <v>40</v>
      </c>
      <c r="G1791" s="22" t="s">
        <v>73</v>
      </c>
      <c r="H1791" s="22">
        <v>40</v>
      </c>
      <c r="I1791" s="22" t="s">
        <v>73</v>
      </c>
      <c r="J1791" s="330"/>
      <c r="K1791" s="681">
        <f>(A1790*H1791)</f>
        <v>1080</v>
      </c>
      <c r="L1791" s="535"/>
      <c r="M1791" s="552" t="str">
        <f t="shared" si="254"/>
        <v/>
      </c>
      <c r="N1791" s="552"/>
      <c r="O1791" s="552" t="str">
        <f t="shared" si="255"/>
        <v/>
      </c>
      <c r="P1791" s="39"/>
    </row>
    <row r="1792" spans="1:16" x14ac:dyDescent="0.35">
      <c r="A1792" s="535" t="str">
        <f t="shared" si="256"/>
        <v/>
      </c>
      <c r="B1792" s="337"/>
      <c r="C1792" s="337"/>
      <c r="D1792" s="326" t="s">
        <v>489</v>
      </c>
      <c r="E1792" s="334" t="s">
        <v>996</v>
      </c>
      <c r="F1792" s="18">
        <v>100</v>
      </c>
      <c r="G1792" s="18" t="s">
        <v>73</v>
      </c>
      <c r="H1792" s="18">
        <v>100</v>
      </c>
      <c r="I1792" s="18" t="s">
        <v>73</v>
      </c>
      <c r="J1792" s="337"/>
      <c r="K1792" s="680">
        <f>$A$1790*H1792</f>
        <v>2700</v>
      </c>
      <c r="L1792" s="535"/>
      <c r="M1792" s="552" t="str">
        <f t="shared" si="254"/>
        <v/>
      </c>
      <c r="N1792" s="552"/>
      <c r="O1792" s="552" t="str">
        <f t="shared" si="255"/>
        <v/>
      </c>
      <c r="P1792" s="39"/>
    </row>
    <row r="1793" spans="1:16" x14ac:dyDescent="0.35">
      <c r="A1793" s="593" t="str">
        <f>IFERROR(INDEX($Q$17:$Q$41,MATCH(B1793,$R$17:$R$41, 0)), "")</f>
        <v/>
      </c>
      <c r="B1793" s="330"/>
      <c r="C1793" s="330"/>
      <c r="D1793" s="326" t="s">
        <v>63</v>
      </c>
      <c r="E1793" s="327" t="s">
        <v>978</v>
      </c>
      <c r="F1793" s="22">
        <v>100</v>
      </c>
      <c r="G1793" s="22" t="s">
        <v>73</v>
      </c>
      <c r="H1793" s="22">
        <v>100</v>
      </c>
      <c r="I1793" s="22" t="s">
        <v>73</v>
      </c>
      <c r="J1793" s="330"/>
      <c r="K1793" s="681">
        <f t="shared" ref="K1793:K1834" si="257">$A$1790*H1793</f>
        <v>2700</v>
      </c>
      <c r="L1793" s="535"/>
      <c r="M1793" s="552" t="str">
        <f t="shared" si="254"/>
        <v/>
      </c>
      <c r="N1793" s="552"/>
      <c r="O1793" s="552" t="str">
        <f t="shared" si="255"/>
        <v/>
      </c>
      <c r="P1793" s="39"/>
    </row>
    <row r="1794" spans="1:16" x14ac:dyDescent="0.35">
      <c r="A1794" s="535" t="str">
        <f t="shared" si="256"/>
        <v/>
      </c>
      <c r="B1794" s="337"/>
      <c r="C1794" s="337"/>
      <c r="D1794" s="326" t="s">
        <v>676</v>
      </c>
      <c r="E1794" s="334" t="s">
        <v>677</v>
      </c>
      <c r="F1794" s="18">
        <v>15</v>
      </c>
      <c r="G1794" s="18" t="s">
        <v>73</v>
      </c>
      <c r="H1794" s="18">
        <v>15</v>
      </c>
      <c r="I1794" s="18" t="s">
        <v>73</v>
      </c>
      <c r="J1794" s="337"/>
      <c r="K1794" s="680">
        <f t="shared" si="257"/>
        <v>405</v>
      </c>
      <c r="L1794" s="535"/>
      <c r="M1794" s="552" t="str">
        <f t="shared" si="254"/>
        <v/>
      </c>
      <c r="N1794" s="552"/>
      <c r="O1794" s="552" t="str">
        <f t="shared" si="255"/>
        <v/>
      </c>
      <c r="P1794" s="39"/>
    </row>
    <row r="1795" spans="1:16" x14ac:dyDescent="0.35">
      <c r="A1795" s="535" t="str">
        <f t="shared" si="256"/>
        <v/>
      </c>
      <c r="B1795" s="330"/>
      <c r="C1795" s="330"/>
      <c r="D1795" s="326" t="s">
        <v>445</v>
      </c>
      <c r="E1795" s="327" t="s">
        <v>446</v>
      </c>
      <c r="F1795" s="22">
        <v>8</v>
      </c>
      <c r="G1795" s="22" t="s">
        <v>74</v>
      </c>
      <c r="H1795" s="22">
        <v>8</v>
      </c>
      <c r="I1795" s="22" t="s">
        <v>74</v>
      </c>
      <c r="J1795" s="330"/>
      <c r="K1795" s="681">
        <f t="shared" si="257"/>
        <v>216</v>
      </c>
      <c r="L1795" s="535"/>
      <c r="M1795" s="552" t="str">
        <f t="shared" si="254"/>
        <v/>
      </c>
      <c r="N1795" s="552"/>
      <c r="O1795" s="552" t="str">
        <f t="shared" si="255"/>
        <v/>
      </c>
      <c r="P1795" s="39"/>
    </row>
    <row r="1796" spans="1:16" x14ac:dyDescent="0.35">
      <c r="A1796" s="535" t="str">
        <f t="shared" si="256"/>
        <v/>
      </c>
      <c r="B1796" s="337"/>
      <c r="C1796" s="337"/>
      <c r="D1796" s="326" t="s">
        <v>48</v>
      </c>
      <c r="E1796" s="334" t="s">
        <v>809</v>
      </c>
      <c r="F1796" s="18">
        <v>20</v>
      </c>
      <c r="G1796" s="18" t="s">
        <v>73</v>
      </c>
      <c r="H1796" s="18">
        <v>20</v>
      </c>
      <c r="I1796" s="18" t="s">
        <v>73</v>
      </c>
      <c r="J1796" s="337"/>
      <c r="K1796" s="680">
        <f t="shared" si="257"/>
        <v>540</v>
      </c>
      <c r="L1796" s="535"/>
      <c r="M1796" s="552" t="str">
        <f t="shared" si="254"/>
        <v/>
      </c>
      <c r="N1796" s="552"/>
      <c r="O1796" s="552" t="str">
        <f t="shared" si="255"/>
        <v/>
      </c>
      <c r="P1796" s="39"/>
    </row>
    <row r="1797" spans="1:16" x14ac:dyDescent="0.35">
      <c r="A1797" s="535" t="str">
        <f t="shared" si="256"/>
        <v/>
      </c>
      <c r="B1797" s="330"/>
      <c r="C1797" s="330"/>
      <c r="D1797" s="355" t="s">
        <v>997</v>
      </c>
      <c r="E1797" s="355" t="s">
        <v>985</v>
      </c>
      <c r="F1797" s="378">
        <v>300</v>
      </c>
      <c r="G1797" s="378" t="s">
        <v>73</v>
      </c>
      <c r="H1797" s="356">
        <v>300</v>
      </c>
      <c r="I1797" s="378" t="s">
        <v>73</v>
      </c>
      <c r="J1797" s="515"/>
      <c r="K1797" s="684">
        <f t="shared" si="257"/>
        <v>8100</v>
      </c>
      <c r="L1797" s="535"/>
      <c r="M1797" s="552" t="str">
        <f t="shared" si="254"/>
        <v/>
      </c>
      <c r="N1797" s="552"/>
      <c r="O1797" s="552" t="str">
        <f t="shared" si="255"/>
        <v/>
      </c>
      <c r="P1797" s="39"/>
    </row>
    <row r="1798" spans="1:16" x14ac:dyDescent="0.35">
      <c r="A1798" s="535" t="str">
        <f t="shared" si="256"/>
        <v/>
      </c>
      <c r="B1798" s="337"/>
      <c r="C1798" s="337"/>
      <c r="D1798" s="326"/>
      <c r="E1798" s="360" t="s">
        <v>985</v>
      </c>
      <c r="F1798" s="18">
        <v>1000</v>
      </c>
      <c r="G1798" s="18" t="s">
        <v>73</v>
      </c>
      <c r="H1798" s="335">
        <f>ROUND((($F$1797)*((F1798)/($F$1798+$F$1799+$F$1800))),2)</f>
        <v>287.08</v>
      </c>
      <c r="I1798" s="18"/>
      <c r="J1798" s="337"/>
      <c r="K1798" s="680"/>
      <c r="L1798" s="535"/>
      <c r="M1798" s="552" t="str">
        <f t="shared" si="254"/>
        <v/>
      </c>
      <c r="N1798" s="552"/>
      <c r="O1798" s="552" t="str">
        <f t="shared" si="255"/>
        <v/>
      </c>
      <c r="P1798" s="39"/>
    </row>
    <row r="1799" spans="1:16" x14ac:dyDescent="0.35">
      <c r="A1799" s="535" t="str">
        <f t="shared" si="256"/>
        <v/>
      </c>
      <c r="B1799" s="330"/>
      <c r="C1799" s="330"/>
      <c r="D1799" s="326" t="s">
        <v>513</v>
      </c>
      <c r="E1799" s="366" t="s">
        <v>986</v>
      </c>
      <c r="F1799" s="22">
        <v>35</v>
      </c>
      <c r="G1799" s="22" t="s">
        <v>73</v>
      </c>
      <c r="H1799" s="328">
        <f t="shared" ref="H1799:H1800" si="258">ROUND((($F$1797)*((F1799)/($F$1798+$F$1799+$F$1800))),2)</f>
        <v>10.050000000000001</v>
      </c>
      <c r="I1799" s="22" t="s">
        <v>73</v>
      </c>
      <c r="J1799" s="330"/>
      <c r="K1799" s="681">
        <f t="shared" si="257"/>
        <v>271.35000000000002</v>
      </c>
      <c r="L1799" s="535"/>
      <c r="M1799" s="552" t="str">
        <f t="shared" si="254"/>
        <v/>
      </c>
      <c r="N1799" s="552"/>
      <c r="O1799" s="552" t="str">
        <f t="shared" si="255"/>
        <v/>
      </c>
      <c r="P1799" s="39"/>
    </row>
    <row r="1800" spans="1:16" x14ac:dyDescent="0.35">
      <c r="A1800" s="535" t="str">
        <f t="shared" si="256"/>
        <v/>
      </c>
      <c r="B1800" s="337"/>
      <c r="C1800" s="337"/>
      <c r="D1800" s="326" t="s">
        <v>43</v>
      </c>
      <c r="E1800" s="360" t="s">
        <v>768</v>
      </c>
      <c r="F1800" s="18">
        <v>10</v>
      </c>
      <c r="G1800" s="18" t="s">
        <v>73</v>
      </c>
      <c r="H1800" s="335">
        <f t="shared" si="258"/>
        <v>2.87</v>
      </c>
      <c r="I1800" s="18" t="s">
        <v>73</v>
      </c>
      <c r="J1800" s="337"/>
      <c r="K1800" s="680">
        <f t="shared" si="257"/>
        <v>77.490000000000009</v>
      </c>
      <c r="L1800" s="535"/>
      <c r="M1800" s="552" t="str">
        <f t="shared" si="254"/>
        <v/>
      </c>
      <c r="N1800" s="552"/>
      <c r="O1800" s="552" t="str">
        <f t="shared" si="255"/>
        <v/>
      </c>
      <c r="P1800" s="39"/>
    </row>
    <row r="1801" spans="1:16" x14ac:dyDescent="0.35">
      <c r="A1801" s="535" t="str">
        <f t="shared" si="256"/>
        <v/>
      </c>
      <c r="B1801" s="330"/>
      <c r="C1801" s="330"/>
      <c r="D1801" s="342"/>
      <c r="E1801" s="362" t="s">
        <v>81</v>
      </c>
      <c r="F1801" s="404">
        <v>100</v>
      </c>
      <c r="G1801" s="404" t="s">
        <v>73</v>
      </c>
      <c r="H1801" s="345"/>
      <c r="I1801" s="404"/>
      <c r="J1801" s="345"/>
      <c r="K1801" s="685"/>
      <c r="L1801" s="535"/>
      <c r="M1801" s="552" t="str">
        <f t="shared" si="254"/>
        <v/>
      </c>
      <c r="N1801" s="552"/>
      <c r="O1801" s="552" t="str">
        <f t="shared" si="255"/>
        <v/>
      </c>
      <c r="P1801" s="39"/>
    </row>
    <row r="1802" spans="1:16" x14ac:dyDescent="0.35">
      <c r="A1802" s="535" t="str">
        <f t="shared" si="256"/>
        <v/>
      </c>
      <c r="B1802" s="337"/>
      <c r="C1802" s="337"/>
      <c r="D1802" s="355"/>
      <c r="E1802" s="355" t="s">
        <v>987</v>
      </c>
      <c r="F1802" s="378">
        <v>150</v>
      </c>
      <c r="G1802" s="378" t="s">
        <v>73</v>
      </c>
      <c r="H1802" s="515"/>
      <c r="I1802" s="378"/>
      <c r="J1802" s="515"/>
      <c r="K1802" s="684"/>
      <c r="L1802" s="535"/>
      <c r="M1802" s="552" t="str">
        <f t="shared" si="254"/>
        <v/>
      </c>
      <c r="N1802" s="552"/>
      <c r="O1802" s="552" t="str">
        <f t="shared" si="255"/>
        <v/>
      </c>
      <c r="P1802" s="39"/>
    </row>
    <row r="1803" spans="1:16" x14ac:dyDescent="0.35">
      <c r="A1803" s="535" t="str">
        <f t="shared" si="256"/>
        <v/>
      </c>
      <c r="B1803" s="330"/>
      <c r="C1803" s="330"/>
      <c r="D1803" s="326" t="s">
        <v>125</v>
      </c>
      <c r="E1803" s="380" t="s">
        <v>126</v>
      </c>
      <c r="F1803" s="22">
        <v>425</v>
      </c>
      <c r="G1803" s="22" t="s">
        <v>73</v>
      </c>
      <c r="H1803" s="328">
        <f>ROUND((($F$1802)*(
(F1803)
/(($F$1803)+($F$1804)+($F$1805)+($F$1806)+($F$1807)+($F$1808)+
(($F$1809)*(($F$1810)/($F$1810+$F$1811+$F$1812+$F$1813+$F$1814)))+
(($F$1809)*(($F$1811)/($F$1810+$F$1811+$F$1812+$F$1813+$F$1814)))+
(($F$1809)*(($F$1812)/($F$1810+$F$1811+$F$1812+$F$1813+$F$1814)))+
(($F$1809)*(($F$1813)/($F$1810+$F$1811+$F$1812+$F$1813+$F$1814)))+
(($F$1809)*(($F$1814)/($F$1810+$F$1811+$F$1812+$F$1813+$F$1814)))+
(($F$1815)*(($F$1816)/((($F$1817)*(($F$1818)/($F$1818+$F$1819+$F$1820+$F$1821+$F$1822)))+
(($F$1817)*(($F$1819)/($F$1818+$F$1819+$F$1820+$F$1821+$F$1822)))+
(($F$1817)*(($F$1820)/($F$1818+$F$1819+$F$1820+$F$1821+$F$1822)))+
(($F$1817)*(($F$1821)/($F$1818+$F$1819+$F$1820+$F$1821+$F$1822)))+
(($F$1817)*(($F$1822)/($F$1818+$F$1819+$F$1820+$F$1821+$F$1822)))+
($F$1816))))+
(($F$1815)*((($F$1817)*(($F$1818)/($F$1818+$F$1819+$F$1820+$F$1821+$F$1822)))
/((($F$1817)*(($F$1818)/($F$1818+$F$1819+$F$1820+$F$1821+$F$1822)))+
(($F$1817)*(($F$1819)/($F$1818+$F$1819+$F$1820+$F$1821+$F$1822)))+
(($F$1817)*(($F$1820)/($F$1818+$F$1819+$F$1820+$F$1821+$F$1822)))+
(($F$1817)*(($F$1821)/($F$1818+$F$1819+$F$1820+$F$1821+$F$1822)))+
(($F$1817)*(($F$1822)/($F$1818+$F$1819+$F$1820+$F$1821+$F$1822)))+
($F$1816))))+
(($F$1815)*((($F$1817)*(($F$1819)/($F$1818+$F$1819+$F$1820+$F$1821+$F$1822)))
/((($F$1817)*(($F$1818)/($F$1818+$F$1819+$F$1820+$F$1821+$F$1822)))+
(($F$1817)*(($F$1819)/($F$1818+$F$1819+$F$1820+$F$1821+$F$1822)))+
(($F$1817)*(($F$1820)/($F$1818+$F$1819+$F$1820+$F$1821+$F$1822)))+
(($F$1817)*(($F$1821)/($F$1818+$F$1819+$F$1820+$F$1821+$F$1822)))+
(($F$1817)*(($F$1822)/($F$1818+$F$1819+$F$1820+$F$1821+$F$1822)))+
($F$1816))))+
(($F$1815)*((($F$1817)*(($F$1820)/($F$1818+$F$1819+$F$1820+$F$1821+$F$1822)))
/((($F$1817)*(($F$1818)/($F$1818+$F$1819+$F$1820+$F$1821+$F$1822)))+
(($F$1817)*(($F$1819)/($F$1818+$F$1819+$F$1820+$F$1821+$F$1822)))+
(($F$1817)*(($F$1820)/($F$1818+$F$1819+$F$1820+$F$1821+$F$1822)))+
(($F$1817)*(($F$1821)/($F$1818+$F$1819+$F$1820+$F$1821+$F$1822)))+
(($F$1817)*(($F$1822)/($F$1818+$F$1819+$F$1820+$F$1821+$F$1822)))+
($F$1816))))+
(($F$1815)*((($F$1817)*(($F$1821)/($F$1818+$F$1819+$F$1820+$F$1821+$F$1822)))
/((($F$1817)*(($F$1818)/($F$1818+$F$1819+$F$1820+$F$1821+$F$1822)))+
(($F$1817)*(($F$1819)/($F$1818+$F$1819+$F$1820+$F$1821+$F$1822)))+
(($F$1817)*(($F$1820)/($F$1818+$F$1819+$F$1820+$F$1821+$F$1822)))+
(($F$1817)*(($F$1821)/($F$1818+$F$1819+$F$1820+$F$1821+$F$1822)))+
(($F$1817)*(($F$1822)/($F$1818+$F$1819+$F$1820+$F$1821+$F$1822)))+
($F$1816))))+
(($F$1815)*((($F$1817)*(($F$1822)/($F$1818+$F$1819+$F$1820+$F$1821+$F$1822)))
/((($F$1817)*(($F$1818)/($F$1818+$F$1819+$F$1820+$F$1821+$F$1822)))+
(($F$1817)*(($F$1819)/($F$1818+$F$1819+$F$1820+$F$1821+$F$1822)))+
(($F$1817)*(($F$1820)/($F$1818+$F$1819+$F$1820+$F$1821+$F$1822)))+
(($F$1817)*(($F$1821)/($F$1818+$F$1819+$F$1820+$F$1821+$F$1822)))+
(($F$1817)*(($F$1822)/($F$1818+$F$1819+$F$1820+$F$1821+$F$1822)))+
($F$1816))))))),2)</f>
        <v>64.98</v>
      </c>
      <c r="I1803" s="22" t="s">
        <v>73</v>
      </c>
      <c r="J1803" s="330"/>
      <c r="K1803" s="681">
        <f t="shared" si="257"/>
        <v>1754.46</v>
      </c>
      <c r="L1803" s="535"/>
      <c r="M1803" s="552" t="str">
        <f t="shared" si="254"/>
        <v/>
      </c>
      <c r="N1803" s="552"/>
      <c r="O1803" s="552" t="str">
        <f t="shared" si="255"/>
        <v/>
      </c>
      <c r="P1803" s="39"/>
    </row>
    <row r="1804" spans="1:16" x14ac:dyDescent="0.35">
      <c r="A1804" s="535" t="str">
        <f t="shared" si="256"/>
        <v/>
      </c>
      <c r="B1804" s="337"/>
      <c r="C1804" s="337"/>
      <c r="D1804" s="326" t="s">
        <v>163</v>
      </c>
      <c r="E1804" s="379" t="s">
        <v>164</v>
      </c>
      <c r="F1804" s="18">
        <v>400</v>
      </c>
      <c r="G1804" s="18" t="s">
        <v>73</v>
      </c>
      <c r="H1804" s="335">
        <f t="shared" ref="H1804:H1808" si="259">ROUND((($F$1802)*(
(F1804)
/(($F$1803)+($F$1804)+($F$1805)+($F$1806)+($F$1807)+($F$1808)+
(($F$1809)*(($F$1810)/($F$1810+$F$1811+$F$1812+$F$1813+$F$1814)))+
(($F$1809)*(($F$1811)/($F$1810+$F$1811+$F$1812+$F$1813+$F$1814)))+
(($F$1809)*(($F$1812)/($F$1810+$F$1811+$F$1812+$F$1813+$F$1814)))+
(($F$1809)*(($F$1813)/($F$1810+$F$1811+$F$1812+$F$1813+$F$1814)))+
(($F$1809)*(($F$1814)/($F$1810+$F$1811+$F$1812+$F$1813+$F$1814)))+
(($F$1815)*(($F$1816)/((($F$1817)*(($F$1818)/($F$1818+$F$1819+$F$1820+$F$1821+$F$1822)))+
(($F$1817)*(($F$1819)/($F$1818+$F$1819+$F$1820+$F$1821+$F$1822)))+
(($F$1817)*(($F$1820)/($F$1818+$F$1819+$F$1820+$F$1821+$F$1822)))+
(($F$1817)*(($F$1821)/($F$1818+$F$1819+$F$1820+$F$1821+$F$1822)))+
(($F$1817)*(($F$1822)/($F$1818+$F$1819+$F$1820+$F$1821+$F$1822)))+
($F$1816))))+
(($F$1815)*((($F$1817)*(($F$1818)/($F$1818+$F$1819+$F$1820+$F$1821+$F$1822)))
/((($F$1817)*(($F$1818)/($F$1818+$F$1819+$F$1820+$F$1821+$F$1822)))+
(($F$1817)*(($F$1819)/($F$1818+$F$1819+$F$1820+$F$1821+$F$1822)))+
(($F$1817)*(($F$1820)/($F$1818+$F$1819+$F$1820+$F$1821+$F$1822)))+
(($F$1817)*(($F$1821)/($F$1818+$F$1819+$F$1820+$F$1821+$F$1822)))+
(($F$1817)*(($F$1822)/($F$1818+$F$1819+$F$1820+$F$1821+$F$1822)))+
($F$1816))))+
(($F$1815)*((($F$1817)*(($F$1819)/($F$1818+$F$1819+$F$1820+$F$1821+$F$1822)))
/((($F$1817)*(($F$1818)/($F$1818+$F$1819+$F$1820+$F$1821+$F$1822)))+
(($F$1817)*(($F$1819)/($F$1818+$F$1819+$F$1820+$F$1821+$F$1822)))+
(($F$1817)*(($F$1820)/($F$1818+$F$1819+$F$1820+$F$1821+$F$1822)))+
(($F$1817)*(($F$1821)/($F$1818+$F$1819+$F$1820+$F$1821+$F$1822)))+
(($F$1817)*(($F$1822)/($F$1818+$F$1819+$F$1820+$F$1821+$F$1822)))+
($F$1816))))+
(($F$1815)*((($F$1817)*(($F$1820)/($F$1818+$F$1819+$F$1820+$F$1821+$F$1822)))
/((($F$1817)*(($F$1818)/($F$1818+$F$1819+$F$1820+$F$1821+$F$1822)))+
(($F$1817)*(($F$1819)/($F$1818+$F$1819+$F$1820+$F$1821+$F$1822)))+
(($F$1817)*(($F$1820)/($F$1818+$F$1819+$F$1820+$F$1821+$F$1822)))+
(($F$1817)*(($F$1821)/($F$1818+$F$1819+$F$1820+$F$1821+$F$1822)))+
(($F$1817)*(($F$1822)/($F$1818+$F$1819+$F$1820+$F$1821+$F$1822)))+
($F$1816))))+
(($F$1815)*((($F$1817)*(($F$1821)/($F$1818+$F$1819+$F$1820+$F$1821+$F$1822)))
/((($F$1817)*(($F$1818)/($F$1818+$F$1819+$F$1820+$F$1821+$F$1822)))+
(($F$1817)*(($F$1819)/($F$1818+$F$1819+$F$1820+$F$1821+$F$1822)))+
(($F$1817)*(($F$1820)/($F$1818+$F$1819+$F$1820+$F$1821+$F$1822)))+
(($F$1817)*(($F$1821)/($F$1818+$F$1819+$F$1820+$F$1821+$F$1822)))+
(($F$1817)*(($F$1822)/($F$1818+$F$1819+$F$1820+$F$1821+$F$1822)))+
($F$1816))))+
(($F$1815)*((($F$1817)*(($F$1822)/($F$1818+$F$1819+$F$1820+$F$1821+$F$1822)))
/((($F$1817)*(($F$1818)/($F$1818+$F$1819+$F$1820+$F$1821+$F$1822)))+
(($F$1817)*(($F$1819)/($F$1818+$F$1819+$F$1820+$F$1821+$F$1822)))+
(($F$1817)*(($F$1820)/($F$1818+$F$1819+$F$1820+$F$1821+$F$1822)))+
(($F$1817)*(($F$1821)/($F$1818+$F$1819+$F$1820+$F$1821+$F$1822)))+
(($F$1817)*(($F$1822)/($F$1818+$F$1819+$F$1820+$F$1821+$F$1822)))+
($F$1816))))))),2)</f>
        <v>61.16</v>
      </c>
      <c r="I1804" s="18" t="s">
        <v>73</v>
      </c>
      <c r="J1804" s="337"/>
      <c r="K1804" s="680">
        <f t="shared" si="257"/>
        <v>1651.32</v>
      </c>
      <c r="L1804" s="535"/>
      <c r="M1804" s="552" t="str">
        <f t="shared" si="254"/>
        <v/>
      </c>
      <c r="N1804" s="552"/>
      <c r="O1804" s="552" t="str">
        <f t="shared" si="255"/>
        <v/>
      </c>
      <c r="P1804" s="39"/>
    </row>
    <row r="1805" spans="1:16" x14ac:dyDescent="0.35">
      <c r="A1805" s="535" t="str">
        <f t="shared" si="256"/>
        <v/>
      </c>
      <c r="B1805" s="330"/>
      <c r="C1805" s="330"/>
      <c r="D1805" s="326" t="s">
        <v>46</v>
      </c>
      <c r="E1805" s="380" t="s">
        <v>309</v>
      </c>
      <c r="F1805" s="22">
        <v>25</v>
      </c>
      <c r="G1805" s="22" t="s">
        <v>73</v>
      </c>
      <c r="H1805" s="328">
        <f t="shared" si="259"/>
        <v>3.82</v>
      </c>
      <c r="I1805" s="22" t="s">
        <v>73</v>
      </c>
      <c r="J1805" s="330"/>
      <c r="K1805" s="681">
        <f t="shared" si="257"/>
        <v>103.14</v>
      </c>
      <c r="L1805" s="535"/>
      <c r="M1805" s="552" t="str">
        <f t="shared" si="254"/>
        <v/>
      </c>
      <c r="N1805" s="552"/>
      <c r="O1805" s="552" t="str">
        <f t="shared" si="255"/>
        <v/>
      </c>
      <c r="P1805" s="39"/>
    </row>
    <row r="1806" spans="1:16" x14ac:dyDescent="0.35">
      <c r="A1806" s="535" t="str">
        <f t="shared" si="256"/>
        <v/>
      </c>
      <c r="B1806" s="337"/>
      <c r="C1806" s="337"/>
      <c r="D1806" s="326" t="s">
        <v>307</v>
      </c>
      <c r="E1806" s="379" t="s">
        <v>308</v>
      </c>
      <c r="F1806" s="18">
        <v>50</v>
      </c>
      <c r="G1806" s="18" t="s">
        <v>73</v>
      </c>
      <c r="H1806" s="335">
        <f t="shared" si="259"/>
        <v>7.65</v>
      </c>
      <c r="I1806" s="18" t="s">
        <v>73</v>
      </c>
      <c r="J1806" s="337"/>
      <c r="K1806" s="680">
        <f t="shared" si="257"/>
        <v>206.55</v>
      </c>
      <c r="L1806" s="535"/>
      <c r="M1806" s="552" t="str">
        <f t="shared" si="254"/>
        <v/>
      </c>
      <c r="N1806" s="552"/>
      <c r="O1806" s="552" t="str">
        <f t="shared" si="255"/>
        <v/>
      </c>
      <c r="P1806" s="39"/>
    </row>
    <row r="1807" spans="1:16" x14ac:dyDescent="0.35">
      <c r="A1807" s="535" t="str">
        <f t="shared" si="256"/>
        <v/>
      </c>
      <c r="B1807" s="330"/>
      <c r="C1807" s="330"/>
      <c r="D1807" s="326" t="s">
        <v>45</v>
      </c>
      <c r="E1807" s="380" t="s">
        <v>101</v>
      </c>
      <c r="F1807" s="22">
        <v>10</v>
      </c>
      <c r="G1807" s="22" t="s">
        <v>73</v>
      </c>
      <c r="H1807" s="328">
        <f t="shared" si="259"/>
        <v>1.53</v>
      </c>
      <c r="I1807" s="22" t="s">
        <v>73</v>
      </c>
      <c r="J1807" s="330"/>
      <c r="K1807" s="681">
        <f t="shared" si="257"/>
        <v>41.31</v>
      </c>
      <c r="L1807" s="535"/>
      <c r="M1807" s="552" t="str">
        <f t="shared" si="254"/>
        <v/>
      </c>
      <c r="N1807" s="552"/>
      <c r="O1807" s="552" t="str">
        <f t="shared" si="255"/>
        <v/>
      </c>
      <c r="P1807" s="39"/>
    </row>
    <row r="1808" spans="1:16" x14ac:dyDescent="0.35">
      <c r="A1808" s="535" t="str">
        <f t="shared" si="256"/>
        <v/>
      </c>
      <c r="B1808" s="337"/>
      <c r="C1808" s="337"/>
      <c r="D1808" s="326" t="s">
        <v>509</v>
      </c>
      <c r="E1808" s="379" t="s">
        <v>988</v>
      </c>
      <c r="F1808" s="18">
        <v>15</v>
      </c>
      <c r="G1808" s="18" t="s">
        <v>73</v>
      </c>
      <c r="H1808" s="335">
        <f t="shared" si="259"/>
        <v>2.29</v>
      </c>
      <c r="I1808" s="18" t="s">
        <v>73</v>
      </c>
      <c r="J1808" s="337"/>
      <c r="K1808" s="680">
        <f t="shared" si="257"/>
        <v>61.83</v>
      </c>
      <c r="L1808" s="535"/>
      <c r="M1808" s="552" t="str">
        <f t="shared" si="254"/>
        <v/>
      </c>
      <c r="N1808" s="552"/>
      <c r="O1808" s="552" t="str">
        <f t="shared" si="255"/>
        <v/>
      </c>
      <c r="P1808" s="39"/>
    </row>
    <row r="1809" spans="1:16" x14ac:dyDescent="0.35">
      <c r="A1809" s="535" t="str">
        <f t="shared" si="256"/>
        <v/>
      </c>
      <c r="B1809" s="330"/>
      <c r="C1809" s="330"/>
      <c r="D1809" s="355"/>
      <c r="E1809" s="540" t="s">
        <v>80</v>
      </c>
      <c r="F1809" s="378">
        <v>25</v>
      </c>
      <c r="G1809" s="378" t="s">
        <v>73</v>
      </c>
      <c r="H1809" s="356"/>
      <c r="I1809" s="378"/>
      <c r="J1809" s="515"/>
      <c r="K1809" s="684">
        <f t="shared" si="257"/>
        <v>0</v>
      </c>
      <c r="L1809" s="535"/>
      <c r="M1809" s="552" t="str">
        <f t="shared" si="254"/>
        <v/>
      </c>
      <c r="N1809" s="552"/>
      <c r="O1809" s="552" t="str">
        <f t="shared" si="255"/>
        <v/>
      </c>
      <c r="P1809" s="39"/>
    </row>
    <row r="1810" spans="1:16" x14ac:dyDescent="0.35">
      <c r="A1810" s="535" t="str">
        <f t="shared" si="256"/>
        <v/>
      </c>
      <c r="B1810" s="337"/>
      <c r="C1810" s="337"/>
      <c r="D1810" s="326" t="s">
        <v>47</v>
      </c>
      <c r="E1810" s="474" t="s">
        <v>93</v>
      </c>
      <c r="F1810" s="18">
        <v>600</v>
      </c>
      <c r="G1810" s="18" t="s">
        <v>73</v>
      </c>
      <c r="H1810" s="335">
        <f>ROUND((($F$1802)*(
(($F$1809)*(($F$1810)/($F$1810+$F$1811+$F$1812+$F$1813+$F$1814)))
/(($F$1803)+($F$1804)+($F$1805)+($F$1806)+($F$1807)+($F$1808)+
(($F$1809)*(($F$1810)/($F$1810+$F$1811+$F$1812+$F$1813+$F$1814)))+
(($F$1809)*(($F$1811)/($F$1810+$F$1811+$F$1812+$F$1813+$F$1814)))+
(($F$1809)*(($F$1812)/($F$1810+$F$1811+$F$1812+$F$1813+$F$1814)))+
(($F$1809)*(($F$1813)/($F$1810+$F$1811+$F$1812+$F$1813+$F$1814)))+
(($F$1809)*(($F$1814)/($F$1810+$F$1811+$F$1812+$F$1813+$F$1814)))+
(($F$1815)*(($F$1816)/((($F$1817)*(($F$1818)/($F$1818+$F$1819+$F$1820+$F$1821+$F$1822)))+
(($F$1817)*(($F$1819)/($F$1818+$F$1819+$F$1820+$F$1821+$F$1822)))+
(($F$1817)*(($F$1820)/($F$1818+$F$1819+$F$1820+$F$1821+$F$1822)))+
(($F$1817)*(($F$1821)/($F$1818+$F$1819+$F$1820+$F$1821+$F$1822)))+
(($F$1817)*(($F$1822)/($F$1818+$F$1819+$F$1820+$F$1821+$F$1822)))+
($F$1816))))+
(($F$1815)*((($F$1817)*(($F$1818)/($F$1818+$F$1819+$F$1820+$F$1821+$F$1822)))
/((($F$1817)*(($F$1818)/($F$1818+$F$1819+$F$1820+$F$1821+$F$1822)))+
(($F$1817)*(($F$1819)/($F$1818+$F$1819+$F$1820+$F$1821+$F$1822)))+
(($F$1817)*(($F$1820)/($F$1818+$F$1819+$F$1820+$F$1821+$F$1822)))+
(($F$1817)*(($F$1821)/($F$1818+$F$1819+$F$1820+$F$1821+$F$1822)))+
(($F$1817)*(($F$1822)/($F$1818+$F$1819+$F$1820+$F$1821+$F$1822)))+
($F$1816))))+
(($F$1815)*((($F$1817)*(($F$1819)/($F$1818+$F$1819+$F$1820+$F$1821+$F$1822)))
/((($F$1817)*(($F$1818)/($F$1818+$F$1819+$F$1820+$F$1821+$F$1822)))+
(($F$1817)*(($F$1819)/($F$1818+$F$1819+$F$1820+$F$1821+$F$1822)))+
(($F$1817)*(($F$1820)/($F$1818+$F$1819+$F$1820+$F$1821+$F$1822)))+
(($F$1817)*(($F$1821)/($F$1818+$F$1819+$F$1820+$F$1821+$F$1822)))+
(($F$1817)*(($F$1822)/($F$1818+$F$1819+$F$1820+$F$1821+$F$1822)))+
($F$1816))))+
(($F$1815)*((($F$1817)*(($F$1820)/($F$1818+$F$1819+$F$1820+$F$1821+$F$1822)))
/((($F$1817)*(($F$1818)/($F$1818+$F$1819+$F$1820+$F$1821+$F$1822)))+
(($F$1817)*(($F$1819)/($F$1818+$F$1819+$F$1820+$F$1821+$F$1822)))+
(($F$1817)*(($F$1820)/($F$1818+$F$1819+$F$1820+$F$1821+$F$1822)))+
(($F$1817)*(($F$1821)/($F$1818+$F$1819+$F$1820+$F$1821+$F$1822)))+
(($F$1817)*(($F$1822)/($F$1818+$F$1819+$F$1820+$F$1821+$F$1822)))+
($F$1816))))+
(($F$1815)*((($F$1817)*(($F$1821)/($F$1818+$F$1819+$F$1820+$F$1821+$F$1822)))
/((($F$1817)*(($F$1818)/($F$1818+$F$1819+$F$1820+$F$1821+$F$1822)))+
(($F$1817)*(($F$1819)/($F$1818+$F$1819+$F$1820+$F$1821+$F$1822)))+
(($F$1817)*(($F$1820)/($F$1818+$F$1819+$F$1820+$F$1821+$F$1822)))+
(($F$1817)*(($F$1821)/($F$1818+$F$1819+$F$1820+$F$1821+$F$1822)))+
(($F$1817)*(($F$1822)/($F$1818+$F$1819+$F$1820+$F$1821+$F$1822)))+
($F$1816))))+
(($F$1815)*((($F$1817)*(($F$1822)/($F$1818+$F$1819+$F$1820+$F$1821+$F$1822)))
/((($F$1817)*(($F$1818)/($F$1818+$F$1819+$F$1820+$F$1821+$F$1822)))+
(($F$1817)*(($F$1819)/($F$1818+$F$1819+$F$1820+$F$1821+$F$1822)))+
(($F$1817)*(($F$1820)/($F$1818+$F$1819+$F$1820+$F$1821+$F$1822)))+
(($F$1817)*(($F$1821)/($F$1818+$F$1819+$F$1820+$F$1821+$F$1822)))+
(($F$1817)*(($F$1822)/($F$1818+$F$1819+$F$1820+$F$1821+$F$1822)))+
($F$1816))))))),2)</f>
        <v>2.5499999999999998</v>
      </c>
      <c r="I1810" s="18" t="s">
        <v>73</v>
      </c>
      <c r="J1810" s="337"/>
      <c r="K1810" s="680">
        <f t="shared" si="257"/>
        <v>68.849999999999994</v>
      </c>
      <c r="L1810" s="535"/>
      <c r="M1810" s="552" t="str">
        <f t="shared" si="254"/>
        <v/>
      </c>
      <c r="N1810" s="552"/>
      <c r="O1810" s="552" t="str">
        <f t="shared" si="255"/>
        <v/>
      </c>
      <c r="P1810" s="39"/>
    </row>
    <row r="1811" spans="1:16" x14ac:dyDescent="0.35">
      <c r="A1811" s="535" t="str">
        <f t="shared" si="256"/>
        <v/>
      </c>
      <c r="B1811" s="330"/>
      <c r="C1811" s="330"/>
      <c r="D1811" s="326" t="s">
        <v>48</v>
      </c>
      <c r="E1811" s="456" t="s">
        <v>91</v>
      </c>
      <c r="F1811" s="22">
        <v>100</v>
      </c>
      <c r="G1811" s="22" t="s">
        <v>73</v>
      </c>
      <c r="H1811" s="328">
        <f>ROUND((($F$1802)*(
(($F$1809)*(($F$1811)/($F$1810+$F$1811+$F$1812+$F$1813+$F$1814)))
/(($F$1803)+($F$1804)+($F$1805)+($F$1806)+($F$1807)+($F$1808)+
(($F$1809)*(($F$1810)/($F$1810+$F$1811+$F$1812+$F$1813+$F$1814)))+
(($F$1809)*(($F$1811)/($F$1810+$F$1811+$F$1812+$F$1813+$F$1814)))+
(($F$1809)*(($F$1812)/($F$1810+$F$1811+$F$1812+$F$1813+$F$1814)))+
(($F$1809)*(($F$1813)/($F$1810+$F$1811+$F$1812+$F$1813+$F$1814)))+
(($F$1809)*(($F$1814)/($F$1810+$F$1811+$F$1812+$F$1813+$F$1814)))+
(($F$1815)*(($F$1816)/((($F$1817)*(($F$1818)/($F$1818+$F$1819+$F$1820+$F$1821+$F$1822)))+
(($F$1817)*(($F$1819)/($F$1818+$F$1819+$F$1820+$F$1821+$F$1822)))+
(($F$1817)*(($F$1820)/($F$1818+$F$1819+$F$1820+$F$1821+$F$1822)))+
(($F$1817)*(($F$1821)/($F$1818+$F$1819+$F$1820+$F$1821+$F$1822)))+
(($F$1817)*(($F$1822)/($F$1818+$F$1819+$F$1820+$F$1821+$F$1822)))+
($F$1816))))+
(($F$1815)*((($F$1817)*(($F$1818)/($F$1818+$F$1819+$F$1820+$F$1821+$F$1822)))
/((($F$1817)*(($F$1818)/($F$1818+$F$1819+$F$1820+$F$1821+$F$1822)))+
(($F$1817)*(($F$1819)/($F$1818+$F$1819+$F$1820+$F$1821+$F$1822)))+
(($F$1817)*(($F$1820)/($F$1818+$F$1819+$F$1820+$F$1821+$F$1822)))+
(($F$1817)*(($F$1821)/($F$1818+$F$1819+$F$1820+$F$1821+$F$1822)))+
(($F$1817)*(($F$1822)/($F$1818+$F$1819+$F$1820+$F$1821+$F$1822)))+
($F$1816))))+
(($F$1815)*((($F$1817)*(($F$1819)/($F$1818+$F$1819+$F$1820+$F$1821+$F$1822)))
/((($F$1817)*(($F$1818)/($F$1818+$F$1819+$F$1820+$F$1821+$F$1822)))+
(($F$1817)*(($F$1819)/($F$1818+$F$1819+$F$1820+$F$1821+$F$1822)))+
(($F$1817)*(($F$1820)/($F$1818+$F$1819+$F$1820+$F$1821+$F$1822)))+
(($F$1817)*(($F$1821)/($F$1818+$F$1819+$F$1820+$F$1821+$F$1822)))+
(($F$1817)*(($F$1822)/($F$1818+$F$1819+$F$1820+$F$1821+$F$1822)))+
($F$1816))))+
(($F$1815)*((($F$1817)*(($F$1820)/($F$1818+$F$1819+$F$1820+$F$1821+$F$1822)))
/((($F$1817)*(($F$1818)/($F$1818+$F$1819+$F$1820+$F$1821+$F$1822)))+
(($F$1817)*(($F$1819)/($F$1818+$F$1819+$F$1820+$F$1821+$F$1822)))+
(($F$1817)*(($F$1820)/($F$1818+$F$1819+$F$1820+$F$1821+$F$1822)))+
(($F$1817)*(($F$1821)/($F$1818+$F$1819+$F$1820+$F$1821+$F$1822)))+
(($F$1817)*(($F$1822)/($F$1818+$F$1819+$F$1820+$F$1821+$F$1822)))+
($F$1816))))+
(($F$1815)*((($F$1817)*(($F$1821)/($F$1818+$F$1819+$F$1820+$F$1821+$F$1822)))
/((($F$1817)*(($F$1818)/($F$1818+$F$1819+$F$1820+$F$1821+$F$1822)))+
(($F$1817)*(($F$1819)/($F$1818+$F$1819+$F$1820+$F$1821+$F$1822)))+
(($F$1817)*(($F$1820)/($F$1818+$F$1819+$F$1820+$F$1821+$F$1822)))+
(($F$1817)*(($F$1821)/($F$1818+$F$1819+$F$1820+$F$1821+$F$1822)))+
(($F$1817)*(($F$1822)/($F$1818+$F$1819+$F$1820+$F$1821+$F$1822)))+
($F$1816))))+
(($F$1815)*((($F$1817)*(($F$1822)/($F$1818+$F$1819+$F$1820+$F$1821+$F$1822)))
/((($F$1817)*(($F$1818)/($F$1818+$F$1819+$F$1820+$F$1821+$F$1822)))+
(($F$1817)*(($F$1819)/($F$1818+$F$1819+$F$1820+$F$1821+$F$1822)))+
(($F$1817)*(($F$1820)/($F$1818+$F$1819+$F$1820+$F$1821+$F$1822)))+
(($F$1817)*(($F$1821)/($F$1818+$F$1819+$F$1820+$F$1821+$F$1822)))+
(($F$1817)*(($F$1822)/($F$1818+$F$1819+$F$1820+$F$1821+$F$1822)))+
($F$1816))))))),2)</f>
        <v>0.42</v>
      </c>
      <c r="I1811" s="22" t="s">
        <v>73</v>
      </c>
      <c r="J1811" s="330"/>
      <c r="K1811" s="681">
        <f t="shared" si="257"/>
        <v>11.34</v>
      </c>
      <c r="L1811" s="535"/>
      <c r="M1811" s="552" t="str">
        <f t="shared" si="254"/>
        <v/>
      </c>
      <c r="N1811" s="552"/>
      <c r="O1811" s="552" t="str">
        <f t="shared" si="255"/>
        <v/>
      </c>
      <c r="P1811" s="39"/>
    </row>
    <row r="1812" spans="1:16" x14ac:dyDescent="0.35">
      <c r="A1812" s="535" t="str">
        <f t="shared" si="256"/>
        <v/>
      </c>
      <c r="B1812" s="337"/>
      <c r="C1812" s="337"/>
      <c r="D1812" s="326" t="s">
        <v>50</v>
      </c>
      <c r="E1812" s="474" t="s">
        <v>92</v>
      </c>
      <c r="F1812" s="18">
        <v>100</v>
      </c>
      <c r="G1812" s="18" t="s">
        <v>73</v>
      </c>
      <c r="H1812" s="335">
        <f>ROUND((($F$1802)*(
(($F$1809)*(($F$1812)/($F$1810+$F$1811+$F$1812+$F$1813+$F$1814)))
/(($F$1803)+($F$1804)+($F$1805)+($F$1806)+($F$1807)+($F$1808)+
(($F$1809)*(($F$1810)/($F$1810+$F$1811+$F$1812+$F$1813+$F$1814)))+
(($F$1809)*(($F$1811)/($F$1810+$F$1811+$F$1812+$F$1813+$F$1814)))+
(($F$1809)*(($F$1812)/($F$1810+$F$1811+$F$1812+$F$1813+$F$1814)))+
(($F$1809)*(($F$1813)/($F$1810+$F$1811+$F$1812+$F$1813+$F$1814)))+
(($F$1809)*(($F$1814)/($F$1810+$F$1811+$F$1812+$F$1813+$F$1814)))+
(($F$1815)*(($F$1816)/((($F$1817)*(($F$1818)/($F$1818+$F$1819+$F$1820+$F$1821+$F$1822)))+
(($F$1817)*(($F$1819)/($F$1818+$F$1819+$F$1820+$F$1821+$F$1822)))+
(($F$1817)*(($F$1820)/($F$1818+$F$1819+$F$1820+$F$1821+$F$1822)))+
(($F$1817)*(($F$1821)/($F$1818+$F$1819+$F$1820+$F$1821+$F$1822)))+
(($F$1817)*(($F$1822)/($F$1818+$F$1819+$F$1820+$F$1821+$F$1822)))+
($F$1816))))+
(($F$1815)*((($F$1817)*(($F$1818)/($F$1818+$F$1819+$F$1820+$F$1821+$F$1822)))
/((($F$1817)*(($F$1818)/($F$1818+$F$1819+$F$1820+$F$1821+$F$1822)))+
(($F$1817)*(($F$1819)/($F$1818+$F$1819+$F$1820+$F$1821+$F$1822)))+
(($F$1817)*(($F$1820)/($F$1818+$F$1819+$F$1820+$F$1821+$F$1822)))+
(($F$1817)*(($F$1821)/($F$1818+$F$1819+$F$1820+$F$1821+$F$1822)))+
(($F$1817)*(($F$1822)/($F$1818+$F$1819+$F$1820+$F$1821+$F$1822)))+
($F$1816))))+
(($F$1815)*((($F$1817)*(($F$1819)/($F$1818+$F$1819+$F$1820+$F$1821+$F$1822)))
/((($F$1817)*(($F$1818)/($F$1818+$F$1819+$F$1820+$F$1821+$F$1822)))+
(($F$1817)*(($F$1819)/($F$1818+$F$1819+$F$1820+$F$1821+$F$1822)))+
(($F$1817)*(($F$1820)/($F$1818+$F$1819+$F$1820+$F$1821+$F$1822)))+
(($F$1817)*(($F$1821)/($F$1818+$F$1819+$F$1820+$F$1821+$F$1822)))+
(($F$1817)*(($F$1822)/($F$1818+$F$1819+$F$1820+$F$1821+$F$1822)))+
($F$1816))))+
(($F$1815)*((($F$1817)*(($F$1820)/($F$1818+$F$1819+$F$1820+$F$1821+$F$1822)))
/((($F$1817)*(($F$1818)/($F$1818+$F$1819+$F$1820+$F$1821+$F$1822)))+
(($F$1817)*(($F$1819)/($F$1818+$F$1819+$F$1820+$F$1821+$F$1822)))+
(($F$1817)*(($F$1820)/($F$1818+$F$1819+$F$1820+$F$1821+$F$1822)))+
(($F$1817)*(($F$1821)/($F$1818+$F$1819+$F$1820+$F$1821+$F$1822)))+
(($F$1817)*(($F$1822)/($F$1818+$F$1819+$F$1820+$F$1821+$F$1822)))+
($F$1816))))+
(($F$1815)*((($F$1817)*(($F$1821)/($F$1818+$F$1819+$F$1820+$F$1821+$F$1822)))
/((($F$1817)*(($F$1818)/($F$1818+$F$1819+$F$1820+$F$1821+$F$1822)))+
(($F$1817)*(($F$1819)/($F$1818+$F$1819+$F$1820+$F$1821+$F$1822)))+
(($F$1817)*(($F$1820)/($F$1818+$F$1819+$F$1820+$F$1821+$F$1822)))+
(($F$1817)*(($F$1821)/($F$1818+$F$1819+$F$1820+$F$1821+$F$1822)))+
(($F$1817)*(($F$1822)/($F$1818+$F$1819+$F$1820+$F$1821+$F$1822)))+
($F$1816))))+
(($F$1815)*((($F$1817)*(($F$1822)/($F$1818+$F$1819+$F$1820+$F$1821+$F$1822)))
/((($F$1817)*(($F$1818)/($F$1818+$F$1819+$F$1820+$F$1821+$F$1822)))+
(($F$1817)*(($F$1819)/($F$1818+$F$1819+$F$1820+$F$1821+$F$1822)))+
(($F$1817)*(($F$1820)/($F$1818+$F$1819+$F$1820+$F$1821+$F$1822)))+
(($F$1817)*(($F$1821)/($F$1818+$F$1819+$F$1820+$F$1821+$F$1822)))+
(($F$1817)*(($F$1822)/($F$1818+$F$1819+$F$1820+$F$1821+$F$1822)))+
($F$1816))))))),2)</f>
        <v>0.42</v>
      </c>
      <c r="I1812" s="18" t="s">
        <v>73</v>
      </c>
      <c r="J1812" s="337"/>
      <c r="K1812" s="680">
        <f t="shared" si="257"/>
        <v>11.34</v>
      </c>
      <c r="L1812" s="535"/>
      <c r="M1812" s="552" t="str">
        <f t="shared" si="254"/>
        <v/>
      </c>
      <c r="N1812" s="552"/>
      <c r="O1812" s="552" t="str">
        <f t="shared" si="255"/>
        <v/>
      </c>
      <c r="P1812" s="39"/>
    </row>
    <row r="1813" spans="1:16" x14ac:dyDescent="0.35">
      <c r="A1813" s="535" t="str">
        <f t="shared" si="256"/>
        <v/>
      </c>
      <c r="B1813" s="330"/>
      <c r="C1813" s="330"/>
      <c r="D1813" s="326" t="s">
        <v>49</v>
      </c>
      <c r="E1813" s="456" t="s">
        <v>99</v>
      </c>
      <c r="F1813" s="22">
        <v>50</v>
      </c>
      <c r="G1813" s="22" t="s">
        <v>73</v>
      </c>
      <c r="H1813" s="328">
        <f>ROUND((($F$1802)*(
(($F$1809)*(($F$1813)/($F$1810+$F$1811+$F$1812+$F$1813+$F$1814)))
/(($F$1803)+($F$1804)+($F$1805)+($F$1806)+($F$1807)+($F$1808)+
(($F$1809)*(($F$1810)/($F$1810+$F$1811+$F$1812+$F$1813+$F$1814)))+
(($F$1809)*(($F$1811)/($F$1810+$F$1811+$F$1812+$F$1813+$F$1814)))+
(($F$1809)*(($F$1812)/($F$1810+$F$1811+$F$1812+$F$1813+$F$1814)))+
(($F$1809)*(($F$1813)/($F$1810+$F$1811+$F$1812+$F$1813+$F$1814)))+
(($F$1809)*(($F$1814)/($F$1810+$F$1811+$F$1812+$F$1813+$F$1814)))+
(($F$1815)*(($F$1816)/((($F$1817)*(($F$1818)/($F$1818+$F$1819+$F$1820+$F$1821+$F$1822)))+
(($F$1817)*(($F$1819)/($F$1818+$F$1819+$F$1820+$F$1821+$F$1822)))+
(($F$1817)*(($F$1820)/($F$1818+$F$1819+$F$1820+$F$1821+$F$1822)))+
(($F$1817)*(($F$1821)/($F$1818+$F$1819+$F$1820+$F$1821+$F$1822)))+
(($F$1817)*(($F$1822)/($F$1818+$F$1819+$F$1820+$F$1821+$F$1822)))+
($F$1816))))+
(($F$1815)*((($F$1817)*(($F$1818)/($F$1818+$F$1819+$F$1820+$F$1821+$F$1822)))
/((($F$1817)*(($F$1818)/($F$1818+$F$1819+$F$1820+$F$1821+$F$1822)))+
(($F$1817)*(($F$1819)/($F$1818+$F$1819+$F$1820+$F$1821+$F$1822)))+
(($F$1817)*(($F$1820)/($F$1818+$F$1819+$F$1820+$F$1821+$F$1822)))+
(($F$1817)*(($F$1821)/($F$1818+$F$1819+$F$1820+$F$1821+$F$1822)))+
(($F$1817)*(($F$1822)/($F$1818+$F$1819+$F$1820+$F$1821+$F$1822)))+
($F$1816))))+
(($F$1815)*((($F$1817)*(($F$1819)/($F$1818+$F$1819+$F$1820+$F$1821+$F$1822)))
/((($F$1817)*(($F$1818)/($F$1818+$F$1819+$F$1820+$F$1821+$F$1822)))+
(($F$1817)*(($F$1819)/($F$1818+$F$1819+$F$1820+$F$1821+$F$1822)))+
(($F$1817)*(($F$1820)/($F$1818+$F$1819+$F$1820+$F$1821+$F$1822)))+
(($F$1817)*(($F$1821)/($F$1818+$F$1819+$F$1820+$F$1821+$F$1822)))+
(($F$1817)*(($F$1822)/($F$1818+$F$1819+$F$1820+$F$1821+$F$1822)))+
($F$1816))))+
(($F$1815)*((($F$1817)*(($F$1820)/($F$1818+$F$1819+$F$1820+$F$1821+$F$1822)))
/((($F$1817)*(($F$1818)/($F$1818+$F$1819+$F$1820+$F$1821+$F$1822)))+
(($F$1817)*(($F$1819)/($F$1818+$F$1819+$F$1820+$F$1821+$F$1822)))+
(($F$1817)*(($F$1820)/($F$1818+$F$1819+$F$1820+$F$1821+$F$1822)))+
(($F$1817)*(($F$1821)/($F$1818+$F$1819+$F$1820+$F$1821+$F$1822)))+
(($F$1817)*(($F$1822)/($F$1818+$F$1819+$F$1820+$F$1821+$F$1822)))+
($F$1816))))+
(($F$1815)*((($F$1817)*(($F$1821)/($F$1818+$F$1819+$F$1820+$F$1821+$F$1822)))
/((($F$1817)*(($F$1818)/($F$1818+$F$1819+$F$1820+$F$1821+$F$1822)))+
(($F$1817)*(($F$1819)/($F$1818+$F$1819+$F$1820+$F$1821+$F$1822)))+
(($F$1817)*(($F$1820)/($F$1818+$F$1819+$F$1820+$F$1821+$F$1822)))+
(($F$1817)*(($F$1821)/($F$1818+$F$1819+$F$1820+$F$1821+$F$1822)))+
(($F$1817)*(($F$1822)/($F$1818+$F$1819+$F$1820+$F$1821+$F$1822)))+
($F$1816))))+
(($F$1815)*((($F$1817)*(($F$1822)/($F$1818+$F$1819+$F$1820+$F$1821+$F$1822)))
/((($F$1817)*(($F$1818)/($F$1818+$F$1819+$F$1820+$F$1821+$F$1822)))+
(($F$1817)*(($F$1819)/($F$1818+$F$1819+$F$1820+$F$1821+$F$1822)))+
(($F$1817)*(($F$1820)/($F$1818+$F$1819+$F$1820+$F$1821+$F$1822)))+
(($F$1817)*(($F$1821)/($F$1818+$F$1819+$F$1820+$F$1821+$F$1822)))+
(($F$1817)*(($F$1822)/($F$1818+$F$1819+$F$1820+$F$1821+$F$1822)))+
($F$1816))))))),2)</f>
        <v>0.21</v>
      </c>
      <c r="I1813" s="22" t="s">
        <v>73</v>
      </c>
      <c r="J1813" s="330"/>
      <c r="K1813" s="681">
        <f t="shared" si="257"/>
        <v>5.67</v>
      </c>
      <c r="L1813" s="535"/>
      <c r="M1813" s="552" t="str">
        <f t="shared" si="254"/>
        <v/>
      </c>
      <c r="N1813" s="552"/>
      <c r="O1813" s="552" t="str">
        <f t="shared" si="255"/>
        <v/>
      </c>
      <c r="P1813" s="39"/>
    </row>
    <row r="1814" spans="1:16" x14ac:dyDescent="0.35">
      <c r="A1814" s="535" t="str">
        <f t="shared" si="256"/>
        <v/>
      </c>
      <c r="B1814" s="337"/>
      <c r="C1814" s="337"/>
      <c r="D1814" s="326" t="s">
        <v>51</v>
      </c>
      <c r="E1814" s="474" t="s">
        <v>98</v>
      </c>
      <c r="F1814" s="18">
        <v>50</v>
      </c>
      <c r="G1814" s="18" t="s">
        <v>73</v>
      </c>
      <c r="H1814" s="335">
        <f>ROUND((($F$1802)*(
(($F$1809)*(($F$1814)/($F$1810+$F$1811+$F$1812+$F$1813+$F$1814)))
/(($F$1803)+($F$1804)+($F$1805)+($F$1806)+($F$1807)+($F$1808)+
(($F$1809)*(($F$1810)/($F$1810+$F$1811+$F$1812+$F$1813+$F$1814)))+
(($F$1809)*(($F$1811)/($F$1810+$F$1811+$F$1812+$F$1813+$F$1814)))+
(($F$1809)*(($F$1812)/($F$1810+$F$1811+$F$1812+$F$1813+$F$1814)))+
(($F$1809)*(($F$1813)/($F$1810+$F$1811+$F$1812+$F$1813+$F$1814)))+
(($F$1809)*(($F$1814)/($F$1810+$F$1811+$F$1812+$F$1813+$F$1814)))+
(($F$1815)*(($F$1816)/((($F$1817)*(($F$1818)/($F$1818+$F$1819+$F$1820+$F$1821+$F$1822)))+
(($F$1817)*(($F$1819)/($F$1818+$F$1819+$F$1820+$F$1821+$F$1822)))+
(($F$1817)*(($F$1820)/($F$1818+$F$1819+$F$1820+$F$1821+$F$1822)))+
(($F$1817)*(($F$1821)/($F$1818+$F$1819+$F$1820+$F$1821+$F$1822)))+
(($F$1817)*(($F$1822)/($F$1818+$F$1819+$F$1820+$F$1821+$F$1822)))+
($F$1816))))+
(($F$1815)*((($F$1817)*(($F$1818)/($F$1818+$F$1819+$F$1820+$F$1821+$F$1822)))
/((($F$1817)*(($F$1818)/($F$1818+$F$1819+$F$1820+$F$1821+$F$1822)))+
(($F$1817)*(($F$1819)/($F$1818+$F$1819+$F$1820+$F$1821+$F$1822)))+
(($F$1817)*(($F$1820)/($F$1818+$F$1819+$F$1820+$F$1821+$F$1822)))+
(($F$1817)*(($F$1821)/($F$1818+$F$1819+$F$1820+$F$1821+$F$1822)))+
(($F$1817)*(($F$1822)/($F$1818+$F$1819+$F$1820+$F$1821+$F$1822)))+
($F$1816))))+
(($F$1815)*((($F$1817)*(($F$1819)/($F$1818+$F$1819+$F$1820+$F$1821+$F$1822)))
/((($F$1817)*(($F$1818)/($F$1818+$F$1819+$F$1820+$F$1821+$F$1822)))+
(($F$1817)*(($F$1819)/($F$1818+$F$1819+$F$1820+$F$1821+$F$1822)))+
(($F$1817)*(($F$1820)/($F$1818+$F$1819+$F$1820+$F$1821+$F$1822)))+
(($F$1817)*(($F$1821)/($F$1818+$F$1819+$F$1820+$F$1821+$F$1822)))+
(($F$1817)*(($F$1822)/($F$1818+$F$1819+$F$1820+$F$1821+$F$1822)))+
($F$1816))))+
(($F$1815)*((($F$1817)*(($F$1820)/($F$1818+$F$1819+$F$1820+$F$1821+$F$1822)))
/((($F$1817)*(($F$1818)/($F$1818+$F$1819+$F$1820+$F$1821+$F$1822)))+
(($F$1817)*(($F$1819)/($F$1818+$F$1819+$F$1820+$F$1821+$F$1822)))+
(($F$1817)*(($F$1820)/($F$1818+$F$1819+$F$1820+$F$1821+$F$1822)))+
(($F$1817)*(($F$1821)/($F$1818+$F$1819+$F$1820+$F$1821+$F$1822)))+
(($F$1817)*(($F$1822)/($F$1818+$F$1819+$F$1820+$F$1821+$F$1822)))+
($F$1816))))+
(($F$1815)*((($F$1817)*(($F$1821)/($F$1818+$F$1819+$F$1820+$F$1821+$F$1822)))
/((($F$1817)*(($F$1818)/($F$1818+$F$1819+$F$1820+$F$1821+$F$1822)))+
(($F$1817)*(($F$1819)/($F$1818+$F$1819+$F$1820+$F$1821+$F$1822)))+
(($F$1817)*(($F$1820)/($F$1818+$F$1819+$F$1820+$F$1821+$F$1822)))+
(($F$1817)*(($F$1821)/($F$1818+$F$1819+$F$1820+$F$1821+$F$1822)))+
(($F$1817)*(($F$1822)/($F$1818+$F$1819+$F$1820+$F$1821+$F$1822)))+
($F$1816))))+
(($F$1815)*((($F$1817)*(($F$1822)/($F$1818+$F$1819+$F$1820+$F$1821+$F$1822)))
/((($F$1817)*(($F$1818)/($F$1818+$F$1819+$F$1820+$F$1821+$F$1822)))+
(($F$1817)*(($F$1819)/($F$1818+$F$1819+$F$1820+$F$1821+$F$1822)))+
(($F$1817)*(($F$1820)/($F$1818+$F$1819+$F$1820+$F$1821+$F$1822)))+
(($F$1817)*(($F$1821)/($F$1818+$F$1819+$F$1820+$F$1821+$F$1822)))+
(($F$1817)*(($F$1822)/($F$1818+$F$1819+$F$1820+$F$1821+$F$1822)))+
($F$1816))))))),2)</f>
        <v>0.21</v>
      </c>
      <c r="I1814" s="18" t="s">
        <v>73</v>
      </c>
      <c r="J1814" s="337"/>
      <c r="K1814" s="680">
        <f t="shared" si="257"/>
        <v>5.67</v>
      </c>
      <c r="L1814" s="535"/>
      <c r="M1814" s="552" t="str">
        <f t="shared" si="254"/>
        <v/>
      </c>
      <c r="N1814" s="552"/>
      <c r="O1814" s="552" t="str">
        <f t="shared" si="255"/>
        <v/>
      </c>
      <c r="P1814" s="39"/>
    </row>
    <row r="1815" spans="1:16" x14ac:dyDescent="0.35">
      <c r="A1815" s="535" t="str">
        <f t="shared" si="256"/>
        <v/>
      </c>
      <c r="B1815" s="330"/>
      <c r="C1815" s="330"/>
      <c r="D1815" s="355"/>
      <c r="E1815" s="540" t="s">
        <v>989</v>
      </c>
      <c r="F1815" s="356">
        <v>31</v>
      </c>
      <c r="G1815" s="356" t="s">
        <v>73</v>
      </c>
      <c r="H1815" s="356"/>
      <c r="I1815" s="378"/>
      <c r="J1815" s="515"/>
      <c r="K1815" s="684"/>
      <c r="L1815" s="535"/>
      <c r="M1815" s="552" t="str">
        <f t="shared" si="254"/>
        <v/>
      </c>
      <c r="N1815" s="552"/>
      <c r="O1815" s="552" t="str">
        <f t="shared" si="255"/>
        <v/>
      </c>
      <c r="P1815" s="39"/>
    </row>
    <row r="1816" spans="1:16" x14ac:dyDescent="0.35">
      <c r="A1816" s="535" t="str">
        <f t="shared" si="256"/>
        <v/>
      </c>
      <c r="B1816" s="337"/>
      <c r="C1816" s="337"/>
      <c r="D1816" s="326" t="s">
        <v>385</v>
      </c>
      <c r="E1816" s="474" t="s">
        <v>990</v>
      </c>
      <c r="F1816" s="335">
        <v>200</v>
      </c>
      <c r="G1816" s="335" t="s">
        <v>73</v>
      </c>
      <c r="H1816" s="335">
        <f>ROUND((($F$1802)*(
(($F$1815)*(($F$1816)/((($F$1817)*(($F$1818)/($F$1818+$F$1819+$F$1820+$F$1821+$F$1822)))+
(($F$1817)*(($F$1819)/($F$1818+$F$1819+$F$1820+$F$1821+$F$1822)))+
(($F$1817)*(($F$1820)/($F$1818+$F$1819+$F$1820+$F$1821+$F$1822)))+
(($F$1817)*(($F$1821)/($F$1818+$F$1819+$F$1820+$F$1821+$F$1822)))+
(($F$1817)*(($F$1822)/($F$1818+$F$1819+$F$1820+$F$1821+$F$1822)))+
($F$1816))))
/(($F$1803)+($F$1804)+($F$1805)+($F$1806)+($F$1807)+($F$1808)+
(($F$1809)*(($F$1810)/($F$1810+$F$1811+$F$1812+$F$1813+$F$1814)))+
(($F$1809)*(($F$1811)/($F$1810+$F$1811+$F$1812+$F$1813+$F$1814)))+
(($F$1809)*(($F$1812)/($F$1810+$F$1811+$F$1812+$F$1813+$F$1814)))+
(($F$1809)*(($F$1813)/($F$1810+$F$1811+$F$1812+$F$1813+$F$1814)))+
(($F$1809)*(($F$1814)/($F$1810+$F$1811+$F$1812+$F$1813+$F$1814)))+
(($F$1815)*(($F$1816)/((($F$1817)*(($F$1818)/($F$1818+$F$1819+$F$1820+$F$1821+$F$1822)))+
(($F$1817)*(($F$1819)/($F$1818+$F$1819+$F$1820+$F$1821+$F$1822)))+
(($F$1817)*(($F$1820)/($F$1818+$F$1819+$F$1820+$F$1821+$F$1822)))+
(($F$1817)*(($F$1821)/($F$1818+$F$1819+$F$1820+$F$1821+$F$1822)))+
(($F$1817)*(($F$1822)/($F$1818+$F$1819+$F$1820+$F$1821+$F$1822)))+
($F$1816))))+
(($F$1815)*((($F$1817)*(($F$1818)/($F$1818+$F$1819+$F$1820+$F$1821+$F$1822)))
/((($F$1817)*(($F$1818)/($F$1818+$F$1819+$F$1820+$F$1821+$F$1822)))+
(($F$1817)*(($F$1819)/($F$1818+$F$1819+$F$1820+$F$1821+$F$1822)))+
(($F$1817)*(($F$1820)/($F$1818+$F$1819+$F$1820+$F$1821+$F$1822)))+
(($F$1817)*(($F$1821)/($F$1818+$F$1819+$F$1820+$F$1821+$F$1822)))+
(($F$1817)*(($F$1822)/($F$1818+$F$1819+$F$1820+$F$1821+$F$1822)))+
($F$1816))))+
(($F$1815)*((($F$1817)*(($F$1819)/($F$1818+$F$1819+$F$1820+$F$1821+$F$1822)))
/((($F$1817)*(($F$1818)/($F$1818+$F$1819+$F$1820+$F$1821+$F$1822)))+
(($F$1817)*(($F$1819)/($F$1818+$F$1819+$F$1820+$F$1821+$F$1822)))+
(($F$1817)*(($F$1820)/($F$1818+$F$1819+$F$1820+$F$1821+$F$1822)))+
(($F$1817)*(($F$1821)/($F$1818+$F$1819+$F$1820+$F$1821+$F$1822)))+
(($F$1817)*(($F$1822)/($F$1818+$F$1819+$F$1820+$F$1821+$F$1822)))+
($F$1816))))+
(($F$1815)*((($F$1817)*(($F$1820)/($F$1818+$F$1819+$F$1820+$F$1821+$F$1822)))
/((($F$1817)*(($F$1818)/($F$1818+$F$1819+$F$1820+$F$1821+$F$1822)))+
(($F$1817)*(($F$1819)/($F$1818+$F$1819+$F$1820+$F$1821+$F$1822)))+
(($F$1817)*(($F$1820)/($F$1818+$F$1819+$F$1820+$F$1821+$F$1822)))+
(($F$1817)*(($F$1821)/($F$1818+$F$1819+$F$1820+$F$1821+$F$1822)))+
(($F$1817)*(($F$1822)/($F$1818+$F$1819+$F$1820+$F$1821+$F$1822)))+
($F$1816))))+
(($F$1815)*((($F$1817)*(($F$1821)/($F$1818+$F$1819+$F$1820+$F$1821+$F$1822)))
/((($F$1817)*(($F$1818)/($F$1818+$F$1819+$F$1820+$F$1821+$F$1822)))+
(($F$1817)*(($F$1819)/($F$1818+$F$1819+$F$1820+$F$1821+$F$1822)))+
(($F$1817)*(($F$1820)/($F$1818+$F$1819+$F$1820+$F$1821+$F$1822)))+
(($F$1817)*(($F$1821)/($F$1818+$F$1819+$F$1820+$F$1821+$F$1822)))+
(($F$1817)*(($F$1822)/($F$1818+$F$1819+$F$1820+$F$1821+$F$1822)))+
($F$1816))))+
(($F$1815)*((($F$1817)*(($F$1822)/($F$1818+$F$1819+$F$1820+$F$1821+$F$1822)))
/((($F$1817)*(($F$1818)/($F$1818+$F$1819+$F$1820+$F$1821+$F$1822)))+
(($F$1817)*(($F$1819)/($F$1818+$F$1819+$F$1820+$F$1821+$F$1822)))+
(($F$1817)*(($F$1820)/($F$1818+$F$1819+$F$1820+$F$1821+$F$1822)))+
(($F$1817)*(($F$1821)/($F$1818+$F$1819+$F$1820+$F$1821+$F$1822)))+
(($F$1817)*(($F$1822)/($F$1818+$F$1819+$F$1820+$F$1821+$F$1822)))+
($F$1816))))))),2)</f>
        <v>3.16</v>
      </c>
      <c r="I1816" s="18" t="s">
        <v>73</v>
      </c>
      <c r="J1816" s="337"/>
      <c r="K1816" s="680">
        <f t="shared" si="257"/>
        <v>85.320000000000007</v>
      </c>
      <c r="L1816" s="535"/>
      <c r="M1816" s="552" t="str">
        <f t="shared" si="254"/>
        <v/>
      </c>
      <c r="N1816" s="552"/>
      <c r="O1816" s="552" t="str">
        <f t="shared" si="255"/>
        <v/>
      </c>
      <c r="P1816" s="39"/>
    </row>
    <row r="1817" spans="1:16" x14ac:dyDescent="0.35">
      <c r="A1817" s="535" t="str">
        <f t="shared" si="256"/>
        <v/>
      </c>
      <c r="B1817" s="330"/>
      <c r="C1817" s="330"/>
      <c r="D1817" s="355"/>
      <c r="E1817" s="662" t="s">
        <v>80</v>
      </c>
      <c r="F1817" s="378">
        <v>100</v>
      </c>
      <c r="G1817" s="378" t="s">
        <v>73</v>
      </c>
      <c r="H1817" s="356"/>
      <c r="I1817" s="378"/>
      <c r="J1817" s="515"/>
      <c r="K1817" s="684"/>
      <c r="L1817" s="535"/>
      <c r="M1817" s="552" t="str">
        <f t="shared" si="254"/>
        <v/>
      </c>
      <c r="N1817" s="552"/>
      <c r="O1817" s="552" t="str">
        <f t="shared" si="255"/>
        <v/>
      </c>
      <c r="P1817" s="39"/>
    </row>
    <row r="1818" spans="1:16" x14ac:dyDescent="0.35">
      <c r="A1818" s="535" t="str">
        <f t="shared" si="256"/>
        <v/>
      </c>
      <c r="B1818" s="337"/>
      <c r="C1818" s="337"/>
      <c r="D1818" s="326" t="s">
        <v>47</v>
      </c>
      <c r="E1818" s="663" t="s">
        <v>93</v>
      </c>
      <c r="F1818" s="18">
        <v>600</v>
      </c>
      <c r="G1818" s="18" t="s">
        <v>73</v>
      </c>
      <c r="H1818" s="335">
        <f>ROUND((($F$1802)*(
(($F$1815)*((($F$1817)*(($F$1818)/($F$1818+$F$1819+$F$1820+$F$1821+$F$1822)))
/((($F$1817)*(($F$1818)/($F$1818+$F$1819+$F$1820+$F$1821+$F$1822)))+
(($F$1817)*(($F$1819)/($F$1818+$F$1819+$F$1820+$F$1821+$F$1822)))+
(($F$1817)*(($F$1820)/($F$1818+$F$1819+$F$1820+$F$1821+$F$1822)))+
(($F$1817)*(($F$1821)/($F$1818+$F$1819+$F$1820+$F$1821+$F$1822)))+
(($F$1817)*(($F$1822)/($F$1818+$F$1819+$F$1820+$F$1821+$F$1822)))+
($F$1816))))
/(($F$1803)+($F$1804)+($F$1805)+($F$1806)+($F$1807)+($F$1808)+
(($F$1809)*(($F$1810)/($F$1810+$F$1811+$F$1812+$F$1813+$F$1814)))+
(($F$1809)*(($F$1811)/($F$1810+$F$1811+$F$1812+$F$1813+$F$1814)))+
(($F$1809)*(($F$1812)/($F$1810+$F$1811+$F$1812+$F$1813+$F$1814)))+
(($F$1809)*(($F$1813)/($F$1810+$F$1811+$F$1812+$F$1813+$F$1814)))+
(($F$1809)*(($F$1814)/($F$1810+$F$1811+$F$1812+$F$1813+$F$1814)))+
(($F$1815)*(($F$1816)/((($F$1817)*(($F$1818)/($F$1818+$F$1819+$F$1820+$F$1821+$F$1822)))+
(($F$1817)*(($F$1819)/($F$1818+$F$1819+$F$1820+$F$1821+$F$1822)))+
(($F$1817)*(($F$1820)/($F$1818+$F$1819+$F$1820+$F$1821+$F$1822)))+
(($F$1817)*(($F$1821)/($F$1818+$F$1819+$F$1820+$F$1821+$F$1822)))+
(($F$1817)*(($F$1822)/($F$1818+$F$1819+$F$1820+$F$1821+$F$1822)))+
($F$1816))))+
(($F$1815)*((($F$1817)*(($F$1818)/($F$1818+$F$1819+$F$1820+$F$1821+$F$1822)))
/((($F$1817)*(($F$1818)/($F$1818+$F$1819+$F$1820+$F$1821+$F$1822)))+
(($F$1817)*(($F$1819)/($F$1818+$F$1819+$F$1820+$F$1821+$F$1822)))+
(($F$1817)*(($F$1820)/($F$1818+$F$1819+$F$1820+$F$1821+$F$1822)))+
(($F$1817)*(($F$1821)/($F$1818+$F$1819+$F$1820+$F$1821+$F$1822)))+
(($F$1817)*(($F$1822)/($F$1818+$F$1819+$F$1820+$F$1821+$F$1822)))+
($F$1816))))+
(($F$1815)*((($F$1817)*(($F$1819)/($F$1818+$F$1819+$F$1820+$F$1821+$F$1822)))
/((($F$1817)*(($F$1818)/($F$1818+$F$1819+$F$1820+$F$1821+$F$1822)))+
(($F$1817)*(($F$1819)/($F$1818+$F$1819+$F$1820+$F$1821+$F$1822)))+
(($F$1817)*(($F$1820)/($F$1818+$F$1819+$F$1820+$F$1821+$F$1822)))+
(($F$1817)*(($F$1821)/($F$1818+$F$1819+$F$1820+$F$1821+$F$1822)))+
(($F$1817)*(($F$1822)/($F$1818+$F$1819+$F$1820+$F$1821+$F$1822)))+
($F$1816))))+
(($F$1815)*((($F$1817)*(($F$1820)/($F$1818+$F$1819+$F$1820+$F$1821+$F$1822)))
/((($F$1817)*(($F$1818)/($F$1818+$F$1819+$F$1820+$F$1821+$F$1822)))+
(($F$1817)*(($F$1819)/($F$1818+$F$1819+$F$1820+$F$1821+$F$1822)))+
(($F$1817)*(($F$1820)/($F$1818+$F$1819+$F$1820+$F$1821+$F$1822)))+
(($F$1817)*(($F$1821)/($F$1818+$F$1819+$F$1820+$F$1821+$F$1822)))+
(($F$1817)*(($F$1822)/($F$1818+$F$1819+$F$1820+$F$1821+$F$1822)))+
($F$1816))))+
(($F$1815)*((($F$1817)*(($F$1821)/($F$1818+$F$1819+$F$1820+$F$1821+$F$1822)))
/((($F$1817)*(($F$1818)/($F$1818+$F$1819+$F$1820+$F$1821+$F$1822)))+
(($F$1817)*(($F$1819)/($F$1818+$F$1819+$F$1820+$F$1821+$F$1822)))+
(($F$1817)*(($F$1820)/($F$1818+$F$1819+$F$1820+$F$1821+$F$1822)))+
(($F$1817)*(($F$1821)/($F$1818+$F$1819+$F$1820+$F$1821+$F$1822)))+
(($F$1817)*(($F$1822)/($F$1818+$F$1819+$F$1820+$F$1821+$F$1822)))+
($F$1816))))+
(($F$1815)*((($F$1817)*(($F$1822)/($F$1818+$F$1819+$F$1820+$F$1821+$F$1822)))
/((($F$1817)*(($F$1818)/($F$1818+$F$1819+$F$1820+$F$1821+$F$1822)))+
(($F$1817)*(($F$1819)/($F$1818+$F$1819+$F$1820+$F$1821+$F$1822)))+
(($F$1817)*(($F$1820)/($F$1818+$F$1819+$F$1820+$F$1821+$F$1822)))+
(($F$1817)*(($F$1821)/($F$1818+$F$1819+$F$1820+$F$1821+$F$1822)))+
(($F$1817)*(($F$1822)/($F$1818+$F$1819+$F$1820+$F$1821+$F$1822)))+
($F$1816))))))),2)</f>
        <v>1.05</v>
      </c>
      <c r="I1818" s="18" t="s">
        <v>73</v>
      </c>
      <c r="J1818" s="337"/>
      <c r="K1818" s="680">
        <f t="shared" si="257"/>
        <v>28.35</v>
      </c>
      <c r="L1818" s="535"/>
      <c r="M1818" s="552" t="str">
        <f t="shared" si="254"/>
        <v/>
      </c>
      <c r="N1818" s="552"/>
      <c r="O1818" s="552" t="str">
        <f t="shared" si="255"/>
        <v/>
      </c>
      <c r="P1818" s="39"/>
    </row>
    <row r="1819" spans="1:16" x14ac:dyDescent="0.35">
      <c r="A1819" s="535" t="str">
        <f t="shared" si="256"/>
        <v/>
      </c>
      <c r="B1819" s="330"/>
      <c r="C1819" s="330"/>
      <c r="D1819" s="326" t="s">
        <v>48</v>
      </c>
      <c r="E1819" s="664" t="s">
        <v>91</v>
      </c>
      <c r="F1819" s="22">
        <v>100</v>
      </c>
      <c r="G1819" s="22" t="s">
        <v>73</v>
      </c>
      <c r="H1819" s="328">
        <f>ROUND((($F$1802)*(
(($F$1815)*((($F$1817)*(($F$1819)/($F$1818+$F$1819+$F$1820+$F$1821+$F$1822)))
/((($F$1817)*(($F$1818)/($F$1818+$F$1819+$F$1820+$F$1821+$F$1822)))+
(($F$1817)*(($F$1819)/($F$1818+$F$1819+$F$1820+$F$1821+$F$1822)))+
(($F$1817)*(($F$1820)/($F$1818+$F$1819+$F$1820+$F$1821+$F$1822)))+
(($F$1817)*(($F$1821)/($F$1818+$F$1819+$F$1820+$F$1821+$F$1822)))+
(($F$1817)*(($F$1822)/($F$1818+$F$1819+$F$1820+$F$1821+$F$1822)))+
($F$1816))))
/(($F$1803)+($F$1804)+($F$1805)+($F$1806)+($F$1807)+($F$1808)+
(($F$1809)*(($F$1810)/($F$1810+$F$1811+$F$1812+$F$1813+$F$1814)))+
(($F$1809)*(($F$1811)/($F$1810+$F$1811+$F$1812+$F$1813+$F$1814)))+
(($F$1809)*(($F$1812)/($F$1810+$F$1811+$F$1812+$F$1813+$F$1814)))+
(($F$1809)*(($F$1813)/($F$1810+$F$1811+$F$1812+$F$1813+$F$1814)))+
(($F$1809)*(($F$1814)/($F$1810+$F$1811+$F$1812+$F$1813+$F$1814)))+
(($F$1815)*(($F$1816)/((($F$1817)*(($F$1818)/($F$1818+$F$1819+$F$1820+$F$1821+$F$1822)))+
(($F$1817)*(($F$1819)/($F$1818+$F$1819+$F$1820+$F$1821+$F$1822)))+
(($F$1817)*(($F$1820)/($F$1818+$F$1819+$F$1820+$F$1821+$F$1822)))+
(($F$1817)*(($F$1821)/($F$1818+$F$1819+$F$1820+$F$1821+$F$1822)))+
(($F$1817)*(($F$1822)/($F$1818+$F$1819+$F$1820+$F$1821+$F$1822)))+
($F$1816))))+
(($F$1815)*((($F$1817)*(($F$1818)/($F$1818+$F$1819+$F$1820+$F$1821+$F$1822)))
/((($F$1817)*(($F$1818)/($F$1818+$F$1819+$F$1820+$F$1821+$F$1822)))+
(($F$1817)*(($F$1819)/($F$1818+$F$1819+$F$1820+$F$1821+$F$1822)))+
(($F$1817)*(($F$1820)/($F$1818+$F$1819+$F$1820+$F$1821+$F$1822)))+
(($F$1817)*(($F$1821)/($F$1818+$F$1819+$F$1820+$F$1821+$F$1822)))+
(($F$1817)*(($F$1822)/($F$1818+$F$1819+$F$1820+$F$1821+$F$1822)))+
($F$1816))))+
(($F$1815)*((($F$1817)*(($F$1819)/($F$1818+$F$1819+$F$1820+$F$1821+$F$1822)))
/((($F$1817)*(($F$1818)/($F$1818+$F$1819+$F$1820+$F$1821+$F$1822)))+
(($F$1817)*(($F$1819)/($F$1818+$F$1819+$F$1820+$F$1821+$F$1822)))+
(($F$1817)*(($F$1820)/($F$1818+$F$1819+$F$1820+$F$1821+$F$1822)))+
(($F$1817)*(($F$1821)/($F$1818+$F$1819+$F$1820+$F$1821+$F$1822)))+
(($F$1817)*(($F$1822)/($F$1818+$F$1819+$F$1820+$F$1821+$F$1822)))+
($F$1816))))+
(($F$1815)*((($F$1817)*(($F$1820)/($F$1818+$F$1819+$F$1820+$F$1821+$F$1822)))
/((($F$1817)*(($F$1818)/($F$1818+$F$1819+$F$1820+$F$1821+$F$1822)))+
(($F$1817)*(($F$1819)/($F$1818+$F$1819+$F$1820+$F$1821+$F$1822)))+
(($F$1817)*(($F$1820)/($F$1818+$F$1819+$F$1820+$F$1821+$F$1822)))+
(($F$1817)*(($F$1821)/($F$1818+$F$1819+$F$1820+$F$1821+$F$1822)))+
(($F$1817)*(($F$1822)/($F$1818+$F$1819+$F$1820+$F$1821+$F$1822)))+
($F$1816))))+
(($F$1815)*((($F$1817)*(($F$1821)/($F$1818+$F$1819+$F$1820+$F$1821+$F$1822)))
/((($F$1817)*(($F$1818)/($F$1818+$F$1819+$F$1820+$F$1821+$F$1822)))+
(($F$1817)*(($F$1819)/($F$1818+$F$1819+$F$1820+$F$1821+$F$1822)))+
(($F$1817)*(($F$1820)/($F$1818+$F$1819+$F$1820+$F$1821+$F$1822)))+
(($F$1817)*(($F$1821)/($F$1818+$F$1819+$F$1820+$F$1821+$F$1822)))+
(($F$1817)*(($F$1822)/($F$1818+$F$1819+$F$1820+$F$1821+$F$1822)))+
($F$1816))))+
(($F$1815)*((($F$1817)*(($F$1822)/($F$1818+$F$1819+$F$1820+$F$1821+$F$1822)))
/((($F$1817)*(($F$1818)/($F$1818+$F$1819+$F$1820+$F$1821+$F$1822)))+
(($F$1817)*(($F$1819)/($F$1818+$F$1819+$F$1820+$F$1821+$F$1822)))+
(($F$1817)*(($F$1820)/($F$1818+$F$1819+$F$1820+$F$1821+$F$1822)))+
(($F$1817)*(($F$1821)/($F$1818+$F$1819+$F$1820+$F$1821+$F$1822)))+
(($F$1817)*(($F$1822)/($F$1818+$F$1819+$F$1820+$F$1821+$F$1822)))+
($F$1816))))))),2)</f>
        <v>0.18</v>
      </c>
      <c r="I1819" s="22" t="s">
        <v>73</v>
      </c>
      <c r="J1819" s="330"/>
      <c r="K1819" s="681">
        <f t="shared" si="257"/>
        <v>4.8599999999999994</v>
      </c>
      <c r="L1819" s="535"/>
      <c r="M1819" s="552" t="str">
        <f t="shared" si="254"/>
        <v/>
      </c>
      <c r="N1819" s="552"/>
      <c r="O1819" s="552" t="str">
        <f t="shared" si="255"/>
        <v/>
      </c>
      <c r="P1819" s="39"/>
    </row>
    <row r="1820" spans="1:16" x14ac:dyDescent="0.35">
      <c r="A1820" s="535" t="str">
        <f t="shared" si="256"/>
        <v/>
      </c>
      <c r="B1820" s="337"/>
      <c r="C1820" s="337"/>
      <c r="D1820" s="326" t="s">
        <v>50</v>
      </c>
      <c r="E1820" s="663" t="s">
        <v>92</v>
      </c>
      <c r="F1820" s="18">
        <v>100</v>
      </c>
      <c r="G1820" s="18" t="s">
        <v>73</v>
      </c>
      <c r="H1820" s="335">
        <f>ROUND((($F$1802)*(
(($F$1815)*((($F$1817)*(($F$1820)/($F$1818+$F$1819+$F$1820+$F$1821+$F$1822)))
/((($F$1817)*(($F$1818)/($F$1818+$F$1819+$F$1820+$F$1821+$F$1822)))+
(($F$1817)*(($F$1819)/($F$1818+$F$1819+$F$1820+$F$1821+$F$1822)))+
(($F$1817)*(($F$1820)/($F$1818+$F$1819+$F$1820+$F$1821+$F$1822)))+
(($F$1817)*(($F$1821)/($F$1818+$F$1819+$F$1820+$F$1821+$F$1822)))+
(($F$1817)*(($F$1822)/($F$1818+$F$1819+$F$1820+$F$1821+$F$1822)))+
($F$1816))))
/(($F$1803)+($F$1804)+($F$1805)+($F$1806)+($F$1807)+($F$1808)+
(($F$1809)*(($F$1810)/($F$1810+$F$1811+$F$1812+$F$1813+$F$1814)))+
(($F$1809)*(($F$1811)/($F$1810+$F$1811+$F$1812+$F$1813+$F$1814)))+
(($F$1809)*(($F$1812)/($F$1810+$F$1811+$F$1812+$F$1813+$F$1814)))+
(($F$1809)*(($F$1813)/($F$1810+$F$1811+$F$1812+$F$1813+$F$1814)))+
(($F$1809)*(($F$1814)/($F$1810+$F$1811+$F$1812+$F$1813+$F$1814)))+
(($F$1815)*(($F$1816)/((($F$1817)*(($F$1818)/($F$1818+$F$1819+$F$1820+$F$1821+$F$1822)))+
(($F$1817)*(($F$1819)/($F$1818+$F$1819+$F$1820+$F$1821+$F$1822)))+
(($F$1817)*(($F$1820)/($F$1818+$F$1819+$F$1820+$F$1821+$F$1822)))+
(($F$1817)*(($F$1821)/($F$1818+$F$1819+$F$1820+$F$1821+$F$1822)))+
(($F$1817)*(($F$1822)/($F$1818+$F$1819+$F$1820+$F$1821+$F$1822)))+
($F$1816))))+
(($F$1815)*((($F$1817)*(($F$1818)/($F$1818+$F$1819+$F$1820+$F$1821+$F$1822)))
/((($F$1817)*(($F$1818)/($F$1818+$F$1819+$F$1820+$F$1821+$F$1822)))+
(($F$1817)*(($F$1819)/($F$1818+$F$1819+$F$1820+$F$1821+$F$1822)))+
(($F$1817)*(($F$1820)/($F$1818+$F$1819+$F$1820+$F$1821+$F$1822)))+
(($F$1817)*(($F$1821)/($F$1818+$F$1819+$F$1820+$F$1821+$F$1822)))+
(($F$1817)*(($F$1822)/($F$1818+$F$1819+$F$1820+$F$1821+$F$1822)))+
($F$1816))))+
(($F$1815)*((($F$1817)*(($F$1819)/($F$1818+$F$1819+$F$1820+$F$1821+$F$1822)))
/((($F$1817)*(($F$1818)/($F$1818+$F$1819+$F$1820+$F$1821+$F$1822)))+
(($F$1817)*(($F$1819)/($F$1818+$F$1819+$F$1820+$F$1821+$F$1822)))+
(($F$1817)*(($F$1820)/($F$1818+$F$1819+$F$1820+$F$1821+$F$1822)))+
(($F$1817)*(($F$1821)/($F$1818+$F$1819+$F$1820+$F$1821+$F$1822)))+
(($F$1817)*(($F$1822)/($F$1818+$F$1819+$F$1820+$F$1821+$F$1822)))+
($F$1816))))+
(($F$1815)*((($F$1817)*(($F$1820)/($F$1818+$F$1819+$F$1820+$F$1821+$F$1822)))
/((($F$1817)*(($F$1818)/($F$1818+$F$1819+$F$1820+$F$1821+$F$1822)))+
(($F$1817)*(($F$1819)/($F$1818+$F$1819+$F$1820+$F$1821+$F$1822)))+
(($F$1817)*(($F$1820)/($F$1818+$F$1819+$F$1820+$F$1821+$F$1822)))+
(($F$1817)*(($F$1821)/($F$1818+$F$1819+$F$1820+$F$1821+$F$1822)))+
(($F$1817)*(($F$1822)/($F$1818+$F$1819+$F$1820+$F$1821+$F$1822)))+
($F$1816))))+
(($F$1815)*((($F$1817)*(($F$1821)/($F$1818+$F$1819+$F$1820+$F$1821+$F$1822)))
/((($F$1817)*(($F$1818)/($F$1818+$F$1819+$F$1820+$F$1821+$F$1822)))+
(($F$1817)*(($F$1819)/($F$1818+$F$1819+$F$1820+$F$1821+$F$1822)))+
(($F$1817)*(($F$1820)/($F$1818+$F$1819+$F$1820+$F$1821+$F$1822)))+
(($F$1817)*(($F$1821)/($F$1818+$F$1819+$F$1820+$F$1821+$F$1822)))+
(($F$1817)*(($F$1822)/($F$1818+$F$1819+$F$1820+$F$1821+$F$1822)))+
($F$1816))))+
(($F$1815)*((($F$1817)*(($F$1822)/($F$1818+$F$1819+$F$1820+$F$1821+$F$1822)))
/((($F$1817)*(($F$1818)/($F$1818+$F$1819+$F$1820+$F$1821+$F$1822)))+
(($F$1817)*(($F$1819)/($F$1818+$F$1819+$F$1820+$F$1821+$F$1822)))+
(($F$1817)*(($F$1820)/($F$1818+$F$1819+$F$1820+$F$1821+$F$1822)))+
(($F$1817)*(($F$1821)/($F$1818+$F$1819+$F$1820+$F$1821+$F$1822)))+
(($F$1817)*(($F$1822)/($F$1818+$F$1819+$F$1820+$F$1821+$F$1822)))+
($F$1816))))))),2)</f>
        <v>0.18</v>
      </c>
      <c r="I1820" s="18" t="s">
        <v>73</v>
      </c>
      <c r="J1820" s="337"/>
      <c r="K1820" s="680">
        <f t="shared" si="257"/>
        <v>4.8599999999999994</v>
      </c>
      <c r="L1820" s="535"/>
      <c r="M1820" s="552" t="str">
        <f t="shared" si="254"/>
        <v/>
      </c>
      <c r="N1820" s="552"/>
      <c r="O1820" s="552" t="str">
        <f t="shared" si="255"/>
        <v/>
      </c>
      <c r="P1820" s="39"/>
    </row>
    <row r="1821" spans="1:16" x14ac:dyDescent="0.35">
      <c r="A1821" s="535" t="str">
        <f t="shared" si="256"/>
        <v/>
      </c>
      <c r="B1821" s="330"/>
      <c r="C1821" s="330"/>
      <c r="D1821" s="326" t="s">
        <v>49</v>
      </c>
      <c r="E1821" s="664" t="s">
        <v>99</v>
      </c>
      <c r="F1821" s="22">
        <v>50</v>
      </c>
      <c r="G1821" s="22" t="s">
        <v>73</v>
      </c>
      <c r="H1821" s="328">
        <f>ROUND((($F$1802)*(
(($F$1815)*((($F$1817)*(($F$1821)/($F$1818+$F$1819+$F$1820+$F$1821+$F$1822)))
/((($F$1817)*(($F$1818)/($F$1818+$F$1819+$F$1820+$F$1821+$F$1822)))+
(($F$1817)*(($F$1819)/($F$1818+$F$1819+$F$1820+$F$1821+$F$1822)))+
(($F$1817)*(($F$1820)/($F$1818+$F$1819+$F$1820+$F$1821+$F$1822)))+
(($F$1817)*(($F$1821)/($F$1818+$F$1819+$F$1820+$F$1821+$F$1822)))+
(($F$1817)*(($F$1822)/($F$1818+$F$1819+$F$1820+$F$1821+$F$1822)))+
($F$1816))))
/(($F$1803)+($F$1804)+($F$1805)+($F$1806)+($F$1807)+($F$1808)+
(($F$1809)*(($F$1810)/($F$1810+$F$1811+$F$1812+$F$1813+$F$1814)))+
(($F$1809)*(($F$1811)/($F$1810+$F$1811+$F$1812+$F$1813+$F$1814)))+
(($F$1809)*(($F$1812)/($F$1810+$F$1811+$F$1812+$F$1813+$F$1814)))+
(($F$1809)*(($F$1813)/($F$1810+$F$1811+$F$1812+$F$1813+$F$1814)))+
(($F$1809)*(($F$1814)/($F$1810+$F$1811+$F$1812+$F$1813+$F$1814)))+
(($F$1815)*(($F$1816)/((($F$1817)*(($F$1818)/($F$1818+$F$1819+$F$1820+$F$1821+$F$1822)))+
(($F$1817)*(($F$1819)/($F$1818+$F$1819+$F$1820+$F$1821+$F$1822)))+
(($F$1817)*(($F$1820)/($F$1818+$F$1819+$F$1820+$F$1821+$F$1822)))+
(($F$1817)*(($F$1821)/($F$1818+$F$1819+$F$1820+$F$1821+$F$1822)))+
(($F$1817)*(($F$1822)/($F$1818+$F$1819+$F$1820+$F$1821+$F$1822)))+
($F$1816))))+
(($F$1815)*((($F$1817)*(($F$1818)/($F$1818+$F$1819+$F$1820+$F$1821+$F$1822)))
/((($F$1817)*(($F$1818)/($F$1818+$F$1819+$F$1820+$F$1821+$F$1822)))+
(($F$1817)*(($F$1819)/($F$1818+$F$1819+$F$1820+$F$1821+$F$1822)))+
(($F$1817)*(($F$1820)/($F$1818+$F$1819+$F$1820+$F$1821+$F$1822)))+
(($F$1817)*(($F$1821)/($F$1818+$F$1819+$F$1820+$F$1821+$F$1822)))+
(($F$1817)*(($F$1822)/($F$1818+$F$1819+$F$1820+$F$1821+$F$1822)))+
($F$1816))))+
(($F$1815)*((($F$1817)*(($F$1819)/($F$1818+$F$1819+$F$1820+$F$1821+$F$1822)))
/((($F$1817)*(($F$1818)/($F$1818+$F$1819+$F$1820+$F$1821+$F$1822)))+
(($F$1817)*(($F$1819)/($F$1818+$F$1819+$F$1820+$F$1821+$F$1822)))+
(($F$1817)*(($F$1820)/($F$1818+$F$1819+$F$1820+$F$1821+$F$1822)))+
(($F$1817)*(($F$1821)/($F$1818+$F$1819+$F$1820+$F$1821+$F$1822)))+
(($F$1817)*(($F$1822)/($F$1818+$F$1819+$F$1820+$F$1821+$F$1822)))+
($F$1816))))+
(($F$1815)*((($F$1817)*(($F$1820)/($F$1818+$F$1819+$F$1820+$F$1821+$F$1822)))
/((($F$1817)*(($F$1818)/($F$1818+$F$1819+$F$1820+$F$1821+$F$1822)))+
(($F$1817)*(($F$1819)/($F$1818+$F$1819+$F$1820+$F$1821+$F$1822)))+
(($F$1817)*(($F$1820)/($F$1818+$F$1819+$F$1820+$F$1821+$F$1822)))+
(($F$1817)*(($F$1821)/($F$1818+$F$1819+$F$1820+$F$1821+$F$1822)))+
(($F$1817)*(($F$1822)/($F$1818+$F$1819+$F$1820+$F$1821+$F$1822)))+
($F$1816))))+
(($F$1815)*((($F$1817)*(($F$1821)/($F$1818+$F$1819+$F$1820+$F$1821+$F$1822)))
/((($F$1817)*(($F$1818)/($F$1818+$F$1819+$F$1820+$F$1821+$F$1822)))+
(($F$1817)*(($F$1819)/($F$1818+$F$1819+$F$1820+$F$1821+$F$1822)))+
(($F$1817)*(($F$1820)/($F$1818+$F$1819+$F$1820+$F$1821+$F$1822)))+
(($F$1817)*(($F$1821)/($F$1818+$F$1819+$F$1820+$F$1821+$F$1822)))+
(($F$1817)*(($F$1822)/($F$1818+$F$1819+$F$1820+$F$1821+$F$1822)))+
($F$1816))))+
(($F$1815)*((($F$1817)*(($F$1822)/($F$1818+$F$1819+$F$1820+$F$1821+$F$1822)))
/((($F$1817)*(($F$1818)/($F$1818+$F$1819+$F$1820+$F$1821+$F$1822)))+
(($F$1817)*(($F$1819)/($F$1818+$F$1819+$F$1820+$F$1821+$F$1822)))+
(($F$1817)*(($F$1820)/($F$1818+$F$1819+$F$1820+$F$1821+$F$1822)))+
(($F$1817)*(($F$1821)/($F$1818+$F$1819+$F$1820+$F$1821+$F$1822)))+
(($F$1817)*(($F$1822)/($F$1818+$F$1819+$F$1820+$F$1821+$F$1822)))+
($F$1816))))))),2)</f>
        <v>0.09</v>
      </c>
      <c r="I1821" s="22" t="s">
        <v>73</v>
      </c>
      <c r="J1821" s="330"/>
      <c r="K1821" s="681">
        <f t="shared" si="257"/>
        <v>2.4299999999999997</v>
      </c>
      <c r="L1821" s="535"/>
      <c r="M1821" s="552" t="str">
        <f t="shared" si="254"/>
        <v/>
      </c>
      <c r="N1821" s="552"/>
      <c r="O1821" s="552" t="str">
        <f t="shared" si="255"/>
        <v/>
      </c>
      <c r="P1821" s="39"/>
    </row>
    <row r="1822" spans="1:16" x14ac:dyDescent="0.35">
      <c r="A1822" s="535" t="str">
        <f t="shared" si="256"/>
        <v/>
      </c>
      <c r="B1822" s="337"/>
      <c r="C1822" s="337"/>
      <c r="D1822" s="326" t="s">
        <v>51</v>
      </c>
      <c r="E1822" s="663" t="s">
        <v>98</v>
      </c>
      <c r="F1822" s="18">
        <v>50</v>
      </c>
      <c r="G1822" s="18" t="s">
        <v>73</v>
      </c>
      <c r="H1822" s="335">
        <f>ROUND((($F$1802)*(
(($F$1815)*((($F$1817)*(($F$1822)/($F$1818+$F$1819+$F$1820+$F$1821+$F$1822)))
/((($F$1817)*(($F$1818)/($F$1818+$F$1819+$F$1820+$F$1821+$F$1822)))+
(($F$1817)*(($F$1819)/($F$1818+$F$1819+$F$1820+$F$1821+$F$1822)))+
(($F$1817)*(($F$1820)/($F$1818+$F$1819+$F$1820+$F$1821+$F$1822)))+
(($F$1817)*(($F$1821)/($F$1818+$F$1819+$F$1820+$F$1821+$F$1822)))+
(($F$1817)*(($F$1822)/($F$1818+$F$1819+$F$1820+$F$1821+$F$1822)))+
($F$1816))))
/(($F$1803)+($F$1804)+($F$1805)+($F$1806)+($F$1807)+($F$1808)+
(($F$1809)*(($F$1810)/($F$1810+$F$1811+$F$1812+$F$1813+$F$1814)))+
(($F$1809)*(($F$1811)/($F$1810+$F$1811+$F$1812+$F$1813+$F$1814)))+
(($F$1809)*(($F$1812)/($F$1810+$F$1811+$F$1812+$F$1813+$F$1814)))+
(($F$1809)*(($F$1813)/($F$1810+$F$1811+$F$1812+$F$1813+$F$1814)))+
(($F$1809)*(($F$1814)/($F$1810+$F$1811+$F$1812+$F$1813+$F$1814)))+
(($F$1815)*(($F$1816)/((($F$1817)*(($F$1818)/($F$1818+$F$1819+$F$1820+$F$1821+$F$1822)))+
(($F$1817)*(($F$1819)/($F$1818+$F$1819+$F$1820+$F$1821+$F$1822)))+
(($F$1817)*(($F$1820)/($F$1818+$F$1819+$F$1820+$F$1821+$F$1822)))+
(($F$1817)*(($F$1821)/($F$1818+$F$1819+$F$1820+$F$1821+$F$1822)))+
(($F$1817)*(($F$1822)/($F$1818+$F$1819+$F$1820+$F$1821+$F$1822)))+
($F$1816))))+
(($F$1815)*((($F$1817)*(($F$1818)/($F$1818+$F$1819+$F$1820+$F$1821+$F$1822)))
/((($F$1817)*(($F$1818)/($F$1818+$F$1819+$F$1820+$F$1821+$F$1822)))+
(($F$1817)*(($F$1819)/($F$1818+$F$1819+$F$1820+$F$1821+$F$1822)))+
(($F$1817)*(($F$1820)/($F$1818+$F$1819+$F$1820+$F$1821+$F$1822)))+
(($F$1817)*(($F$1821)/($F$1818+$F$1819+$F$1820+$F$1821+$F$1822)))+
(($F$1817)*(($F$1822)/($F$1818+$F$1819+$F$1820+$F$1821+$F$1822)))+
($F$1816))))+
(($F$1815)*((($F$1817)*(($F$1819)/($F$1818+$F$1819+$F$1820+$F$1821+$F$1822)))
/((($F$1817)*(($F$1818)/($F$1818+$F$1819+$F$1820+$F$1821+$F$1822)))+
(($F$1817)*(($F$1819)/($F$1818+$F$1819+$F$1820+$F$1821+$F$1822)))+
(($F$1817)*(($F$1820)/($F$1818+$F$1819+$F$1820+$F$1821+$F$1822)))+
(($F$1817)*(($F$1821)/($F$1818+$F$1819+$F$1820+$F$1821+$F$1822)))+
(($F$1817)*(($F$1822)/($F$1818+$F$1819+$F$1820+$F$1821+$F$1822)))+
($F$1816))))+
(($F$1815)*((($F$1817)*(($F$1820)/($F$1818+$F$1819+$F$1820+$F$1821+$F$1822)))
/((($F$1817)*(($F$1818)/($F$1818+$F$1819+$F$1820+$F$1821+$F$1822)))+
(($F$1817)*(($F$1819)/($F$1818+$F$1819+$F$1820+$F$1821+$F$1822)))+
(($F$1817)*(($F$1820)/($F$1818+$F$1819+$F$1820+$F$1821+$F$1822)))+
(($F$1817)*(($F$1821)/($F$1818+$F$1819+$F$1820+$F$1821+$F$1822)))+
(($F$1817)*(($F$1822)/($F$1818+$F$1819+$F$1820+$F$1821+$F$1822)))+
($F$1816))))+
(($F$1815)*((($F$1817)*(($F$1821)/($F$1818+$F$1819+$F$1820+$F$1821+$F$1822)))
/((($F$1817)*(($F$1818)/($F$1818+$F$1819+$F$1820+$F$1821+$F$1822)))+
(($F$1817)*(($F$1819)/($F$1818+$F$1819+$F$1820+$F$1821+$F$1822)))+
(($F$1817)*(($F$1820)/($F$1818+$F$1819+$F$1820+$F$1821+$F$1822)))+
(($F$1817)*(($F$1821)/($F$1818+$F$1819+$F$1820+$F$1821+$F$1822)))+
(($F$1817)*(($F$1822)/($F$1818+$F$1819+$F$1820+$F$1821+$F$1822)))+
($F$1816))))+
(($F$1815)*((($F$1817)*(($F$1822)/($F$1818+$F$1819+$F$1820+$F$1821+$F$1822)))
/((($F$1817)*(($F$1818)/($F$1818+$F$1819+$F$1820+$F$1821+$F$1822)))+
(($F$1817)*(($F$1819)/($F$1818+$F$1819+$F$1820+$F$1821+$F$1822)))+
(($F$1817)*(($F$1820)/($F$1818+$F$1819+$F$1820+$F$1821+$F$1822)))+
(($F$1817)*(($F$1821)/($F$1818+$F$1819+$F$1820+$F$1821+$F$1822)))+
(($F$1817)*(($F$1822)/($F$1818+$F$1819+$F$1820+$F$1821+$F$1822)))+
($F$1816))))))),2)</f>
        <v>0.09</v>
      </c>
      <c r="I1822" s="18" t="s">
        <v>73</v>
      </c>
      <c r="J1822" s="337"/>
      <c r="K1822" s="680">
        <f t="shared" si="257"/>
        <v>2.4299999999999997</v>
      </c>
      <c r="L1822" s="535"/>
      <c r="M1822" s="552" t="str">
        <f t="shared" si="254"/>
        <v/>
      </c>
      <c r="N1822" s="552"/>
      <c r="O1822" s="552" t="str">
        <f t="shared" si="255"/>
        <v/>
      </c>
      <c r="P1822" s="39"/>
    </row>
    <row r="1823" spans="1:16" x14ac:dyDescent="0.35">
      <c r="A1823" s="535" t="str">
        <f t="shared" si="256"/>
        <v/>
      </c>
      <c r="B1823" s="330"/>
      <c r="C1823" s="330"/>
      <c r="D1823" s="355"/>
      <c r="E1823" s="355" t="s">
        <v>85</v>
      </c>
      <c r="F1823" s="378">
        <v>0.3</v>
      </c>
      <c r="G1823" s="378" t="s">
        <v>73</v>
      </c>
      <c r="H1823" s="515"/>
      <c r="I1823" s="378"/>
      <c r="J1823" s="515"/>
      <c r="K1823" s="684"/>
      <c r="L1823" s="535"/>
      <c r="M1823" s="552" t="str">
        <f t="shared" si="254"/>
        <v/>
      </c>
      <c r="N1823" s="552"/>
      <c r="O1823" s="552" t="str">
        <f t="shared" si="255"/>
        <v/>
      </c>
      <c r="P1823" s="39"/>
    </row>
    <row r="1824" spans="1:16" x14ac:dyDescent="0.35">
      <c r="A1824" s="535" t="str">
        <f t="shared" si="256"/>
        <v/>
      </c>
      <c r="B1824" s="337"/>
      <c r="C1824" s="337"/>
      <c r="D1824" s="326" t="s">
        <v>52</v>
      </c>
      <c r="E1824" s="425" t="s">
        <v>106</v>
      </c>
      <c r="F1824" s="18">
        <v>5</v>
      </c>
      <c r="G1824" s="18" t="s">
        <v>73</v>
      </c>
      <c r="H1824" s="335">
        <f>ROUND(($F$1823)*(($F$1824)/((($F$1825)*(($F$1826)/($F$1826+$F$1827)))+
(($F$1825)*(($F$1827)/($F$1826+$F$1827)))+
($F$1824))),2)</f>
        <v>0.06</v>
      </c>
      <c r="I1824" s="18" t="s">
        <v>73</v>
      </c>
      <c r="J1824" s="337"/>
      <c r="K1824" s="680">
        <f t="shared" si="257"/>
        <v>1.6199999999999999</v>
      </c>
      <c r="L1824" s="535"/>
      <c r="M1824" s="552" t="str">
        <f t="shared" si="254"/>
        <v/>
      </c>
      <c r="N1824" s="552"/>
      <c r="O1824" s="552" t="str">
        <f t="shared" si="255"/>
        <v/>
      </c>
      <c r="P1824" s="39"/>
    </row>
    <row r="1825" spans="1:16" x14ac:dyDescent="0.35">
      <c r="A1825" s="535" t="str">
        <f t="shared" si="256"/>
        <v/>
      </c>
      <c r="B1825" s="330"/>
      <c r="C1825" s="330"/>
      <c r="D1825" s="355"/>
      <c r="E1825" s="416" t="s">
        <v>23</v>
      </c>
      <c r="F1825" s="378">
        <v>20</v>
      </c>
      <c r="G1825" s="378" t="s">
        <v>73</v>
      </c>
      <c r="H1825" s="356"/>
      <c r="I1825" s="378"/>
      <c r="J1825" s="515"/>
      <c r="K1825" s="684"/>
      <c r="L1825" s="535"/>
      <c r="M1825" s="552" t="str">
        <f t="shared" si="254"/>
        <v/>
      </c>
      <c r="N1825" s="552"/>
      <c r="O1825" s="552" t="str">
        <f t="shared" si="255"/>
        <v/>
      </c>
      <c r="P1825" s="39"/>
    </row>
    <row r="1826" spans="1:16" x14ac:dyDescent="0.35">
      <c r="A1826" s="535" t="str">
        <f t="shared" si="256"/>
        <v/>
      </c>
      <c r="B1826" s="337"/>
      <c r="C1826" s="337"/>
      <c r="D1826" s="326" t="s">
        <v>43</v>
      </c>
      <c r="E1826" s="360" t="s">
        <v>94</v>
      </c>
      <c r="F1826" s="18">
        <v>85</v>
      </c>
      <c r="G1826" s="18" t="s">
        <v>73</v>
      </c>
      <c r="H1826" s="335">
        <f>ROUND(($F$1823)*((($F$1825)*(($F$1826)/($F$1826+$F$1827)))
/((($F$1825)*(($F$1826)/($F$1826+$F$1827)))+
(($F$1825)*(($F$1827)/($F$1826+$F$1827)))+
($F$1824))),2)</f>
        <v>0.2</v>
      </c>
      <c r="I1826" s="18" t="s">
        <v>73</v>
      </c>
      <c r="J1826" s="337"/>
      <c r="K1826" s="680">
        <f t="shared" si="257"/>
        <v>5.4</v>
      </c>
      <c r="L1826" s="535"/>
      <c r="M1826" s="552" t="str">
        <f t="shared" si="254"/>
        <v/>
      </c>
      <c r="N1826" s="552"/>
      <c r="O1826" s="552" t="str">
        <f t="shared" si="255"/>
        <v/>
      </c>
      <c r="P1826" s="39"/>
    </row>
    <row r="1827" spans="1:16" x14ac:dyDescent="0.35">
      <c r="A1827" s="535" t="str">
        <f t="shared" si="256"/>
        <v/>
      </c>
      <c r="B1827" s="330"/>
      <c r="C1827" s="330"/>
      <c r="D1827" s="417" t="s">
        <v>42</v>
      </c>
      <c r="E1827" s="366" t="s">
        <v>95</v>
      </c>
      <c r="F1827" s="22">
        <v>15</v>
      </c>
      <c r="G1827" s="22" t="s">
        <v>73</v>
      </c>
      <c r="H1827" s="328">
        <f>ROUND(($F$1823)*((($F$1825)*(($F$1827)/($F$1826+$F$1827)))
/((($F$1825)*(($F$1826)/($F$1826+$F$1827)))+
(($F$1825)*(($F$1827)/($F$1826+$F$1827)))+
($F$1824))),2)</f>
        <v>0.04</v>
      </c>
      <c r="I1827" s="22" t="s">
        <v>73</v>
      </c>
      <c r="J1827" s="330"/>
      <c r="K1827" s="681">
        <f t="shared" si="257"/>
        <v>1.08</v>
      </c>
      <c r="L1827" s="535"/>
      <c r="M1827" s="552" t="str">
        <f t="shared" si="254"/>
        <v/>
      </c>
      <c r="N1827" s="552"/>
      <c r="O1827" s="552" t="str">
        <f t="shared" si="255"/>
        <v/>
      </c>
      <c r="P1827" s="39"/>
    </row>
    <row r="1828" spans="1:16" x14ac:dyDescent="0.35">
      <c r="A1828" s="535" t="str">
        <f t="shared" si="256"/>
        <v/>
      </c>
      <c r="B1828" s="337"/>
      <c r="C1828" s="337"/>
      <c r="D1828" s="539"/>
      <c r="E1828" s="549" t="s">
        <v>991</v>
      </c>
      <c r="F1828" s="378">
        <v>20</v>
      </c>
      <c r="G1828" s="378" t="s">
        <v>73</v>
      </c>
      <c r="H1828" s="356"/>
      <c r="I1828" s="378"/>
      <c r="J1828" s="515"/>
      <c r="K1828" s="684"/>
      <c r="L1828" s="535"/>
      <c r="M1828" s="552" t="str">
        <f t="shared" si="254"/>
        <v/>
      </c>
      <c r="N1828" s="552"/>
      <c r="O1828" s="552" t="str">
        <f t="shared" si="255"/>
        <v/>
      </c>
      <c r="P1828" s="39"/>
    </row>
    <row r="1829" spans="1:16" x14ac:dyDescent="0.35">
      <c r="A1829" s="535" t="str">
        <f t="shared" si="256"/>
        <v/>
      </c>
      <c r="B1829" s="330"/>
      <c r="C1829" s="330"/>
      <c r="D1829" s="326" t="s">
        <v>377</v>
      </c>
      <c r="E1829" s="475" t="s">
        <v>975</v>
      </c>
      <c r="F1829" s="328">
        <v>1000</v>
      </c>
      <c r="G1829" s="22" t="s">
        <v>73</v>
      </c>
      <c r="H1829" s="328">
        <f>ROUND(($F$1828)*((F1829)/(($F$1831)*(($F$1832)/($F$1832+$F$1833+$F$1834))+
($F$1831)*(($F$1833)/($F$1832+$F$1833+$F$1834))+
($F$1831)*(($F$1834)/($F$1832+$F$1833+$F$1834))+
($F$1829)+($F$1830))),2)</f>
        <v>16.39</v>
      </c>
      <c r="I1829" s="22" t="s">
        <v>73</v>
      </c>
      <c r="J1829" s="330"/>
      <c r="K1829" s="681">
        <f t="shared" si="257"/>
        <v>442.53000000000003</v>
      </c>
      <c r="L1829" s="535"/>
      <c r="M1829" s="552" t="str">
        <f t="shared" si="254"/>
        <v/>
      </c>
      <c r="N1829" s="552"/>
      <c r="O1829" s="552" t="str">
        <f t="shared" si="255"/>
        <v/>
      </c>
      <c r="P1829" s="39"/>
    </row>
    <row r="1830" spans="1:16" x14ac:dyDescent="0.35">
      <c r="A1830" s="535" t="str">
        <f t="shared" si="256"/>
        <v/>
      </c>
      <c r="B1830" s="337"/>
      <c r="C1830" s="337"/>
      <c r="D1830" s="326" t="s">
        <v>43</v>
      </c>
      <c r="E1830" s="419" t="s">
        <v>105</v>
      </c>
      <c r="F1830" s="335">
        <v>20</v>
      </c>
      <c r="G1830" s="18" t="s">
        <v>73</v>
      </c>
      <c r="H1830" s="335">
        <f>ROUND(($F$1828)*((F1830)/(($F$1831)*(($F$1832)/($F$1832+$F$1833+$F$1834))+
($F$1831)*(($F$1833)/($F$1832+$F$1833+$F$1834))+
($F$1831)*(($F$1834)/($F$1832+$F$1833+$F$1834))+
($F$1829)+($F$1830))),2)</f>
        <v>0.33</v>
      </c>
      <c r="I1830" s="18" t="s">
        <v>73</v>
      </c>
      <c r="J1830" s="337"/>
      <c r="K1830" s="680">
        <f t="shared" si="257"/>
        <v>8.91</v>
      </c>
      <c r="L1830" s="535"/>
      <c r="M1830" s="552" t="str">
        <f t="shared" si="254"/>
        <v/>
      </c>
      <c r="N1830" s="552"/>
      <c r="O1830" s="552" t="str">
        <f t="shared" si="255"/>
        <v/>
      </c>
      <c r="P1830" s="39"/>
    </row>
    <row r="1831" spans="1:16" x14ac:dyDescent="0.35">
      <c r="A1831" s="535" t="str">
        <f t="shared" si="256"/>
        <v/>
      </c>
      <c r="B1831" s="330"/>
      <c r="C1831" s="330"/>
      <c r="D1831" s="355"/>
      <c r="E1831" s="556" t="s">
        <v>889</v>
      </c>
      <c r="F1831" s="356">
        <v>200</v>
      </c>
      <c r="G1831" s="378" t="s">
        <v>73</v>
      </c>
      <c r="H1831" s="356"/>
      <c r="I1831" s="378"/>
      <c r="J1831" s="515"/>
      <c r="K1831" s="684"/>
      <c r="L1831" s="535"/>
      <c r="M1831" s="552" t="str">
        <f t="shared" si="254"/>
        <v/>
      </c>
      <c r="N1831" s="552"/>
      <c r="O1831" s="552" t="str">
        <f t="shared" si="255"/>
        <v/>
      </c>
      <c r="P1831" s="39"/>
    </row>
    <row r="1832" spans="1:16" x14ac:dyDescent="0.35">
      <c r="A1832" s="535" t="str">
        <f t="shared" si="256"/>
        <v/>
      </c>
      <c r="B1832" s="337"/>
      <c r="C1832" s="337"/>
      <c r="D1832" s="342"/>
      <c r="E1832" s="660" t="s">
        <v>81</v>
      </c>
      <c r="F1832" s="343">
        <v>200</v>
      </c>
      <c r="G1832" s="404" t="s">
        <v>73</v>
      </c>
      <c r="H1832" s="343">
        <f>ROUND(($F$1828)*(($F$1831)*(($F$1832)/($F$1832+$F$1833+$F$1834))
/(($F$1831)*(($F$1832)/($F$1832+$F$1833+$F$1834))+
($F$1831)*(($F$1833)/($F$1832+$F$1833+$F$1834))+
($F$1831)*(($F$1834)/($F$1832+$F$1833+$F$1834))+
($F$1829)+($F$1830))),2)</f>
        <v>1.37</v>
      </c>
      <c r="I1832" s="404"/>
      <c r="J1832" s="345"/>
      <c r="K1832" s="685"/>
      <c r="L1832" s="535"/>
      <c r="M1832" s="552" t="str">
        <f t="shared" si="254"/>
        <v/>
      </c>
      <c r="N1832" s="552"/>
      <c r="O1832" s="552" t="str">
        <f t="shared" si="255"/>
        <v/>
      </c>
      <c r="P1832" s="39"/>
    </row>
    <row r="1833" spans="1:16" x14ac:dyDescent="0.35">
      <c r="A1833" s="535" t="str">
        <f t="shared" si="256"/>
        <v/>
      </c>
      <c r="B1833" s="330"/>
      <c r="C1833" s="330"/>
      <c r="D1833" s="326" t="s">
        <v>333</v>
      </c>
      <c r="E1833" s="661" t="s">
        <v>334</v>
      </c>
      <c r="F1833" s="328">
        <v>250</v>
      </c>
      <c r="G1833" s="22" t="s">
        <v>73</v>
      </c>
      <c r="H1833" s="328">
        <f>ROUND(($F$1828)*(($F$1831)*(($F$1833)/($F$1832+$F$1833+$F$1834))
/(($F$1831)*(($F$1832)/($F$1832+$F$1833+$F$1834))+
($F$1831)*(($F$1833)/($F$1832+$F$1833+$F$1834))+
($F$1831)*(($F$1834)/($F$1832+$F$1833+$F$1834))+
($F$1829)+($F$1830))),2)</f>
        <v>1.71</v>
      </c>
      <c r="I1833" s="22" t="s">
        <v>73</v>
      </c>
      <c r="J1833" s="330"/>
      <c r="K1833" s="681">
        <f t="shared" si="257"/>
        <v>46.17</v>
      </c>
      <c r="L1833" s="535"/>
      <c r="M1833" s="552" t="str">
        <f t="shared" si="254"/>
        <v/>
      </c>
      <c r="N1833" s="552"/>
      <c r="O1833" s="552" t="str">
        <f t="shared" si="255"/>
        <v/>
      </c>
      <c r="P1833" s="39"/>
    </row>
    <row r="1834" spans="1:16" x14ac:dyDescent="0.35">
      <c r="A1834" s="535" t="str">
        <f t="shared" si="256"/>
        <v/>
      </c>
      <c r="B1834" s="337"/>
      <c r="C1834" s="337"/>
      <c r="D1834" s="326" t="s">
        <v>529</v>
      </c>
      <c r="E1834" s="659" t="s">
        <v>530</v>
      </c>
      <c r="F1834" s="335">
        <v>30</v>
      </c>
      <c r="G1834" s="18" t="s">
        <v>73</v>
      </c>
      <c r="H1834" s="335">
        <f>ROUND(($F$1828)*(($F$1831)*(($F$1834)/($F$1832+$F$1833+$F$1834))
/(($F$1831)*(($F$1832)/($F$1832+$F$1833+$F$1834))+
($F$1831)*(($F$1833)/($F$1832+$F$1833+$F$1834))+
($F$1831)*(($F$1834)/($F$1832+$F$1833+$F$1834))+
($F$1829)+($F$1830))),2)</f>
        <v>0.2</v>
      </c>
      <c r="I1834" s="18" t="s">
        <v>73</v>
      </c>
      <c r="J1834" s="337"/>
      <c r="K1834" s="680">
        <f t="shared" si="257"/>
        <v>5.4</v>
      </c>
      <c r="L1834" s="535"/>
      <c r="M1834" s="552" t="str">
        <f t="shared" ref="M1834:M1897" si="260">IF(Q1838&gt;0, Q1838, "")</f>
        <v/>
      </c>
      <c r="N1834" s="552"/>
      <c r="O1834" s="552" t="str">
        <f t="shared" ref="O1834:O1897" si="261">IF(V1839&gt;0, V1839, "")</f>
        <v/>
      </c>
      <c r="P1834" s="39"/>
    </row>
    <row r="1835" spans="1:16" x14ac:dyDescent="0.35">
      <c r="A1835" s="545" t="str">
        <f t="shared" si="256"/>
        <v/>
      </c>
      <c r="B1835" s="546"/>
      <c r="C1835" s="546"/>
      <c r="D1835" s="545"/>
      <c r="E1835" s="545"/>
      <c r="F1835" s="546"/>
      <c r="G1835" s="546"/>
      <c r="H1835" s="546"/>
      <c r="I1835" s="546"/>
      <c r="J1835" s="546"/>
      <c r="K1835" s="676"/>
      <c r="L1835" s="545"/>
      <c r="M1835" s="546" t="str">
        <f t="shared" si="260"/>
        <v/>
      </c>
      <c r="N1835" s="546"/>
      <c r="O1835" s="546" t="str">
        <f t="shared" si="261"/>
        <v/>
      </c>
      <c r="P1835" s="39"/>
    </row>
    <row r="1836" spans="1:16" x14ac:dyDescent="0.35">
      <c r="A1836" s="565">
        <f>IFERROR(INDEX($Q$17:$Q$201,MATCH(B1836,$R$17:$R$201, 0)), "")</f>
        <v>28</v>
      </c>
      <c r="B1836" s="382" t="s">
        <v>1302</v>
      </c>
      <c r="C1836" s="325" t="s">
        <v>998</v>
      </c>
      <c r="D1836" s="326" t="s">
        <v>50</v>
      </c>
      <c r="E1836" s="334" t="s">
        <v>992</v>
      </c>
      <c r="F1836" s="18">
        <v>70</v>
      </c>
      <c r="G1836" s="18" t="s">
        <v>73</v>
      </c>
      <c r="H1836" s="18">
        <v>70</v>
      </c>
      <c r="I1836" s="18" t="s">
        <v>73</v>
      </c>
      <c r="J1836" s="337"/>
      <c r="K1836" s="680">
        <f>(A1836*H1836)</f>
        <v>1960</v>
      </c>
      <c r="L1836" s="535"/>
      <c r="M1836" s="552" t="str">
        <f t="shared" si="260"/>
        <v/>
      </c>
      <c r="N1836" s="552"/>
      <c r="O1836" s="552" t="str">
        <f t="shared" si="261"/>
        <v/>
      </c>
      <c r="P1836" s="39"/>
    </row>
    <row r="1837" spans="1:16" x14ac:dyDescent="0.35">
      <c r="A1837" s="535" t="str">
        <f t="shared" si="256"/>
        <v/>
      </c>
      <c r="B1837" s="330"/>
      <c r="C1837" s="330"/>
      <c r="D1837" s="326" t="s">
        <v>369</v>
      </c>
      <c r="E1837" s="327" t="s">
        <v>995</v>
      </c>
      <c r="F1837" s="22">
        <v>40</v>
      </c>
      <c r="G1837" s="22" t="s">
        <v>73</v>
      </c>
      <c r="H1837" s="22">
        <v>40</v>
      </c>
      <c r="I1837" s="22" t="s">
        <v>73</v>
      </c>
      <c r="J1837" s="330"/>
      <c r="K1837" s="681">
        <f>(A1836*H1837)</f>
        <v>1120</v>
      </c>
      <c r="L1837" s="535"/>
      <c r="M1837" s="552" t="str">
        <f t="shared" si="260"/>
        <v/>
      </c>
      <c r="N1837" s="552"/>
      <c r="O1837" s="552" t="str">
        <f t="shared" si="261"/>
        <v/>
      </c>
      <c r="P1837" s="39"/>
    </row>
    <row r="1838" spans="1:16" x14ac:dyDescent="0.35">
      <c r="A1838" s="593" t="str">
        <f>IFERROR(INDEX($Q$17:$Q$41,MATCH(B1838,$R$17:$R$41, 0)), "")</f>
        <v/>
      </c>
      <c r="B1838" s="337"/>
      <c r="C1838" s="337"/>
      <c r="D1838" s="326" t="s">
        <v>670</v>
      </c>
      <c r="E1838" s="334" t="s">
        <v>999</v>
      </c>
      <c r="F1838" s="18">
        <v>20</v>
      </c>
      <c r="G1838" s="18" t="s">
        <v>73</v>
      </c>
      <c r="H1838" s="18">
        <v>20</v>
      </c>
      <c r="I1838" s="18" t="s">
        <v>73</v>
      </c>
      <c r="J1838" s="337"/>
      <c r="K1838" s="680">
        <f>(A1836*H1838)</f>
        <v>560</v>
      </c>
      <c r="L1838" s="535"/>
      <c r="M1838" s="552" t="str">
        <f t="shared" si="260"/>
        <v/>
      </c>
      <c r="N1838" s="552"/>
      <c r="O1838" s="552" t="str">
        <f t="shared" si="261"/>
        <v/>
      </c>
      <c r="P1838" s="39"/>
    </row>
    <row r="1839" spans="1:16" x14ac:dyDescent="0.35">
      <c r="A1839" s="535" t="str">
        <f t="shared" si="256"/>
        <v/>
      </c>
      <c r="B1839" s="330"/>
      <c r="C1839" s="330"/>
      <c r="D1839" s="326" t="s">
        <v>489</v>
      </c>
      <c r="E1839" s="327" t="s">
        <v>996</v>
      </c>
      <c r="F1839" s="22">
        <v>100</v>
      </c>
      <c r="G1839" s="22" t="s">
        <v>73</v>
      </c>
      <c r="H1839" s="22">
        <v>100</v>
      </c>
      <c r="I1839" s="22" t="s">
        <v>73</v>
      </c>
      <c r="J1839" s="330"/>
      <c r="K1839" s="681">
        <f>(A1836*H1839)</f>
        <v>2800</v>
      </c>
      <c r="L1839" s="535"/>
      <c r="M1839" s="552" t="str">
        <f t="shared" si="260"/>
        <v/>
      </c>
      <c r="N1839" s="552"/>
      <c r="O1839" s="552" t="str">
        <f t="shared" si="261"/>
        <v/>
      </c>
      <c r="P1839" s="39"/>
    </row>
    <row r="1840" spans="1:16" x14ac:dyDescent="0.35">
      <c r="A1840" s="535" t="str">
        <f t="shared" ref="A1840:A1911" si="262">IFERROR(INDEX($Q$17:$Q$41,MATCH(B1840,$R$17:$R$41, 0)), "")</f>
        <v/>
      </c>
      <c r="B1840" s="337"/>
      <c r="C1840" s="337"/>
      <c r="D1840" s="326" t="s">
        <v>676</v>
      </c>
      <c r="E1840" s="334" t="s">
        <v>677</v>
      </c>
      <c r="F1840" s="18">
        <v>15</v>
      </c>
      <c r="G1840" s="18" t="s">
        <v>73</v>
      </c>
      <c r="H1840" s="18">
        <v>15</v>
      </c>
      <c r="I1840" s="18" t="s">
        <v>73</v>
      </c>
      <c r="J1840" s="337"/>
      <c r="K1840" s="680">
        <f>(A1836*H1840)</f>
        <v>420</v>
      </c>
      <c r="L1840" s="535"/>
      <c r="M1840" s="552" t="str">
        <f t="shared" si="260"/>
        <v/>
      </c>
      <c r="N1840" s="552"/>
      <c r="O1840" s="552" t="str">
        <f t="shared" si="261"/>
        <v/>
      </c>
      <c r="P1840" s="39"/>
    </row>
    <row r="1841" spans="1:16" x14ac:dyDescent="0.35">
      <c r="A1841" s="535" t="str">
        <f t="shared" si="262"/>
        <v/>
      </c>
      <c r="B1841" s="330"/>
      <c r="C1841" s="330"/>
      <c r="D1841" s="326" t="s">
        <v>445</v>
      </c>
      <c r="E1841" s="327" t="s">
        <v>446</v>
      </c>
      <c r="F1841" s="22">
        <v>8</v>
      </c>
      <c r="G1841" s="22" t="s">
        <v>74</v>
      </c>
      <c r="H1841" s="22">
        <v>8</v>
      </c>
      <c r="I1841" s="22" t="s">
        <v>74</v>
      </c>
      <c r="J1841" s="330"/>
      <c r="K1841" s="681">
        <f>(A1836*H1841)</f>
        <v>224</v>
      </c>
      <c r="L1841" s="535"/>
      <c r="M1841" s="552" t="str">
        <f t="shared" si="260"/>
        <v/>
      </c>
      <c r="N1841" s="552"/>
      <c r="O1841" s="552" t="str">
        <f t="shared" si="261"/>
        <v/>
      </c>
      <c r="P1841" s="39"/>
    </row>
    <row r="1842" spans="1:16" x14ac:dyDescent="0.35">
      <c r="A1842" s="535" t="str">
        <f t="shared" si="262"/>
        <v/>
      </c>
      <c r="B1842" s="337"/>
      <c r="C1842" s="337"/>
      <c r="D1842" s="326" t="s">
        <v>48</v>
      </c>
      <c r="E1842" s="334" t="s">
        <v>809</v>
      </c>
      <c r="F1842" s="18">
        <v>20</v>
      </c>
      <c r="G1842" s="18" t="s">
        <v>73</v>
      </c>
      <c r="H1842" s="18">
        <v>20</v>
      </c>
      <c r="I1842" s="18" t="s">
        <v>73</v>
      </c>
      <c r="J1842" s="337"/>
      <c r="K1842" s="680">
        <f>(A1836*H1842)</f>
        <v>560</v>
      </c>
      <c r="L1842" s="535"/>
      <c r="M1842" s="552" t="str">
        <f t="shared" si="260"/>
        <v/>
      </c>
      <c r="N1842" s="552"/>
      <c r="O1842" s="552" t="str">
        <f t="shared" si="261"/>
        <v/>
      </c>
      <c r="P1842" s="39"/>
    </row>
    <row r="1843" spans="1:16" x14ac:dyDescent="0.35">
      <c r="A1843" s="535" t="str">
        <f t="shared" si="262"/>
        <v/>
      </c>
      <c r="B1843" s="330"/>
      <c r="C1843" s="330"/>
      <c r="D1843" s="355" t="s">
        <v>997</v>
      </c>
      <c r="E1843" s="355" t="s">
        <v>985</v>
      </c>
      <c r="F1843" s="378">
        <v>300</v>
      </c>
      <c r="G1843" s="378" t="s">
        <v>73</v>
      </c>
      <c r="H1843" s="356">
        <v>300</v>
      </c>
      <c r="I1843" s="378" t="s">
        <v>73</v>
      </c>
      <c r="J1843" s="515"/>
      <c r="K1843" s="684">
        <f>(A1836*H1843)</f>
        <v>8400</v>
      </c>
      <c r="L1843" s="535"/>
      <c r="M1843" s="552" t="str">
        <f t="shared" si="260"/>
        <v/>
      </c>
      <c r="N1843" s="552"/>
      <c r="O1843" s="552" t="str">
        <f t="shared" si="261"/>
        <v/>
      </c>
      <c r="P1843" s="39"/>
    </row>
    <row r="1844" spans="1:16" x14ac:dyDescent="0.35">
      <c r="A1844" s="535" t="str">
        <f t="shared" si="262"/>
        <v/>
      </c>
      <c r="B1844" s="337"/>
      <c r="C1844" s="337"/>
      <c r="D1844" s="326"/>
      <c r="E1844" s="360" t="s">
        <v>985</v>
      </c>
      <c r="F1844" s="18">
        <v>1000</v>
      </c>
      <c r="G1844" s="18" t="s">
        <v>73</v>
      </c>
      <c r="H1844" s="335">
        <f>ROUND((($F$1843)*((F1844)/($F$1844+$F$1845+$F$1846))),2)</f>
        <v>287.08</v>
      </c>
      <c r="I1844" s="18"/>
      <c r="J1844" s="337"/>
      <c r="K1844" s="680"/>
      <c r="L1844" s="535"/>
      <c r="M1844" s="552" t="str">
        <f t="shared" si="260"/>
        <v/>
      </c>
      <c r="N1844" s="552"/>
      <c r="O1844" s="552" t="str">
        <f t="shared" si="261"/>
        <v/>
      </c>
      <c r="P1844" s="39"/>
    </row>
    <row r="1845" spans="1:16" x14ac:dyDescent="0.35">
      <c r="A1845" s="535" t="str">
        <f t="shared" si="262"/>
        <v/>
      </c>
      <c r="B1845" s="330"/>
      <c r="C1845" s="330"/>
      <c r="D1845" s="326" t="s">
        <v>513</v>
      </c>
      <c r="E1845" s="366" t="s">
        <v>986</v>
      </c>
      <c r="F1845" s="22">
        <v>35</v>
      </c>
      <c r="G1845" s="22" t="s">
        <v>73</v>
      </c>
      <c r="H1845" s="328">
        <f t="shared" ref="H1845:H1846" si="263">ROUND((($F$1843)*((F1845)/($F$1844+$F$1845+$F$1846))),2)</f>
        <v>10.050000000000001</v>
      </c>
      <c r="I1845" s="22" t="s">
        <v>73</v>
      </c>
      <c r="J1845" s="330"/>
      <c r="K1845" s="681">
        <f>(A1836*H1845)</f>
        <v>281.40000000000003</v>
      </c>
      <c r="L1845" s="535"/>
      <c r="M1845" s="552" t="str">
        <f t="shared" si="260"/>
        <v/>
      </c>
      <c r="N1845" s="552"/>
      <c r="O1845" s="552" t="str">
        <f t="shared" si="261"/>
        <v/>
      </c>
      <c r="P1845" s="39"/>
    </row>
    <row r="1846" spans="1:16" x14ac:dyDescent="0.35">
      <c r="A1846" s="535" t="str">
        <f t="shared" si="262"/>
        <v/>
      </c>
      <c r="B1846" s="337"/>
      <c r="C1846" s="337"/>
      <c r="D1846" s="326" t="s">
        <v>43</v>
      </c>
      <c r="E1846" s="360" t="s">
        <v>768</v>
      </c>
      <c r="F1846" s="18">
        <v>10</v>
      </c>
      <c r="G1846" s="18" t="s">
        <v>73</v>
      </c>
      <c r="H1846" s="335">
        <f t="shared" si="263"/>
        <v>2.87</v>
      </c>
      <c r="I1846" s="18" t="s">
        <v>73</v>
      </c>
      <c r="J1846" s="337"/>
      <c r="K1846" s="680">
        <f>(A1836*H1846)</f>
        <v>80.36</v>
      </c>
      <c r="L1846" s="535"/>
      <c r="M1846" s="552" t="str">
        <f t="shared" si="260"/>
        <v/>
      </c>
      <c r="N1846" s="552"/>
      <c r="O1846" s="552" t="str">
        <f t="shared" si="261"/>
        <v/>
      </c>
      <c r="P1846" s="39"/>
    </row>
    <row r="1847" spans="1:16" x14ac:dyDescent="0.35">
      <c r="A1847" s="535" t="str">
        <f t="shared" si="262"/>
        <v/>
      </c>
      <c r="B1847" s="330"/>
      <c r="C1847" s="330"/>
      <c r="D1847" s="342"/>
      <c r="E1847" s="362" t="s">
        <v>81</v>
      </c>
      <c r="F1847" s="404">
        <v>100</v>
      </c>
      <c r="G1847" s="404" t="s">
        <v>73</v>
      </c>
      <c r="H1847" s="345"/>
      <c r="I1847" s="404"/>
      <c r="J1847" s="345"/>
      <c r="K1847" s="685"/>
      <c r="L1847" s="535"/>
      <c r="M1847" s="552" t="str">
        <f t="shared" si="260"/>
        <v/>
      </c>
      <c r="N1847" s="552"/>
      <c r="O1847" s="552" t="str">
        <f t="shared" si="261"/>
        <v/>
      </c>
      <c r="P1847" s="39"/>
    </row>
    <row r="1848" spans="1:16" x14ac:dyDescent="0.35">
      <c r="A1848" s="593" t="str">
        <f t="shared" ref="A1848:A1855" si="264">IFERROR(INDEX($Q$17:$Q$41,MATCH(B1848,$R$17:$R$41, 0)), "")</f>
        <v/>
      </c>
      <c r="B1848" s="337"/>
      <c r="C1848" s="337"/>
      <c r="D1848" s="355"/>
      <c r="E1848" s="355" t="s">
        <v>814</v>
      </c>
      <c r="F1848" s="356">
        <v>150</v>
      </c>
      <c r="G1848" s="356" t="s">
        <v>73</v>
      </c>
      <c r="H1848" s="515"/>
      <c r="I1848" s="378"/>
      <c r="J1848" s="515"/>
      <c r="K1848" s="684"/>
      <c r="L1848" s="535"/>
      <c r="M1848" s="552" t="str">
        <f t="shared" si="260"/>
        <v/>
      </c>
      <c r="N1848" s="552"/>
      <c r="O1848" s="552" t="str">
        <f t="shared" si="261"/>
        <v/>
      </c>
      <c r="P1848" s="39"/>
    </row>
    <row r="1849" spans="1:16" x14ac:dyDescent="0.35">
      <c r="A1849" s="593" t="str">
        <f t="shared" si="264"/>
        <v/>
      </c>
      <c r="B1849" s="330"/>
      <c r="C1849" s="330"/>
      <c r="D1849" s="326" t="s">
        <v>698</v>
      </c>
      <c r="E1849" s="366" t="s">
        <v>699</v>
      </c>
      <c r="F1849" s="328">
        <v>24</v>
      </c>
      <c r="G1849" s="328" t="s">
        <v>73</v>
      </c>
      <c r="H1849" s="328">
        <f>ROUND(($F$1848)*((F1849)/($F$1849+$F$1850+$F$1851+$F$1852+$F$1853+$F$1854+$F$1855)),2)</f>
        <v>17.54</v>
      </c>
      <c r="I1849" s="22" t="s">
        <v>73</v>
      </c>
      <c r="J1849" s="330"/>
      <c r="K1849" s="681">
        <f>(A1836*H1849)</f>
        <v>491.12</v>
      </c>
      <c r="L1849" s="535"/>
      <c r="M1849" s="552" t="str">
        <f t="shared" si="260"/>
        <v/>
      </c>
      <c r="N1849" s="552"/>
      <c r="O1849" s="552" t="str">
        <f t="shared" si="261"/>
        <v/>
      </c>
      <c r="P1849" s="39"/>
    </row>
    <row r="1850" spans="1:16" x14ac:dyDescent="0.35">
      <c r="A1850" s="593" t="str">
        <f t="shared" si="264"/>
        <v/>
      </c>
      <c r="B1850" s="337"/>
      <c r="C1850" s="337"/>
      <c r="D1850" s="326" t="s">
        <v>495</v>
      </c>
      <c r="E1850" s="360" t="s">
        <v>815</v>
      </c>
      <c r="F1850" s="335">
        <v>108</v>
      </c>
      <c r="G1850" s="335" t="s">
        <v>73</v>
      </c>
      <c r="H1850" s="335">
        <f t="shared" ref="H1850:H1855" si="265">ROUND(($F$1848)*((F1850)/($F$1849+$F$1850+$F$1851+$F$1852+$F$1853+$F$1854+$F$1855)),2)</f>
        <v>78.91</v>
      </c>
      <c r="I1850" s="18" t="s">
        <v>73</v>
      </c>
      <c r="J1850" s="337"/>
      <c r="K1850" s="680">
        <f>(A1836*H1850)</f>
        <v>2209.48</v>
      </c>
      <c r="L1850" s="535"/>
      <c r="M1850" s="552" t="str">
        <f t="shared" si="260"/>
        <v/>
      </c>
      <c r="N1850" s="552"/>
      <c r="O1850" s="552" t="str">
        <f t="shared" si="261"/>
        <v/>
      </c>
      <c r="P1850" s="39"/>
    </row>
    <row r="1851" spans="1:16" x14ac:dyDescent="0.35">
      <c r="A1851" s="593" t="str">
        <f t="shared" si="264"/>
        <v/>
      </c>
      <c r="B1851" s="330"/>
      <c r="C1851" s="330"/>
      <c r="D1851" s="326" t="s">
        <v>493</v>
      </c>
      <c r="E1851" s="366" t="s">
        <v>494</v>
      </c>
      <c r="F1851" s="328">
        <v>36</v>
      </c>
      <c r="G1851" s="328" t="s">
        <v>73</v>
      </c>
      <c r="H1851" s="328">
        <f t="shared" si="265"/>
        <v>26.3</v>
      </c>
      <c r="I1851" s="22" t="s">
        <v>73</v>
      </c>
      <c r="J1851" s="330"/>
      <c r="K1851" s="681">
        <f>(A1836*H1851)</f>
        <v>736.4</v>
      </c>
      <c r="L1851" s="535"/>
      <c r="M1851" s="552" t="str">
        <f t="shared" si="260"/>
        <v/>
      </c>
      <c r="N1851" s="552"/>
      <c r="O1851" s="552" t="str">
        <f t="shared" si="261"/>
        <v/>
      </c>
      <c r="P1851" s="39"/>
    </row>
    <row r="1852" spans="1:16" x14ac:dyDescent="0.35">
      <c r="A1852" s="593" t="str">
        <f t="shared" si="264"/>
        <v/>
      </c>
      <c r="B1852" s="337"/>
      <c r="C1852" s="337"/>
      <c r="D1852" s="326" t="s">
        <v>125</v>
      </c>
      <c r="E1852" s="360" t="s">
        <v>799</v>
      </c>
      <c r="F1852" s="335">
        <v>36</v>
      </c>
      <c r="G1852" s="335" t="s">
        <v>73</v>
      </c>
      <c r="H1852" s="335">
        <f t="shared" si="265"/>
        <v>26.3</v>
      </c>
      <c r="I1852" s="18" t="s">
        <v>73</v>
      </c>
      <c r="J1852" s="337"/>
      <c r="K1852" s="680">
        <f>(A1836*H1852)</f>
        <v>736.4</v>
      </c>
      <c r="L1852" s="535"/>
      <c r="M1852" s="552" t="str">
        <f t="shared" si="260"/>
        <v/>
      </c>
      <c r="N1852" s="552"/>
      <c r="O1852" s="552" t="str">
        <f t="shared" si="261"/>
        <v/>
      </c>
      <c r="P1852" s="39"/>
    </row>
    <row r="1853" spans="1:16" x14ac:dyDescent="0.35">
      <c r="A1853" s="593" t="str">
        <f t="shared" si="264"/>
        <v/>
      </c>
      <c r="B1853" s="330"/>
      <c r="C1853" s="330"/>
      <c r="D1853" s="326" t="s">
        <v>43</v>
      </c>
      <c r="E1853" s="366" t="s">
        <v>817</v>
      </c>
      <c r="F1853" s="328">
        <v>0.6</v>
      </c>
      <c r="G1853" s="328" t="s">
        <v>73</v>
      </c>
      <c r="H1853" s="328">
        <f t="shared" si="265"/>
        <v>0.44</v>
      </c>
      <c r="I1853" s="22" t="s">
        <v>73</v>
      </c>
      <c r="J1853" s="330"/>
      <c r="K1853" s="681">
        <f>(A1836*H1853)</f>
        <v>12.32</v>
      </c>
      <c r="L1853" s="535"/>
      <c r="M1853" s="552" t="str">
        <f t="shared" si="260"/>
        <v/>
      </c>
      <c r="N1853" s="552"/>
      <c r="O1853" s="552" t="str">
        <f t="shared" si="261"/>
        <v/>
      </c>
      <c r="P1853" s="39"/>
    </row>
    <row r="1854" spans="1:16" x14ac:dyDescent="0.35">
      <c r="A1854" s="593" t="str">
        <f t="shared" si="264"/>
        <v/>
      </c>
      <c r="B1854" s="337"/>
      <c r="C1854" s="337"/>
      <c r="D1854" s="326" t="s">
        <v>42</v>
      </c>
      <c r="E1854" s="360" t="s">
        <v>330</v>
      </c>
      <c r="F1854" s="335">
        <v>0.6</v>
      </c>
      <c r="G1854" s="335" t="s">
        <v>73</v>
      </c>
      <c r="H1854" s="335">
        <f t="shared" si="265"/>
        <v>0.44</v>
      </c>
      <c r="I1854" s="18" t="s">
        <v>73</v>
      </c>
      <c r="J1854" s="337"/>
      <c r="K1854" s="680">
        <f>(A1836*H1854)</f>
        <v>12.32</v>
      </c>
      <c r="L1854" s="535"/>
      <c r="M1854" s="552" t="str">
        <f t="shared" si="260"/>
        <v/>
      </c>
      <c r="N1854" s="552"/>
      <c r="O1854" s="552" t="str">
        <f t="shared" si="261"/>
        <v/>
      </c>
      <c r="P1854" s="39"/>
    </row>
    <row r="1855" spans="1:16" x14ac:dyDescent="0.35">
      <c r="A1855" s="593" t="str">
        <f t="shared" si="264"/>
        <v/>
      </c>
      <c r="B1855" s="330"/>
      <c r="C1855" s="330"/>
      <c r="D1855" s="326" t="s">
        <v>55</v>
      </c>
      <c r="E1855" s="366" t="s">
        <v>324</v>
      </c>
      <c r="F1855" s="328">
        <v>0.1</v>
      </c>
      <c r="G1855" s="328" t="s">
        <v>73</v>
      </c>
      <c r="H1855" s="328">
        <f t="shared" si="265"/>
        <v>7.0000000000000007E-2</v>
      </c>
      <c r="I1855" s="22" t="s">
        <v>73</v>
      </c>
      <c r="J1855" s="330"/>
      <c r="K1855" s="681">
        <f>(A1836*H1855)</f>
        <v>1.9600000000000002</v>
      </c>
      <c r="L1855" s="535"/>
      <c r="M1855" s="552" t="str">
        <f t="shared" si="260"/>
        <v/>
      </c>
      <c r="N1855" s="552"/>
      <c r="O1855" s="552" t="str">
        <f t="shared" si="261"/>
        <v/>
      </c>
      <c r="P1855" s="39"/>
    </row>
    <row r="1856" spans="1:16" x14ac:dyDescent="0.35">
      <c r="A1856" s="535" t="str">
        <f t="shared" si="262"/>
        <v/>
      </c>
      <c r="B1856" s="337"/>
      <c r="C1856" s="337"/>
      <c r="D1856" s="355"/>
      <c r="E1856" s="355" t="s">
        <v>987</v>
      </c>
      <c r="F1856" s="378">
        <v>150</v>
      </c>
      <c r="G1856" s="378" t="s">
        <v>73</v>
      </c>
      <c r="H1856" s="515"/>
      <c r="I1856" s="378"/>
      <c r="J1856" s="515"/>
      <c r="K1856" s="684"/>
      <c r="L1856" s="535"/>
      <c r="M1856" s="552" t="str">
        <f t="shared" si="260"/>
        <v/>
      </c>
      <c r="N1856" s="552"/>
      <c r="O1856" s="552" t="str">
        <f t="shared" si="261"/>
        <v/>
      </c>
      <c r="P1856" s="39"/>
    </row>
    <row r="1857" spans="1:16" x14ac:dyDescent="0.35">
      <c r="A1857" s="535" t="str">
        <f t="shared" si="262"/>
        <v/>
      </c>
      <c r="B1857" s="330"/>
      <c r="C1857" s="330"/>
      <c r="D1857" s="326" t="s">
        <v>125</v>
      </c>
      <c r="E1857" s="366" t="s">
        <v>126</v>
      </c>
      <c r="F1857" s="22">
        <v>425</v>
      </c>
      <c r="G1857" s="22" t="s">
        <v>73</v>
      </c>
      <c r="H1857" s="328">
        <f>ROUND((($F$1856)*(
(F1857)
/(($F$1857)+($F$1858)+($F$1859)+($F$1860)+($F$1861)+($F$1862)+
(($F$1863)*(($F$1864)/($F$1864+$F$1865+$F$1866+$F$1867+$F$1868)))+
(($F$1863)*(($F$1865)/($F$1864+$F$1865+$F$1866+$F$1867+$F$1868)))+
(($F$1863)*(($F$1866)/($F$1864+$F$1865+$F$1866+$F$1867+$F$1868)))+
(($F$1863)*(($F$1867)/($F$1864+$F$1865+$F$1866+$F$1867+$F$1868)))+
(($F$1863)*(($F$1868)/($F$1864+$F$1865+$F$1866+$F$1867+$F$1868)))+
(($F$1869)*(($F$1870)/((($F$1871)*(($F$1872)/($F$1872+$F$1873+$F$1874+$F$1875+$F$1876)))+
(($F$1871)*(($F$1873)/($F$1872+$F$1873+$F$1874+$F$1875+$F$1876)))+
(($F$1871)*(($F$1874)/($F$1872+$F$1873+$F$1874+$F$1875+$F$1876)))+
(($F$1871)*(($F$1875)/($F$1872+$F$1873+$F$1874+$F$1875+$F$1876)))+
(($F$1871)*(($F$1876)/($F$1872+$F$1873+$F$1874+$F$1875+$F$1876)))+
($F$1870))))+
(($F$1869)*((($F$1871)*(($F$1872)/($F$1872+$F$1873+$F$1874+$F$1875+$F$1876)))
/((($F$1871)*(($F$1872)/($F$1872+$F$1873+$F$1874+$F$1875+$F$1876)))+
(($F$1871)*(($F$1873)/($F$1872+$F$1873+$F$1874+$F$1875+$F$1876)))+
(($F$1871)*(($F$1874)/($F$1872+$F$1873+$F$1874+$F$1875+$F$1876)))+
(($F$1871)*(($F$1875)/($F$1872+$F$1873+$F$1874+$F$1875+$F$1876)))+
(($F$1871)*(($F$1876)/($F$1872+$F$1873+$F$1874+$F$1875+$F$1876)))+
($F$1870))))+
(($F$1869)*((($F$1871)*(($F$1873)/($F$1872+$F$1873+$F$1874+$F$1875+$F$1876)))
/((($F$1871)*(($F$1872)/($F$1872+$F$1873+$F$1874+$F$1875+$F$1876)))+
(($F$1871)*(($F$1873)/($F$1872+$F$1873+$F$1874+$F$1875+$F$1876)))+
(($F$1871)*(($F$1874)/($F$1872+$F$1873+$F$1874+$F$1875+$F$1876)))+
(($F$1871)*(($F$1875)/($F$1872+$F$1873+$F$1874+$F$1875+$F$1876)))+
(($F$1871)*(($F$1876)/($F$1872+$F$1873+$F$1874+$F$1875+$F$1876)))+
($F$1870))))+
(($F$1869)*((($F$1871)*(($F$1874)/($F$1872+$F$1873+$F$1874+$F$1875+$F$1876)))
/((($F$1871)*(($F$1872)/($F$1872+$F$1873+$F$1874+$F$1875+$F$1876)))+
(($F$1871)*(($F$1873)/($F$1872+$F$1873+$F$1874+$F$1875+$F$1876)))+
(($F$1871)*(($F$1874)/($F$1872+$F$1873+$F$1874+$F$1875+$F$1876)))+
(($F$1871)*(($F$1875)/($F$1872+$F$1873+$F$1874+$F$1875+$F$1876)))+
(($F$1871)*(($F$1876)/($F$1872+$F$1873+$F$1874+$F$1875+$F$1876)))+
($F$1870))))+
(($F$1869)*((($F$1871)*(($F$1875)/($F$1872+$F$1873+$F$1874+$F$1875+$F$1876)))
/((($F$1871)*(($F$1872)/($F$1872+$F$1873+$F$1874+$F$1875+$F$1876)))+
(($F$1871)*(($F$1873)/($F$1872+$F$1873+$F$1874+$F$1875+$F$1876)))+
(($F$1871)*(($F$1874)/($F$1872+$F$1873+$F$1874+$F$1875+$F$1876)))+
(($F$1871)*(($F$1875)/($F$1872+$F$1873+$F$1874+$F$1875+$F$1876)))+
(($F$1871)*(($F$1876)/($F$1872+$F$1873+$F$1874+$F$1875+$F$1876)))+
($F$1870))))+
(($F$1869)*((($F$1871)*(($F$1876)/($F$1872+$F$1873+$F$1874+$F$1875+$F$1876)))
/((($F$1871)*(($F$1872)/($F$1872+$F$1873+$F$1874+$F$1875+$F$1876)))+
(($F$1871)*(($F$1873)/($F$1872+$F$1873+$F$1874+$F$1875+$F$1876)))+
(($F$1871)*(($F$1874)/($F$1872+$F$1873+$F$1874+$F$1875+$F$1876)))+
(($F$1871)*(($F$1875)/($F$1872+$F$1873+$F$1874+$F$1875+$F$1876)))+
(($F$1871)*(($F$1876)/($F$1872+$F$1873+$F$1874+$F$1875+$F$1876)))+
($F$1870))))))),2)</f>
        <v>65.319999999999993</v>
      </c>
      <c r="I1857" s="22" t="s">
        <v>73</v>
      </c>
      <c r="J1857" s="330"/>
      <c r="K1857" s="681">
        <f>(A1836*H1857)</f>
        <v>1828.9599999999998</v>
      </c>
      <c r="L1857" s="535"/>
      <c r="M1857" s="552" t="str">
        <f t="shared" si="260"/>
        <v/>
      </c>
      <c r="N1857" s="552"/>
      <c r="O1857" s="552" t="str">
        <f t="shared" si="261"/>
        <v/>
      </c>
      <c r="P1857" s="39"/>
    </row>
    <row r="1858" spans="1:16" x14ac:dyDescent="0.35">
      <c r="A1858" s="535" t="str">
        <f t="shared" si="262"/>
        <v/>
      </c>
      <c r="B1858" s="337"/>
      <c r="C1858" s="337"/>
      <c r="D1858" s="326" t="s">
        <v>163</v>
      </c>
      <c r="E1858" s="360" t="s">
        <v>164</v>
      </c>
      <c r="F1858" s="18">
        <v>400</v>
      </c>
      <c r="G1858" s="18" t="s">
        <v>73</v>
      </c>
      <c r="H1858" s="335">
        <f t="shared" ref="H1858:H1862" si="266">ROUND((($F$1856)*(
(F1858)
/(($F$1857)+($F$1858)+($F$1859)+($F$1860)+($F$1861)+($F$1862)+
(($F$1863)*(($F$1864)/($F$1864+$F$1865+$F$1866+$F$1867+$F$1868)))+
(($F$1863)*(($F$1865)/($F$1864+$F$1865+$F$1866+$F$1867+$F$1868)))+
(($F$1863)*(($F$1866)/($F$1864+$F$1865+$F$1866+$F$1867+$F$1868)))+
(($F$1863)*(($F$1867)/($F$1864+$F$1865+$F$1866+$F$1867+$F$1868)))+
(($F$1863)*(($F$1868)/($F$1864+$F$1865+$F$1866+$F$1867+$F$1868)))+
(($F$1869)*(($F$1870)/((($F$1871)*(($F$1872)/($F$1872+$F$1873+$F$1874+$F$1875+$F$1876)))+
(($F$1871)*(($F$1873)/($F$1872+$F$1873+$F$1874+$F$1875+$F$1876)))+
(($F$1871)*(($F$1874)/($F$1872+$F$1873+$F$1874+$F$1875+$F$1876)))+
(($F$1871)*(($F$1875)/($F$1872+$F$1873+$F$1874+$F$1875+$F$1876)))+
(($F$1871)*(($F$1876)/($F$1872+$F$1873+$F$1874+$F$1875+$F$1876)))+
($F$1870))))+
(($F$1869)*((($F$1871)*(($F$1872)/($F$1872+$F$1873+$F$1874+$F$1875+$F$1876)))
/((($F$1871)*(($F$1872)/($F$1872+$F$1873+$F$1874+$F$1875+$F$1876)))+
(($F$1871)*(($F$1873)/($F$1872+$F$1873+$F$1874+$F$1875+$F$1876)))+
(($F$1871)*(($F$1874)/($F$1872+$F$1873+$F$1874+$F$1875+$F$1876)))+
(($F$1871)*(($F$1875)/($F$1872+$F$1873+$F$1874+$F$1875+$F$1876)))+
(($F$1871)*(($F$1876)/($F$1872+$F$1873+$F$1874+$F$1875+$F$1876)))+
($F$1870))))+
(($F$1869)*((($F$1871)*(($F$1873)/($F$1872+$F$1873+$F$1874+$F$1875+$F$1876)))
/((($F$1871)*(($F$1872)/($F$1872+$F$1873+$F$1874+$F$1875+$F$1876)))+
(($F$1871)*(($F$1873)/($F$1872+$F$1873+$F$1874+$F$1875+$F$1876)))+
(($F$1871)*(($F$1874)/($F$1872+$F$1873+$F$1874+$F$1875+$F$1876)))+
(($F$1871)*(($F$1875)/($F$1872+$F$1873+$F$1874+$F$1875+$F$1876)))+
(($F$1871)*(($F$1876)/($F$1872+$F$1873+$F$1874+$F$1875+$F$1876)))+
($F$1870))))+
(($F$1869)*((($F$1871)*(($F$1874)/($F$1872+$F$1873+$F$1874+$F$1875+$F$1876)))
/((($F$1871)*(($F$1872)/($F$1872+$F$1873+$F$1874+$F$1875+$F$1876)))+
(($F$1871)*(($F$1873)/($F$1872+$F$1873+$F$1874+$F$1875+$F$1876)))+
(($F$1871)*(($F$1874)/($F$1872+$F$1873+$F$1874+$F$1875+$F$1876)))+
(($F$1871)*(($F$1875)/($F$1872+$F$1873+$F$1874+$F$1875+$F$1876)))+
(($F$1871)*(($F$1876)/($F$1872+$F$1873+$F$1874+$F$1875+$F$1876)))+
($F$1870))))+
(($F$1869)*((($F$1871)*(($F$1875)/($F$1872+$F$1873+$F$1874+$F$1875+$F$1876)))
/((($F$1871)*(($F$1872)/($F$1872+$F$1873+$F$1874+$F$1875+$F$1876)))+
(($F$1871)*(($F$1873)/($F$1872+$F$1873+$F$1874+$F$1875+$F$1876)))+
(($F$1871)*(($F$1874)/($F$1872+$F$1873+$F$1874+$F$1875+$F$1876)))+
(($F$1871)*(($F$1875)/($F$1872+$F$1873+$F$1874+$F$1875+$F$1876)))+
(($F$1871)*(($F$1876)/($F$1872+$F$1873+$F$1874+$F$1875+$F$1876)))+
($F$1870))))+
(($F$1869)*((($F$1871)*(($F$1876)/($F$1872+$F$1873+$F$1874+$F$1875+$F$1876)))
/((($F$1871)*(($F$1872)/($F$1872+$F$1873+$F$1874+$F$1875+$F$1876)))+
(($F$1871)*(($F$1873)/($F$1872+$F$1873+$F$1874+$F$1875+$F$1876)))+
(($F$1871)*(($F$1874)/($F$1872+$F$1873+$F$1874+$F$1875+$F$1876)))+
(($F$1871)*(($F$1875)/($F$1872+$F$1873+$F$1874+$F$1875+$F$1876)))+
(($F$1871)*(($F$1876)/($F$1872+$F$1873+$F$1874+$F$1875+$F$1876)))+
($F$1870))))))),2)</f>
        <v>61.48</v>
      </c>
      <c r="I1858" s="18" t="s">
        <v>73</v>
      </c>
      <c r="J1858" s="337"/>
      <c r="K1858" s="680">
        <f>(A1836*H1858)</f>
        <v>1721.4399999999998</v>
      </c>
      <c r="L1858" s="535"/>
      <c r="M1858" s="552" t="str">
        <f t="shared" si="260"/>
        <v/>
      </c>
      <c r="N1858" s="552"/>
      <c r="O1858" s="552" t="str">
        <f t="shared" si="261"/>
        <v/>
      </c>
      <c r="P1858" s="39"/>
    </row>
    <row r="1859" spans="1:16" x14ac:dyDescent="0.35">
      <c r="A1859" s="535" t="str">
        <f t="shared" si="262"/>
        <v/>
      </c>
      <c r="B1859" s="330"/>
      <c r="C1859" s="330"/>
      <c r="D1859" s="326" t="s">
        <v>46</v>
      </c>
      <c r="E1859" s="366" t="s">
        <v>309</v>
      </c>
      <c r="F1859" s="22">
        <v>25</v>
      </c>
      <c r="G1859" s="22" t="s">
        <v>73</v>
      </c>
      <c r="H1859" s="328">
        <f t="shared" si="266"/>
        <v>3.84</v>
      </c>
      <c r="I1859" s="22" t="s">
        <v>73</v>
      </c>
      <c r="J1859" s="330"/>
      <c r="K1859" s="681">
        <f>(A1836*H1859)</f>
        <v>107.52</v>
      </c>
      <c r="L1859" s="535"/>
      <c r="M1859" s="552" t="str">
        <f t="shared" si="260"/>
        <v/>
      </c>
      <c r="N1859" s="552"/>
      <c r="O1859" s="552" t="str">
        <f t="shared" si="261"/>
        <v/>
      </c>
      <c r="P1859" s="39"/>
    </row>
    <row r="1860" spans="1:16" x14ac:dyDescent="0.35">
      <c r="A1860" s="535" t="str">
        <f t="shared" si="262"/>
        <v/>
      </c>
      <c r="B1860" s="337"/>
      <c r="C1860" s="337"/>
      <c r="D1860" s="326" t="s">
        <v>307</v>
      </c>
      <c r="E1860" s="360" t="s">
        <v>308</v>
      </c>
      <c r="F1860" s="18">
        <v>50</v>
      </c>
      <c r="G1860" s="18" t="s">
        <v>73</v>
      </c>
      <c r="H1860" s="335">
        <f t="shared" si="266"/>
        <v>7.68</v>
      </c>
      <c r="I1860" s="18" t="s">
        <v>73</v>
      </c>
      <c r="J1860" s="337"/>
      <c r="K1860" s="680">
        <f>(A1836*H1860)</f>
        <v>215.04</v>
      </c>
      <c r="L1860" s="535"/>
      <c r="M1860" s="552" t="str">
        <f t="shared" si="260"/>
        <v/>
      </c>
      <c r="N1860" s="552"/>
      <c r="O1860" s="552" t="str">
        <f t="shared" si="261"/>
        <v/>
      </c>
      <c r="P1860" s="39"/>
    </row>
    <row r="1861" spans="1:16" x14ac:dyDescent="0.35">
      <c r="A1861" s="535" t="str">
        <f t="shared" si="262"/>
        <v/>
      </c>
      <c r="B1861" s="330"/>
      <c r="C1861" s="330"/>
      <c r="D1861" s="326" t="s">
        <v>45</v>
      </c>
      <c r="E1861" s="366" t="s">
        <v>101</v>
      </c>
      <c r="F1861" s="22">
        <v>10</v>
      </c>
      <c r="G1861" s="22" t="s">
        <v>73</v>
      </c>
      <c r="H1861" s="328">
        <f t="shared" si="266"/>
        <v>1.54</v>
      </c>
      <c r="I1861" s="22" t="s">
        <v>73</v>
      </c>
      <c r="J1861" s="330"/>
      <c r="K1861" s="681">
        <f>(A1836*H1861)</f>
        <v>43.120000000000005</v>
      </c>
      <c r="L1861" s="535"/>
      <c r="M1861" s="552" t="str">
        <f t="shared" si="260"/>
        <v/>
      </c>
      <c r="N1861" s="552"/>
      <c r="O1861" s="552" t="str">
        <f t="shared" si="261"/>
        <v/>
      </c>
      <c r="P1861" s="39"/>
    </row>
    <row r="1862" spans="1:16" x14ac:dyDescent="0.35">
      <c r="A1862" s="535" t="str">
        <f t="shared" si="262"/>
        <v/>
      </c>
      <c r="B1862" s="337"/>
      <c r="C1862" s="337"/>
      <c r="D1862" s="326" t="s">
        <v>509</v>
      </c>
      <c r="E1862" s="360" t="s">
        <v>988</v>
      </c>
      <c r="F1862" s="18">
        <v>15</v>
      </c>
      <c r="G1862" s="18" t="s">
        <v>73</v>
      </c>
      <c r="H1862" s="335">
        <f t="shared" si="266"/>
        <v>2.31</v>
      </c>
      <c r="I1862" s="18" t="s">
        <v>73</v>
      </c>
      <c r="J1862" s="337"/>
      <c r="K1862" s="680">
        <f>(A1836*H1862)</f>
        <v>64.680000000000007</v>
      </c>
      <c r="L1862" s="535"/>
      <c r="M1862" s="552" t="str">
        <f t="shared" si="260"/>
        <v/>
      </c>
      <c r="N1862" s="552"/>
      <c r="O1862" s="552" t="str">
        <f t="shared" si="261"/>
        <v/>
      </c>
      <c r="P1862" s="39"/>
    </row>
    <row r="1863" spans="1:16" x14ac:dyDescent="0.35">
      <c r="A1863" s="535" t="str">
        <f t="shared" si="262"/>
        <v/>
      </c>
      <c r="B1863" s="330"/>
      <c r="C1863" s="330"/>
      <c r="D1863" s="355"/>
      <c r="E1863" s="540" t="s">
        <v>80</v>
      </c>
      <c r="F1863" s="378">
        <v>20</v>
      </c>
      <c r="G1863" s="378" t="s">
        <v>73</v>
      </c>
      <c r="H1863" s="356"/>
      <c r="I1863" s="378"/>
      <c r="J1863" s="515"/>
      <c r="K1863" s="684"/>
      <c r="L1863" s="535"/>
      <c r="M1863" s="552" t="str">
        <f t="shared" si="260"/>
        <v/>
      </c>
      <c r="N1863" s="552"/>
      <c r="O1863" s="552" t="str">
        <f t="shared" si="261"/>
        <v/>
      </c>
      <c r="P1863" s="39"/>
    </row>
    <row r="1864" spans="1:16" x14ac:dyDescent="0.35">
      <c r="A1864" s="535" t="str">
        <f t="shared" si="262"/>
        <v/>
      </c>
      <c r="B1864" s="337"/>
      <c r="C1864" s="337"/>
      <c r="D1864" s="326" t="s">
        <v>47</v>
      </c>
      <c r="E1864" s="474" t="s">
        <v>93</v>
      </c>
      <c r="F1864" s="18">
        <v>600</v>
      </c>
      <c r="G1864" s="18" t="s">
        <v>73</v>
      </c>
      <c r="H1864" s="335">
        <f>ROUND((($F$1856)*(
(($F$1863)*(($F$1864)/($F$1864+$F$1865+$F$1866+$F$1867+$F$1868)))
/(($F$1857)+($F$1858)+($F$1859)+($F$1860)+($F$1861)+($F$1862)+
(($F$1863)*(($F$1864)/($F$1864+$F$1865+$F$1866+$F$1867+$F$1868)))+
(($F$1863)*(($F$1865)/($F$1864+$F$1865+$F$1866+$F$1867+$F$1868)))+
(($F$1863)*(($F$1866)/($F$1864+$F$1865+$F$1866+$F$1867+$F$1868)))+
(($F$1863)*(($F$1867)/($F$1864+$F$1865+$F$1866+$F$1867+$F$1868)))+
(($F$1863)*(($F$1868)/($F$1864+$F$1865+$F$1866+$F$1867+$F$1868)))+
(($F$1869)*(($F$1870)/((($F$1871)*(($F$1872)/($F$1872+$F$1873+$F$1874+$F$1875+$F$1876)))+
(($F$1871)*(($F$1873)/($F$1872+$F$1873+$F$1874+$F$1875+$F$1876)))+
(($F$1871)*(($F$1874)/($F$1872+$F$1873+$F$1874+$F$1875+$F$1876)))+
(($F$1871)*(($F$1875)/($F$1872+$F$1873+$F$1874+$F$1875+$F$1876)))+
(($F$1871)*(($F$1876)/($F$1872+$F$1873+$F$1874+$F$1875+$F$1876)))+
($F$1870))))+
(($F$1869)*((($F$1871)*(($F$1872)/($F$1872+$F$1873+$F$1874+$F$1875+$F$1876)))
/((($F$1871)*(($F$1872)/($F$1872+$F$1873+$F$1874+$F$1875+$F$1876)))+
(($F$1871)*(($F$1873)/($F$1872+$F$1873+$F$1874+$F$1875+$F$1876)))+
(($F$1871)*(($F$1874)/($F$1872+$F$1873+$F$1874+$F$1875+$F$1876)))+
(($F$1871)*(($F$1875)/($F$1872+$F$1873+$F$1874+$F$1875+$F$1876)))+
(($F$1871)*(($F$1876)/($F$1872+$F$1873+$F$1874+$F$1875+$F$1876)))+
($F$1870))))+
(($F$1869)*((($F$1871)*(($F$1873)/($F$1872+$F$1873+$F$1874+$F$1875+$F$1876)))
/((($F$1871)*(($F$1872)/($F$1872+$F$1873+$F$1874+$F$1875+$F$1876)))+
(($F$1871)*(($F$1873)/($F$1872+$F$1873+$F$1874+$F$1875+$F$1876)))+
(($F$1871)*(($F$1874)/($F$1872+$F$1873+$F$1874+$F$1875+$F$1876)))+
(($F$1871)*(($F$1875)/($F$1872+$F$1873+$F$1874+$F$1875+$F$1876)))+
(($F$1871)*(($F$1876)/($F$1872+$F$1873+$F$1874+$F$1875+$F$1876)))+
($F$1870))))+
(($F$1869)*((($F$1871)*(($F$1874)/($F$1872+$F$1873+$F$1874+$F$1875+$F$1876)))
/((($F$1871)*(($F$1872)/($F$1872+$F$1873+$F$1874+$F$1875+$F$1876)))+
(($F$1871)*(($F$1873)/($F$1872+$F$1873+$F$1874+$F$1875+$F$1876)))+
(($F$1871)*(($F$1874)/($F$1872+$F$1873+$F$1874+$F$1875+$F$1876)))+
(($F$1871)*(($F$1875)/($F$1872+$F$1873+$F$1874+$F$1875+$F$1876)))+
(($F$1871)*(($F$1876)/($F$1872+$F$1873+$F$1874+$F$1875+$F$1876)))+
($F$1870))))+
(($F$1869)*((($F$1871)*(($F$1875)/($F$1872+$F$1873+$F$1874+$F$1875+$F$1876)))
/((($F$1871)*(($F$1872)/($F$1872+$F$1873+$F$1874+$F$1875+$F$1876)))+
(($F$1871)*(($F$1873)/($F$1872+$F$1873+$F$1874+$F$1875+$F$1876)))+
(($F$1871)*(($F$1874)/($F$1872+$F$1873+$F$1874+$F$1875+$F$1876)))+
(($F$1871)*(($F$1875)/($F$1872+$F$1873+$F$1874+$F$1875+$F$1876)))+
(($F$1871)*(($F$1876)/($F$1872+$F$1873+$F$1874+$F$1875+$F$1876)))+
($F$1870))))+
(($F$1869)*((($F$1871)*(($F$1876)/($F$1872+$F$1873+$F$1874+$F$1875+$F$1876)))
/((($F$1871)*(($F$1872)/($F$1872+$F$1873+$F$1874+$F$1875+$F$1876)))+
(($F$1871)*(($F$1873)/($F$1872+$F$1873+$F$1874+$F$1875+$F$1876)))+
(($F$1871)*(($F$1874)/($F$1872+$F$1873+$F$1874+$F$1875+$F$1876)))+
(($F$1871)*(($F$1875)/($F$1872+$F$1873+$F$1874+$F$1875+$F$1876)))+
(($F$1871)*(($F$1876)/($F$1872+$F$1873+$F$1874+$F$1875+$F$1876)))+
($F$1870))))))),2)</f>
        <v>2.0499999999999998</v>
      </c>
      <c r="I1864" s="18" t="s">
        <v>73</v>
      </c>
      <c r="J1864" s="337"/>
      <c r="K1864" s="680">
        <f>(A1836*H1864)</f>
        <v>57.399999999999991</v>
      </c>
      <c r="L1864" s="535"/>
      <c r="M1864" s="552" t="str">
        <f t="shared" si="260"/>
        <v/>
      </c>
      <c r="N1864" s="552"/>
      <c r="O1864" s="552" t="str">
        <f t="shared" si="261"/>
        <v/>
      </c>
      <c r="P1864" s="39"/>
    </row>
    <row r="1865" spans="1:16" x14ac:dyDescent="0.35">
      <c r="A1865" s="535" t="str">
        <f t="shared" si="262"/>
        <v/>
      </c>
      <c r="B1865" s="330"/>
      <c r="C1865" s="330"/>
      <c r="D1865" s="326" t="s">
        <v>48</v>
      </c>
      <c r="E1865" s="456" t="s">
        <v>91</v>
      </c>
      <c r="F1865" s="22">
        <v>100</v>
      </c>
      <c r="G1865" s="22" t="s">
        <v>73</v>
      </c>
      <c r="H1865" s="328">
        <f>ROUND((($F$1856)*(
(($F$1863)*(($F$1865)/($F$1864+$F$1865+$F$1866+$F$1867+$F$1868)))
/(($F$1857)+($F$1858)+($F$1859)+($F$1860)+($F$1861)+($F$1862)+
(($F$1863)*(($F$1864)/($F$1864+$F$1865+$F$1866+$F$1867+$F$1868)))+
(($F$1863)*(($F$1865)/($F$1864+$F$1865+$F$1866+$F$1867+$F$1868)))+
(($F$1863)*(($F$1866)/($F$1864+$F$1865+$F$1866+$F$1867+$F$1868)))+
(($F$1863)*(($F$1867)/($F$1864+$F$1865+$F$1866+$F$1867+$F$1868)))+
(($F$1863)*(($F$1868)/($F$1864+$F$1865+$F$1866+$F$1867+$F$1868)))+
(($F$1869)*(($F$1870)/((($F$1871)*(($F$1872)/($F$1872+$F$1873+$F$1874+$F$1875+$F$1876)))+
(($F$1871)*(($F$1873)/($F$1872+$F$1873+$F$1874+$F$1875+$F$1876)))+
(($F$1871)*(($F$1874)/($F$1872+$F$1873+$F$1874+$F$1875+$F$1876)))+
(($F$1871)*(($F$1875)/($F$1872+$F$1873+$F$1874+$F$1875+$F$1876)))+
(($F$1871)*(($F$1876)/($F$1872+$F$1873+$F$1874+$F$1875+$F$1876)))+
($F$1870))))+
(($F$1869)*((($F$1871)*(($F$1872)/($F$1872+$F$1873+$F$1874+$F$1875+$F$1876)))
/((($F$1871)*(($F$1872)/($F$1872+$F$1873+$F$1874+$F$1875+$F$1876)))+
(($F$1871)*(($F$1873)/($F$1872+$F$1873+$F$1874+$F$1875+$F$1876)))+
(($F$1871)*(($F$1874)/($F$1872+$F$1873+$F$1874+$F$1875+$F$1876)))+
(($F$1871)*(($F$1875)/($F$1872+$F$1873+$F$1874+$F$1875+$F$1876)))+
(($F$1871)*(($F$1876)/($F$1872+$F$1873+$F$1874+$F$1875+$F$1876)))+
($F$1870))))+
(($F$1869)*((($F$1871)*(($F$1873)/($F$1872+$F$1873+$F$1874+$F$1875+$F$1876)))
/((($F$1871)*(($F$1872)/($F$1872+$F$1873+$F$1874+$F$1875+$F$1876)))+
(($F$1871)*(($F$1873)/($F$1872+$F$1873+$F$1874+$F$1875+$F$1876)))+
(($F$1871)*(($F$1874)/($F$1872+$F$1873+$F$1874+$F$1875+$F$1876)))+
(($F$1871)*(($F$1875)/($F$1872+$F$1873+$F$1874+$F$1875+$F$1876)))+
(($F$1871)*(($F$1876)/($F$1872+$F$1873+$F$1874+$F$1875+$F$1876)))+
($F$1870))))+
(($F$1869)*((($F$1871)*(($F$1874)/($F$1872+$F$1873+$F$1874+$F$1875+$F$1876)))
/((($F$1871)*(($F$1872)/($F$1872+$F$1873+$F$1874+$F$1875+$F$1876)))+
(($F$1871)*(($F$1873)/($F$1872+$F$1873+$F$1874+$F$1875+$F$1876)))+
(($F$1871)*(($F$1874)/($F$1872+$F$1873+$F$1874+$F$1875+$F$1876)))+
(($F$1871)*(($F$1875)/($F$1872+$F$1873+$F$1874+$F$1875+$F$1876)))+
(($F$1871)*(($F$1876)/($F$1872+$F$1873+$F$1874+$F$1875+$F$1876)))+
($F$1870))))+
(($F$1869)*((($F$1871)*(($F$1875)/($F$1872+$F$1873+$F$1874+$F$1875+$F$1876)))
/((($F$1871)*(($F$1872)/($F$1872+$F$1873+$F$1874+$F$1875+$F$1876)))+
(($F$1871)*(($F$1873)/($F$1872+$F$1873+$F$1874+$F$1875+$F$1876)))+
(($F$1871)*(($F$1874)/($F$1872+$F$1873+$F$1874+$F$1875+$F$1876)))+
(($F$1871)*(($F$1875)/($F$1872+$F$1873+$F$1874+$F$1875+$F$1876)))+
(($F$1871)*(($F$1876)/($F$1872+$F$1873+$F$1874+$F$1875+$F$1876)))+
($F$1870))))+
(($F$1869)*((($F$1871)*(($F$1876)/($F$1872+$F$1873+$F$1874+$F$1875+$F$1876)))
/((($F$1871)*(($F$1872)/($F$1872+$F$1873+$F$1874+$F$1875+$F$1876)))+
(($F$1871)*(($F$1873)/($F$1872+$F$1873+$F$1874+$F$1875+$F$1876)))+
(($F$1871)*(($F$1874)/($F$1872+$F$1873+$F$1874+$F$1875+$F$1876)))+
(($F$1871)*(($F$1875)/($F$1872+$F$1873+$F$1874+$F$1875+$F$1876)))+
(($F$1871)*(($F$1876)/($F$1872+$F$1873+$F$1874+$F$1875+$F$1876)))+
($F$1870))))))),2)</f>
        <v>0.34</v>
      </c>
      <c r="I1865" s="22" t="s">
        <v>73</v>
      </c>
      <c r="J1865" s="330"/>
      <c r="K1865" s="681">
        <f>(A1836*H1865)</f>
        <v>9.5200000000000014</v>
      </c>
      <c r="L1865" s="535"/>
      <c r="M1865" s="552" t="str">
        <f t="shared" si="260"/>
        <v/>
      </c>
      <c r="N1865" s="552"/>
      <c r="O1865" s="552" t="str">
        <f t="shared" si="261"/>
        <v/>
      </c>
      <c r="P1865" s="39"/>
    </row>
    <row r="1866" spans="1:16" x14ac:dyDescent="0.35">
      <c r="A1866" s="535" t="str">
        <f t="shared" si="262"/>
        <v/>
      </c>
      <c r="B1866" s="337"/>
      <c r="C1866" s="337"/>
      <c r="D1866" s="326" t="s">
        <v>50</v>
      </c>
      <c r="E1866" s="474" t="s">
        <v>92</v>
      </c>
      <c r="F1866" s="18">
        <v>100</v>
      </c>
      <c r="G1866" s="18" t="s">
        <v>73</v>
      </c>
      <c r="H1866" s="335">
        <f>ROUND((($F$1856)*(
(($F$1863)*(($F$1866)/($F$1864+$F$1865+$F$1866+$F$1867+$F$1868)))
/(($F$1857)+($F$1858)+($F$1859)+($F$1860)+($F$1861)+($F$1862)+
(($F$1863)*(($F$1864)/($F$1864+$F$1865+$F$1866+$F$1867+$F$1868)))+
(($F$1863)*(($F$1865)/($F$1864+$F$1865+$F$1866+$F$1867+$F$1868)))+
(($F$1863)*(($F$1866)/($F$1864+$F$1865+$F$1866+$F$1867+$F$1868)))+
(($F$1863)*(($F$1867)/($F$1864+$F$1865+$F$1866+$F$1867+$F$1868)))+
(($F$1863)*(($F$1868)/($F$1864+$F$1865+$F$1866+$F$1867+$F$1868)))+
(($F$1869)*(($F$1870)/((($F$1871)*(($F$1872)/($F$1872+$F$1873+$F$1874+$F$1875+$F$1876)))+
(($F$1871)*(($F$1873)/($F$1872+$F$1873+$F$1874+$F$1875+$F$1876)))+
(($F$1871)*(($F$1874)/($F$1872+$F$1873+$F$1874+$F$1875+$F$1876)))+
(($F$1871)*(($F$1875)/($F$1872+$F$1873+$F$1874+$F$1875+$F$1876)))+
(($F$1871)*(($F$1876)/($F$1872+$F$1873+$F$1874+$F$1875+$F$1876)))+
($F$1870))))+
(($F$1869)*((($F$1871)*(($F$1872)/($F$1872+$F$1873+$F$1874+$F$1875+$F$1876)))
/((($F$1871)*(($F$1872)/($F$1872+$F$1873+$F$1874+$F$1875+$F$1876)))+
(($F$1871)*(($F$1873)/($F$1872+$F$1873+$F$1874+$F$1875+$F$1876)))+
(($F$1871)*(($F$1874)/($F$1872+$F$1873+$F$1874+$F$1875+$F$1876)))+
(($F$1871)*(($F$1875)/($F$1872+$F$1873+$F$1874+$F$1875+$F$1876)))+
(($F$1871)*(($F$1876)/($F$1872+$F$1873+$F$1874+$F$1875+$F$1876)))+
($F$1870))))+
(($F$1869)*((($F$1871)*(($F$1873)/($F$1872+$F$1873+$F$1874+$F$1875+$F$1876)))
/((($F$1871)*(($F$1872)/($F$1872+$F$1873+$F$1874+$F$1875+$F$1876)))+
(($F$1871)*(($F$1873)/($F$1872+$F$1873+$F$1874+$F$1875+$F$1876)))+
(($F$1871)*(($F$1874)/($F$1872+$F$1873+$F$1874+$F$1875+$F$1876)))+
(($F$1871)*(($F$1875)/($F$1872+$F$1873+$F$1874+$F$1875+$F$1876)))+
(($F$1871)*(($F$1876)/($F$1872+$F$1873+$F$1874+$F$1875+$F$1876)))+
($F$1870))))+
(($F$1869)*((($F$1871)*(($F$1874)/($F$1872+$F$1873+$F$1874+$F$1875+$F$1876)))
/((($F$1871)*(($F$1872)/($F$1872+$F$1873+$F$1874+$F$1875+$F$1876)))+
(($F$1871)*(($F$1873)/($F$1872+$F$1873+$F$1874+$F$1875+$F$1876)))+
(($F$1871)*(($F$1874)/($F$1872+$F$1873+$F$1874+$F$1875+$F$1876)))+
(($F$1871)*(($F$1875)/($F$1872+$F$1873+$F$1874+$F$1875+$F$1876)))+
(($F$1871)*(($F$1876)/($F$1872+$F$1873+$F$1874+$F$1875+$F$1876)))+
($F$1870))))+
(($F$1869)*((($F$1871)*(($F$1875)/($F$1872+$F$1873+$F$1874+$F$1875+$F$1876)))
/((($F$1871)*(($F$1872)/($F$1872+$F$1873+$F$1874+$F$1875+$F$1876)))+
(($F$1871)*(($F$1873)/($F$1872+$F$1873+$F$1874+$F$1875+$F$1876)))+
(($F$1871)*(($F$1874)/($F$1872+$F$1873+$F$1874+$F$1875+$F$1876)))+
(($F$1871)*(($F$1875)/($F$1872+$F$1873+$F$1874+$F$1875+$F$1876)))+
(($F$1871)*(($F$1876)/($F$1872+$F$1873+$F$1874+$F$1875+$F$1876)))+
($F$1870))))+
(($F$1869)*((($F$1871)*(($F$1876)/($F$1872+$F$1873+$F$1874+$F$1875+$F$1876)))
/((($F$1871)*(($F$1872)/($F$1872+$F$1873+$F$1874+$F$1875+$F$1876)))+
(($F$1871)*(($F$1873)/($F$1872+$F$1873+$F$1874+$F$1875+$F$1876)))+
(($F$1871)*(($F$1874)/($F$1872+$F$1873+$F$1874+$F$1875+$F$1876)))+
(($F$1871)*(($F$1875)/($F$1872+$F$1873+$F$1874+$F$1875+$F$1876)))+
(($F$1871)*(($F$1876)/($F$1872+$F$1873+$F$1874+$F$1875+$F$1876)))+
($F$1870))))))),2)</f>
        <v>0.34</v>
      </c>
      <c r="I1866" s="18" t="s">
        <v>73</v>
      </c>
      <c r="J1866" s="337"/>
      <c r="K1866" s="680">
        <f>(A1836*H1866)</f>
        <v>9.5200000000000014</v>
      </c>
      <c r="L1866" s="535"/>
      <c r="M1866" s="552" t="str">
        <f t="shared" si="260"/>
        <v/>
      </c>
      <c r="N1866" s="552"/>
      <c r="O1866" s="552" t="str">
        <f t="shared" si="261"/>
        <v/>
      </c>
      <c r="P1866" s="39"/>
    </row>
    <row r="1867" spans="1:16" x14ac:dyDescent="0.35">
      <c r="A1867" s="535" t="str">
        <f t="shared" si="262"/>
        <v/>
      </c>
      <c r="B1867" s="330"/>
      <c r="C1867" s="330"/>
      <c r="D1867" s="326" t="s">
        <v>49</v>
      </c>
      <c r="E1867" s="456" t="s">
        <v>99</v>
      </c>
      <c r="F1867" s="22">
        <v>50</v>
      </c>
      <c r="G1867" s="22" t="s">
        <v>73</v>
      </c>
      <c r="H1867" s="328">
        <f>ROUND((($F$1856)*(
(($F$1863)*(($F$1867)/($F$1864+$F$1865+$F$1866+$F$1867+$F$1868)))
/(($F$1857)+($F$1858)+($F$1859)+($F$1860)+($F$1861)+($F$1862)+
(($F$1863)*(($F$1864)/($F$1864+$F$1865+$F$1866+$F$1867+$F$1868)))+
(($F$1863)*(($F$1865)/($F$1864+$F$1865+$F$1866+$F$1867+$F$1868)))+
(($F$1863)*(($F$1866)/($F$1864+$F$1865+$F$1866+$F$1867+$F$1868)))+
(($F$1863)*(($F$1867)/($F$1864+$F$1865+$F$1866+$F$1867+$F$1868)))+
(($F$1863)*(($F$1868)/($F$1864+$F$1865+$F$1866+$F$1867+$F$1868)))+
(($F$1869)*(($F$1870)/((($F$1871)*(($F$1872)/($F$1872+$F$1873+$F$1874+$F$1875+$F$1876)))+
(($F$1871)*(($F$1873)/($F$1872+$F$1873+$F$1874+$F$1875+$F$1876)))+
(($F$1871)*(($F$1874)/($F$1872+$F$1873+$F$1874+$F$1875+$F$1876)))+
(($F$1871)*(($F$1875)/($F$1872+$F$1873+$F$1874+$F$1875+$F$1876)))+
(($F$1871)*(($F$1876)/($F$1872+$F$1873+$F$1874+$F$1875+$F$1876)))+
($F$1870))))+
(($F$1869)*((($F$1871)*(($F$1872)/($F$1872+$F$1873+$F$1874+$F$1875+$F$1876)))
/((($F$1871)*(($F$1872)/($F$1872+$F$1873+$F$1874+$F$1875+$F$1876)))+
(($F$1871)*(($F$1873)/($F$1872+$F$1873+$F$1874+$F$1875+$F$1876)))+
(($F$1871)*(($F$1874)/($F$1872+$F$1873+$F$1874+$F$1875+$F$1876)))+
(($F$1871)*(($F$1875)/($F$1872+$F$1873+$F$1874+$F$1875+$F$1876)))+
(($F$1871)*(($F$1876)/($F$1872+$F$1873+$F$1874+$F$1875+$F$1876)))+
($F$1870))))+
(($F$1869)*((($F$1871)*(($F$1873)/($F$1872+$F$1873+$F$1874+$F$1875+$F$1876)))
/((($F$1871)*(($F$1872)/($F$1872+$F$1873+$F$1874+$F$1875+$F$1876)))+
(($F$1871)*(($F$1873)/($F$1872+$F$1873+$F$1874+$F$1875+$F$1876)))+
(($F$1871)*(($F$1874)/($F$1872+$F$1873+$F$1874+$F$1875+$F$1876)))+
(($F$1871)*(($F$1875)/($F$1872+$F$1873+$F$1874+$F$1875+$F$1876)))+
(($F$1871)*(($F$1876)/($F$1872+$F$1873+$F$1874+$F$1875+$F$1876)))+
($F$1870))))+
(($F$1869)*((($F$1871)*(($F$1874)/($F$1872+$F$1873+$F$1874+$F$1875+$F$1876)))
/((($F$1871)*(($F$1872)/($F$1872+$F$1873+$F$1874+$F$1875+$F$1876)))+
(($F$1871)*(($F$1873)/($F$1872+$F$1873+$F$1874+$F$1875+$F$1876)))+
(($F$1871)*(($F$1874)/($F$1872+$F$1873+$F$1874+$F$1875+$F$1876)))+
(($F$1871)*(($F$1875)/($F$1872+$F$1873+$F$1874+$F$1875+$F$1876)))+
(($F$1871)*(($F$1876)/($F$1872+$F$1873+$F$1874+$F$1875+$F$1876)))+
($F$1870))))+
(($F$1869)*((($F$1871)*(($F$1875)/($F$1872+$F$1873+$F$1874+$F$1875+$F$1876)))
/((($F$1871)*(($F$1872)/($F$1872+$F$1873+$F$1874+$F$1875+$F$1876)))+
(($F$1871)*(($F$1873)/($F$1872+$F$1873+$F$1874+$F$1875+$F$1876)))+
(($F$1871)*(($F$1874)/($F$1872+$F$1873+$F$1874+$F$1875+$F$1876)))+
(($F$1871)*(($F$1875)/($F$1872+$F$1873+$F$1874+$F$1875+$F$1876)))+
(($F$1871)*(($F$1876)/($F$1872+$F$1873+$F$1874+$F$1875+$F$1876)))+
($F$1870))))+
(($F$1869)*((($F$1871)*(($F$1876)/($F$1872+$F$1873+$F$1874+$F$1875+$F$1876)))
/((($F$1871)*(($F$1872)/($F$1872+$F$1873+$F$1874+$F$1875+$F$1876)))+
(($F$1871)*(($F$1873)/($F$1872+$F$1873+$F$1874+$F$1875+$F$1876)))+
(($F$1871)*(($F$1874)/($F$1872+$F$1873+$F$1874+$F$1875+$F$1876)))+
(($F$1871)*(($F$1875)/($F$1872+$F$1873+$F$1874+$F$1875+$F$1876)))+
(($F$1871)*(($F$1876)/($F$1872+$F$1873+$F$1874+$F$1875+$F$1876)))+
($F$1870))))))),2)</f>
        <v>0.17</v>
      </c>
      <c r="I1867" s="22" t="s">
        <v>73</v>
      </c>
      <c r="J1867" s="330"/>
      <c r="K1867" s="681">
        <f>(A1836*H1867)</f>
        <v>4.7600000000000007</v>
      </c>
      <c r="L1867" s="535"/>
      <c r="M1867" s="552" t="str">
        <f t="shared" si="260"/>
        <v/>
      </c>
      <c r="N1867" s="552"/>
      <c r="O1867" s="552" t="str">
        <f t="shared" si="261"/>
        <v/>
      </c>
      <c r="P1867" s="39"/>
    </row>
    <row r="1868" spans="1:16" x14ac:dyDescent="0.35">
      <c r="A1868" s="535" t="str">
        <f t="shared" si="262"/>
        <v/>
      </c>
      <c r="B1868" s="337"/>
      <c r="C1868" s="337"/>
      <c r="D1868" s="326" t="s">
        <v>51</v>
      </c>
      <c r="E1868" s="474" t="s">
        <v>98</v>
      </c>
      <c r="F1868" s="18">
        <v>50</v>
      </c>
      <c r="G1868" s="18" t="s">
        <v>73</v>
      </c>
      <c r="H1868" s="335">
        <f>ROUND((($F$1856)*(
(($F$1863)*(($F$1868)/($F$1864+$F$1865+$F$1866+$F$1867+$F$1868)))
/(($F$1857)+($F$1858)+($F$1859)+($F$1860)+($F$1861)+($F$1862)+
(($F$1863)*(($F$1864)/($F$1864+$F$1865+$F$1866+$F$1867+$F$1868)))+
(($F$1863)*(($F$1865)/($F$1864+$F$1865+$F$1866+$F$1867+$F$1868)))+
(($F$1863)*(($F$1866)/($F$1864+$F$1865+$F$1866+$F$1867+$F$1868)))+
(($F$1863)*(($F$1867)/($F$1864+$F$1865+$F$1866+$F$1867+$F$1868)))+
(($F$1863)*(($F$1868)/($F$1864+$F$1865+$F$1866+$F$1867+$F$1868)))+
(($F$1869)*(($F$1870)/((($F$1871)*(($F$1872)/($F$1872+$F$1873+$F$1874+$F$1875+$F$1876)))+
(($F$1871)*(($F$1873)/($F$1872+$F$1873+$F$1874+$F$1875+$F$1876)))+
(($F$1871)*(($F$1874)/($F$1872+$F$1873+$F$1874+$F$1875+$F$1876)))+
(($F$1871)*(($F$1875)/($F$1872+$F$1873+$F$1874+$F$1875+$F$1876)))+
(($F$1871)*(($F$1876)/($F$1872+$F$1873+$F$1874+$F$1875+$F$1876)))+
($F$1870))))+
(($F$1869)*((($F$1871)*(($F$1872)/($F$1872+$F$1873+$F$1874+$F$1875+$F$1876)))
/((($F$1871)*(($F$1872)/($F$1872+$F$1873+$F$1874+$F$1875+$F$1876)))+
(($F$1871)*(($F$1873)/($F$1872+$F$1873+$F$1874+$F$1875+$F$1876)))+
(($F$1871)*(($F$1874)/($F$1872+$F$1873+$F$1874+$F$1875+$F$1876)))+
(($F$1871)*(($F$1875)/($F$1872+$F$1873+$F$1874+$F$1875+$F$1876)))+
(($F$1871)*(($F$1876)/($F$1872+$F$1873+$F$1874+$F$1875+$F$1876)))+
($F$1870))))+
(($F$1869)*((($F$1871)*(($F$1873)/($F$1872+$F$1873+$F$1874+$F$1875+$F$1876)))
/((($F$1871)*(($F$1872)/($F$1872+$F$1873+$F$1874+$F$1875+$F$1876)))+
(($F$1871)*(($F$1873)/($F$1872+$F$1873+$F$1874+$F$1875+$F$1876)))+
(($F$1871)*(($F$1874)/($F$1872+$F$1873+$F$1874+$F$1875+$F$1876)))+
(($F$1871)*(($F$1875)/($F$1872+$F$1873+$F$1874+$F$1875+$F$1876)))+
(($F$1871)*(($F$1876)/($F$1872+$F$1873+$F$1874+$F$1875+$F$1876)))+
($F$1870))))+
(($F$1869)*((($F$1871)*(($F$1874)/($F$1872+$F$1873+$F$1874+$F$1875+$F$1876)))
/((($F$1871)*(($F$1872)/($F$1872+$F$1873+$F$1874+$F$1875+$F$1876)))+
(($F$1871)*(($F$1873)/($F$1872+$F$1873+$F$1874+$F$1875+$F$1876)))+
(($F$1871)*(($F$1874)/($F$1872+$F$1873+$F$1874+$F$1875+$F$1876)))+
(($F$1871)*(($F$1875)/($F$1872+$F$1873+$F$1874+$F$1875+$F$1876)))+
(($F$1871)*(($F$1876)/($F$1872+$F$1873+$F$1874+$F$1875+$F$1876)))+
($F$1870))))+
(($F$1869)*((($F$1871)*(($F$1875)/($F$1872+$F$1873+$F$1874+$F$1875+$F$1876)))
/((($F$1871)*(($F$1872)/($F$1872+$F$1873+$F$1874+$F$1875+$F$1876)))+
(($F$1871)*(($F$1873)/($F$1872+$F$1873+$F$1874+$F$1875+$F$1876)))+
(($F$1871)*(($F$1874)/($F$1872+$F$1873+$F$1874+$F$1875+$F$1876)))+
(($F$1871)*(($F$1875)/($F$1872+$F$1873+$F$1874+$F$1875+$F$1876)))+
(($F$1871)*(($F$1876)/($F$1872+$F$1873+$F$1874+$F$1875+$F$1876)))+
($F$1870))))+
(($F$1869)*((($F$1871)*(($F$1876)/($F$1872+$F$1873+$F$1874+$F$1875+$F$1876)))
/((($F$1871)*(($F$1872)/($F$1872+$F$1873+$F$1874+$F$1875+$F$1876)))+
(($F$1871)*(($F$1873)/($F$1872+$F$1873+$F$1874+$F$1875+$F$1876)))+
(($F$1871)*(($F$1874)/($F$1872+$F$1873+$F$1874+$F$1875+$F$1876)))+
(($F$1871)*(($F$1875)/($F$1872+$F$1873+$F$1874+$F$1875+$F$1876)))+
(($F$1871)*(($F$1876)/($F$1872+$F$1873+$F$1874+$F$1875+$F$1876)))+
($F$1870))))))),2)</f>
        <v>0.17</v>
      </c>
      <c r="I1868" s="18" t="s">
        <v>73</v>
      </c>
      <c r="J1868" s="337"/>
      <c r="K1868" s="680">
        <f>(A1836*H1868)</f>
        <v>4.7600000000000007</v>
      </c>
      <c r="L1868" s="535"/>
      <c r="M1868" s="552" t="str">
        <f t="shared" si="260"/>
        <v/>
      </c>
      <c r="N1868" s="552"/>
      <c r="O1868" s="552" t="str">
        <f t="shared" si="261"/>
        <v/>
      </c>
      <c r="P1868" s="39"/>
    </row>
    <row r="1869" spans="1:16" x14ac:dyDescent="0.35">
      <c r="A1869" s="535" t="str">
        <f t="shared" si="262"/>
        <v/>
      </c>
      <c r="B1869" s="330"/>
      <c r="C1869" s="330"/>
      <c r="D1869" s="355"/>
      <c r="E1869" s="540" t="s">
        <v>989</v>
      </c>
      <c r="F1869" s="356">
        <v>31</v>
      </c>
      <c r="G1869" s="356" t="s">
        <v>73</v>
      </c>
      <c r="H1869" s="356"/>
      <c r="I1869" s="378"/>
      <c r="J1869" s="515"/>
      <c r="K1869" s="684"/>
      <c r="L1869" s="535"/>
      <c r="M1869" s="552" t="str">
        <f t="shared" si="260"/>
        <v/>
      </c>
      <c r="N1869" s="552"/>
      <c r="O1869" s="552" t="str">
        <f t="shared" si="261"/>
        <v/>
      </c>
      <c r="P1869" s="39"/>
    </row>
    <row r="1870" spans="1:16" x14ac:dyDescent="0.35">
      <c r="A1870" s="535" t="str">
        <f t="shared" si="262"/>
        <v/>
      </c>
      <c r="B1870" s="337"/>
      <c r="C1870" s="337"/>
      <c r="D1870" s="326" t="s">
        <v>385</v>
      </c>
      <c r="E1870" s="474" t="s">
        <v>990</v>
      </c>
      <c r="F1870" s="335">
        <v>200</v>
      </c>
      <c r="G1870" s="335" t="s">
        <v>73</v>
      </c>
      <c r="H1870" s="335">
        <f>ROUND((($F$1856)*(
(($F$1869)*(($F$1870)/((($F$1871)*(($F$1872)/($F$1872+$F$1873+$F$1874+$F$1875+$F$1876)))+
(($F$1871)*(($F$1873)/($F$1872+$F$1873+$F$1874+$F$1875+$F$1876)))+
(($F$1871)*(($F$1874)/($F$1872+$F$1873+$F$1874+$F$1875+$F$1876)))+
(($F$1871)*(($F$1875)/($F$1872+$F$1873+$F$1874+$F$1875+$F$1876)))+
(($F$1871)*(($F$1876)/($F$1872+$F$1873+$F$1874+$F$1875+$F$1876)))+
($F$1870))))
/(($F$1857)+($F$1858)+($F$1859)+($F$1860)+($F$1861)+($F$1862)+
(($F$1863)*(($F$1864)/($F$1864+$F$1865+$F$1866+$F$1867+$F$1868)))+
(($F$1863)*(($F$1865)/($F$1864+$F$1865+$F$1866+$F$1867+$F$1868)))+
(($F$1863)*(($F$1866)/($F$1864+$F$1865+$F$1866+$F$1867+$F$1868)))+
(($F$1863)*(($F$1867)/($F$1864+$F$1865+$F$1866+$F$1867+$F$1868)))+
(($F$1863)*(($F$1868)/($F$1864+$F$1865+$F$1866+$F$1867+$F$1868)))+
(($F$1869)*(($F$1870)/((($F$1871)*(($F$1872)/($F$1872+$F$1873+$F$1874+$F$1875+$F$1876)))+
(($F$1871)*(($F$1873)/($F$1872+$F$1873+$F$1874+$F$1875+$F$1876)))+
(($F$1871)*(($F$1874)/($F$1872+$F$1873+$F$1874+$F$1875+$F$1876)))+
(($F$1871)*(($F$1875)/($F$1872+$F$1873+$F$1874+$F$1875+$F$1876)))+
(($F$1871)*(($F$1876)/($F$1872+$F$1873+$F$1874+$F$1875+$F$1876)))+
($F$1870))))+
(($F$1869)*((($F$1871)*(($F$1872)/($F$1872+$F$1873+$F$1874+$F$1875+$F$1876)))
/((($F$1871)*(($F$1872)/($F$1872+$F$1873+$F$1874+$F$1875+$F$1876)))+
(($F$1871)*(($F$1873)/($F$1872+$F$1873+$F$1874+$F$1875+$F$1876)))+
(($F$1871)*(($F$1874)/($F$1872+$F$1873+$F$1874+$F$1875+$F$1876)))+
(($F$1871)*(($F$1875)/($F$1872+$F$1873+$F$1874+$F$1875+$F$1876)))+
(($F$1871)*(($F$1876)/($F$1872+$F$1873+$F$1874+$F$1875+$F$1876)))+
($F$1870))))+
(($F$1869)*((($F$1871)*(($F$1873)/($F$1872+$F$1873+$F$1874+$F$1875+$F$1876)))
/((($F$1871)*(($F$1872)/($F$1872+$F$1873+$F$1874+$F$1875+$F$1876)))+
(($F$1871)*(($F$1873)/($F$1872+$F$1873+$F$1874+$F$1875+$F$1876)))+
(($F$1871)*(($F$1874)/($F$1872+$F$1873+$F$1874+$F$1875+$F$1876)))+
(($F$1871)*(($F$1875)/($F$1872+$F$1873+$F$1874+$F$1875+$F$1876)))+
(($F$1871)*(($F$1876)/($F$1872+$F$1873+$F$1874+$F$1875+$F$1876)))+
($F$1870))))+
(($F$1869)*((($F$1871)*(($F$1874)/($F$1872+$F$1873+$F$1874+$F$1875+$F$1876)))
/((($F$1871)*(($F$1872)/($F$1872+$F$1873+$F$1874+$F$1875+$F$1876)))+
(($F$1871)*(($F$1873)/($F$1872+$F$1873+$F$1874+$F$1875+$F$1876)))+
(($F$1871)*(($F$1874)/($F$1872+$F$1873+$F$1874+$F$1875+$F$1876)))+
(($F$1871)*(($F$1875)/($F$1872+$F$1873+$F$1874+$F$1875+$F$1876)))+
(($F$1871)*(($F$1876)/($F$1872+$F$1873+$F$1874+$F$1875+$F$1876)))+
($F$1870))))+
(($F$1869)*((($F$1871)*(($F$1875)/($F$1872+$F$1873+$F$1874+$F$1875+$F$1876)))
/((($F$1871)*(($F$1872)/($F$1872+$F$1873+$F$1874+$F$1875+$F$1876)))+
(($F$1871)*(($F$1873)/($F$1872+$F$1873+$F$1874+$F$1875+$F$1876)))+
(($F$1871)*(($F$1874)/($F$1872+$F$1873+$F$1874+$F$1875+$F$1876)))+
(($F$1871)*(($F$1875)/($F$1872+$F$1873+$F$1874+$F$1875+$F$1876)))+
(($F$1871)*(($F$1876)/($F$1872+$F$1873+$F$1874+$F$1875+$F$1876)))+
($F$1870))))+
(($F$1869)*((($F$1871)*(($F$1876)/($F$1872+$F$1873+$F$1874+$F$1875+$F$1876)))
/((($F$1871)*(($F$1872)/($F$1872+$F$1873+$F$1874+$F$1875+$F$1876)))+
(($F$1871)*(($F$1873)/($F$1872+$F$1873+$F$1874+$F$1875+$F$1876)))+
(($F$1871)*(($F$1874)/($F$1872+$F$1873+$F$1874+$F$1875+$F$1876)))+
(($F$1871)*(($F$1875)/($F$1872+$F$1873+$F$1874+$F$1875+$F$1876)))+
(($F$1871)*(($F$1876)/($F$1872+$F$1873+$F$1874+$F$1875+$F$1876)))+
($F$1870))))))),2)</f>
        <v>3.18</v>
      </c>
      <c r="I1870" s="18" t="s">
        <v>73</v>
      </c>
      <c r="J1870" s="337"/>
      <c r="K1870" s="680">
        <f>(A1836*H1870)</f>
        <v>89.04</v>
      </c>
      <c r="L1870" s="535"/>
      <c r="M1870" s="552" t="str">
        <f t="shared" si="260"/>
        <v/>
      </c>
      <c r="N1870" s="552"/>
      <c r="O1870" s="552" t="str">
        <f t="shared" si="261"/>
        <v/>
      </c>
      <c r="P1870" s="39"/>
    </row>
    <row r="1871" spans="1:16" x14ac:dyDescent="0.35">
      <c r="A1871" s="535" t="str">
        <f t="shared" si="262"/>
        <v/>
      </c>
      <c r="B1871" s="330"/>
      <c r="C1871" s="330"/>
      <c r="D1871" s="355"/>
      <c r="E1871" s="662" t="s">
        <v>80</v>
      </c>
      <c r="F1871" s="378">
        <v>100</v>
      </c>
      <c r="G1871" s="378" t="s">
        <v>73</v>
      </c>
      <c r="H1871" s="356"/>
      <c r="I1871" s="378"/>
      <c r="J1871" s="515"/>
      <c r="K1871" s="684"/>
      <c r="L1871" s="535"/>
      <c r="M1871" s="552" t="str">
        <f t="shared" si="260"/>
        <v/>
      </c>
      <c r="N1871" s="552"/>
      <c r="O1871" s="552" t="str">
        <f t="shared" si="261"/>
        <v/>
      </c>
      <c r="P1871" s="39"/>
    </row>
    <row r="1872" spans="1:16" x14ac:dyDescent="0.35">
      <c r="A1872" s="535" t="str">
        <f t="shared" si="262"/>
        <v/>
      </c>
      <c r="B1872" s="337"/>
      <c r="C1872" s="337"/>
      <c r="D1872" s="326" t="s">
        <v>47</v>
      </c>
      <c r="E1872" s="663" t="s">
        <v>93</v>
      </c>
      <c r="F1872" s="18">
        <v>600</v>
      </c>
      <c r="G1872" s="18" t="s">
        <v>73</v>
      </c>
      <c r="H1872" s="335">
        <f>ROUND((($F$1856)*(
(($F$1869)*((($F$1871)*(($F$1872)/($F$1872+$F$1873+$F$1874+$F$1875+$F$1876)))
/((($F$1871)*(($F$1872)/($F$1872+$F$1873+$F$1874+$F$1875+$F$1876)))+
(($F$1871)*(($F$1873)/($F$1872+$F$1873+$F$1874+$F$1875+$F$1876)))+
(($F$1871)*(($F$1874)/($F$1872+$F$1873+$F$1874+$F$1875+$F$1876)))+
(($F$1871)*(($F$1875)/($F$1872+$F$1873+$F$1874+$F$1875+$F$1876)))+
(($F$1871)*(($F$1876)/($F$1872+$F$1873+$F$1874+$F$1875+$F$1876)))+
($F$1870))))
/(($F$1857)+($F$1858)+($F$1859)+($F$1860)+($F$1861)+($F$1862)+
(($F$1863)*(($F$1864)/($F$1864+$F$1865+$F$1866+$F$1867+$F$1868)))+
(($F$1863)*(($F$1865)/($F$1864+$F$1865+$F$1866+$F$1867+$F$1868)))+
(($F$1863)*(($F$1866)/($F$1864+$F$1865+$F$1866+$F$1867+$F$1868)))+
(($F$1863)*(($F$1867)/($F$1864+$F$1865+$F$1866+$F$1867+$F$1868)))+
(($F$1863)*(($F$1868)/($F$1864+$F$1865+$F$1866+$F$1867+$F$1868)))+
(($F$1869)*(($F$1870)/((($F$1871)*(($F$1872)/($F$1872+$F$1873+$F$1874+$F$1875+$F$1876)))+
(($F$1871)*(($F$1873)/($F$1872+$F$1873+$F$1874+$F$1875+$F$1876)))+
(($F$1871)*(($F$1874)/($F$1872+$F$1873+$F$1874+$F$1875+$F$1876)))+
(($F$1871)*(($F$1875)/($F$1872+$F$1873+$F$1874+$F$1875+$F$1876)))+
(($F$1871)*(($F$1876)/($F$1872+$F$1873+$F$1874+$F$1875+$F$1876)))+
($F$1870))))+
(($F$1869)*((($F$1871)*(($F$1872)/($F$1872+$F$1873+$F$1874+$F$1875+$F$1876)))
/((($F$1871)*(($F$1872)/($F$1872+$F$1873+$F$1874+$F$1875+$F$1876)))+
(($F$1871)*(($F$1873)/($F$1872+$F$1873+$F$1874+$F$1875+$F$1876)))+
(($F$1871)*(($F$1874)/($F$1872+$F$1873+$F$1874+$F$1875+$F$1876)))+
(($F$1871)*(($F$1875)/($F$1872+$F$1873+$F$1874+$F$1875+$F$1876)))+
(($F$1871)*(($F$1876)/($F$1872+$F$1873+$F$1874+$F$1875+$F$1876)))+
($F$1870))))+
(($F$1869)*((($F$1871)*(($F$1873)/($F$1872+$F$1873+$F$1874+$F$1875+$F$1876)))
/((($F$1871)*(($F$1872)/($F$1872+$F$1873+$F$1874+$F$1875+$F$1876)))+
(($F$1871)*(($F$1873)/($F$1872+$F$1873+$F$1874+$F$1875+$F$1876)))+
(($F$1871)*(($F$1874)/($F$1872+$F$1873+$F$1874+$F$1875+$F$1876)))+
(($F$1871)*(($F$1875)/($F$1872+$F$1873+$F$1874+$F$1875+$F$1876)))+
(($F$1871)*(($F$1876)/($F$1872+$F$1873+$F$1874+$F$1875+$F$1876)))+
($F$1870))))+
(($F$1869)*((($F$1871)*(($F$1874)/($F$1872+$F$1873+$F$1874+$F$1875+$F$1876)))
/((($F$1871)*(($F$1872)/($F$1872+$F$1873+$F$1874+$F$1875+$F$1876)))+
(($F$1871)*(($F$1873)/($F$1872+$F$1873+$F$1874+$F$1875+$F$1876)))+
(($F$1871)*(($F$1874)/($F$1872+$F$1873+$F$1874+$F$1875+$F$1876)))+
(($F$1871)*(($F$1875)/($F$1872+$F$1873+$F$1874+$F$1875+$F$1876)))+
(($F$1871)*(($F$1876)/($F$1872+$F$1873+$F$1874+$F$1875+$F$1876)))+
($F$1870))))+
(($F$1869)*((($F$1871)*(($F$1875)/($F$1872+$F$1873+$F$1874+$F$1875+$F$1876)))
/((($F$1871)*(($F$1872)/($F$1872+$F$1873+$F$1874+$F$1875+$F$1876)))+
(($F$1871)*(($F$1873)/($F$1872+$F$1873+$F$1874+$F$1875+$F$1876)))+
(($F$1871)*(($F$1874)/($F$1872+$F$1873+$F$1874+$F$1875+$F$1876)))+
(($F$1871)*(($F$1875)/($F$1872+$F$1873+$F$1874+$F$1875+$F$1876)))+
(($F$1871)*(($F$1876)/($F$1872+$F$1873+$F$1874+$F$1875+$F$1876)))+
($F$1870))))+
(($F$1869)*((($F$1871)*(($F$1876)/($F$1872+$F$1873+$F$1874+$F$1875+$F$1876)))
/((($F$1871)*(($F$1872)/($F$1872+$F$1873+$F$1874+$F$1875+$F$1876)))+
(($F$1871)*(($F$1873)/($F$1872+$F$1873+$F$1874+$F$1875+$F$1876)))+
(($F$1871)*(($F$1874)/($F$1872+$F$1873+$F$1874+$F$1875+$F$1876)))+
(($F$1871)*(($F$1875)/($F$1872+$F$1873+$F$1874+$F$1875+$F$1876)))+
(($F$1871)*(($F$1876)/($F$1872+$F$1873+$F$1874+$F$1875+$F$1876)))+
($F$1870))))))),2)</f>
        <v>1.06</v>
      </c>
      <c r="I1872" s="18" t="s">
        <v>73</v>
      </c>
      <c r="J1872" s="337"/>
      <c r="K1872" s="680">
        <f>(A1836*H1872)</f>
        <v>29.68</v>
      </c>
      <c r="L1872" s="535"/>
      <c r="M1872" s="552" t="str">
        <f t="shared" si="260"/>
        <v/>
      </c>
      <c r="N1872" s="552"/>
      <c r="O1872" s="552" t="str">
        <f t="shared" si="261"/>
        <v/>
      </c>
      <c r="P1872" s="39"/>
    </row>
    <row r="1873" spans="1:16" x14ac:dyDescent="0.35">
      <c r="A1873" s="535" t="str">
        <f t="shared" si="262"/>
        <v/>
      </c>
      <c r="B1873" s="330"/>
      <c r="C1873" s="330"/>
      <c r="D1873" s="326" t="s">
        <v>48</v>
      </c>
      <c r="E1873" s="664" t="s">
        <v>91</v>
      </c>
      <c r="F1873" s="22">
        <v>100</v>
      </c>
      <c r="G1873" s="22" t="s">
        <v>73</v>
      </c>
      <c r="H1873" s="328">
        <f>ROUND((($F$1856)*(
(($F$1869)*((($F$1871)*(($F$1873)/($F$1872+$F$1873+$F$1874+$F$1875+$F$1876)))
/((($F$1871)*(($F$1872)/($F$1872+$F$1873+$F$1874+$F$1875+$F$1876)))+
(($F$1871)*(($F$1873)/($F$1872+$F$1873+$F$1874+$F$1875+$F$1876)))+
(($F$1871)*(($F$1874)/($F$1872+$F$1873+$F$1874+$F$1875+$F$1876)))+
(($F$1871)*(($F$1875)/($F$1872+$F$1873+$F$1874+$F$1875+$F$1876)))+
(($F$1871)*(($F$1876)/($F$1872+$F$1873+$F$1874+$F$1875+$F$1876)))+
($F$1870))))
/(($F$1857)+($F$1858)+($F$1859)+($F$1860)+($F$1861)+($F$1862)+
(($F$1863)*(($F$1864)/($F$1864+$F$1865+$F$1866+$F$1867+$F$1868)))+
(($F$1863)*(($F$1865)/($F$1864+$F$1865+$F$1866+$F$1867+$F$1868)))+
(($F$1863)*(($F$1866)/($F$1864+$F$1865+$F$1866+$F$1867+$F$1868)))+
(($F$1863)*(($F$1867)/($F$1864+$F$1865+$F$1866+$F$1867+$F$1868)))+
(($F$1863)*(($F$1868)/($F$1864+$F$1865+$F$1866+$F$1867+$F$1868)))+
(($F$1869)*(($F$1870)/((($F$1871)*(($F$1872)/($F$1872+$F$1873+$F$1874+$F$1875+$F$1876)))+
(($F$1871)*(($F$1873)/($F$1872+$F$1873+$F$1874+$F$1875+$F$1876)))+
(($F$1871)*(($F$1874)/($F$1872+$F$1873+$F$1874+$F$1875+$F$1876)))+
(($F$1871)*(($F$1875)/($F$1872+$F$1873+$F$1874+$F$1875+$F$1876)))+
(($F$1871)*(($F$1876)/($F$1872+$F$1873+$F$1874+$F$1875+$F$1876)))+
($F$1870))))+
(($F$1869)*((($F$1871)*(($F$1872)/($F$1872+$F$1873+$F$1874+$F$1875+$F$1876)))
/((($F$1871)*(($F$1872)/($F$1872+$F$1873+$F$1874+$F$1875+$F$1876)))+
(($F$1871)*(($F$1873)/($F$1872+$F$1873+$F$1874+$F$1875+$F$1876)))+
(($F$1871)*(($F$1874)/($F$1872+$F$1873+$F$1874+$F$1875+$F$1876)))+
(($F$1871)*(($F$1875)/($F$1872+$F$1873+$F$1874+$F$1875+$F$1876)))+
(($F$1871)*(($F$1876)/($F$1872+$F$1873+$F$1874+$F$1875+$F$1876)))+
($F$1870))))+
(($F$1869)*((($F$1871)*(($F$1873)/($F$1872+$F$1873+$F$1874+$F$1875+$F$1876)))
/((($F$1871)*(($F$1872)/($F$1872+$F$1873+$F$1874+$F$1875+$F$1876)))+
(($F$1871)*(($F$1873)/($F$1872+$F$1873+$F$1874+$F$1875+$F$1876)))+
(($F$1871)*(($F$1874)/($F$1872+$F$1873+$F$1874+$F$1875+$F$1876)))+
(($F$1871)*(($F$1875)/($F$1872+$F$1873+$F$1874+$F$1875+$F$1876)))+
(($F$1871)*(($F$1876)/($F$1872+$F$1873+$F$1874+$F$1875+$F$1876)))+
($F$1870))))+
(($F$1869)*((($F$1871)*(($F$1874)/($F$1872+$F$1873+$F$1874+$F$1875+$F$1876)))
/((($F$1871)*(($F$1872)/($F$1872+$F$1873+$F$1874+$F$1875+$F$1876)))+
(($F$1871)*(($F$1873)/($F$1872+$F$1873+$F$1874+$F$1875+$F$1876)))+
(($F$1871)*(($F$1874)/($F$1872+$F$1873+$F$1874+$F$1875+$F$1876)))+
(($F$1871)*(($F$1875)/($F$1872+$F$1873+$F$1874+$F$1875+$F$1876)))+
(($F$1871)*(($F$1876)/($F$1872+$F$1873+$F$1874+$F$1875+$F$1876)))+
($F$1870))))+
(($F$1869)*((($F$1871)*(($F$1875)/($F$1872+$F$1873+$F$1874+$F$1875+$F$1876)))
/((($F$1871)*(($F$1872)/($F$1872+$F$1873+$F$1874+$F$1875+$F$1876)))+
(($F$1871)*(($F$1873)/($F$1872+$F$1873+$F$1874+$F$1875+$F$1876)))+
(($F$1871)*(($F$1874)/($F$1872+$F$1873+$F$1874+$F$1875+$F$1876)))+
(($F$1871)*(($F$1875)/($F$1872+$F$1873+$F$1874+$F$1875+$F$1876)))+
(($F$1871)*(($F$1876)/($F$1872+$F$1873+$F$1874+$F$1875+$F$1876)))+
($F$1870))))+
(($F$1869)*((($F$1871)*(($F$1876)/($F$1872+$F$1873+$F$1874+$F$1875+$F$1876)))
/((($F$1871)*(($F$1872)/($F$1872+$F$1873+$F$1874+$F$1875+$F$1876)))+
(($F$1871)*(($F$1873)/($F$1872+$F$1873+$F$1874+$F$1875+$F$1876)))+
(($F$1871)*(($F$1874)/($F$1872+$F$1873+$F$1874+$F$1875+$F$1876)))+
(($F$1871)*(($F$1875)/($F$1872+$F$1873+$F$1874+$F$1875+$F$1876)))+
(($F$1871)*(($F$1876)/($F$1872+$F$1873+$F$1874+$F$1875+$F$1876)))+
($F$1870))))))),2)</f>
        <v>0.18</v>
      </c>
      <c r="I1873" s="22" t="s">
        <v>73</v>
      </c>
      <c r="J1873" s="330"/>
      <c r="K1873" s="681">
        <f>(A1836*H1873)</f>
        <v>5.04</v>
      </c>
      <c r="L1873" s="535"/>
      <c r="M1873" s="552" t="str">
        <f t="shared" si="260"/>
        <v/>
      </c>
      <c r="N1873" s="552"/>
      <c r="O1873" s="552" t="str">
        <f t="shared" si="261"/>
        <v/>
      </c>
      <c r="P1873" s="39"/>
    </row>
    <row r="1874" spans="1:16" x14ac:dyDescent="0.35">
      <c r="A1874" s="535" t="str">
        <f t="shared" si="262"/>
        <v/>
      </c>
      <c r="B1874" s="337"/>
      <c r="C1874" s="337"/>
      <c r="D1874" s="326" t="s">
        <v>50</v>
      </c>
      <c r="E1874" s="663" t="s">
        <v>92</v>
      </c>
      <c r="F1874" s="18">
        <v>100</v>
      </c>
      <c r="G1874" s="18" t="s">
        <v>73</v>
      </c>
      <c r="H1874" s="335">
        <f>ROUND((($F$1856)*(
(($F$1869)*((($F$1871)*(($F$1874)/($F$1872+$F$1873+$F$1874+$F$1875+$F$1876)))
/((($F$1871)*(($F$1872)/($F$1872+$F$1873+$F$1874+$F$1875+$F$1876)))+
(($F$1871)*(($F$1873)/($F$1872+$F$1873+$F$1874+$F$1875+$F$1876)))+
(($F$1871)*(($F$1874)/($F$1872+$F$1873+$F$1874+$F$1875+$F$1876)))+
(($F$1871)*(($F$1875)/($F$1872+$F$1873+$F$1874+$F$1875+$F$1876)))+
(($F$1871)*(($F$1876)/($F$1872+$F$1873+$F$1874+$F$1875+$F$1876)))+
($F$1870))))
/(($F$1857)+($F$1858)+($F$1859)+($F$1860)+($F$1861)+($F$1862)+
(($F$1863)*(($F$1864)/($F$1864+$F$1865+$F$1866+$F$1867+$F$1868)))+
(($F$1863)*(($F$1865)/($F$1864+$F$1865+$F$1866+$F$1867+$F$1868)))+
(($F$1863)*(($F$1866)/($F$1864+$F$1865+$F$1866+$F$1867+$F$1868)))+
(($F$1863)*(($F$1867)/($F$1864+$F$1865+$F$1866+$F$1867+$F$1868)))+
(($F$1863)*(($F$1868)/($F$1864+$F$1865+$F$1866+$F$1867+$F$1868)))+
(($F$1869)*(($F$1870)/((($F$1871)*(($F$1872)/($F$1872+$F$1873+$F$1874+$F$1875+$F$1876)))+
(($F$1871)*(($F$1873)/($F$1872+$F$1873+$F$1874+$F$1875+$F$1876)))+
(($F$1871)*(($F$1874)/($F$1872+$F$1873+$F$1874+$F$1875+$F$1876)))+
(($F$1871)*(($F$1875)/($F$1872+$F$1873+$F$1874+$F$1875+$F$1876)))+
(($F$1871)*(($F$1876)/($F$1872+$F$1873+$F$1874+$F$1875+$F$1876)))+
($F$1870))))+
(($F$1869)*((($F$1871)*(($F$1872)/($F$1872+$F$1873+$F$1874+$F$1875+$F$1876)))
/((($F$1871)*(($F$1872)/($F$1872+$F$1873+$F$1874+$F$1875+$F$1876)))+
(($F$1871)*(($F$1873)/($F$1872+$F$1873+$F$1874+$F$1875+$F$1876)))+
(($F$1871)*(($F$1874)/($F$1872+$F$1873+$F$1874+$F$1875+$F$1876)))+
(($F$1871)*(($F$1875)/($F$1872+$F$1873+$F$1874+$F$1875+$F$1876)))+
(($F$1871)*(($F$1876)/($F$1872+$F$1873+$F$1874+$F$1875+$F$1876)))+
($F$1870))))+
(($F$1869)*((($F$1871)*(($F$1873)/($F$1872+$F$1873+$F$1874+$F$1875+$F$1876)))
/((($F$1871)*(($F$1872)/($F$1872+$F$1873+$F$1874+$F$1875+$F$1876)))+
(($F$1871)*(($F$1873)/($F$1872+$F$1873+$F$1874+$F$1875+$F$1876)))+
(($F$1871)*(($F$1874)/($F$1872+$F$1873+$F$1874+$F$1875+$F$1876)))+
(($F$1871)*(($F$1875)/($F$1872+$F$1873+$F$1874+$F$1875+$F$1876)))+
(($F$1871)*(($F$1876)/($F$1872+$F$1873+$F$1874+$F$1875+$F$1876)))+
($F$1870))))+
(($F$1869)*((($F$1871)*(($F$1874)/($F$1872+$F$1873+$F$1874+$F$1875+$F$1876)))
/((($F$1871)*(($F$1872)/($F$1872+$F$1873+$F$1874+$F$1875+$F$1876)))+
(($F$1871)*(($F$1873)/($F$1872+$F$1873+$F$1874+$F$1875+$F$1876)))+
(($F$1871)*(($F$1874)/($F$1872+$F$1873+$F$1874+$F$1875+$F$1876)))+
(($F$1871)*(($F$1875)/($F$1872+$F$1873+$F$1874+$F$1875+$F$1876)))+
(($F$1871)*(($F$1876)/($F$1872+$F$1873+$F$1874+$F$1875+$F$1876)))+
($F$1870))))+
(($F$1869)*((($F$1871)*(($F$1875)/($F$1872+$F$1873+$F$1874+$F$1875+$F$1876)))
/((($F$1871)*(($F$1872)/($F$1872+$F$1873+$F$1874+$F$1875+$F$1876)))+
(($F$1871)*(($F$1873)/($F$1872+$F$1873+$F$1874+$F$1875+$F$1876)))+
(($F$1871)*(($F$1874)/($F$1872+$F$1873+$F$1874+$F$1875+$F$1876)))+
(($F$1871)*(($F$1875)/($F$1872+$F$1873+$F$1874+$F$1875+$F$1876)))+
(($F$1871)*(($F$1876)/($F$1872+$F$1873+$F$1874+$F$1875+$F$1876)))+
($F$1870))))+
(($F$1869)*((($F$1871)*(($F$1876)/($F$1872+$F$1873+$F$1874+$F$1875+$F$1876)))
/((($F$1871)*(($F$1872)/($F$1872+$F$1873+$F$1874+$F$1875+$F$1876)))+
(($F$1871)*(($F$1873)/($F$1872+$F$1873+$F$1874+$F$1875+$F$1876)))+
(($F$1871)*(($F$1874)/($F$1872+$F$1873+$F$1874+$F$1875+$F$1876)))+
(($F$1871)*(($F$1875)/($F$1872+$F$1873+$F$1874+$F$1875+$F$1876)))+
(($F$1871)*(($F$1876)/($F$1872+$F$1873+$F$1874+$F$1875+$F$1876)))+
($F$1870))))))),2)</f>
        <v>0.18</v>
      </c>
      <c r="I1874" s="18" t="s">
        <v>73</v>
      </c>
      <c r="J1874" s="337"/>
      <c r="K1874" s="680">
        <f>(A1836*H1874)</f>
        <v>5.04</v>
      </c>
      <c r="L1874" s="535"/>
      <c r="M1874" s="552" t="str">
        <f t="shared" si="260"/>
        <v/>
      </c>
      <c r="N1874" s="552"/>
      <c r="O1874" s="552" t="str">
        <f t="shared" si="261"/>
        <v/>
      </c>
      <c r="P1874" s="39"/>
    </row>
    <row r="1875" spans="1:16" x14ac:dyDescent="0.35">
      <c r="A1875" s="535" t="str">
        <f t="shared" si="262"/>
        <v/>
      </c>
      <c r="B1875" s="330"/>
      <c r="C1875" s="330"/>
      <c r="D1875" s="326" t="s">
        <v>49</v>
      </c>
      <c r="E1875" s="664" t="s">
        <v>99</v>
      </c>
      <c r="F1875" s="22">
        <v>50</v>
      </c>
      <c r="G1875" s="22" t="s">
        <v>73</v>
      </c>
      <c r="H1875" s="328">
        <f>ROUND((($F$1856)*(
(($F$1869)*((($F$1871)*(($F$1875)/($F$1872+$F$1873+$F$1874+$F$1875+$F$1876)))
/((($F$1871)*(($F$1872)/($F$1872+$F$1873+$F$1874+$F$1875+$F$1876)))+
(($F$1871)*(($F$1873)/($F$1872+$F$1873+$F$1874+$F$1875+$F$1876)))+
(($F$1871)*(($F$1874)/($F$1872+$F$1873+$F$1874+$F$1875+$F$1876)))+
(($F$1871)*(($F$1875)/($F$1872+$F$1873+$F$1874+$F$1875+$F$1876)))+
(($F$1871)*(($F$1876)/($F$1872+$F$1873+$F$1874+$F$1875+$F$1876)))+
($F$1870))))
/(($F$1857)+($F$1858)+($F$1859)+($F$1860)+($F$1861)+($F$1862)+
(($F$1863)*(($F$1864)/($F$1864+$F$1865+$F$1866+$F$1867+$F$1868)))+
(($F$1863)*(($F$1865)/($F$1864+$F$1865+$F$1866+$F$1867+$F$1868)))+
(($F$1863)*(($F$1866)/($F$1864+$F$1865+$F$1866+$F$1867+$F$1868)))+
(($F$1863)*(($F$1867)/($F$1864+$F$1865+$F$1866+$F$1867+$F$1868)))+
(($F$1863)*(($F$1868)/($F$1864+$F$1865+$F$1866+$F$1867+$F$1868)))+
(($F$1869)*(($F$1870)/((($F$1871)*(($F$1872)/($F$1872+$F$1873+$F$1874+$F$1875+$F$1876)))+
(($F$1871)*(($F$1873)/($F$1872+$F$1873+$F$1874+$F$1875+$F$1876)))+
(($F$1871)*(($F$1874)/($F$1872+$F$1873+$F$1874+$F$1875+$F$1876)))+
(($F$1871)*(($F$1875)/($F$1872+$F$1873+$F$1874+$F$1875+$F$1876)))+
(($F$1871)*(($F$1876)/($F$1872+$F$1873+$F$1874+$F$1875+$F$1876)))+
($F$1870))))+
(($F$1869)*((($F$1871)*(($F$1872)/($F$1872+$F$1873+$F$1874+$F$1875+$F$1876)))
/((($F$1871)*(($F$1872)/($F$1872+$F$1873+$F$1874+$F$1875+$F$1876)))+
(($F$1871)*(($F$1873)/($F$1872+$F$1873+$F$1874+$F$1875+$F$1876)))+
(($F$1871)*(($F$1874)/($F$1872+$F$1873+$F$1874+$F$1875+$F$1876)))+
(($F$1871)*(($F$1875)/($F$1872+$F$1873+$F$1874+$F$1875+$F$1876)))+
(($F$1871)*(($F$1876)/($F$1872+$F$1873+$F$1874+$F$1875+$F$1876)))+
($F$1870))))+
(($F$1869)*((($F$1871)*(($F$1873)/($F$1872+$F$1873+$F$1874+$F$1875+$F$1876)))
/((($F$1871)*(($F$1872)/($F$1872+$F$1873+$F$1874+$F$1875+$F$1876)))+
(($F$1871)*(($F$1873)/($F$1872+$F$1873+$F$1874+$F$1875+$F$1876)))+
(($F$1871)*(($F$1874)/($F$1872+$F$1873+$F$1874+$F$1875+$F$1876)))+
(($F$1871)*(($F$1875)/($F$1872+$F$1873+$F$1874+$F$1875+$F$1876)))+
(($F$1871)*(($F$1876)/($F$1872+$F$1873+$F$1874+$F$1875+$F$1876)))+
($F$1870))))+
(($F$1869)*((($F$1871)*(($F$1874)/($F$1872+$F$1873+$F$1874+$F$1875+$F$1876)))
/((($F$1871)*(($F$1872)/($F$1872+$F$1873+$F$1874+$F$1875+$F$1876)))+
(($F$1871)*(($F$1873)/($F$1872+$F$1873+$F$1874+$F$1875+$F$1876)))+
(($F$1871)*(($F$1874)/($F$1872+$F$1873+$F$1874+$F$1875+$F$1876)))+
(($F$1871)*(($F$1875)/($F$1872+$F$1873+$F$1874+$F$1875+$F$1876)))+
(($F$1871)*(($F$1876)/($F$1872+$F$1873+$F$1874+$F$1875+$F$1876)))+
($F$1870))))+
(($F$1869)*((($F$1871)*(($F$1875)/($F$1872+$F$1873+$F$1874+$F$1875+$F$1876)))
/((($F$1871)*(($F$1872)/($F$1872+$F$1873+$F$1874+$F$1875+$F$1876)))+
(($F$1871)*(($F$1873)/($F$1872+$F$1873+$F$1874+$F$1875+$F$1876)))+
(($F$1871)*(($F$1874)/($F$1872+$F$1873+$F$1874+$F$1875+$F$1876)))+
(($F$1871)*(($F$1875)/($F$1872+$F$1873+$F$1874+$F$1875+$F$1876)))+
(($F$1871)*(($F$1876)/($F$1872+$F$1873+$F$1874+$F$1875+$F$1876)))+
($F$1870))))+
(($F$1869)*((($F$1871)*(($F$1876)/($F$1872+$F$1873+$F$1874+$F$1875+$F$1876)))
/((($F$1871)*(($F$1872)/($F$1872+$F$1873+$F$1874+$F$1875+$F$1876)))+
(($F$1871)*(($F$1873)/($F$1872+$F$1873+$F$1874+$F$1875+$F$1876)))+
(($F$1871)*(($F$1874)/($F$1872+$F$1873+$F$1874+$F$1875+$F$1876)))+
(($F$1871)*(($F$1875)/($F$1872+$F$1873+$F$1874+$F$1875+$F$1876)))+
(($F$1871)*(($F$1876)/($F$1872+$F$1873+$F$1874+$F$1875+$F$1876)))+
($F$1870))))))),2)</f>
        <v>0.09</v>
      </c>
      <c r="I1875" s="22" t="s">
        <v>73</v>
      </c>
      <c r="J1875" s="330"/>
      <c r="K1875" s="681">
        <f>(A1836*H1875)</f>
        <v>2.52</v>
      </c>
      <c r="L1875" s="535"/>
      <c r="M1875" s="552" t="str">
        <f t="shared" si="260"/>
        <v/>
      </c>
      <c r="N1875" s="552"/>
      <c r="O1875" s="552" t="str">
        <f t="shared" si="261"/>
        <v/>
      </c>
      <c r="P1875" s="39"/>
    </row>
    <row r="1876" spans="1:16" x14ac:dyDescent="0.35">
      <c r="A1876" s="535" t="str">
        <f t="shared" si="262"/>
        <v/>
      </c>
      <c r="B1876" s="337"/>
      <c r="C1876" s="337"/>
      <c r="D1876" s="326" t="s">
        <v>51</v>
      </c>
      <c r="E1876" s="663" t="s">
        <v>98</v>
      </c>
      <c r="F1876" s="18">
        <v>50</v>
      </c>
      <c r="G1876" s="18" t="s">
        <v>73</v>
      </c>
      <c r="H1876" s="335">
        <f>ROUND((($F$1856)*(
(($F$1869)*((($F$1871)*(($F$1876)/($F$1872+$F$1873+$F$1874+$F$1875+$F$1876)))
/((($F$1871)*(($F$1872)/($F$1872+$F$1873+$F$1874+$F$1875+$F$1876)))+
(($F$1871)*(($F$1873)/($F$1872+$F$1873+$F$1874+$F$1875+$F$1876)))+
(($F$1871)*(($F$1874)/($F$1872+$F$1873+$F$1874+$F$1875+$F$1876)))+
(($F$1871)*(($F$1875)/($F$1872+$F$1873+$F$1874+$F$1875+$F$1876)))+
(($F$1871)*(($F$1876)/($F$1872+$F$1873+$F$1874+$F$1875+$F$1876)))+
($F$1870))))
/(($F$1857)+($F$1858)+($F$1859)+($F$1860)+($F$1861)+($F$1862)+
(($F$1863)*(($F$1864)/($F$1864+$F$1865+$F$1866+$F$1867+$F$1868)))+
(($F$1863)*(($F$1865)/($F$1864+$F$1865+$F$1866+$F$1867+$F$1868)))+
(($F$1863)*(($F$1866)/($F$1864+$F$1865+$F$1866+$F$1867+$F$1868)))+
(($F$1863)*(($F$1867)/($F$1864+$F$1865+$F$1866+$F$1867+$F$1868)))+
(($F$1863)*(($F$1868)/($F$1864+$F$1865+$F$1866+$F$1867+$F$1868)))+
(($F$1869)*(($F$1870)/((($F$1871)*(($F$1872)/($F$1872+$F$1873+$F$1874+$F$1875+$F$1876)))+
(($F$1871)*(($F$1873)/($F$1872+$F$1873+$F$1874+$F$1875+$F$1876)))+
(($F$1871)*(($F$1874)/($F$1872+$F$1873+$F$1874+$F$1875+$F$1876)))+
(($F$1871)*(($F$1875)/($F$1872+$F$1873+$F$1874+$F$1875+$F$1876)))+
(($F$1871)*(($F$1876)/($F$1872+$F$1873+$F$1874+$F$1875+$F$1876)))+
($F$1870))))+
(($F$1869)*((($F$1871)*(($F$1872)/($F$1872+$F$1873+$F$1874+$F$1875+$F$1876)))
/((($F$1871)*(($F$1872)/($F$1872+$F$1873+$F$1874+$F$1875+$F$1876)))+
(($F$1871)*(($F$1873)/($F$1872+$F$1873+$F$1874+$F$1875+$F$1876)))+
(($F$1871)*(($F$1874)/($F$1872+$F$1873+$F$1874+$F$1875+$F$1876)))+
(($F$1871)*(($F$1875)/($F$1872+$F$1873+$F$1874+$F$1875+$F$1876)))+
(($F$1871)*(($F$1876)/($F$1872+$F$1873+$F$1874+$F$1875+$F$1876)))+
($F$1870))))+
(($F$1869)*((($F$1871)*(($F$1873)/($F$1872+$F$1873+$F$1874+$F$1875+$F$1876)))
/((($F$1871)*(($F$1872)/($F$1872+$F$1873+$F$1874+$F$1875+$F$1876)))+
(($F$1871)*(($F$1873)/($F$1872+$F$1873+$F$1874+$F$1875+$F$1876)))+
(($F$1871)*(($F$1874)/($F$1872+$F$1873+$F$1874+$F$1875+$F$1876)))+
(($F$1871)*(($F$1875)/($F$1872+$F$1873+$F$1874+$F$1875+$F$1876)))+
(($F$1871)*(($F$1876)/($F$1872+$F$1873+$F$1874+$F$1875+$F$1876)))+
($F$1870))))+
(($F$1869)*((($F$1871)*(($F$1874)/($F$1872+$F$1873+$F$1874+$F$1875+$F$1876)))
/((($F$1871)*(($F$1872)/($F$1872+$F$1873+$F$1874+$F$1875+$F$1876)))+
(($F$1871)*(($F$1873)/($F$1872+$F$1873+$F$1874+$F$1875+$F$1876)))+
(($F$1871)*(($F$1874)/($F$1872+$F$1873+$F$1874+$F$1875+$F$1876)))+
(($F$1871)*(($F$1875)/($F$1872+$F$1873+$F$1874+$F$1875+$F$1876)))+
(($F$1871)*(($F$1876)/($F$1872+$F$1873+$F$1874+$F$1875+$F$1876)))+
($F$1870))))+
(($F$1869)*((($F$1871)*(($F$1875)/($F$1872+$F$1873+$F$1874+$F$1875+$F$1876)))
/((($F$1871)*(($F$1872)/($F$1872+$F$1873+$F$1874+$F$1875+$F$1876)))+
(($F$1871)*(($F$1873)/($F$1872+$F$1873+$F$1874+$F$1875+$F$1876)))+
(($F$1871)*(($F$1874)/($F$1872+$F$1873+$F$1874+$F$1875+$F$1876)))+
(($F$1871)*(($F$1875)/($F$1872+$F$1873+$F$1874+$F$1875+$F$1876)))+
(($F$1871)*(($F$1876)/($F$1872+$F$1873+$F$1874+$F$1875+$F$1876)))+
($F$1870))))+
(($F$1869)*((($F$1871)*(($F$1876)/($F$1872+$F$1873+$F$1874+$F$1875+$F$1876)))
/((($F$1871)*(($F$1872)/($F$1872+$F$1873+$F$1874+$F$1875+$F$1876)))+
(($F$1871)*(($F$1873)/($F$1872+$F$1873+$F$1874+$F$1875+$F$1876)))+
(($F$1871)*(($F$1874)/($F$1872+$F$1873+$F$1874+$F$1875+$F$1876)))+
(($F$1871)*(($F$1875)/($F$1872+$F$1873+$F$1874+$F$1875+$F$1876)))+
(($F$1871)*(($F$1876)/($F$1872+$F$1873+$F$1874+$F$1875+$F$1876)))+
($F$1870))))))),2)</f>
        <v>0.09</v>
      </c>
      <c r="I1876" s="18" t="s">
        <v>73</v>
      </c>
      <c r="J1876" s="337"/>
      <c r="K1876" s="680">
        <f>(A1836*H1876)</f>
        <v>2.52</v>
      </c>
      <c r="L1876" s="535"/>
      <c r="M1876" s="552" t="str">
        <f t="shared" si="260"/>
        <v/>
      </c>
      <c r="N1876" s="552"/>
      <c r="O1876" s="552" t="str">
        <f t="shared" si="261"/>
        <v/>
      </c>
      <c r="P1876" s="39"/>
    </row>
    <row r="1877" spans="1:16" x14ac:dyDescent="0.35">
      <c r="A1877" s="535" t="str">
        <f t="shared" si="262"/>
        <v/>
      </c>
      <c r="B1877" s="330"/>
      <c r="C1877" s="330"/>
      <c r="D1877" s="355"/>
      <c r="E1877" s="355" t="s">
        <v>85</v>
      </c>
      <c r="F1877" s="378">
        <v>0.2</v>
      </c>
      <c r="G1877" s="378" t="s">
        <v>73</v>
      </c>
      <c r="H1877" s="356"/>
      <c r="I1877" s="378"/>
      <c r="J1877" s="515"/>
      <c r="K1877" s="684"/>
      <c r="L1877" s="535"/>
      <c r="M1877" s="552" t="str">
        <f t="shared" si="260"/>
        <v/>
      </c>
      <c r="N1877" s="552"/>
      <c r="O1877" s="552" t="str">
        <f t="shared" si="261"/>
        <v/>
      </c>
      <c r="P1877" s="39"/>
    </row>
    <row r="1878" spans="1:16" x14ac:dyDescent="0.35">
      <c r="A1878" s="535" t="str">
        <f t="shared" si="262"/>
        <v/>
      </c>
      <c r="B1878" s="337"/>
      <c r="C1878" s="337"/>
      <c r="D1878" s="326" t="s">
        <v>52</v>
      </c>
      <c r="E1878" s="425" t="s">
        <v>106</v>
      </c>
      <c r="F1878" s="18">
        <v>5</v>
      </c>
      <c r="G1878" s="18" t="s">
        <v>73</v>
      </c>
      <c r="H1878" s="335">
        <f>ROUND(($F$1877)*(($F$1878)/((($F$1879)*(($F$1880)/($F$1880+$F$1881)))+
(($F$1879)*(($F$1881)/($F$1880+$F$1881)))+
($F$1878))),2)</f>
        <v>0.04</v>
      </c>
      <c r="I1878" s="18" t="s">
        <v>73</v>
      </c>
      <c r="J1878" s="337"/>
      <c r="K1878" s="680">
        <f>(A1836*H1878)</f>
        <v>1.1200000000000001</v>
      </c>
      <c r="L1878" s="535"/>
      <c r="M1878" s="552" t="str">
        <f t="shared" si="260"/>
        <v/>
      </c>
      <c r="N1878" s="552"/>
      <c r="O1878" s="552" t="str">
        <f t="shared" si="261"/>
        <v/>
      </c>
      <c r="P1878" s="39"/>
    </row>
    <row r="1879" spans="1:16" x14ac:dyDescent="0.35">
      <c r="A1879" s="535" t="str">
        <f t="shared" si="262"/>
        <v/>
      </c>
      <c r="B1879" s="330"/>
      <c r="C1879" s="330"/>
      <c r="D1879" s="355"/>
      <c r="E1879" s="416" t="s">
        <v>23</v>
      </c>
      <c r="F1879" s="378">
        <v>20</v>
      </c>
      <c r="G1879" s="378" t="s">
        <v>73</v>
      </c>
      <c r="H1879" s="356"/>
      <c r="I1879" s="378"/>
      <c r="J1879" s="515"/>
      <c r="K1879" s="684"/>
      <c r="L1879" s="535"/>
      <c r="M1879" s="552" t="str">
        <f t="shared" si="260"/>
        <v/>
      </c>
      <c r="N1879" s="552"/>
      <c r="O1879" s="552" t="str">
        <f t="shared" si="261"/>
        <v/>
      </c>
      <c r="P1879" s="39"/>
    </row>
    <row r="1880" spans="1:16" x14ac:dyDescent="0.35">
      <c r="A1880" s="535" t="str">
        <f t="shared" si="262"/>
        <v/>
      </c>
      <c r="B1880" s="337"/>
      <c r="C1880" s="337"/>
      <c r="D1880" s="326" t="s">
        <v>43</v>
      </c>
      <c r="E1880" s="360" t="s">
        <v>94</v>
      </c>
      <c r="F1880" s="18">
        <v>85</v>
      </c>
      <c r="G1880" s="18" t="s">
        <v>73</v>
      </c>
      <c r="H1880" s="335">
        <f>ROUND(($F$1877)*((($F$1879)*(($F$1880)/($F$1880+$F$1881)))
/((($F$1879)*(($F$1880)/($F$1880+$F$1881)))+
(($F$1879)*(($F$1881)/($F$1880+$F$1881)))+
($F$1878))),2)</f>
        <v>0.14000000000000001</v>
      </c>
      <c r="I1880" s="18" t="s">
        <v>73</v>
      </c>
      <c r="J1880" s="337"/>
      <c r="K1880" s="680">
        <f>(A1836*H1880)</f>
        <v>3.9200000000000004</v>
      </c>
      <c r="L1880" s="535"/>
      <c r="M1880" s="552" t="str">
        <f t="shared" si="260"/>
        <v/>
      </c>
      <c r="N1880" s="552"/>
      <c r="O1880" s="552" t="str">
        <f t="shared" si="261"/>
        <v/>
      </c>
      <c r="P1880" s="39"/>
    </row>
    <row r="1881" spans="1:16" x14ac:dyDescent="0.35">
      <c r="A1881" s="535" t="str">
        <f t="shared" si="262"/>
        <v/>
      </c>
      <c r="B1881" s="330"/>
      <c r="C1881" s="330"/>
      <c r="D1881" s="417" t="s">
        <v>42</v>
      </c>
      <c r="E1881" s="366" t="s">
        <v>95</v>
      </c>
      <c r="F1881" s="22">
        <v>15</v>
      </c>
      <c r="G1881" s="22" t="s">
        <v>73</v>
      </c>
      <c r="H1881" s="328">
        <f>ROUND(($F$1877)*((($F$1879)*(($F$1881)/($F$1880+$F$1881)))
/((($F$1879)*(($F$1880)/($F$1880+$F$1881)))+
(($F$1879)*(($F$1881)/($F$1880+$F$1881)))+
($F$1878))),2)</f>
        <v>0.02</v>
      </c>
      <c r="I1881" s="22" t="s">
        <v>73</v>
      </c>
      <c r="J1881" s="330"/>
      <c r="K1881" s="681">
        <f>(A1836*H1881)</f>
        <v>0.56000000000000005</v>
      </c>
      <c r="L1881" s="535"/>
      <c r="M1881" s="552" t="str">
        <f t="shared" si="260"/>
        <v/>
      </c>
      <c r="N1881" s="552"/>
      <c r="O1881" s="552" t="str">
        <f t="shared" si="261"/>
        <v/>
      </c>
      <c r="P1881" s="39"/>
    </row>
    <row r="1882" spans="1:16" x14ac:dyDescent="0.35">
      <c r="A1882" s="535" t="str">
        <f t="shared" si="262"/>
        <v/>
      </c>
      <c r="B1882" s="337"/>
      <c r="C1882" s="337"/>
      <c r="D1882" s="539"/>
      <c r="E1882" s="549" t="s">
        <v>991</v>
      </c>
      <c r="F1882" s="378">
        <v>20</v>
      </c>
      <c r="G1882" s="378" t="s">
        <v>73</v>
      </c>
      <c r="H1882" s="515"/>
      <c r="I1882" s="378"/>
      <c r="J1882" s="515"/>
      <c r="K1882" s="684"/>
      <c r="L1882" s="535"/>
      <c r="M1882" s="552" t="str">
        <f t="shared" si="260"/>
        <v/>
      </c>
      <c r="N1882" s="552"/>
      <c r="O1882" s="552" t="str">
        <f t="shared" si="261"/>
        <v/>
      </c>
      <c r="P1882" s="39"/>
    </row>
    <row r="1883" spans="1:16" x14ac:dyDescent="0.35">
      <c r="A1883" s="535" t="str">
        <f t="shared" si="262"/>
        <v/>
      </c>
      <c r="B1883" s="330"/>
      <c r="C1883" s="330"/>
      <c r="D1883" s="326" t="s">
        <v>377</v>
      </c>
      <c r="E1883" s="475" t="s">
        <v>975</v>
      </c>
      <c r="F1883" s="328">
        <v>1000</v>
      </c>
      <c r="G1883" s="22" t="s">
        <v>73</v>
      </c>
      <c r="H1883" s="328">
        <f>ROUND(($F$1882)*((F1883)/(($F$1885)*(($F$1886)/($F$1886+$F$1887+$F$1888))+
($F$1885)*(($F$1887)/($F$1886+$F$1887+$F$1888))+
($F$1885)*(($F$1888)/($F$1886+$F$1887+$F$1888))+
($F$1883)+($F$1884))),2)</f>
        <v>16.39</v>
      </c>
      <c r="I1883" s="22" t="s">
        <v>73</v>
      </c>
      <c r="J1883" s="330"/>
      <c r="K1883" s="681">
        <f>(A1836*H1883)</f>
        <v>458.92</v>
      </c>
      <c r="L1883" s="535"/>
      <c r="M1883" s="552" t="str">
        <f t="shared" si="260"/>
        <v/>
      </c>
      <c r="N1883" s="552"/>
      <c r="O1883" s="552" t="str">
        <f t="shared" si="261"/>
        <v/>
      </c>
      <c r="P1883" s="39"/>
    </row>
    <row r="1884" spans="1:16" x14ac:dyDescent="0.35">
      <c r="A1884" s="535" t="str">
        <f t="shared" si="262"/>
        <v/>
      </c>
      <c r="B1884" s="337"/>
      <c r="C1884" s="337"/>
      <c r="D1884" s="326" t="s">
        <v>43</v>
      </c>
      <c r="E1884" s="419" t="s">
        <v>105</v>
      </c>
      <c r="F1884" s="335">
        <v>20</v>
      </c>
      <c r="G1884" s="18" t="s">
        <v>73</v>
      </c>
      <c r="H1884" s="335">
        <f>ROUND(($F$1882)*((F1884)/(($F$1885)*(($F$1886)/($F$1886+$F$1887+$F$1888))+
($F$1885)*(($F$1887)/($F$1886+$F$1887+$F$1888))+
($F$1885)*(($F$1888)/($F$1886+$F$1887+$F$1888))+
($F$1883)+($F$1884))),2)</f>
        <v>0.33</v>
      </c>
      <c r="I1884" s="18" t="s">
        <v>73</v>
      </c>
      <c r="J1884" s="337"/>
      <c r="K1884" s="680">
        <f>(A1836*H1884)</f>
        <v>9.24</v>
      </c>
      <c r="L1884" s="535"/>
      <c r="M1884" s="552" t="str">
        <f t="shared" si="260"/>
        <v/>
      </c>
      <c r="N1884" s="552"/>
      <c r="O1884" s="552" t="str">
        <f t="shared" si="261"/>
        <v/>
      </c>
      <c r="P1884" s="39"/>
    </row>
    <row r="1885" spans="1:16" x14ac:dyDescent="0.35">
      <c r="A1885" s="535" t="str">
        <f t="shared" si="262"/>
        <v/>
      </c>
      <c r="B1885" s="330"/>
      <c r="C1885" s="330"/>
      <c r="D1885" s="355"/>
      <c r="E1885" s="556" t="s">
        <v>889</v>
      </c>
      <c r="F1885" s="356">
        <v>200</v>
      </c>
      <c r="G1885" s="378" t="s">
        <v>73</v>
      </c>
      <c r="H1885" s="356"/>
      <c r="I1885" s="378"/>
      <c r="J1885" s="515"/>
      <c r="K1885" s="684"/>
      <c r="L1885" s="535"/>
      <c r="M1885" s="552" t="str">
        <f t="shared" si="260"/>
        <v/>
      </c>
      <c r="N1885" s="552"/>
      <c r="O1885" s="552" t="str">
        <f t="shared" si="261"/>
        <v/>
      </c>
      <c r="P1885" s="39"/>
    </row>
    <row r="1886" spans="1:16" x14ac:dyDescent="0.35">
      <c r="A1886" s="535" t="str">
        <f t="shared" si="262"/>
        <v/>
      </c>
      <c r="B1886" s="337"/>
      <c r="C1886" s="337"/>
      <c r="D1886" s="342"/>
      <c r="E1886" s="660" t="s">
        <v>81</v>
      </c>
      <c r="F1886" s="343">
        <v>200</v>
      </c>
      <c r="G1886" s="404" t="s">
        <v>73</v>
      </c>
      <c r="H1886" s="343">
        <f>ROUND(($F$1882)*(($F$1885)*(($F$1886)/($F$1886+$F$1887+$F$1888))
/(($F$1885)*(($F$1886)/($F$1886+$F$1887+$F$1888))+
($F$1885)*(($F$1887)/($F$1886+$F$1887+$F$1888))+
($F$1885)*(($F$1888)/($F$1886+$F$1887+$F$1888))+
($F$1883)+($F$1884))),2)</f>
        <v>1.37</v>
      </c>
      <c r="I1886" s="404"/>
      <c r="J1886" s="345"/>
      <c r="K1886" s="685"/>
      <c r="L1886" s="535"/>
      <c r="M1886" s="552" t="str">
        <f t="shared" si="260"/>
        <v/>
      </c>
      <c r="N1886" s="552"/>
      <c r="O1886" s="552" t="str">
        <f t="shared" si="261"/>
        <v/>
      </c>
      <c r="P1886" s="39"/>
    </row>
    <row r="1887" spans="1:16" x14ac:dyDescent="0.35">
      <c r="A1887" s="535" t="str">
        <f t="shared" si="262"/>
        <v/>
      </c>
      <c r="B1887" s="330"/>
      <c r="C1887" s="330"/>
      <c r="D1887" s="326" t="s">
        <v>333</v>
      </c>
      <c r="E1887" s="661" t="s">
        <v>334</v>
      </c>
      <c r="F1887" s="328">
        <v>250</v>
      </c>
      <c r="G1887" s="22" t="s">
        <v>73</v>
      </c>
      <c r="H1887" s="328">
        <f>ROUND(($F$1882)*(($F$1885)*(($F$1887)/($F$1886+$F$1887+$F$1888))
/(($F$1885)*(($F$1886)/($F$1886+$F$1887+$F$1888))+
($F$1885)*(($F$1887)/($F$1886+$F$1887+$F$1888))+
($F$1885)*(($F$1888)/($F$1886+$F$1887+$F$1888))+
($F$1883)+($F$1884))),2)</f>
        <v>1.71</v>
      </c>
      <c r="I1887" s="22" t="s">
        <v>73</v>
      </c>
      <c r="J1887" s="330"/>
      <c r="K1887" s="681">
        <f>(A1836*H1887)</f>
        <v>47.879999999999995</v>
      </c>
      <c r="L1887" s="535"/>
      <c r="M1887" s="552" t="str">
        <f t="shared" si="260"/>
        <v/>
      </c>
      <c r="N1887" s="552"/>
      <c r="O1887" s="552" t="str">
        <f t="shared" si="261"/>
        <v/>
      </c>
      <c r="P1887" s="39"/>
    </row>
    <row r="1888" spans="1:16" x14ac:dyDescent="0.35">
      <c r="A1888" s="535" t="str">
        <f t="shared" si="262"/>
        <v/>
      </c>
      <c r="B1888" s="337"/>
      <c r="C1888" s="337"/>
      <c r="D1888" s="326" t="s">
        <v>529</v>
      </c>
      <c r="E1888" s="659" t="s">
        <v>530</v>
      </c>
      <c r="F1888" s="335">
        <v>30</v>
      </c>
      <c r="G1888" s="18" t="s">
        <v>73</v>
      </c>
      <c r="H1888" s="335">
        <f>ROUND(($F$1882)*(($F$1885)*(($F$1888)/($F$1886+$F$1887+$F$1888))
/(($F$1885)*(($F$1886)/($F$1886+$F$1887+$F$1888))+
($F$1885)*(($F$1887)/($F$1886+$F$1887+$F$1888))+
($F$1885)*(($F$1888)/($F$1886+$F$1887+$F$1888))+
($F$1883)+($F$1884))),2)</f>
        <v>0.2</v>
      </c>
      <c r="I1888" s="18" t="s">
        <v>73</v>
      </c>
      <c r="J1888" s="337"/>
      <c r="K1888" s="680">
        <f>(A1836*H1888)</f>
        <v>5.6000000000000005</v>
      </c>
      <c r="L1888" s="535"/>
      <c r="M1888" s="552" t="str">
        <f t="shared" si="260"/>
        <v/>
      </c>
      <c r="N1888" s="552"/>
      <c r="O1888" s="552" t="str">
        <f t="shared" si="261"/>
        <v/>
      </c>
      <c r="P1888" s="39"/>
    </row>
    <row r="1889" spans="1:16" x14ac:dyDescent="0.35">
      <c r="A1889" s="545" t="str">
        <f t="shared" si="262"/>
        <v/>
      </c>
      <c r="B1889" s="546"/>
      <c r="C1889" s="546"/>
      <c r="D1889" s="545"/>
      <c r="E1889" s="545"/>
      <c r="F1889" s="546"/>
      <c r="G1889" s="546"/>
      <c r="H1889" s="546"/>
      <c r="I1889" s="546"/>
      <c r="J1889" s="546"/>
      <c r="K1889" s="676"/>
      <c r="L1889" s="545"/>
      <c r="M1889" s="546" t="str">
        <f t="shared" si="260"/>
        <v/>
      </c>
      <c r="N1889" s="546"/>
      <c r="O1889" s="546" t="str">
        <f t="shared" si="261"/>
        <v/>
      </c>
      <c r="P1889" s="39"/>
    </row>
    <row r="1890" spans="1:16" x14ac:dyDescent="0.35">
      <c r="A1890" s="565">
        <f>IFERROR(INDEX($Q$17:$Q$201,MATCH(B1890,$R$17:$R$201, 0)), "")</f>
        <v>19</v>
      </c>
      <c r="B1890" s="382" t="s">
        <v>1303</v>
      </c>
      <c r="C1890" s="325" t="s">
        <v>1000</v>
      </c>
      <c r="D1890" s="326" t="s">
        <v>50</v>
      </c>
      <c r="E1890" s="334" t="s">
        <v>992</v>
      </c>
      <c r="F1890" s="18">
        <v>70</v>
      </c>
      <c r="G1890" s="18" t="s">
        <v>73</v>
      </c>
      <c r="H1890" s="18">
        <v>70</v>
      </c>
      <c r="I1890" s="18" t="s">
        <v>73</v>
      </c>
      <c r="J1890" s="337"/>
      <c r="K1890" s="680">
        <f>(A1890*H1890)</f>
        <v>1330</v>
      </c>
      <c r="L1890" s="535"/>
      <c r="M1890" s="552" t="str">
        <f t="shared" si="260"/>
        <v/>
      </c>
      <c r="N1890" s="552"/>
      <c r="O1890" s="552" t="str">
        <f t="shared" si="261"/>
        <v/>
      </c>
      <c r="P1890" s="39"/>
    </row>
    <row r="1891" spans="1:16" x14ac:dyDescent="0.35">
      <c r="A1891" s="535" t="str">
        <f t="shared" si="262"/>
        <v/>
      </c>
      <c r="B1891" s="330"/>
      <c r="C1891" s="330"/>
      <c r="D1891" s="326" t="s">
        <v>369</v>
      </c>
      <c r="E1891" s="327" t="s">
        <v>995</v>
      </c>
      <c r="F1891" s="22">
        <v>40</v>
      </c>
      <c r="G1891" s="22" t="s">
        <v>73</v>
      </c>
      <c r="H1891" s="22">
        <v>40</v>
      </c>
      <c r="I1891" s="22" t="s">
        <v>73</v>
      </c>
      <c r="J1891" s="330"/>
      <c r="K1891" s="681">
        <f>(A1890*H1891)</f>
        <v>760</v>
      </c>
      <c r="L1891" s="535"/>
      <c r="M1891" s="552" t="str">
        <f t="shared" si="260"/>
        <v/>
      </c>
      <c r="N1891" s="552"/>
      <c r="O1891" s="552" t="str">
        <f t="shared" si="261"/>
        <v/>
      </c>
      <c r="P1891" s="39"/>
    </row>
    <row r="1892" spans="1:16" x14ac:dyDescent="0.35">
      <c r="A1892" s="535" t="str">
        <f t="shared" si="262"/>
        <v/>
      </c>
      <c r="B1892" s="337"/>
      <c r="C1892" s="337"/>
      <c r="D1892" s="326" t="s">
        <v>670</v>
      </c>
      <c r="E1892" s="334" t="s">
        <v>999</v>
      </c>
      <c r="F1892" s="18">
        <v>20</v>
      </c>
      <c r="G1892" s="18" t="s">
        <v>73</v>
      </c>
      <c r="H1892" s="18">
        <v>20</v>
      </c>
      <c r="I1892" s="18" t="s">
        <v>73</v>
      </c>
      <c r="J1892" s="337"/>
      <c r="K1892" s="680">
        <f>(A1890*H1892)</f>
        <v>380</v>
      </c>
      <c r="L1892" s="535"/>
      <c r="M1892" s="552" t="str">
        <f t="shared" si="260"/>
        <v/>
      </c>
      <c r="N1892" s="552"/>
      <c r="O1892" s="552" t="str">
        <f t="shared" si="261"/>
        <v/>
      </c>
      <c r="P1892" s="39"/>
    </row>
    <row r="1893" spans="1:16" x14ac:dyDescent="0.35">
      <c r="A1893" s="535" t="str">
        <f t="shared" si="262"/>
        <v/>
      </c>
      <c r="B1893" s="330"/>
      <c r="C1893" s="330"/>
      <c r="D1893" s="326" t="s">
        <v>489</v>
      </c>
      <c r="E1893" s="327" t="s">
        <v>996</v>
      </c>
      <c r="F1893" s="22">
        <v>100</v>
      </c>
      <c r="G1893" s="22" t="s">
        <v>73</v>
      </c>
      <c r="H1893" s="22">
        <v>100</v>
      </c>
      <c r="I1893" s="22" t="s">
        <v>73</v>
      </c>
      <c r="J1893" s="330"/>
      <c r="K1893" s="681">
        <f>(A1890*H1893)</f>
        <v>1900</v>
      </c>
      <c r="L1893" s="535"/>
      <c r="M1893" s="552" t="str">
        <f t="shared" si="260"/>
        <v/>
      </c>
      <c r="N1893" s="552"/>
      <c r="O1893" s="552" t="str">
        <f t="shared" si="261"/>
        <v/>
      </c>
      <c r="P1893" s="39"/>
    </row>
    <row r="1894" spans="1:16" x14ac:dyDescent="0.35">
      <c r="A1894" s="535" t="str">
        <f t="shared" si="262"/>
        <v/>
      </c>
      <c r="B1894" s="337"/>
      <c r="C1894" s="337"/>
      <c r="D1894" s="326" t="s">
        <v>63</v>
      </c>
      <c r="E1894" s="334" t="s">
        <v>978</v>
      </c>
      <c r="F1894" s="18">
        <v>100</v>
      </c>
      <c r="G1894" s="18" t="s">
        <v>73</v>
      </c>
      <c r="H1894" s="18">
        <v>100</v>
      </c>
      <c r="I1894" s="18" t="s">
        <v>73</v>
      </c>
      <c r="J1894" s="337"/>
      <c r="K1894" s="680">
        <f>(A1890*H1894)</f>
        <v>1900</v>
      </c>
      <c r="L1894" s="535"/>
      <c r="M1894" s="552" t="str">
        <f t="shared" si="260"/>
        <v/>
      </c>
      <c r="N1894" s="552"/>
      <c r="O1894" s="552" t="str">
        <f t="shared" si="261"/>
        <v/>
      </c>
      <c r="P1894" s="39"/>
    </row>
    <row r="1895" spans="1:16" x14ac:dyDescent="0.35">
      <c r="A1895" s="535" t="str">
        <f t="shared" si="262"/>
        <v/>
      </c>
      <c r="B1895" s="330"/>
      <c r="C1895" s="330"/>
      <c r="D1895" s="326" t="s">
        <v>676</v>
      </c>
      <c r="E1895" s="327" t="s">
        <v>677</v>
      </c>
      <c r="F1895" s="22">
        <v>15</v>
      </c>
      <c r="G1895" s="22" t="s">
        <v>73</v>
      </c>
      <c r="H1895" s="22">
        <v>15</v>
      </c>
      <c r="I1895" s="22" t="s">
        <v>73</v>
      </c>
      <c r="J1895" s="330"/>
      <c r="K1895" s="681">
        <f>(A1890*H1895)</f>
        <v>285</v>
      </c>
      <c r="L1895" s="535"/>
      <c r="M1895" s="552" t="str">
        <f t="shared" si="260"/>
        <v/>
      </c>
      <c r="N1895" s="552"/>
      <c r="O1895" s="552" t="str">
        <f t="shared" si="261"/>
        <v/>
      </c>
      <c r="P1895" s="39"/>
    </row>
    <row r="1896" spans="1:16" x14ac:dyDescent="0.35">
      <c r="A1896" s="535" t="str">
        <f t="shared" si="262"/>
        <v/>
      </c>
      <c r="B1896" s="337"/>
      <c r="C1896" s="337"/>
      <c r="D1896" s="326" t="s">
        <v>445</v>
      </c>
      <c r="E1896" s="334" t="s">
        <v>446</v>
      </c>
      <c r="F1896" s="18">
        <v>8</v>
      </c>
      <c r="G1896" s="18" t="s">
        <v>74</v>
      </c>
      <c r="H1896" s="18">
        <v>8</v>
      </c>
      <c r="I1896" s="18" t="s">
        <v>74</v>
      </c>
      <c r="J1896" s="337"/>
      <c r="K1896" s="680">
        <f>(A1890*H1896)</f>
        <v>152</v>
      </c>
      <c r="L1896" s="535"/>
      <c r="M1896" s="552" t="str">
        <f t="shared" si="260"/>
        <v/>
      </c>
      <c r="N1896" s="552"/>
      <c r="O1896" s="552" t="str">
        <f t="shared" si="261"/>
        <v/>
      </c>
      <c r="P1896" s="39"/>
    </row>
    <row r="1897" spans="1:16" x14ac:dyDescent="0.35">
      <c r="A1897" s="535" t="str">
        <f t="shared" si="262"/>
        <v/>
      </c>
      <c r="B1897" s="330"/>
      <c r="C1897" s="330"/>
      <c r="D1897" s="326" t="s">
        <v>48</v>
      </c>
      <c r="E1897" s="327" t="s">
        <v>984</v>
      </c>
      <c r="F1897" s="22">
        <v>20</v>
      </c>
      <c r="G1897" s="22" t="s">
        <v>73</v>
      </c>
      <c r="H1897" s="22">
        <v>20</v>
      </c>
      <c r="I1897" s="22" t="s">
        <v>73</v>
      </c>
      <c r="J1897" s="330"/>
      <c r="K1897" s="681">
        <f>(A1890*H1897)</f>
        <v>380</v>
      </c>
      <c r="L1897" s="535"/>
      <c r="M1897" s="552" t="str">
        <f t="shared" si="260"/>
        <v/>
      </c>
      <c r="N1897" s="552"/>
      <c r="O1897" s="552" t="str">
        <f t="shared" si="261"/>
        <v/>
      </c>
      <c r="P1897" s="39"/>
    </row>
    <row r="1898" spans="1:16" x14ac:dyDescent="0.35">
      <c r="A1898" s="535" t="str">
        <f t="shared" si="262"/>
        <v/>
      </c>
      <c r="B1898" s="337"/>
      <c r="C1898" s="337"/>
      <c r="D1898" s="355" t="s">
        <v>997</v>
      </c>
      <c r="E1898" s="355" t="s">
        <v>1122</v>
      </c>
      <c r="F1898" s="378">
        <v>300</v>
      </c>
      <c r="G1898" s="378" t="s">
        <v>73</v>
      </c>
      <c r="H1898" s="356">
        <v>300</v>
      </c>
      <c r="I1898" s="378" t="s">
        <v>73</v>
      </c>
      <c r="J1898" s="515"/>
      <c r="K1898" s="684">
        <f>(A1890*H1898)</f>
        <v>5700</v>
      </c>
      <c r="L1898" s="535"/>
      <c r="M1898" s="552" t="str">
        <f t="shared" ref="M1898:M1939" si="267">IF(Q1902&gt;0, Q1902, "")</f>
        <v/>
      </c>
      <c r="N1898" s="552"/>
      <c r="O1898" s="552" t="str">
        <f t="shared" ref="O1898:O1938" si="268">IF(V1903&gt;0, V1903, "")</f>
        <v/>
      </c>
      <c r="P1898" s="39"/>
    </row>
    <row r="1899" spans="1:16" x14ac:dyDescent="0.35">
      <c r="A1899" s="535" t="str">
        <f t="shared" si="262"/>
        <v/>
      </c>
      <c r="B1899" s="330"/>
      <c r="C1899" s="330"/>
      <c r="D1899" s="326"/>
      <c r="E1899" s="366" t="s">
        <v>985</v>
      </c>
      <c r="F1899" s="22">
        <v>1000</v>
      </c>
      <c r="G1899" s="22" t="s">
        <v>73</v>
      </c>
      <c r="H1899" s="328">
        <f>ROUND($F$1898*(F1899/($F$1899+$F$1900+$F$1901)),2)</f>
        <v>287.08</v>
      </c>
      <c r="I1899" s="22"/>
      <c r="J1899" s="330"/>
      <c r="K1899" s="681"/>
      <c r="L1899" s="535"/>
      <c r="M1899" s="552" t="str">
        <f t="shared" si="267"/>
        <v/>
      </c>
      <c r="N1899" s="552"/>
      <c r="O1899" s="552" t="str">
        <f t="shared" si="268"/>
        <v/>
      </c>
      <c r="P1899" s="39"/>
    </row>
    <row r="1900" spans="1:16" x14ac:dyDescent="0.35">
      <c r="A1900" s="535" t="str">
        <f t="shared" si="262"/>
        <v/>
      </c>
      <c r="B1900" s="337"/>
      <c r="C1900" s="337"/>
      <c r="D1900" s="326" t="s">
        <v>513</v>
      </c>
      <c r="E1900" s="360" t="s">
        <v>986</v>
      </c>
      <c r="F1900" s="18">
        <v>35</v>
      </c>
      <c r="G1900" s="18" t="s">
        <v>73</v>
      </c>
      <c r="H1900" s="335">
        <f>ROUND($F$1898*(F1900/($F$1899+$F$1900+$F$1901)),2)</f>
        <v>10.050000000000001</v>
      </c>
      <c r="I1900" s="18" t="s">
        <v>73</v>
      </c>
      <c r="J1900" s="337"/>
      <c r="K1900" s="680">
        <f>(A1890*H1900)</f>
        <v>190.95000000000002</v>
      </c>
      <c r="L1900" s="535"/>
      <c r="M1900" s="552" t="str">
        <f t="shared" si="267"/>
        <v/>
      </c>
      <c r="N1900" s="552"/>
      <c r="O1900" s="552" t="str">
        <f t="shared" si="268"/>
        <v/>
      </c>
      <c r="P1900" s="39"/>
    </row>
    <row r="1901" spans="1:16" x14ac:dyDescent="0.35">
      <c r="A1901" s="535" t="str">
        <f t="shared" si="262"/>
        <v/>
      </c>
      <c r="B1901" s="330"/>
      <c r="C1901" s="330"/>
      <c r="D1901" s="326" t="s">
        <v>43</v>
      </c>
      <c r="E1901" s="366" t="s">
        <v>768</v>
      </c>
      <c r="F1901" s="22">
        <v>10</v>
      </c>
      <c r="G1901" s="22" t="s">
        <v>73</v>
      </c>
      <c r="H1901" s="328">
        <f>ROUND($F$1898*(F1901/($F$1899+$F$1900+$F$1901)),2)</f>
        <v>2.87</v>
      </c>
      <c r="I1901" s="22" t="s">
        <v>73</v>
      </c>
      <c r="J1901" s="330"/>
      <c r="K1901" s="681">
        <f>(A1890*H1901)</f>
        <v>54.53</v>
      </c>
      <c r="L1901" s="535"/>
      <c r="M1901" s="552" t="str">
        <f t="shared" si="267"/>
        <v/>
      </c>
      <c r="N1901" s="552"/>
      <c r="O1901" s="552" t="str">
        <f t="shared" si="268"/>
        <v/>
      </c>
      <c r="P1901" s="39"/>
    </row>
    <row r="1902" spans="1:16" x14ac:dyDescent="0.35">
      <c r="A1902" s="535" t="str">
        <f t="shared" si="262"/>
        <v/>
      </c>
      <c r="B1902" s="337"/>
      <c r="C1902" s="337"/>
      <c r="D1902" s="342"/>
      <c r="E1902" s="362" t="s">
        <v>81</v>
      </c>
      <c r="F1902" s="404">
        <v>100</v>
      </c>
      <c r="G1902" s="404" t="s">
        <v>73</v>
      </c>
      <c r="H1902" s="345"/>
      <c r="I1902" s="404"/>
      <c r="J1902" s="345"/>
      <c r="K1902" s="685"/>
      <c r="L1902" s="535"/>
      <c r="M1902" s="552" t="str">
        <f t="shared" si="267"/>
        <v/>
      </c>
      <c r="N1902" s="552"/>
      <c r="O1902" s="552" t="str">
        <f t="shared" si="268"/>
        <v/>
      </c>
      <c r="P1902" s="39"/>
    </row>
    <row r="1903" spans="1:16" x14ac:dyDescent="0.35">
      <c r="A1903" s="535" t="str">
        <f t="shared" si="262"/>
        <v/>
      </c>
      <c r="B1903" s="330"/>
      <c r="C1903" s="330"/>
      <c r="D1903" s="355"/>
      <c r="E1903" s="355" t="s">
        <v>814</v>
      </c>
      <c r="F1903" s="356">
        <v>150</v>
      </c>
      <c r="G1903" s="356" t="s">
        <v>73</v>
      </c>
      <c r="H1903" s="515"/>
      <c r="I1903" s="378"/>
      <c r="J1903" s="515"/>
      <c r="K1903" s="684"/>
      <c r="L1903" s="535"/>
      <c r="M1903" s="552" t="str">
        <f t="shared" si="267"/>
        <v/>
      </c>
      <c r="N1903" s="552"/>
      <c r="O1903" s="552" t="str">
        <f t="shared" si="268"/>
        <v/>
      </c>
      <c r="P1903" s="39"/>
    </row>
    <row r="1904" spans="1:16" x14ac:dyDescent="0.35">
      <c r="A1904" s="535" t="str">
        <f t="shared" si="262"/>
        <v/>
      </c>
      <c r="B1904" s="337"/>
      <c r="C1904" s="337"/>
      <c r="D1904" s="326" t="s">
        <v>698</v>
      </c>
      <c r="E1904" s="360" t="s">
        <v>699</v>
      </c>
      <c r="F1904" s="335">
        <v>24</v>
      </c>
      <c r="G1904" s="335" t="s">
        <v>73</v>
      </c>
      <c r="H1904" s="335">
        <f>ROUND($F$1903*(F1904/($F$1904+$F$1905+$F$1906+$F$1907+$F$1908+$F$1909+$F$1910)),2)</f>
        <v>17.54</v>
      </c>
      <c r="I1904" s="18" t="s">
        <v>73</v>
      </c>
      <c r="J1904" s="337"/>
      <c r="K1904" s="680">
        <f>(A1890*H1904)</f>
        <v>333.26</v>
      </c>
      <c r="L1904" s="535"/>
      <c r="M1904" s="552" t="str">
        <f t="shared" si="267"/>
        <v/>
      </c>
      <c r="N1904" s="552"/>
      <c r="O1904" s="552" t="str">
        <f t="shared" si="268"/>
        <v/>
      </c>
      <c r="P1904" s="39"/>
    </row>
    <row r="1905" spans="1:16" x14ac:dyDescent="0.35">
      <c r="A1905" s="535" t="str">
        <f t="shared" si="262"/>
        <v/>
      </c>
      <c r="B1905" s="330"/>
      <c r="C1905" s="330"/>
      <c r="D1905" s="326" t="s">
        <v>495</v>
      </c>
      <c r="E1905" s="366" t="s">
        <v>815</v>
      </c>
      <c r="F1905" s="328">
        <v>108</v>
      </c>
      <c r="G1905" s="328" t="s">
        <v>73</v>
      </c>
      <c r="H1905" s="328">
        <f t="shared" ref="H1905:H1910" si="269">ROUND($F$1903*(F1905/($F$1904+$F$1905+$F$1906+$F$1907+$F$1908+$F$1909+$F$1910)),2)</f>
        <v>78.91</v>
      </c>
      <c r="I1905" s="22" t="s">
        <v>73</v>
      </c>
      <c r="J1905" s="330"/>
      <c r="K1905" s="681">
        <f>(A1890*H1905)</f>
        <v>1499.29</v>
      </c>
      <c r="L1905" s="535"/>
      <c r="M1905" s="552" t="str">
        <f t="shared" si="267"/>
        <v/>
      </c>
      <c r="N1905" s="552"/>
      <c r="O1905" s="552" t="str">
        <f t="shared" si="268"/>
        <v/>
      </c>
      <c r="P1905" s="39"/>
    </row>
    <row r="1906" spans="1:16" x14ac:dyDescent="0.35">
      <c r="A1906" s="535" t="str">
        <f t="shared" si="262"/>
        <v/>
      </c>
      <c r="B1906" s="337"/>
      <c r="C1906" s="337"/>
      <c r="D1906" s="326" t="s">
        <v>493</v>
      </c>
      <c r="E1906" s="360" t="s">
        <v>494</v>
      </c>
      <c r="F1906" s="335">
        <v>36</v>
      </c>
      <c r="G1906" s="335" t="s">
        <v>73</v>
      </c>
      <c r="H1906" s="335">
        <f t="shared" si="269"/>
        <v>26.3</v>
      </c>
      <c r="I1906" s="18" t="s">
        <v>73</v>
      </c>
      <c r="J1906" s="337"/>
      <c r="K1906" s="680">
        <f>(A1890*H1906)</f>
        <v>499.7</v>
      </c>
      <c r="L1906" s="535"/>
      <c r="M1906" s="552" t="str">
        <f t="shared" si="267"/>
        <v/>
      </c>
      <c r="N1906" s="552"/>
      <c r="O1906" s="552" t="str">
        <f t="shared" si="268"/>
        <v/>
      </c>
      <c r="P1906" s="39"/>
    </row>
    <row r="1907" spans="1:16" x14ac:dyDescent="0.35">
      <c r="A1907" s="535" t="str">
        <f t="shared" si="262"/>
        <v/>
      </c>
      <c r="B1907" s="330"/>
      <c r="C1907" s="330"/>
      <c r="D1907" s="326" t="s">
        <v>125</v>
      </c>
      <c r="E1907" s="366" t="s">
        <v>799</v>
      </c>
      <c r="F1907" s="328">
        <v>36</v>
      </c>
      <c r="G1907" s="328" t="s">
        <v>73</v>
      </c>
      <c r="H1907" s="328">
        <f t="shared" si="269"/>
        <v>26.3</v>
      </c>
      <c r="I1907" s="22" t="s">
        <v>73</v>
      </c>
      <c r="J1907" s="330"/>
      <c r="K1907" s="681">
        <f>(A1890*H1907)</f>
        <v>499.7</v>
      </c>
      <c r="L1907" s="535"/>
      <c r="M1907" s="552" t="str">
        <f t="shared" si="267"/>
        <v/>
      </c>
      <c r="N1907" s="552"/>
      <c r="O1907" s="552" t="str">
        <f t="shared" si="268"/>
        <v/>
      </c>
      <c r="P1907" s="39"/>
    </row>
    <row r="1908" spans="1:16" x14ac:dyDescent="0.35">
      <c r="A1908" s="535" t="str">
        <f t="shared" si="262"/>
        <v/>
      </c>
      <c r="B1908" s="337"/>
      <c r="C1908" s="337"/>
      <c r="D1908" s="326" t="s">
        <v>43</v>
      </c>
      <c r="E1908" s="360" t="s">
        <v>817</v>
      </c>
      <c r="F1908" s="335">
        <v>0.6</v>
      </c>
      <c r="G1908" s="335" t="s">
        <v>73</v>
      </c>
      <c r="H1908" s="335">
        <f t="shared" si="269"/>
        <v>0.44</v>
      </c>
      <c r="I1908" s="18" t="s">
        <v>73</v>
      </c>
      <c r="J1908" s="337"/>
      <c r="K1908" s="680">
        <f>(A1890*H1908)</f>
        <v>8.36</v>
      </c>
      <c r="L1908" s="535"/>
      <c r="M1908" s="552" t="str">
        <f t="shared" si="267"/>
        <v/>
      </c>
      <c r="N1908" s="552"/>
      <c r="O1908" s="552" t="str">
        <f t="shared" si="268"/>
        <v/>
      </c>
      <c r="P1908" s="39"/>
    </row>
    <row r="1909" spans="1:16" x14ac:dyDescent="0.35">
      <c r="A1909" s="535" t="str">
        <f t="shared" si="262"/>
        <v/>
      </c>
      <c r="B1909" s="330"/>
      <c r="C1909" s="330"/>
      <c r="D1909" s="326" t="s">
        <v>42</v>
      </c>
      <c r="E1909" s="366" t="s">
        <v>330</v>
      </c>
      <c r="F1909" s="328">
        <v>0.6</v>
      </c>
      <c r="G1909" s="328" t="s">
        <v>73</v>
      </c>
      <c r="H1909" s="328">
        <f t="shared" si="269"/>
        <v>0.44</v>
      </c>
      <c r="I1909" s="22" t="s">
        <v>73</v>
      </c>
      <c r="J1909" s="330"/>
      <c r="K1909" s="681">
        <f>(A1890*H1909)</f>
        <v>8.36</v>
      </c>
      <c r="L1909" s="535"/>
      <c r="M1909" s="552" t="str">
        <f t="shared" si="267"/>
        <v/>
      </c>
      <c r="N1909" s="552"/>
      <c r="O1909" s="552" t="str">
        <f t="shared" si="268"/>
        <v/>
      </c>
      <c r="P1909" s="39"/>
    </row>
    <row r="1910" spans="1:16" x14ac:dyDescent="0.35">
      <c r="A1910" s="535" t="str">
        <f t="shared" si="262"/>
        <v/>
      </c>
      <c r="B1910" s="337"/>
      <c r="C1910" s="337"/>
      <c r="D1910" s="326" t="s">
        <v>55</v>
      </c>
      <c r="E1910" s="360" t="s">
        <v>324</v>
      </c>
      <c r="F1910" s="335">
        <v>0.1</v>
      </c>
      <c r="G1910" s="335" t="s">
        <v>73</v>
      </c>
      <c r="H1910" s="335">
        <f t="shared" si="269"/>
        <v>7.0000000000000007E-2</v>
      </c>
      <c r="I1910" s="18" t="s">
        <v>73</v>
      </c>
      <c r="J1910" s="337"/>
      <c r="K1910" s="680">
        <f>(A1890*H1910)</f>
        <v>1.33</v>
      </c>
      <c r="L1910" s="535"/>
      <c r="M1910" s="552" t="str">
        <f t="shared" si="267"/>
        <v/>
      </c>
      <c r="N1910" s="552"/>
      <c r="O1910" s="552" t="str">
        <f t="shared" si="268"/>
        <v/>
      </c>
      <c r="P1910" s="39"/>
    </row>
    <row r="1911" spans="1:16" x14ac:dyDescent="0.35">
      <c r="A1911" s="535" t="str">
        <f t="shared" si="262"/>
        <v/>
      </c>
      <c r="B1911" s="330"/>
      <c r="C1911" s="330"/>
      <c r="D1911" s="355"/>
      <c r="E1911" s="355" t="s">
        <v>987</v>
      </c>
      <c r="F1911" s="378">
        <v>150</v>
      </c>
      <c r="G1911" s="378" t="s">
        <v>73</v>
      </c>
      <c r="H1911" s="515"/>
      <c r="I1911" s="378"/>
      <c r="J1911" s="515"/>
      <c r="K1911" s="684"/>
      <c r="L1911" s="535"/>
      <c r="M1911" s="552" t="str">
        <f t="shared" si="267"/>
        <v/>
      </c>
      <c r="N1911" s="552"/>
      <c r="O1911" s="552" t="str">
        <f t="shared" si="268"/>
        <v/>
      </c>
      <c r="P1911" s="39"/>
    </row>
    <row r="1912" spans="1:16" x14ac:dyDescent="0.35">
      <c r="A1912" s="535" t="str">
        <f t="shared" ref="A1912:A1917" si="270">IFERROR(INDEX($Q$17:$Q$41,MATCH(B1912,$R$17:$R$41, 0)), "")</f>
        <v/>
      </c>
      <c r="B1912" s="337"/>
      <c r="C1912" s="337"/>
      <c r="D1912" s="326" t="s">
        <v>125</v>
      </c>
      <c r="E1912" s="360" t="s">
        <v>126</v>
      </c>
      <c r="F1912" s="18">
        <v>425</v>
      </c>
      <c r="G1912" s="18" t="s">
        <v>73</v>
      </c>
      <c r="H1912" s="335">
        <f>ROUND((($F$1911)*(($F$1912)
/(($F$1912)+($F$1913)+($F$1914)+($F$1915)+($F$1916)+($F$1917)+
(($F$1918)*(($F$1919)/($F$1919+$F$1920+$F$1921+$F$1922+$F$1923)))+
(($F$1918)*(($F$1920)/($F$1919+$F$1920+$F$1921+$F$1922+$F$1923)))+
(($F$1918)*(($F$1921)/($F$1919+$F$1920+$F$1921+$F$1922+$F$1923)))+
(($F$1918)*(($F$1922)/($F$1919+$F$1920+$F$1921+$F$1922+$F$1923)))+
(($F$1918)*(($F$1923)/($F$1919+$F$1920+$F$1921+$F$1922+$F$1923)))+
(($F$1924)*(($F$1925)/((($F$1926)*(($F$1927)/($F$1927+$F$1928+$F$1929+$F$1930+$F$1931)))+
(($F$1926)*(($F$1928)/($F$1927+$F$1928+$F$1929+$F$1930+$F$1931)))+
(($F$1926)*(($F$1929)/($F$1927+$F$1928+$F$1929+$F$1930+$F$1931)))+
(($F$1926)*(($F$1930)/($F$1927+$F$1928+$F$1929+$F$1930+$F$1931)))+
(($F$1926)*(($F$1931)/($F$1927+$F$1928+$F$1929+$F$1930+$F$1931)))+
($F$1925))))+
(($F$1924)*((($F$1926)*(($F$1927)/($F$1927+$F$1928+$F$1929+$F$1930+$F$1931)))
/((($F$1926)*(($F$1927)/($F$1927+$F$1928+$F$1929+$F$1930+$F$1931)))+
(($F$1926)*(($F$1928)/($F$1927+$F$1928+$F$1929+$F$1930+$F$1931)))+
(($F$1926)*(($F$1929)/($F$1927+$F$1928+$F$1929+$F$1930+$F$1931)))+
(($F$1926)*(($F$1930)/($F$1927+$F$1928+$F$1929+$F$1930+$F$1931)))+
(($F$1926)*(($F$1931)/($F$1927+$F$1928+$F$1929+$F$1930+$F$1931)))+
($F$1925))))+
(($F$1924)*((($F$1926)*(($F$1928)/($F$1927+$F$1928+$F$1929+$F$1930+$F$1931)))
/((($F$1926)*(($F$1927)/($F$1927+$F$1928+$F$1929+$F$1930+$F$1931)))+
(($F$1926)*(($F$1928)/($F$1927+$F$1928+$F$1929+$F$1930+$F$1931)))+
(($F$1926)*(($F$1929)/($F$1927+$F$1928+$F$1929+$F$1930+$F$1931)))+
(($F$1926)*(($F$1930)/($F$1927+$F$1928+$F$1929+$F$1930+$F$1931)))+
(($F$1926)*(($F$1931)/($F$1927+$F$1928+$F$1929+$F$1930+$F$1931)))+
($F$1925))))+
(($F$1924)*((($F$1926)*(($F$1929)/($F$1927+$F$1928+$F$1929+$F$1930+$F$1931)))
/((($F$1926)*(($F$1927)/($F$1927+$F$1928+$F$1929+$F$1930+$F$1931)))+
(($F$1926)*(($F$1928)/($F$1927+$F$1928+$F$1929+$F$1930+$F$1931)))+
(($F$1926)*(($F$1929)/($F$1927+$F$1928+$F$1929+$F$1930+$F$1931)))+
(($F$1926)*(($F$1930)/($F$1927+$F$1928+$F$1929+$F$1930+$F$1931)))+
(($F$1926)*(($F$1931)/($F$1927+$F$1928+$F$1929+$F$1930+$F$1931)))+
($F$1925))))+
(($F$1924)*((($F$1926)*(($F$1930)/($F$1927+$F$1928+$F$1929+$F$1930+$F$1931)))
/((($F$1926)*(($F$1927)/($F$1927+$F$1928+$F$1929+$F$1930+$F$1931)))+
(($F$1926)*(($F$1928)/($F$1927+$F$1928+$F$1929+$F$1930+$F$1931)))+
(($F$1926)*(($F$1929)/($F$1927+$F$1928+$F$1929+$F$1930+$F$1931)))+
(($F$1926)*(($F$1930)/($F$1927+$F$1928+$F$1929+$F$1930+$F$1931)))+
(($F$1926)*(($F$1931)/($F$1927+$F$1928+$F$1929+$F$1930+$F$1931)))+
($F$1925))))+
(($F$1924)*((($F$1926)*(($F$1931)/($F$1927+$F$1928+$F$1929+$F$1930+$F$1931)))
/((($F$1926)*(($F$1927)/($F$1927+$F$1928+$F$1929+$F$1930+$F$1931)))+
(($F$1926)*(($F$1928)/($F$1927+$F$1928+$F$1929+$F$1930+$F$1931)))+
(($F$1926)*(($F$1929)/($F$1927+$F$1928+$F$1929+$F$1930+$F$1931)))+
(($F$1926)*(($F$1930)/($F$1927+$F$1928+$F$1929+$F$1930+$F$1931)))+
(($F$1926)*(($F$1931)/($F$1927+$F$1928+$F$1929+$F$1930+$F$1931)))+
($F$1925))))))),2)</f>
        <v>65.319999999999993</v>
      </c>
      <c r="I1912" s="18" t="s">
        <v>73</v>
      </c>
      <c r="J1912" s="337"/>
      <c r="K1912" s="680">
        <f>(A1890*H1912)</f>
        <v>1241.08</v>
      </c>
      <c r="L1912" s="535"/>
      <c r="M1912" s="552" t="str">
        <f t="shared" si="267"/>
        <v/>
      </c>
      <c r="N1912" s="552"/>
      <c r="O1912" s="552" t="str">
        <f t="shared" si="268"/>
        <v/>
      </c>
      <c r="P1912" s="39"/>
    </row>
    <row r="1913" spans="1:16" x14ac:dyDescent="0.35">
      <c r="A1913" s="535" t="str">
        <f t="shared" si="270"/>
        <v/>
      </c>
      <c r="B1913" s="330"/>
      <c r="C1913" s="330"/>
      <c r="D1913" s="326" t="s">
        <v>163</v>
      </c>
      <c r="E1913" s="366" t="s">
        <v>164</v>
      </c>
      <c r="F1913" s="22">
        <v>400</v>
      </c>
      <c r="G1913" s="22" t="s">
        <v>73</v>
      </c>
      <c r="H1913" s="328">
        <f>ROUND((($F$1911)*(($F$1913)
/(($F$1912)+($F$1913)+($F$1914)+($F$1915)+($F$1916)+($F$1917)+
(($F$1918)*(($F$1919)/($F$1919+$F$1920+$F$1921+$F$1922+$F$1923)))+
(($F$1918)*(($F$1920)/($F$1919+$F$1920+$F$1921+$F$1922+$F$1923)))+
(($F$1918)*(($F$1921)/($F$1919+$F$1920+$F$1921+$F$1922+$F$1923)))+
(($F$1918)*(($F$1922)/($F$1919+$F$1920+$F$1921+$F$1922+$F$1923)))+
(($F$1918)*(($F$1923)/($F$1919+$F$1920+$F$1921+$F$1922+$F$1923)))+
(($F$1924)*(($F$1925)/((($F$1926)*(($F$1927)/($F$1927+$F$1928+$F$1929+$F$1930+$F$1931)))+
(($F$1926)*(($F$1928)/($F$1927+$F$1928+$F$1929+$F$1930+$F$1931)))+
(($F$1926)*(($F$1929)/($F$1927+$F$1928+$F$1929+$F$1930+$F$1931)))+
(($F$1926)*(($F$1930)/($F$1927+$F$1928+$F$1929+$F$1930+$F$1931)))+
(($F$1926)*(($F$1931)/($F$1927+$F$1928+$F$1929+$F$1930+$F$1931)))+
($F$1925))))+
(($F$1924)*((($F$1926)*(($F$1927)/($F$1927+$F$1928+$F$1929+$F$1930+$F$1931)))
/((($F$1926)*(($F$1927)/($F$1927+$F$1928+$F$1929+$F$1930+$F$1931)))+
(($F$1926)*(($F$1928)/($F$1927+$F$1928+$F$1929+$F$1930+$F$1931)))+
(($F$1926)*(($F$1929)/($F$1927+$F$1928+$F$1929+$F$1930+$F$1931)))+
(($F$1926)*(($F$1930)/($F$1927+$F$1928+$F$1929+$F$1930+$F$1931)))+
(($F$1926)*(($F$1931)/($F$1927+$F$1928+$F$1929+$F$1930+$F$1931)))+
($F$1925))))+
(($F$1924)*((($F$1926)*(($F$1928)/($F$1927+$F$1928+$F$1929+$F$1930+$F$1931)))
/((($F$1926)*(($F$1927)/($F$1927+$F$1928+$F$1929+$F$1930+$F$1931)))+
(($F$1926)*(($F$1928)/($F$1927+$F$1928+$F$1929+$F$1930+$F$1931)))+
(($F$1926)*(($F$1929)/($F$1927+$F$1928+$F$1929+$F$1930+$F$1931)))+
(($F$1926)*(($F$1930)/($F$1927+$F$1928+$F$1929+$F$1930+$F$1931)))+
(($F$1926)*(($F$1931)/($F$1927+$F$1928+$F$1929+$F$1930+$F$1931)))+
($F$1925))))+
(($F$1924)*((($F$1926)*(($F$1929)/($F$1927+$F$1928+$F$1929+$F$1930+$F$1931)))
/((($F$1926)*(($F$1927)/($F$1927+$F$1928+$F$1929+$F$1930+$F$1931)))+
(($F$1926)*(($F$1928)/($F$1927+$F$1928+$F$1929+$F$1930+$F$1931)))+
(($F$1926)*(($F$1929)/($F$1927+$F$1928+$F$1929+$F$1930+$F$1931)))+
(($F$1926)*(($F$1930)/($F$1927+$F$1928+$F$1929+$F$1930+$F$1931)))+
(($F$1926)*(($F$1931)/($F$1927+$F$1928+$F$1929+$F$1930+$F$1931)))+
($F$1925))))+
(($F$1924)*((($F$1926)*(($F$1930)/($F$1927+$F$1928+$F$1929+$F$1930+$F$1931)))
/((($F$1926)*(($F$1927)/($F$1927+$F$1928+$F$1929+$F$1930+$F$1931)))+
(($F$1926)*(($F$1928)/($F$1927+$F$1928+$F$1929+$F$1930+$F$1931)))+
(($F$1926)*(($F$1929)/($F$1927+$F$1928+$F$1929+$F$1930+$F$1931)))+
(($F$1926)*(($F$1930)/($F$1927+$F$1928+$F$1929+$F$1930+$F$1931)))+
(($F$1926)*(($F$1931)/($F$1927+$F$1928+$F$1929+$F$1930+$F$1931)))+
($F$1925))))+
(($F$1924)*((($F$1926)*(($F$1931)/($F$1927+$F$1928+$F$1929+$F$1930+$F$1931)))
/((($F$1926)*(($F$1927)/($F$1927+$F$1928+$F$1929+$F$1930+$F$1931)))+
(($F$1926)*(($F$1928)/($F$1927+$F$1928+$F$1929+$F$1930+$F$1931)))+
(($F$1926)*(($F$1929)/($F$1927+$F$1928+$F$1929+$F$1930+$F$1931)))+
(($F$1926)*(($F$1930)/($F$1927+$F$1928+$F$1929+$F$1930+$F$1931)))+
(($F$1926)*(($F$1931)/($F$1927+$F$1928+$F$1929+$F$1930+$F$1931)))+
($F$1925))))))),2)</f>
        <v>61.48</v>
      </c>
      <c r="I1913" s="22" t="s">
        <v>73</v>
      </c>
      <c r="J1913" s="330"/>
      <c r="K1913" s="681">
        <f>(A1890*H1913)</f>
        <v>1168.1199999999999</v>
      </c>
      <c r="L1913" s="535"/>
      <c r="M1913" s="552" t="str">
        <f t="shared" si="267"/>
        <v/>
      </c>
      <c r="N1913" s="552"/>
      <c r="O1913" s="552" t="str">
        <f t="shared" si="268"/>
        <v/>
      </c>
      <c r="P1913" s="39"/>
    </row>
    <row r="1914" spans="1:16" x14ac:dyDescent="0.35">
      <c r="A1914" s="535" t="str">
        <f t="shared" si="270"/>
        <v/>
      </c>
      <c r="B1914" s="337"/>
      <c r="C1914" s="337"/>
      <c r="D1914" s="326" t="s">
        <v>46</v>
      </c>
      <c r="E1914" s="360" t="s">
        <v>309</v>
      </c>
      <c r="F1914" s="18">
        <v>25</v>
      </c>
      <c r="G1914" s="18" t="s">
        <v>73</v>
      </c>
      <c r="H1914" s="335">
        <f>ROUND((($F$1911)*(($F$1914)
/(($F$1912)+($F$1913)+($F$1914)+($F$1915)+($F$1916)+($F$1917)+
(($F$1918)*(($F$1919)/($F$1919+$F$1920+$F$1921+$F$1922+$F$1923)))+
(($F$1918)*(($F$1920)/($F$1919+$F$1920+$F$1921+$F$1922+$F$1923)))+
(($F$1918)*(($F$1921)/($F$1919+$F$1920+$F$1921+$F$1922+$F$1923)))+
(($F$1918)*(($F$1922)/($F$1919+$F$1920+$F$1921+$F$1922+$F$1923)))+
(($F$1918)*(($F$1923)/($F$1919+$F$1920+$F$1921+$F$1922+$F$1923)))+
(($F$1924)*(($F$1925)/((($F$1926)*(($F$1927)/($F$1927+$F$1928+$F$1929+$F$1930+$F$1931)))+
(($F$1926)*(($F$1928)/($F$1927+$F$1928+$F$1929+$F$1930+$F$1931)))+
(($F$1926)*(($F$1929)/($F$1927+$F$1928+$F$1929+$F$1930+$F$1931)))+
(($F$1926)*(($F$1930)/($F$1927+$F$1928+$F$1929+$F$1930+$F$1931)))+
(($F$1926)*(($F$1931)/($F$1927+$F$1928+$F$1929+$F$1930+$F$1931)))+
($F$1925))))+
(($F$1924)*((($F$1926)*(($F$1927)/($F$1927+$F$1928+$F$1929+$F$1930+$F$1931)))
/((($F$1926)*(($F$1927)/($F$1927+$F$1928+$F$1929+$F$1930+$F$1931)))+
(($F$1926)*(($F$1928)/($F$1927+$F$1928+$F$1929+$F$1930+$F$1931)))+
(($F$1926)*(($F$1929)/($F$1927+$F$1928+$F$1929+$F$1930+$F$1931)))+
(($F$1926)*(($F$1930)/($F$1927+$F$1928+$F$1929+$F$1930+$F$1931)))+
(($F$1926)*(($F$1931)/($F$1927+$F$1928+$F$1929+$F$1930+$F$1931)))+
($F$1925))))+
(($F$1924)*((($F$1926)*(($F$1928)/($F$1927+$F$1928+$F$1929+$F$1930+$F$1931)))
/((($F$1926)*(($F$1927)/($F$1927+$F$1928+$F$1929+$F$1930+$F$1931)))+
(($F$1926)*(($F$1928)/($F$1927+$F$1928+$F$1929+$F$1930+$F$1931)))+
(($F$1926)*(($F$1929)/($F$1927+$F$1928+$F$1929+$F$1930+$F$1931)))+
(($F$1926)*(($F$1930)/($F$1927+$F$1928+$F$1929+$F$1930+$F$1931)))+
(($F$1926)*(($F$1931)/($F$1927+$F$1928+$F$1929+$F$1930+$F$1931)))+
($F$1925))))+
(($F$1924)*((($F$1926)*(($F$1929)/($F$1927+$F$1928+$F$1929+$F$1930+$F$1931)))
/((($F$1926)*(($F$1927)/($F$1927+$F$1928+$F$1929+$F$1930+$F$1931)))+
(($F$1926)*(($F$1928)/($F$1927+$F$1928+$F$1929+$F$1930+$F$1931)))+
(($F$1926)*(($F$1929)/($F$1927+$F$1928+$F$1929+$F$1930+$F$1931)))+
(($F$1926)*(($F$1930)/($F$1927+$F$1928+$F$1929+$F$1930+$F$1931)))+
(($F$1926)*(($F$1931)/($F$1927+$F$1928+$F$1929+$F$1930+$F$1931)))+
($F$1925))))+
(($F$1924)*((($F$1926)*(($F$1930)/($F$1927+$F$1928+$F$1929+$F$1930+$F$1931)))
/((($F$1926)*(($F$1927)/($F$1927+$F$1928+$F$1929+$F$1930+$F$1931)))+
(($F$1926)*(($F$1928)/($F$1927+$F$1928+$F$1929+$F$1930+$F$1931)))+
(($F$1926)*(($F$1929)/($F$1927+$F$1928+$F$1929+$F$1930+$F$1931)))+
(($F$1926)*(($F$1930)/($F$1927+$F$1928+$F$1929+$F$1930+$F$1931)))+
(($F$1926)*(($F$1931)/($F$1927+$F$1928+$F$1929+$F$1930+$F$1931)))+
($F$1925))))+
(($F$1924)*((($F$1926)*(($F$1931)/($F$1927+$F$1928+$F$1929+$F$1930+$F$1931)))
/((($F$1926)*(($F$1927)/($F$1927+$F$1928+$F$1929+$F$1930+$F$1931)))+
(($F$1926)*(($F$1928)/($F$1927+$F$1928+$F$1929+$F$1930+$F$1931)))+
(($F$1926)*(($F$1929)/($F$1927+$F$1928+$F$1929+$F$1930+$F$1931)))+
(($F$1926)*(($F$1930)/($F$1927+$F$1928+$F$1929+$F$1930+$F$1931)))+
(($F$1926)*(($F$1931)/($F$1927+$F$1928+$F$1929+$F$1930+$F$1931)))+
($F$1925))))))),2)</f>
        <v>3.84</v>
      </c>
      <c r="I1914" s="18" t="s">
        <v>73</v>
      </c>
      <c r="J1914" s="337"/>
      <c r="K1914" s="680">
        <f>(A1890*H1914)</f>
        <v>72.959999999999994</v>
      </c>
      <c r="L1914" s="535"/>
      <c r="M1914" s="552" t="str">
        <f t="shared" si="267"/>
        <v/>
      </c>
      <c r="N1914" s="552"/>
      <c r="O1914" s="552" t="str">
        <f t="shared" si="268"/>
        <v/>
      </c>
      <c r="P1914" s="39"/>
    </row>
    <row r="1915" spans="1:16" x14ac:dyDescent="0.35">
      <c r="A1915" s="535" t="str">
        <f t="shared" si="270"/>
        <v/>
      </c>
      <c r="B1915" s="330"/>
      <c r="C1915" s="330"/>
      <c r="D1915" s="326" t="s">
        <v>307</v>
      </c>
      <c r="E1915" s="366" t="s">
        <v>308</v>
      </c>
      <c r="F1915" s="22">
        <v>50</v>
      </c>
      <c r="G1915" s="22" t="s">
        <v>73</v>
      </c>
      <c r="H1915" s="328">
        <f>ROUND((($F$1911)*(($F$1915)
/(($F$1912)+($F$1913)+($F$1914)+($F$1915)+($F$1916)+($F$1917)+
(($F$1918)*(($F$1919)/($F$1919+$F$1920+$F$1921+$F$1922+$F$1923)))+
(($F$1918)*(($F$1920)/($F$1919+$F$1920+$F$1921+$F$1922+$F$1923)))+
(($F$1918)*(($F$1921)/($F$1919+$F$1920+$F$1921+$F$1922+$F$1923)))+
(($F$1918)*(($F$1922)/($F$1919+$F$1920+$F$1921+$F$1922+$F$1923)))+
(($F$1918)*(($F$1923)/($F$1919+$F$1920+$F$1921+$F$1922+$F$1923)))+
(($F$1924)*(($F$1925)/((($F$1926)*(($F$1927)/($F$1927+$F$1928+$F$1929+$F$1930+$F$1931)))+
(($F$1926)*(($F$1928)/($F$1927+$F$1928+$F$1929+$F$1930+$F$1931)))+
(($F$1926)*(($F$1929)/($F$1927+$F$1928+$F$1929+$F$1930+$F$1931)))+
(($F$1926)*(($F$1930)/($F$1927+$F$1928+$F$1929+$F$1930+$F$1931)))+
(($F$1926)*(($F$1931)/($F$1927+$F$1928+$F$1929+$F$1930+$F$1931)))+
($F$1925))))+
(($F$1924)*((($F$1926)*(($F$1927)/($F$1927+$F$1928+$F$1929+$F$1930+$F$1931)))
/((($F$1926)*(($F$1927)/($F$1927+$F$1928+$F$1929+$F$1930+$F$1931)))+
(($F$1926)*(($F$1928)/($F$1927+$F$1928+$F$1929+$F$1930+$F$1931)))+
(($F$1926)*(($F$1929)/($F$1927+$F$1928+$F$1929+$F$1930+$F$1931)))+
(($F$1926)*(($F$1930)/($F$1927+$F$1928+$F$1929+$F$1930+$F$1931)))+
(($F$1926)*(($F$1931)/($F$1927+$F$1928+$F$1929+$F$1930+$F$1931)))+
($F$1925))))+
(($F$1924)*((($F$1926)*(($F$1928)/($F$1927+$F$1928+$F$1929+$F$1930+$F$1931)))
/((($F$1926)*(($F$1927)/($F$1927+$F$1928+$F$1929+$F$1930+$F$1931)))+
(($F$1926)*(($F$1928)/($F$1927+$F$1928+$F$1929+$F$1930+$F$1931)))+
(($F$1926)*(($F$1929)/($F$1927+$F$1928+$F$1929+$F$1930+$F$1931)))+
(($F$1926)*(($F$1930)/($F$1927+$F$1928+$F$1929+$F$1930+$F$1931)))+
(($F$1926)*(($F$1931)/($F$1927+$F$1928+$F$1929+$F$1930+$F$1931)))+
($F$1925))))+
(($F$1924)*((($F$1926)*(($F$1929)/($F$1927+$F$1928+$F$1929+$F$1930+$F$1931)))
/((($F$1926)*(($F$1927)/($F$1927+$F$1928+$F$1929+$F$1930+$F$1931)))+
(($F$1926)*(($F$1928)/($F$1927+$F$1928+$F$1929+$F$1930+$F$1931)))+
(($F$1926)*(($F$1929)/($F$1927+$F$1928+$F$1929+$F$1930+$F$1931)))+
(($F$1926)*(($F$1930)/($F$1927+$F$1928+$F$1929+$F$1930+$F$1931)))+
(($F$1926)*(($F$1931)/($F$1927+$F$1928+$F$1929+$F$1930+$F$1931)))+
($F$1925))))+
(($F$1924)*((($F$1926)*(($F$1930)/($F$1927+$F$1928+$F$1929+$F$1930+$F$1931)))
/((($F$1926)*(($F$1927)/($F$1927+$F$1928+$F$1929+$F$1930+$F$1931)))+
(($F$1926)*(($F$1928)/($F$1927+$F$1928+$F$1929+$F$1930+$F$1931)))+
(($F$1926)*(($F$1929)/($F$1927+$F$1928+$F$1929+$F$1930+$F$1931)))+
(($F$1926)*(($F$1930)/($F$1927+$F$1928+$F$1929+$F$1930+$F$1931)))+
(($F$1926)*(($F$1931)/($F$1927+$F$1928+$F$1929+$F$1930+$F$1931)))+
($F$1925))))+
(($F$1924)*((($F$1926)*(($F$1931)/($F$1927+$F$1928+$F$1929+$F$1930+$F$1931)))
/((($F$1926)*(($F$1927)/($F$1927+$F$1928+$F$1929+$F$1930+$F$1931)))+
(($F$1926)*(($F$1928)/($F$1927+$F$1928+$F$1929+$F$1930+$F$1931)))+
(($F$1926)*(($F$1929)/($F$1927+$F$1928+$F$1929+$F$1930+$F$1931)))+
(($F$1926)*(($F$1930)/($F$1927+$F$1928+$F$1929+$F$1930+$F$1931)))+
(($F$1926)*(($F$1931)/($F$1927+$F$1928+$F$1929+$F$1930+$F$1931)))+
($F$1925))))))),2)</f>
        <v>7.68</v>
      </c>
      <c r="I1915" s="22" t="s">
        <v>73</v>
      </c>
      <c r="J1915" s="330"/>
      <c r="K1915" s="681">
        <f>(A1890*H1915)</f>
        <v>145.91999999999999</v>
      </c>
      <c r="L1915" s="535"/>
      <c r="M1915" s="552" t="str">
        <f t="shared" si="267"/>
        <v/>
      </c>
      <c r="N1915" s="552"/>
      <c r="O1915" s="552" t="str">
        <f t="shared" si="268"/>
        <v/>
      </c>
      <c r="P1915" s="39"/>
    </row>
    <row r="1916" spans="1:16" x14ac:dyDescent="0.35">
      <c r="A1916" s="535" t="str">
        <f t="shared" si="270"/>
        <v/>
      </c>
      <c r="B1916" s="337"/>
      <c r="C1916" s="337"/>
      <c r="D1916" s="326" t="s">
        <v>45</v>
      </c>
      <c r="E1916" s="360" t="s">
        <v>101</v>
      </c>
      <c r="F1916" s="18">
        <v>10</v>
      </c>
      <c r="G1916" s="18" t="s">
        <v>73</v>
      </c>
      <c r="H1916" s="335">
        <f>ROUND((($F$1911)*(($F$1916)
/(($F$1912)+($F$1913)+($F$1914)+($F$1915)+($F$1916)+($F$1917)+
(($F$1918)*(($F$1919)/($F$1919+$F$1920+$F$1921+$F$1922+$F$1923)))+
(($F$1918)*(($F$1920)/($F$1919+$F$1920+$F$1921+$F$1922+$F$1923)))+
(($F$1918)*(($F$1921)/($F$1919+$F$1920+$F$1921+$F$1922+$F$1923)))+
(($F$1918)*(($F$1922)/($F$1919+$F$1920+$F$1921+$F$1922+$F$1923)))+
(($F$1918)*(($F$1923)/($F$1919+$F$1920+$F$1921+$F$1922+$F$1923)))+
(($F$1924)*(($F$1925)/((($F$1926)*(($F$1927)/($F$1927+$F$1928+$F$1929+$F$1930+$F$1931)))+
(($F$1926)*(($F$1928)/($F$1927+$F$1928+$F$1929+$F$1930+$F$1931)))+
(($F$1926)*(($F$1929)/($F$1927+$F$1928+$F$1929+$F$1930+$F$1931)))+
(($F$1926)*(($F$1930)/($F$1927+$F$1928+$F$1929+$F$1930+$F$1931)))+
(($F$1926)*(($F$1931)/($F$1927+$F$1928+$F$1929+$F$1930+$F$1931)))+
($F$1925))))+
(($F$1924)*((($F$1926)*(($F$1927)/($F$1927+$F$1928+$F$1929+$F$1930+$F$1931)))
/((($F$1926)*(($F$1927)/($F$1927+$F$1928+$F$1929+$F$1930+$F$1931)))+
(($F$1926)*(($F$1928)/($F$1927+$F$1928+$F$1929+$F$1930+$F$1931)))+
(($F$1926)*(($F$1929)/($F$1927+$F$1928+$F$1929+$F$1930+$F$1931)))+
(($F$1926)*(($F$1930)/($F$1927+$F$1928+$F$1929+$F$1930+$F$1931)))+
(($F$1926)*(($F$1931)/($F$1927+$F$1928+$F$1929+$F$1930+$F$1931)))+
($F$1925))))+
(($F$1924)*((($F$1926)*(($F$1928)/($F$1927+$F$1928+$F$1929+$F$1930+$F$1931)))
/((($F$1926)*(($F$1927)/($F$1927+$F$1928+$F$1929+$F$1930+$F$1931)))+
(($F$1926)*(($F$1928)/($F$1927+$F$1928+$F$1929+$F$1930+$F$1931)))+
(($F$1926)*(($F$1929)/($F$1927+$F$1928+$F$1929+$F$1930+$F$1931)))+
(($F$1926)*(($F$1930)/($F$1927+$F$1928+$F$1929+$F$1930+$F$1931)))+
(($F$1926)*(($F$1931)/($F$1927+$F$1928+$F$1929+$F$1930+$F$1931)))+
($F$1925))))+
(($F$1924)*((($F$1926)*(($F$1929)/($F$1927+$F$1928+$F$1929+$F$1930+$F$1931)))
/((($F$1926)*(($F$1927)/($F$1927+$F$1928+$F$1929+$F$1930+$F$1931)))+
(($F$1926)*(($F$1928)/($F$1927+$F$1928+$F$1929+$F$1930+$F$1931)))+
(($F$1926)*(($F$1929)/($F$1927+$F$1928+$F$1929+$F$1930+$F$1931)))+
(($F$1926)*(($F$1930)/($F$1927+$F$1928+$F$1929+$F$1930+$F$1931)))+
(($F$1926)*(($F$1931)/($F$1927+$F$1928+$F$1929+$F$1930+$F$1931)))+
($F$1925))))+
(($F$1924)*((($F$1926)*(($F$1930)/($F$1927+$F$1928+$F$1929+$F$1930+$F$1931)))
/((($F$1926)*(($F$1927)/($F$1927+$F$1928+$F$1929+$F$1930+$F$1931)))+
(($F$1926)*(($F$1928)/($F$1927+$F$1928+$F$1929+$F$1930+$F$1931)))+
(($F$1926)*(($F$1929)/($F$1927+$F$1928+$F$1929+$F$1930+$F$1931)))+
(($F$1926)*(($F$1930)/($F$1927+$F$1928+$F$1929+$F$1930+$F$1931)))+
(($F$1926)*(($F$1931)/($F$1927+$F$1928+$F$1929+$F$1930+$F$1931)))+
($F$1925))))+
(($F$1924)*((($F$1926)*(($F$1931)/($F$1927+$F$1928+$F$1929+$F$1930+$F$1931)))
/((($F$1926)*(($F$1927)/($F$1927+$F$1928+$F$1929+$F$1930+$F$1931)))+
(($F$1926)*(($F$1928)/($F$1927+$F$1928+$F$1929+$F$1930+$F$1931)))+
(($F$1926)*(($F$1929)/($F$1927+$F$1928+$F$1929+$F$1930+$F$1931)))+
(($F$1926)*(($F$1930)/($F$1927+$F$1928+$F$1929+$F$1930+$F$1931)))+
(($F$1926)*(($F$1931)/($F$1927+$F$1928+$F$1929+$F$1930+$F$1931)))+
($F$1925))))))),2)</f>
        <v>1.54</v>
      </c>
      <c r="I1916" s="18" t="s">
        <v>73</v>
      </c>
      <c r="J1916" s="337"/>
      <c r="K1916" s="680">
        <f>(A1890*H1916)</f>
        <v>29.26</v>
      </c>
      <c r="L1916" s="535"/>
      <c r="M1916" s="552" t="str">
        <f t="shared" si="267"/>
        <v/>
      </c>
      <c r="N1916" s="552"/>
      <c r="O1916" s="552" t="str">
        <f t="shared" si="268"/>
        <v/>
      </c>
      <c r="P1916" s="39"/>
    </row>
    <row r="1917" spans="1:16" x14ac:dyDescent="0.35">
      <c r="A1917" s="535" t="str">
        <f t="shared" si="270"/>
        <v/>
      </c>
      <c r="B1917" s="330"/>
      <c r="C1917" s="330"/>
      <c r="D1917" s="326" t="s">
        <v>509</v>
      </c>
      <c r="E1917" s="366" t="s">
        <v>988</v>
      </c>
      <c r="F1917" s="22">
        <v>15</v>
      </c>
      <c r="G1917" s="22" t="s">
        <v>73</v>
      </c>
      <c r="H1917" s="328">
        <f>ROUND((($F$1911)*(($F$1917)
/(($F$1912)+($F$1913)+($F$1914)+($F$1915)+($F$1916)+($F$1917)+
(($F$1918)*(($F$1919)/($F$1919+$F$1920+$F$1921+$F$1922+$F$1923)))+
(($F$1918)*(($F$1920)/($F$1919+$F$1920+$F$1921+$F$1922+$F$1923)))+
(($F$1918)*(($F$1921)/($F$1919+$F$1920+$F$1921+$F$1922+$F$1923)))+
(($F$1918)*(($F$1922)/($F$1919+$F$1920+$F$1921+$F$1922+$F$1923)))+
(($F$1918)*(($F$1923)/($F$1919+$F$1920+$F$1921+$F$1922+$F$1923)))+
(($F$1924)*(($F$1925)/((($F$1926)*(($F$1927)/($F$1927+$F$1928+$F$1929+$F$1930+$F$1931)))+
(($F$1926)*(($F$1928)/($F$1927+$F$1928+$F$1929+$F$1930+$F$1931)))+
(($F$1926)*(($F$1929)/($F$1927+$F$1928+$F$1929+$F$1930+$F$1931)))+
(($F$1926)*(($F$1930)/($F$1927+$F$1928+$F$1929+$F$1930+$F$1931)))+
(($F$1926)*(($F$1931)/($F$1927+$F$1928+$F$1929+$F$1930+$F$1931)))+
($F$1925))))+
(($F$1924)*((($F$1926)*(($F$1927)/($F$1927+$F$1928+$F$1929+$F$1930+$F$1931)))
/((($F$1926)*(($F$1927)/($F$1927+$F$1928+$F$1929+$F$1930+$F$1931)))+
(($F$1926)*(($F$1928)/($F$1927+$F$1928+$F$1929+$F$1930+$F$1931)))+
(($F$1926)*(($F$1929)/($F$1927+$F$1928+$F$1929+$F$1930+$F$1931)))+
(($F$1926)*(($F$1930)/($F$1927+$F$1928+$F$1929+$F$1930+$F$1931)))+
(($F$1926)*(($F$1931)/($F$1927+$F$1928+$F$1929+$F$1930+$F$1931)))+
($F$1925))))+
(($F$1924)*((($F$1926)*(($F$1928)/($F$1927+$F$1928+$F$1929+$F$1930+$F$1931)))
/((($F$1926)*(($F$1927)/($F$1927+$F$1928+$F$1929+$F$1930+$F$1931)))+
(($F$1926)*(($F$1928)/($F$1927+$F$1928+$F$1929+$F$1930+$F$1931)))+
(($F$1926)*(($F$1929)/($F$1927+$F$1928+$F$1929+$F$1930+$F$1931)))+
(($F$1926)*(($F$1930)/($F$1927+$F$1928+$F$1929+$F$1930+$F$1931)))+
(($F$1926)*(($F$1931)/($F$1927+$F$1928+$F$1929+$F$1930+$F$1931)))+
($F$1925))))+
(($F$1924)*((($F$1926)*(($F$1929)/($F$1927+$F$1928+$F$1929+$F$1930+$F$1931)))
/((($F$1926)*(($F$1927)/($F$1927+$F$1928+$F$1929+$F$1930+$F$1931)))+
(($F$1926)*(($F$1928)/($F$1927+$F$1928+$F$1929+$F$1930+$F$1931)))+
(($F$1926)*(($F$1929)/($F$1927+$F$1928+$F$1929+$F$1930+$F$1931)))+
(($F$1926)*(($F$1930)/($F$1927+$F$1928+$F$1929+$F$1930+$F$1931)))+
(($F$1926)*(($F$1931)/($F$1927+$F$1928+$F$1929+$F$1930+$F$1931)))+
($F$1925))))+
(($F$1924)*((($F$1926)*(($F$1930)/($F$1927+$F$1928+$F$1929+$F$1930+$F$1931)))
/((($F$1926)*(($F$1927)/($F$1927+$F$1928+$F$1929+$F$1930+$F$1931)))+
(($F$1926)*(($F$1928)/($F$1927+$F$1928+$F$1929+$F$1930+$F$1931)))+
(($F$1926)*(($F$1929)/($F$1927+$F$1928+$F$1929+$F$1930+$F$1931)))+
(($F$1926)*(($F$1930)/($F$1927+$F$1928+$F$1929+$F$1930+$F$1931)))+
(($F$1926)*(($F$1931)/($F$1927+$F$1928+$F$1929+$F$1930+$F$1931)))+
($F$1925))))+
(($F$1924)*((($F$1926)*(($F$1931)/($F$1927+$F$1928+$F$1929+$F$1930+$F$1931)))
/((($F$1926)*(($F$1927)/($F$1927+$F$1928+$F$1929+$F$1930+$F$1931)))+
(($F$1926)*(($F$1928)/($F$1927+$F$1928+$F$1929+$F$1930+$F$1931)))+
(($F$1926)*(($F$1929)/($F$1927+$F$1928+$F$1929+$F$1930+$F$1931)))+
(($F$1926)*(($F$1930)/($F$1927+$F$1928+$F$1929+$F$1930+$F$1931)))+
(($F$1926)*(($F$1931)/($F$1927+$F$1928+$F$1929+$F$1930+$F$1931)))+
($F$1925))))))),2)</f>
        <v>2.31</v>
      </c>
      <c r="I1917" s="22" t="s">
        <v>73</v>
      </c>
      <c r="J1917" s="330"/>
      <c r="K1917" s="681">
        <f>(A1890*H1917)</f>
        <v>43.89</v>
      </c>
      <c r="L1917" s="535"/>
      <c r="M1917" s="552" t="str">
        <f t="shared" si="267"/>
        <v/>
      </c>
      <c r="N1917" s="552"/>
      <c r="O1917" s="552" t="str">
        <f t="shared" si="268"/>
        <v/>
      </c>
      <c r="P1917" s="39"/>
    </row>
    <row r="1918" spans="1:16" x14ac:dyDescent="0.35">
      <c r="A1918" s="593" t="str">
        <f t="shared" ref="A1918:A1943" si="271">IFERROR(INDEX($Q$17:$Q$41,MATCH(B1918,$R$17:$R$41, 0)), "")</f>
        <v/>
      </c>
      <c r="B1918" s="337"/>
      <c r="C1918" s="337"/>
      <c r="D1918" s="355"/>
      <c r="E1918" s="567" t="s">
        <v>80</v>
      </c>
      <c r="F1918" s="378">
        <v>20</v>
      </c>
      <c r="G1918" s="378" t="s">
        <v>73</v>
      </c>
      <c r="H1918" s="356"/>
      <c r="I1918" s="378"/>
      <c r="J1918" s="515"/>
      <c r="K1918" s="684"/>
      <c r="L1918" s="535"/>
      <c r="M1918" s="552" t="str">
        <f t="shared" si="267"/>
        <v/>
      </c>
      <c r="N1918" s="552"/>
      <c r="O1918" s="552" t="str">
        <f t="shared" si="268"/>
        <v/>
      </c>
      <c r="P1918" s="39"/>
    </row>
    <row r="1919" spans="1:16" x14ac:dyDescent="0.35">
      <c r="A1919" s="593" t="str">
        <f t="shared" si="271"/>
        <v/>
      </c>
      <c r="B1919" s="330"/>
      <c r="C1919" s="330"/>
      <c r="D1919" s="326" t="s">
        <v>47</v>
      </c>
      <c r="E1919" s="456" t="s">
        <v>93</v>
      </c>
      <c r="F1919" s="22">
        <v>600</v>
      </c>
      <c r="G1919" s="22" t="s">
        <v>73</v>
      </c>
      <c r="H1919" s="328">
        <f>ROUND((($F$1911)*(
(($F$1918)*(($F$1919)/($F$1919+$F$1920+$F$1921+$F$1922+$F$1923)))
/(($F$1912)+($F$1913)+($F$1914)+($F$1915)+($F$1916)+($F$1917)+
(($F$1918)*(($F$1919)/($F$1919+$F$1920+$F$1921+$F$1922+$F$1923)))+
(($F$1918)*(($F$1920)/($F$1919+$F$1920+$F$1921+$F$1922+$F$1923)))+
(($F$1918)*(($F$1921)/($F$1919+$F$1920+$F$1921+$F$1922+$F$1923)))+
(($F$1918)*(($F$1922)/($F$1919+$F$1920+$F$1921+$F$1922+$F$1923)))+
(($F$1918)*(($F$1923)/($F$1919+$F$1920+$F$1921+$F$1922+$F$1923)))+
(($F$1924)*(($F$1925)/((($F$1926)*(($F$1927)/($F$1927+$F$1928+$F$1929+$F$1930+$F$1931)))+
(($F$1926)*(($F$1928)/($F$1927+$F$1928+$F$1929+$F$1930+$F$1931)))+
(($F$1926)*(($F$1929)/($F$1927+$F$1928+$F$1929+$F$1930+$F$1931)))+
(($F$1926)*(($F$1930)/($F$1927+$F$1928+$F$1929+$F$1930+$F$1931)))+
(($F$1926)*(($F$1931)/($F$1927+$F$1928+$F$1929+$F$1930+$F$1931)))+
($F$1925))))+
(($F$1924)*((($F$1926)*(($F$1927)/($F$1927+$F$1928+$F$1929+$F$1930+$F$1931)))
/((($F$1926)*(($F$1927)/($F$1927+$F$1928+$F$1929+$F$1930+$F$1931)))+
(($F$1926)*(($F$1928)/($F$1927+$F$1928+$F$1929+$F$1930+$F$1931)))+
(($F$1926)*(($F$1929)/($F$1927+$F$1928+$F$1929+$F$1930+$F$1931)))+
(($F$1926)*(($F$1930)/($F$1927+$F$1928+$F$1929+$F$1930+$F$1931)))+
(($F$1926)*(($F$1931)/($F$1927+$F$1928+$F$1929+$F$1930+$F$1931)))+
($F$1925))))+
(($F$1924)*((($F$1926)*(($F$1928)/($F$1927+$F$1928+$F$1929+$F$1930+$F$1931)))
/((($F$1926)*(($F$1927)/($F$1927+$F$1928+$F$1929+$F$1930+$F$1931)))+
(($F$1926)*(($F$1928)/($F$1927+$F$1928+$F$1929+$F$1930+$F$1931)))+
(($F$1926)*(($F$1929)/($F$1927+$F$1928+$F$1929+$F$1930+$F$1931)))+
(($F$1926)*(($F$1930)/($F$1927+$F$1928+$F$1929+$F$1930+$F$1931)))+
(($F$1926)*(($F$1931)/($F$1927+$F$1928+$F$1929+$F$1930+$F$1931)))+
($F$1925))))+
(($F$1924)*((($F$1926)*(($F$1929)/($F$1927+$F$1928+$F$1929+$F$1930+$F$1931)))
/((($F$1926)*(($F$1927)/($F$1927+$F$1928+$F$1929+$F$1930+$F$1931)))+
(($F$1926)*(($F$1928)/($F$1927+$F$1928+$F$1929+$F$1930+$F$1931)))+
(($F$1926)*(($F$1929)/($F$1927+$F$1928+$F$1929+$F$1930+$F$1931)))+
(($F$1926)*(($F$1930)/($F$1927+$F$1928+$F$1929+$F$1930+$F$1931)))+
(($F$1926)*(($F$1931)/($F$1927+$F$1928+$F$1929+$F$1930+$F$1931)))+
($F$1925))))+
(($F$1924)*((($F$1926)*(($F$1930)/($F$1927+$F$1928+$F$1929+$F$1930+$F$1931)))
/((($F$1926)*(($F$1927)/($F$1927+$F$1928+$F$1929+$F$1930+$F$1931)))+
(($F$1926)*(($F$1928)/($F$1927+$F$1928+$F$1929+$F$1930+$F$1931)))+
(($F$1926)*(($F$1929)/($F$1927+$F$1928+$F$1929+$F$1930+$F$1931)))+
(($F$1926)*(($F$1930)/($F$1927+$F$1928+$F$1929+$F$1930+$F$1931)))+
(($F$1926)*(($F$1931)/($F$1927+$F$1928+$F$1929+$F$1930+$F$1931)))+
($F$1925))))+
(($F$1924)*((($F$1926)*(($F$1931)/($F$1927+$F$1928+$F$1929+$F$1930+$F$1931)))
/((($F$1926)*(($F$1927)/($F$1927+$F$1928+$F$1929+$F$1930+$F$1931)))+
(($F$1926)*(($F$1928)/($F$1927+$F$1928+$F$1929+$F$1930+$F$1931)))+
(($F$1926)*(($F$1929)/($F$1927+$F$1928+$F$1929+$F$1930+$F$1931)))+
(($F$1926)*(($F$1930)/($F$1927+$F$1928+$F$1929+$F$1930+$F$1931)))+
(($F$1926)*(($F$1931)/($F$1927+$F$1928+$F$1929+$F$1930+$F$1931)))+
($F$1925))))))),2)</f>
        <v>2.0499999999999998</v>
      </c>
      <c r="I1919" s="22" t="s">
        <v>73</v>
      </c>
      <c r="J1919" s="330"/>
      <c r="K1919" s="681">
        <f>(A1890*H1919)</f>
        <v>38.949999999999996</v>
      </c>
      <c r="L1919" s="535"/>
      <c r="M1919" s="552" t="str">
        <f t="shared" si="267"/>
        <v/>
      </c>
      <c r="N1919" s="552"/>
      <c r="O1919" s="552" t="str">
        <f t="shared" si="268"/>
        <v/>
      </c>
      <c r="P1919" s="39"/>
    </row>
    <row r="1920" spans="1:16" x14ac:dyDescent="0.35">
      <c r="A1920" s="593" t="str">
        <f t="shared" si="271"/>
        <v/>
      </c>
      <c r="B1920" s="337"/>
      <c r="C1920" s="337"/>
      <c r="D1920" s="326" t="s">
        <v>48</v>
      </c>
      <c r="E1920" s="474" t="s">
        <v>91</v>
      </c>
      <c r="F1920" s="18">
        <v>100</v>
      </c>
      <c r="G1920" s="18" t="s">
        <v>73</v>
      </c>
      <c r="H1920" s="335">
        <f>ROUND((($F$1911)*(
(($F$1918)*(($F$1920)/($F$1919+$F$1920+$F$1921+$F$1922+$F$1923)))
/(($F$1912)+($F$1913)+($F$1914)+($F$1915)+($F$1916)+($F$1917)+
(($F$1918)*(($F$1919)/($F$1919+$F$1920+$F$1921+$F$1922+$F$1923)))+
(($F$1918)*(($F$1920)/($F$1919+$F$1920+$F$1921+$F$1922+$F$1923)))+
(($F$1918)*(($F$1921)/($F$1919+$F$1920+$F$1921+$F$1922+$F$1923)))+
(($F$1918)*(($F$1922)/($F$1919+$F$1920+$F$1921+$F$1922+$F$1923)))+
(($F$1918)*(($F$1923)/($F$1919+$F$1920+$F$1921+$F$1922+$F$1923)))+
(($F$1924)*(($F$1925)/((($F$1926)*(($F$1927)/($F$1927+$F$1928+$F$1929+$F$1930+$F$1931)))+
(($F$1926)*(($F$1928)/($F$1927+$F$1928+$F$1929+$F$1930+$F$1931)))+
(($F$1926)*(($F$1929)/($F$1927+$F$1928+$F$1929+$F$1930+$F$1931)))+
(($F$1926)*(($F$1930)/($F$1927+$F$1928+$F$1929+$F$1930+$F$1931)))+
(($F$1926)*(($F$1931)/($F$1927+$F$1928+$F$1929+$F$1930+$F$1931)))+
($F$1925))))+
(($F$1924)*((($F$1926)*(($F$1927)/($F$1927+$F$1928+$F$1929+$F$1930+$F$1931)))
/((($F$1926)*(($F$1927)/($F$1927+$F$1928+$F$1929+$F$1930+$F$1931)))+
(($F$1926)*(($F$1928)/($F$1927+$F$1928+$F$1929+$F$1930+$F$1931)))+
(($F$1926)*(($F$1929)/($F$1927+$F$1928+$F$1929+$F$1930+$F$1931)))+
(($F$1926)*(($F$1930)/($F$1927+$F$1928+$F$1929+$F$1930+$F$1931)))+
(($F$1926)*(($F$1931)/($F$1927+$F$1928+$F$1929+$F$1930+$F$1931)))+
($F$1925))))+
(($F$1924)*((($F$1926)*(($F$1928)/($F$1927+$F$1928+$F$1929+$F$1930+$F$1931)))
/((($F$1926)*(($F$1927)/($F$1927+$F$1928+$F$1929+$F$1930+$F$1931)))+
(($F$1926)*(($F$1928)/($F$1927+$F$1928+$F$1929+$F$1930+$F$1931)))+
(($F$1926)*(($F$1929)/($F$1927+$F$1928+$F$1929+$F$1930+$F$1931)))+
(($F$1926)*(($F$1930)/($F$1927+$F$1928+$F$1929+$F$1930+$F$1931)))+
(($F$1926)*(($F$1931)/($F$1927+$F$1928+$F$1929+$F$1930+$F$1931)))+
($F$1925))))+
(($F$1924)*((($F$1926)*(($F$1929)/($F$1927+$F$1928+$F$1929+$F$1930+$F$1931)))
/((($F$1926)*(($F$1927)/($F$1927+$F$1928+$F$1929+$F$1930+$F$1931)))+
(($F$1926)*(($F$1928)/($F$1927+$F$1928+$F$1929+$F$1930+$F$1931)))+
(($F$1926)*(($F$1929)/($F$1927+$F$1928+$F$1929+$F$1930+$F$1931)))+
(($F$1926)*(($F$1930)/($F$1927+$F$1928+$F$1929+$F$1930+$F$1931)))+
(($F$1926)*(($F$1931)/($F$1927+$F$1928+$F$1929+$F$1930+$F$1931)))+
($F$1925))))+
(($F$1924)*((($F$1926)*(($F$1930)/($F$1927+$F$1928+$F$1929+$F$1930+$F$1931)))
/((($F$1926)*(($F$1927)/($F$1927+$F$1928+$F$1929+$F$1930+$F$1931)))+
(($F$1926)*(($F$1928)/($F$1927+$F$1928+$F$1929+$F$1930+$F$1931)))+
(($F$1926)*(($F$1929)/($F$1927+$F$1928+$F$1929+$F$1930+$F$1931)))+
(($F$1926)*(($F$1930)/($F$1927+$F$1928+$F$1929+$F$1930+$F$1931)))+
(($F$1926)*(($F$1931)/($F$1927+$F$1928+$F$1929+$F$1930+$F$1931)))+
($F$1925))))+
(($F$1924)*((($F$1926)*(($F$1931)/($F$1927+$F$1928+$F$1929+$F$1930+$F$1931)))
/((($F$1926)*(($F$1927)/($F$1927+$F$1928+$F$1929+$F$1930+$F$1931)))+
(($F$1926)*(($F$1928)/($F$1927+$F$1928+$F$1929+$F$1930+$F$1931)))+
(($F$1926)*(($F$1929)/($F$1927+$F$1928+$F$1929+$F$1930+$F$1931)))+
(($F$1926)*(($F$1930)/($F$1927+$F$1928+$F$1929+$F$1930+$F$1931)))+
(($F$1926)*(($F$1931)/($F$1927+$F$1928+$F$1929+$F$1930+$F$1931)))+
($F$1925))))))),2)</f>
        <v>0.34</v>
      </c>
      <c r="I1920" s="18" t="s">
        <v>73</v>
      </c>
      <c r="J1920" s="337"/>
      <c r="K1920" s="680">
        <f>(A1890*H1920)</f>
        <v>6.4600000000000009</v>
      </c>
      <c r="L1920" s="535"/>
      <c r="M1920" s="552" t="str">
        <f t="shared" si="267"/>
        <v/>
      </c>
      <c r="N1920" s="552"/>
      <c r="O1920" s="552" t="str">
        <f t="shared" si="268"/>
        <v/>
      </c>
      <c r="P1920" s="39"/>
    </row>
    <row r="1921" spans="1:16" x14ac:dyDescent="0.35">
      <c r="A1921" s="593" t="str">
        <f t="shared" si="271"/>
        <v/>
      </c>
      <c r="B1921" s="330"/>
      <c r="C1921" s="330"/>
      <c r="D1921" s="326" t="s">
        <v>50</v>
      </c>
      <c r="E1921" s="456" t="s">
        <v>92</v>
      </c>
      <c r="F1921" s="22">
        <v>100</v>
      </c>
      <c r="G1921" s="22" t="s">
        <v>73</v>
      </c>
      <c r="H1921" s="328">
        <f>ROUND((($F$1911)*(
(($F$1918)*(($F$1921)/($F$1919+$F$1920+$F$1921+$F$1922+$F$1923)))
/(($F$1912)+($F$1913)+($F$1914)+($F$1915)+($F$1916)+($F$1917)+
(($F$1918)*(($F$1919)/($F$1919+$F$1920+$F$1921+$F$1922+$F$1923)))+
(($F$1918)*(($F$1920)/($F$1919+$F$1920+$F$1921+$F$1922+$F$1923)))+
(($F$1918)*(($F$1921)/($F$1919+$F$1920+$F$1921+$F$1922+$F$1923)))+
(($F$1918)*(($F$1922)/($F$1919+$F$1920+$F$1921+$F$1922+$F$1923)))+
(($F$1918)*(($F$1923)/($F$1919+$F$1920+$F$1921+$F$1922+$F$1923)))+
(($F$1924)*(($F$1925)/((($F$1926)*(($F$1927)/($F$1927+$F$1928+$F$1929+$F$1930+$F$1931)))+
(($F$1926)*(($F$1928)/($F$1927+$F$1928+$F$1929+$F$1930+$F$1931)))+
(($F$1926)*(($F$1929)/($F$1927+$F$1928+$F$1929+$F$1930+$F$1931)))+
(($F$1926)*(($F$1930)/($F$1927+$F$1928+$F$1929+$F$1930+$F$1931)))+
(($F$1926)*(($F$1931)/($F$1927+$F$1928+$F$1929+$F$1930+$F$1931)))+
($F$1925))))+
(($F$1924)*((($F$1926)*(($F$1927)/($F$1927+$F$1928+$F$1929+$F$1930+$F$1931)))
/((($F$1926)*(($F$1927)/($F$1927+$F$1928+$F$1929+$F$1930+$F$1931)))+
(($F$1926)*(($F$1928)/($F$1927+$F$1928+$F$1929+$F$1930+$F$1931)))+
(($F$1926)*(($F$1929)/($F$1927+$F$1928+$F$1929+$F$1930+$F$1931)))+
(($F$1926)*(($F$1930)/($F$1927+$F$1928+$F$1929+$F$1930+$F$1931)))+
(($F$1926)*(($F$1931)/($F$1927+$F$1928+$F$1929+$F$1930+$F$1931)))+
($F$1925))))+
(($F$1924)*((($F$1926)*(($F$1928)/($F$1927+$F$1928+$F$1929+$F$1930+$F$1931)))
/((($F$1926)*(($F$1927)/($F$1927+$F$1928+$F$1929+$F$1930+$F$1931)))+
(($F$1926)*(($F$1928)/($F$1927+$F$1928+$F$1929+$F$1930+$F$1931)))+
(($F$1926)*(($F$1929)/($F$1927+$F$1928+$F$1929+$F$1930+$F$1931)))+
(($F$1926)*(($F$1930)/($F$1927+$F$1928+$F$1929+$F$1930+$F$1931)))+
(($F$1926)*(($F$1931)/($F$1927+$F$1928+$F$1929+$F$1930+$F$1931)))+
($F$1925))))+
(($F$1924)*((($F$1926)*(($F$1929)/($F$1927+$F$1928+$F$1929+$F$1930+$F$1931)))
/((($F$1926)*(($F$1927)/($F$1927+$F$1928+$F$1929+$F$1930+$F$1931)))+
(($F$1926)*(($F$1928)/($F$1927+$F$1928+$F$1929+$F$1930+$F$1931)))+
(($F$1926)*(($F$1929)/($F$1927+$F$1928+$F$1929+$F$1930+$F$1931)))+
(($F$1926)*(($F$1930)/($F$1927+$F$1928+$F$1929+$F$1930+$F$1931)))+
(($F$1926)*(($F$1931)/($F$1927+$F$1928+$F$1929+$F$1930+$F$1931)))+
($F$1925))))+
(($F$1924)*((($F$1926)*(($F$1930)/($F$1927+$F$1928+$F$1929+$F$1930+$F$1931)))
/((($F$1926)*(($F$1927)/($F$1927+$F$1928+$F$1929+$F$1930+$F$1931)))+
(($F$1926)*(($F$1928)/($F$1927+$F$1928+$F$1929+$F$1930+$F$1931)))+
(($F$1926)*(($F$1929)/($F$1927+$F$1928+$F$1929+$F$1930+$F$1931)))+
(($F$1926)*(($F$1930)/($F$1927+$F$1928+$F$1929+$F$1930+$F$1931)))+
(($F$1926)*(($F$1931)/($F$1927+$F$1928+$F$1929+$F$1930+$F$1931)))+
($F$1925))))+
(($F$1924)*((($F$1926)*(($F$1931)/($F$1927+$F$1928+$F$1929+$F$1930+$F$1931)))
/((($F$1926)*(($F$1927)/($F$1927+$F$1928+$F$1929+$F$1930+$F$1931)))+
(($F$1926)*(($F$1928)/($F$1927+$F$1928+$F$1929+$F$1930+$F$1931)))+
(($F$1926)*(($F$1929)/($F$1927+$F$1928+$F$1929+$F$1930+$F$1931)))+
(($F$1926)*(($F$1930)/($F$1927+$F$1928+$F$1929+$F$1930+$F$1931)))+
(($F$1926)*(($F$1931)/($F$1927+$F$1928+$F$1929+$F$1930+$F$1931)))+
($F$1925))))))),2)</f>
        <v>0.34</v>
      </c>
      <c r="I1921" s="22" t="s">
        <v>73</v>
      </c>
      <c r="J1921" s="330"/>
      <c r="K1921" s="681">
        <f>(A1890*H1921)</f>
        <v>6.4600000000000009</v>
      </c>
      <c r="L1921" s="535"/>
      <c r="M1921" s="552" t="str">
        <f t="shared" si="267"/>
        <v/>
      </c>
      <c r="N1921" s="552"/>
      <c r="O1921" s="552" t="str">
        <f t="shared" si="268"/>
        <v/>
      </c>
      <c r="P1921" s="39"/>
    </row>
    <row r="1922" spans="1:16" x14ac:dyDescent="0.35">
      <c r="A1922" s="593" t="str">
        <f t="shared" si="271"/>
        <v/>
      </c>
      <c r="B1922" s="337"/>
      <c r="C1922" s="337"/>
      <c r="D1922" s="326" t="s">
        <v>49</v>
      </c>
      <c r="E1922" s="474" t="s">
        <v>99</v>
      </c>
      <c r="F1922" s="18">
        <v>50</v>
      </c>
      <c r="G1922" s="18" t="s">
        <v>73</v>
      </c>
      <c r="H1922" s="335">
        <f>ROUND((($F$1911)*(
(($F$1918)*(($F$1922)/($F$1919+$F$1920+$F$1921+$F$1922+$F$1923)))
/(($F$1912)+($F$1913)+($F$1914)+($F$1915)+($F$1916)+($F$1917)+
(($F$1918)*(($F$1919)/($F$1919+$F$1920+$F$1921+$F$1922+$F$1923)))+
(($F$1918)*(($F$1920)/($F$1919+$F$1920+$F$1921+$F$1922+$F$1923)))+
(($F$1918)*(($F$1921)/($F$1919+$F$1920+$F$1921+$F$1922+$F$1923)))+
(($F$1918)*(($F$1922)/($F$1919+$F$1920+$F$1921+$F$1922+$F$1923)))+
(($F$1918)*(($F$1923)/($F$1919+$F$1920+$F$1921+$F$1922+$F$1923)))+
(($F$1924)*(($F$1925)/((($F$1926)*(($F$1927)/($F$1927+$F$1928+$F$1929+$F$1930+$F$1931)))+
(($F$1926)*(($F$1928)/($F$1927+$F$1928+$F$1929+$F$1930+$F$1931)))+
(($F$1926)*(($F$1929)/($F$1927+$F$1928+$F$1929+$F$1930+$F$1931)))+
(($F$1926)*(($F$1930)/($F$1927+$F$1928+$F$1929+$F$1930+$F$1931)))+
(($F$1926)*(($F$1931)/($F$1927+$F$1928+$F$1929+$F$1930+$F$1931)))+
($F$1925))))+
(($F$1924)*((($F$1926)*(($F$1927)/($F$1927+$F$1928+$F$1929+$F$1930+$F$1931)))
/((($F$1926)*(($F$1927)/($F$1927+$F$1928+$F$1929+$F$1930+$F$1931)))+
(($F$1926)*(($F$1928)/($F$1927+$F$1928+$F$1929+$F$1930+$F$1931)))+
(($F$1926)*(($F$1929)/($F$1927+$F$1928+$F$1929+$F$1930+$F$1931)))+
(($F$1926)*(($F$1930)/($F$1927+$F$1928+$F$1929+$F$1930+$F$1931)))+
(($F$1926)*(($F$1931)/($F$1927+$F$1928+$F$1929+$F$1930+$F$1931)))+
($F$1925))))+
(($F$1924)*((($F$1926)*(($F$1928)/($F$1927+$F$1928+$F$1929+$F$1930+$F$1931)))
/((($F$1926)*(($F$1927)/($F$1927+$F$1928+$F$1929+$F$1930+$F$1931)))+
(($F$1926)*(($F$1928)/($F$1927+$F$1928+$F$1929+$F$1930+$F$1931)))+
(($F$1926)*(($F$1929)/($F$1927+$F$1928+$F$1929+$F$1930+$F$1931)))+
(($F$1926)*(($F$1930)/($F$1927+$F$1928+$F$1929+$F$1930+$F$1931)))+
(($F$1926)*(($F$1931)/($F$1927+$F$1928+$F$1929+$F$1930+$F$1931)))+
($F$1925))))+
(($F$1924)*((($F$1926)*(($F$1929)/($F$1927+$F$1928+$F$1929+$F$1930+$F$1931)))
/((($F$1926)*(($F$1927)/($F$1927+$F$1928+$F$1929+$F$1930+$F$1931)))+
(($F$1926)*(($F$1928)/($F$1927+$F$1928+$F$1929+$F$1930+$F$1931)))+
(($F$1926)*(($F$1929)/($F$1927+$F$1928+$F$1929+$F$1930+$F$1931)))+
(($F$1926)*(($F$1930)/($F$1927+$F$1928+$F$1929+$F$1930+$F$1931)))+
(($F$1926)*(($F$1931)/($F$1927+$F$1928+$F$1929+$F$1930+$F$1931)))+
($F$1925))))+
(($F$1924)*((($F$1926)*(($F$1930)/($F$1927+$F$1928+$F$1929+$F$1930+$F$1931)))
/((($F$1926)*(($F$1927)/($F$1927+$F$1928+$F$1929+$F$1930+$F$1931)))+
(($F$1926)*(($F$1928)/($F$1927+$F$1928+$F$1929+$F$1930+$F$1931)))+
(($F$1926)*(($F$1929)/($F$1927+$F$1928+$F$1929+$F$1930+$F$1931)))+
(($F$1926)*(($F$1930)/($F$1927+$F$1928+$F$1929+$F$1930+$F$1931)))+
(($F$1926)*(($F$1931)/($F$1927+$F$1928+$F$1929+$F$1930+$F$1931)))+
($F$1925))))+
(($F$1924)*((($F$1926)*(($F$1931)/($F$1927+$F$1928+$F$1929+$F$1930+$F$1931)))
/((($F$1926)*(($F$1927)/($F$1927+$F$1928+$F$1929+$F$1930+$F$1931)))+
(($F$1926)*(($F$1928)/($F$1927+$F$1928+$F$1929+$F$1930+$F$1931)))+
(($F$1926)*(($F$1929)/($F$1927+$F$1928+$F$1929+$F$1930+$F$1931)))+
(($F$1926)*(($F$1930)/($F$1927+$F$1928+$F$1929+$F$1930+$F$1931)))+
(($F$1926)*(($F$1931)/($F$1927+$F$1928+$F$1929+$F$1930+$F$1931)))+
($F$1925))))))),2)</f>
        <v>0.17</v>
      </c>
      <c r="I1922" s="18" t="s">
        <v>73</v>
      </c>
      <c r="J1922" s="337"/>
      <c r="K1922" s="680">
        <f>(A1890*H1922)</f>
        <v>3.2300000000000004</v>
      </c>
      <c r="L1922" s="535"/>
      <c r="M1922" s="552" t="str">
        <f t="shared" si="267"/>
        <v/>
      </c>
      <c r="N1922" s="552"/>
      <c r="O1922" s="552" t="str">
        <f t="shared" si="268"/>
        <v/>
      </c>
      <c r="P1922" s="39"/>
    </row>
    <row r="1923" spans="1:16" x14ac:dyDescent="0.35">
      <c r="A1923" s="593" t="str">
        <f t="shared" si="271"/>
        <v/>
      </c>
      <c r="B1923" s="330"/>
      <c r="C1923" s="330"/>
      <c r="D1923" s="326" t="s">
        <v>51</v>
      </c>
      <c r="E1923" s="456" t="s">
        <v>98</v>
      </c>
      <c r="F1923" s="22">
        <v>50</v>
      </c>
      <c r="G1923" s="22" t="s">
        <v>73</v>
      </c>
      <c r="H1923" s="328">
        <f>ROUND((($F$1911)*(
(($F$1918)*(($F$1923)/($F$1919+$F$1920+$F$1921+$F$1922+$F$1923)))
/(($F$1912)+($F$1913)+($F$1914)+($F$1915)+($F$1916)+($F$1917)+
(($F$1918)*(($F$1919)/($F$1919+$F$1920+$F$1921+$F$1922+$F$1923)))+
(($F$1918)*(($F$1920)/($F$1919+$F$1920+$F$1921+$F$1922+$F$1923)))+
(($F$1918)*(($F$1921)/($F$1919+$F$1920+$F$1921+$F$1922+$F$1923)))+
(($F$1918)*(($F$1922)/($F$1919+$F$1920+$F$1921+$F$1922+$F$1923)))+
(($F$1918)*(($F$1923)/($F$1919+$F$1920+$F$1921+$F$1922+$F$1923)))+
(($F$1924)*(($F$1925)/((($F$1926)*(($F$1927)/($F$1927+$F$1928+$F$1929+$F$1930+$F$1931)))+
(($F$1926)*(($F$1928)/($F$1927+$F$1928+$F$1929+$F$1930+$F$1931)))+
(($F$1926)*(($F$1929)/($F$1927+$F$1928+$F$1929+$F$1930+$F$1931)))+
(($F$1926)*(($F$1930)/($F$1927+$F$1928+$F$1929+$F$1930+$F$1931)))+
(($F$1926)*(($F$1931)/($F$1927+$F$1928+$F$1929+$F$1930+$F$1931)))+
($F$1925))))+
(($F$1924)*((($F$1926)*(($F$1927)/($F$1927+$F$1928+$F$1929+$F$1930+$F$1931)))
/((($F$1926)*(($F$1927)/($F$1927+$F$1928+$F$1929+$F$1930+$F$1931)))+
(($F$1926)*(($F$1928)/($F$1927+$F$1928+$F$1929+$F$1930+$F$1931)))+
(($F$1926)*(($F$1929)/($F$1927+$F$1928+$F$1929+$F$1930+$F$1931)))+
(($F$1926)*(($F$1930)/($F$1927+$F$1928+$F$1929+$F$1930+$F$1931)))+
(($F$1926)*(($F$1931)/($F$1927+$F$1928+$F$1929+$F$1930+$F$1931)))+
($F$1925))))+
(($F$1924)*((($F$1926)*(($F$1928)/($F$1927+$F$1928+$F$1929+$F$1930+$F$1931)))
/((($F$1926)*(($F$1927)/($F$1927+$F$1928+$F$1929+$F$1930+$F$1931)))+
(($F$1926)*(($F$1928)/($F$1927+$F$1928+$F$1929+$F$1930+$F$1931)))+
(($F$1926)*(($F$1929)/($F$1927+$F$1928+$F$1929+$F$1930+$F$1931)))+
(($F$1926)*(($F$1930)/($F$1927+$F$1928+$F$1929+$F$1930+$F$1931)))+
(($F$1926)*(($F$1931)/($F$1927+$F$1928+$F$1929+$F$1930+$F$1931)))+
($F$1925))))+
(($F$1924)*((($F$1926)*(($F$1929)/($F$1927+$F$1928+$F$1929+$F$1930+$F$1931)))
/((($F$1926)*(($F$1927)/($F$1927+$F$1928+$F$1929+$F$1930+$F$1931)))+
(($F$1926)*(($F$1928)/($F$1927+$F$1928+$F$1929+$F$1930+$F$1931)))+
(($F$1926)*(($F$1929)/($F$1927+$F$1928+$F$1929+$F$1930+$F$1931)))+
(($F$1926)*(($F$1930)/($F$1927+$F$1928+$F$1929+$F$1930+$F$1931)))+
(($F$1926)*(($F$1931)/($F$1927+$F$1928+$F$1929+$F$1930+$F$1931)))+
($F$1925))))+
(($F$1924)*((($F$1926)*(($F$1930)/($F$1927+$F$1928+$F$1929+$F$1930+$F$1931)))
/((($F$1926)*(($F$1927)/($F$1927+$F$1928+$F$1929+$F$1930+$F$1931)))+
(($F$1926)*(($F$1928)/($F$1927+$F$1928+$F$1929+$F$1930+$F$1931)))+
(($F$1926)*(($F$1929)/($F$1927+$F$1928+$F$1929+$F$1930+$F$1931)))+
(($F$1926)*(($F$1930)/($F$1927+$F$1928+$F$1929+$F$1930+$F$1931)))+
(($F$1926)*(($F$1931)/($F$1927+$F$1928+$F$1929+$F$1930+$F$1931)))+
($F$1925))))+
(($F$1924)*((($F$1926)*(($F$1931)/($F$1927+$F$1928+$F$1929+$F$1930+$F$1931)))
/((($F$1926)*(($F$1927)/($F$1927+$F$1928+$F$1929+$F$1930+$F$1931)))+
(($F$1926)*(($F$1928)/($F$1927+$F$1928+$F$1929+$F$1930+$F$1931)))+
(($F$1926)*(($F$1929)/($F$1927+$F$1928+$F$1929+$F$1930+$F$1931)))+
(($F$1926)*(($F$1930)/($F$1927+$F$1928+$F$1929+$F$1930+$F$1931)))+
(($F$1926)*(($F$1931)/($F$1927+$F$1928+$F$1929+$F$1930+$F$1931)))+
($F$1925))))))),2)</f>
        <v>0.17</v>
      </c>
      <c r="I1923" s="22" t="s">
        <v>73</v>
      </c>
      <c r="J1923" s="330"/>
      <c r="K1923" s="681">
        <f>(A1890*H1923)</f>
        <v>3.2300000000000004</v>
      </c>
      <c r="L1923" s="535"/>
      <c r="M1923" s="552" t="str">
        <f t="shared" si="267"/>
        <v/>
      </c>
      <c r="N1923" s="552"/>
      <c r="O1923" s="552" t="str">
        <f t="shared" si="268"/>
        <v/>
      </c>
      <c r="P1923" s="39"/>
    </row>
    <row r="1924" spans="1:16" x14ac:dyDescent="0.35">
      <c r="A1924" s="593" t="str">
        <f t="shared" si="271"/>
        <v/>
      </c>
      <c r="B1924" s="337"/>
      <c r="C1924" s="337"/>
      <c r="D1924" s="355"/>
      <c r="E1924" s="567" t="s">
        <v>989</v>
      </c>
      <c r="F1924" s="356">
        <v>31</v>
      </c>
      <c r="G1924" s="356" t="s">
        <v>73</v>
      </c>
      <c r="H1924" s="356"/>
      <c r="I1924" s="378"/>
      <c r="J1924" s="515"/>
      <c r="K1924" s="684"/>
      <c r="L1924" s="535"/>
      <c r="M1924" s="552" t="str">
        <f t="shared" si="267"/>
        <v/>
      </c>
      <c r="N1924" s="552"/>
      <c r="O1924" s="552" t="str">
        <f t="shared" si="268"/>
        <v/>
      </c>
      <c r="P1924" s="39"/>
    </row>
    <row r="1925" spans="1:16" x14ac:dyDescent="0.35">
      <c r="A1925" s="593" t="str">
        <f t="shared" si="271"/>
        <v/>
      </c>
      <c r="B1925" s="330"/>
      <c r="C1925" s="330"/>
      <c r="D1925" s="326" t="s">
        <v>385</v>
      </c>
      <c r="E1925" s="456" t="s">
        <v>990</v>
      </c>
      <c r="F1925" s="328">
        <v>200</v>
      </c>
      <c r="G1925" s="328" t="s">
        <v>73</v>
      </c>
      <c r="H1925" s="328">
        <f>ROUND((($F$1911)*(
(($F$1924)*(($F$1925)/((($F$1926)*(($F$1927)/($F$1927+$F$1928+$F$1929+$F$1930+$F$1931)))+
(($F$1926)*(($F$1928)/($F$1927+$F$1928+$F$1929+$F$1930+$F$1931)))+
(($F$1926)*(($F$1929)/($F$1927+$F$1928+$F$1929+$F$1930+$F$1931)))+
(($F$1926)*(($F$1930)/($F$1927+$F$1928+$F$1929+$F$1930+$F$1931)))+
(($F$1926)*(($F$1931)/($F$1927+$F$1928+$F$1929+$F$1930+$F$1931)))+
($F$1925))))
/(($F$1912)+($F$1913)+($F$1914)+($F$1915)+($F$1916)+($F$1917)+
(($F$1918)*(($F$1919)/($F$1919+$F$1920+$F$1921+$F$1922+$F$1923)))+
(($F$1918)*(($F$1920)/($F$1919+$F$1920+$F$1921+$F$1922+$F$1923)))+
(($F$1918)*(($F$1921)/($F$1919+$F$1920+$F$1921+$F$1922+$F$1923)))+
(($F$1918)*(($F$1922)/($F$1919+$F$1920+$F$1921+$F$1922+$F$1923)))+
(($F$1918)*(($F$1923)/($F$1919+$F$1920+$F$1921+$F$1922+$F$1923)))+
(($F$1924)*(($F$1925)/((($F$1926)*(($F$1927)/($F$1927+$F$1928+$F$1929+$F$1930+$F$1931)))+
(($F$1926)*(($F$1928)/($F$1927+$F$1928+$F$1929+$F$1930+$F$1931)))+
(($F$1926)*(($F$1929)/($F$1927+$F$1928+$F$1929+$F$1930+$F$1931)))+
(($F$1926)*(($F$1930)/($F$1927+$F$1928+$F$1929+$F$1930+$F$1931)))+
(($F$1926)*(($F$1931)/($F$1927+$F$1928+$F$1929+$F$1930+$F$1931)))+
($F$1925))))+
(($F$1924)*((($F$1926)*(($F$1927)/($F$1927+$F$1928+$F$1929+$F$1930+$F$1931)))
/((($F$1926)*(($F$1927)/($F$1927+$F$1928+$F$1929+$F$1930+$F$1931)))+
(($F$1926)*(($F$1928)/($F$1927+$F$1928+$F$1929+$F$1930+$F$1931)))+
(($F$1926)*(($F$1929)/($F$1927+$F$1928+$F$1929+$F$1930+$F$1931)))+
(($F$1926)*(($F$1930)/($F$1927+$F$1928+$F$1929+$F$1930+$F$1931)))+
(($F$1926)*(($F$1931)/($F$1927+$F$1928+$F$1929+$F$1930+$F$1931)))+
($F$1925))))+
(($F$1924)*((($F$1926)*(($F$1928)/($F$1927+$F$1928+$F$1929+$F$1930+$F$1931)))
/((($F$1926)*(($F$1927)/($F$1927+$F$1928+$F$1929+$F$1930+$F$1931)))+
(($F$1926)*(($F$1928)/($F$1927+$F$1928+$F$1929+$F$1930+$F$1931)))+
(($F$1926)*(($F$1929)/($F$1927+$F$1928+$F$1929+$F$1930+$F$1931)))+
(($F$1926)*(($F$1930)/($F$1927+$F$1928+$F$1929+$F$1930+$F$1931)))+
(($F$1926)*(($F$1931)/($F$1927+$F$1928+$F$1929+$F$1930+$F$1931)))+
($F$1925))))+
(($F$1924)*((($F$1926)*(($F$1929)/($F$1927+$F$1928+$F$1929+$F$1930+$F$1931)))
/((($F$1926)*(($F$1927)/($F$1927+$F$1928+$F$1929+$F$1930+$F$1931)))+
(($F$1926)*(($F$1928)/($F$1927+$F$1928+$F$1929+$F$1930+$F$1931)))+
(($F$1926)*(($F$1929)/($F$1927+$F$1928+$F$1929+$F$1930+$F$1931)))+
(($F$1926)*(($F$1930)/($F$1927+$F$1928+$F$1929+$F$1930+$F$1931)))+
(($F$1926)*(($F$1931)/($F$1927+$F$1928+$F$1929+$F$1930+$F$1931)))+
($F$1925))))+
(($F$1924)*((($F$1926)*(($F$1930)/($F$1927+$F$1928+$F$1929+$F$1930+$F$1931)))
/((($F$1926)*(($F$1927)/($F$1927+$F$1928+$F$1929+$F$1930+$F$1931)))+
(($F$1926)*(($F$1928)/($F$1927+$F$1928+$F$1929+$F$1930+$F$1931)))+
(($F$1926)*(($F$1929)/($F$1927+$F$1928+$F$1929+$F$1930+$F$1931)))+
(($F$1926)*(($F$1930)/($F$1927+$F$1928+$F$1929+$F$1930+$F$1931)))+
(($F$1926)*(($F$1931)/($F$1927+$F$1928+$F$1929+$F$1930+$F$1931)))+
($F$1925))))+
(($F$1924)*((($F$1926)*(($F$1931)/($F$1927+$F$1928+$F$1929+$F$1930+$F$1931)))
/((($F$1926)*(($F$1927)/($F$1927+$F$1928+$F$1929+$F$1930+$F$1931)))+
(($F$1926)*(($F$1928)/($F$1927+$F$1928+$F$1929+$F$1930+$F$1931)))+
(($F$1926)*(($F$1929)/($F$1927+$F$1928+$F$1929+$F$1930+$F$1931)))+
(($F$1926)*(($F$1930)/($F$1927+$F$1928+$F$1929+$F$1930+$F$1931)))+
(($F$1926)*(($F$1931)/($F$1927+$F$1928+$F$1929+$F$1930+$F$1931)))+
($F$1925))))))),2)</f>
        <v>3.18</v>
      </c>
      <c r="I1925" s="22" t="s">
        <v>73</v>
      </c>
      <c r="J1925" s="330"/>
      <c r="K1925" s="681">
        <f>(A1890*H1925)</f>
        <v>60.42</v>
      </c>
      <c r="L1925" s="535"/>
      <c r="M1925" s="552" t="str">
        <f t="shared" si="267"/>
        <v/>
      </c>
      <c r="N1925" s="552"/>
      <c r="O1925" s="552" t="str">
        <f t="shared" si="268"/>
        <v/>
      </c>
      <c r="P1925" s="39"/>
    </row>
    <row r="1926" spans="1:16" x14ac:dyDescent="0.35">
      <c r="A1926" s="593" t="str">
        <f t="shared" si="271"/>
        <v/>
      </c>
      <c r="B1926" s="337"/>
      <c r="C1926" s="337"/>
      <c r="D1926" s="355"/>
      <c r="E1926" s="662" t="s">
        <v>80</v>
      </c>
      <c r="F1926" s="378">
        <v>100</v>
      </c>
      <c r="G1926" s="378" t="s">
        <v>73</v>
      </c>
      <c r="H1926" s="356"/>
      <c r="I1926" s="378"/>
      <c r="J1926" s="515"/>
      <c r="K1926" s="684"/>
      <c r="L1926" s="535"/>
      <c r="M1926" s="552" t="str">
        <f t="shared" si="267"/>
        <v/>
      </c>
      <c r="N1926" s="552"/>
      <c r="O1926" s="552" t="str">
        <f t="shared" si="268"/>
        <v/>
      </c>
      <c r="P1926" s="39"/>
    </row>
    <row r="1927" spans="1:16" x14ac:dyDescent="0.35">
      <c r="A1927" s="593" t="str">
        <f t="shared" si="271"/>
        <v/>
      </c>
      <c r="B1927" s="330"/>
      <c r="C1927" s="330"/>
      <c r="D1927" s="326" t="s">
        <v>47</v>
      </c>
      <c r="E1927" s="665" t="s">
        <v>93</v>
      </c>
      <c r="F1927" s="22">
        <v>600</v>
      </c>
      <c r="G1927" s="22" t="s">
        <v>73</v>
      </c>
      <c r="H1927" s="328">
        <f>ROUND((($F$1911)*(
(($F$1924)*((($F$1926)*(($F$1927)/($F$1927+$F$1928+$F$1929+$F$1930+$F$1931)))
/((($F$1926)*(($F$1927)/($F$1927+$F$1928+$F$1929+$F$1930+$F$1931)))+
(($F$1926)*(($F$1928)/($F$1927+$F$1928+$F$1929+$F$1930+$F$1931)))+
(($F$1926)*(($F$1929)/($F$1927+$F$1928+$F$1929+$F$1930+$F$1931)))+
(($F$1926)*(($F$1930)/($F$1927+$F$1928+$F$1929+$F$1930+$F$1931)))+
(($F$1926)*(($F$1931)/($F$1927+$F$1928+$F$1929+$F$1930+$F$1931)))+
($F$1925))))
/(($F$1912)+($F$1913)+($F$1914)+($F$1915)+($F$1916)+($F$1917)+
(($F$1918)*(($F$1919)/($F$1919+$F$1920+$F$1921+$F$1922+$F$1923)))+
(($F$1918)*(($F$1920)/($F$1919+$F$1920+$F$1921+$F$1922+$F$1923)))+
(($F$1918)*(($F$1921)/($F$1919+$F$1920+$F$1921+$F$1922+$F$1923)))+
(($F$1918)*(($F$1922)/($F$1919+$F$1920+$F$1921+$F$1922+$F$1923)))+
(($F$1918)*(($F$1923)/($F$1919+$F$1920+$F$1921+$F$1922+$F$1923)))+
(($F$1924)*(($F$1925)/((($F$1926)*(($F$1927)/($F$1927+$F$1928+$F$1929+$F$1930+$F$1931)))+
(($F$1926)*(($F$1928)/($F$1927+$F$1928+$F$1929+$F$1930+$F$1931)))+
(($F$1926)*(($F$1929)/($F$1927+$F$1928+$F$1929+$F$1930+$F$1931)))+
(($F$1926)*(($F$1930)/($F$1927+$F$1928+$F$1929+$F$1930+$F$1931)))+
(($F$1926)*(($F$1931)/($F$1927+$F$1928+$F$1929+$F$1930+$F$1931)))+
($F$1925))))+
(($F$1924)*((($F$1926)*(($F$1927)/($F$1927+$F$1928+$F$1929+$F$1930+$F$1931)))
/((($F$1926)*(($F$1927)/($F$1927+$F$1928+$F$1929+$F$1930+$F$1931)))+
(($F$1926)*(($F$1928)/($F$1927+$F$1928+$F$1929+$F$1930+$F$1931)))+
(($F$1926)*(($F$1929)/($F$1927+$F$1928+$F$1929+$F$1930+$F$1931)))+
(($F$1926)*(($F$1930)/($F$1927+$F$1928+$F$1929+$F$1930+$F$1931)))+
(($F$1926)*(($F$1931)/($F$1927+$F$1928+$F$1929+$F$1930+$F$1931)))+
($F$1925))))+
(($F$1924)*((($F$1926)*(($F$1928)/($F$1927+$F$1928+$F$1929+$F$1930+$F$1931)))
/((($F$1926)*(($F$1927)/($F$1927+$F$1928+$F$1929+$F$1930+$F$1931)))+
(($F$1926)*(($F$1928)/($F$1927+$F$1928+$F$1929+$F$1930+$F$1931)))+
(($F$1926)*(($F$1929)/($F$1927+$F$1928+$F$1929+$F$1930+$F$1931)))+
(($F$1926)*(($F$1930)/($F$1927+$F$1928+$F$1929+$F$1930+$F$1931)))+
(($F$1926)*(($F$1931)/($F$1927+$F$1928+$F$1929+$F$1930+$F$1931)))+
($F$1925))))+
(($F$1924)*((($F$1926)*(($F$1929)/($F$1927+$F$1928+$F$1929+$F$1930+$F$1931)))
/((($F$1926)*(($F$1927)/($F$1927+$F$1928+$F$1929+$F$1930+$F$1931)))+
(($F$1926)*(($F$1928)/($F$1927+$F$1928+$F$1929+$F$1930+$F$1931)))+
(($F$1926)*(($F$1929)/($F$1927+$F$1928+$F$1929+$F$1930+$F$1931)))+
(($F$1926)*(($F$1930)/($F$1927+$F$1928+$F$1929+$F$1930+$F$1931)))+
(($F$1926)*(($F$1931)/($F$1927+$F$1928+$F$1929+$F$1930+$F$1931)))+
($F$1925))))+
(($F$1924)*((($F$1926)*(($F$1930)/($F$1927+$F$1928+$F$1929+$F$1930+$F$1931)))
/((($F$1926)*(($F$1927)/($F$1927+$F$1928+$F$1929+$F$1930+$F$1931)))+
(($F$1926)*(($F$1928)/($F$1927+$F$1928+$F$1929+$F$1930+$F$1931)))+
(($F$1926)*(($F$1929)/($F$1927+$F$1928+$F$1929+$F$1930+$F$1931)))+
(($F$1926)*(($F$1930)/($F$1927+$F$1928+$F$1929+$F$1930+$F$1931)))+
(($F$1926)*(($F$1931)/($F$1927+$F$1928+$F$1929+$F$1930+$F$1931)))+
($F$1925))))+
(($F$1924)*((($F$1926)*(($F$1931)/($F$1927+$F$1928+$F$1929+$F$1930+$F$1931)))
/((($F$1926)*(($F$1927)/($F$1927+$F$1928+$F$1929+$F$1930+$F$1931)))+
(($F$1926)*(($F$1928)/($F$1927+$F$1928+$F$1929+$F$1930+$F$1931)))+
(($F$1926)*(($F$1929)/($F$1927+$F$1928+$F$1929+$F$1930+$F$1931)))+
(($F$1926)*(($F$1930)/($F$1927+$F$1928+$F$1929+$F$1930+$F$1931)))+
(($F$1926)*(($F$1931)/($F$1927+$F$1928+$F$1929+$F$1930+$F$1931)))+
($F$1925))))))),2)</f>
        <v>1.06</v>
      </c>
      <c r="I1927" s="22" t="s">
        <v>73</v>
      </c>
      <c r="J1927" s="330"/>
      <c r="K1927" s="681">
        <f>(A1890*H1927)</f>
        <v>20.14</v>
      </c>
      <c r="L1927" s="535"/>
      <c r="M1927" s="552" t="str">
        <f t="shared" si="267"/>
        <v/>
      </c>
      <c r="N1927" s="552"/>
      <c r="O1927" s="552" t="str">
        <f t="shared" si="268"/>
        <v/>
      </c>
      <c r="P1927" s="39"/>
    </row>
    <row r="1928" spans="1:16" x14ac:dyDescent="0.35">
      <c r="A1928" s="593" t="str">
        <f t="shared" si="271"/>
        <v/>
      </c>
      <c r="B1928" s="337"/>
      <c r="C1928" s="337"/>
      <c r="D1928" s="326" t="s">
        <v>48</v>
      </c>
      <c r="E1928" s="666" t="s">
        <v>91</v>
      </c>
      <c r="F1928" s="18">
        <v>100</v>
      </c>
      <c r="G1928" s="18" t="s">
        <v>73</v>
      </c>
      <c r="H1928" s="335">
        <f>ROUND((($F$1911)*(
(($F$1924)*((($F$1926)*(($F$1928)/($F$1927+$F$1928+$F$1929+$F$1930+$F$1931)))
/((($F$1926)*(($F$1927)/($F$1927+$F$1928+$F$1929+$F$1930+$F$1931)))+
(($F$1926)*(($F$1928)/($F$1927+$F$1928+$F$1929+$F$1930+$F$1931)))+
(($F$1926)*(($F$1929)/($F$1927+$F$1928+$F$1929+$F$1930+$F$1931)))+
(($F$1926)*(($F$1930)/($F$1927+$F$1928+$F$1929+$F$1930+$F$1931)))+
(($F$1926)*(($F$1931)/($F$1927+$F$1928+$F$1929+$F$1930+$F$1931)))+
($F$1925))))
/(($F$1912)+($F$1913)+($F$1914)+($F$1915)+($F$1916)+($F$1917)+
(($F$1918)*(($F$1919)/($F$1919+$F$1920+$F$1921+$F$1922+$F$1923)))+
(($F$1918)*(($F$1920)/($F$1919+$F$1920+$F$1921+$F$1922+$F$1923)))+
(($F$1918)*(($F$1921)/($F$1919+$F$1920+$F$1921+$F$1922+$F$1923)))+
(($F$1918)*(($F$1922)/($F$1919+$F$1920+$F$1921+$F$1922+$F$1923)))+
(($F$1918)*(($F$1923)/($F$1919+$F$1920+$F$1921+$F$1922+$F$1923)))+
(($F$1924)*(($F$1925)/((($F$1926)*(($F$1927)/($F$1927+$F$1928+$F$1929+$F$1930+$F$1931)))+
(($F$1926)*(($F$1928)/($F$1927+$F$1928+$F$1929+$F$1930+$F$1931)))+
(($F$1926)*(($F$1929)/($F$1927+$F$1928+$F$1929+$F$1930+$F$1931)))+
(($F$1926)*(($F$1930)/($F$1927+$F$1928+$F$1929+$F$1930+$F$1931)))+
(($F$1926)*(($F$1931)/($F$1927+$F$1928+$F$1929+$F$1930+$F$1931)))+
($F$1925))))+
(($F$1924)*((($F$1926)*(($F$1927)/($F$1927+$F$1928+$F$1929+$F$1930+$F$1931)))
/((($F$1926)*(($F$1927)/($F$1927+$F$1928+$F$1929+$F$1930+$F$1931)))+
(($F$1926)*(($F$1928)/($F$1927+$F$1928+$F$1929+$F$1930+$F$1931)))+
(($F$1926)*(($F$1929)/($F$1927+$F$1928+$F$1929+$F$1930+$F$1931)))+
(($F$1926)*(($F$1930)/($F$1927+$F$1928+$F$1929+$F$1930+$F$1931)))+
(($F$1926)*(($F$1931)/($F$1927+$F$1928+$F$1929+$F$1930+$F$1931)))+
($F$1925))))+
(($F$1924)*((($F$1926)*(($F$1928)/($F$1927+$F$1928+$F$1929+$F$1930+$F$1931)))
/((($F$1926)*(($F$1927)/($F$1927+$F$1928+$F$1929+$F$1930+$F$1931)))+
(($F$1926)*(($F$1928)/($F$1927+$F$1928+$F$1929+$F$1930+$F$1931)))+
(($F$1926)*(($F$1929)/($F$1927+$F$1928+$F$1929+$F$1930+$F$1931)))+
(($F$1926)*(($F$1930)/($F$1927+$F$1928+$F$1929+$F$1930+$F$1931)))+
(($F$1926)*(($F$1931)/($F$1927+$F$1928+$F$1929+$F$1930+$F$1931)))+
($F$1925))))+
(($F$1924)*((($F$1926)*(($F$1929)/($F$1927+$F$1928+$F$1929+$F$1930+$F$1931)))
/((($F$1926)*(($F$1927)/($F$1927+$F$1928+$F$1929+$F$1930+$F$1931)))+
(($F$1926)*(($F$1928)/($F$1927+$F$1928+$F$1929+$F$1930+$F$1931)))+
(($F$1926)*(($F$1929)/($F$1927+$F$1928+$F$1929+$F$1930+$F$1931)))+
(($F$1926)*(($F$1930)/($F$1927+$F$1928+$F$1929+$F$1930+$F$1931)))+
(($F$1926)*(($F$1931)/($F$1927+$F$1928+$F$1929+$F$1930+$F$1931)))+
($F$1925))))+
(($F$1924)*((($F$1926)*(($F$1930)/($F$1927+$F$1928+$F$1929+$F$1930+$F$1931)))
/((($F$1926)*(($F$1927)/($F$1927+$F$1928+$F$1929+$F$1930+$F$1931)))+
(($F$1926)*(($F$1928)/($F$1927+$F$1928+$F$1929+$F$1930+$F$1931)))+
(($F$1926)*(($F$1929)/($F$1927+$F$1928+$F$1929+$F$1930+$F$1931)))+
(($F$1926)*(($F$1930)/($F$1927+$F$1928+$F$1929+$F$1930+$F$1931)))+
(($F$1926)*(($F$1931)/($F$1927+$F$1928+$F$1929+$F$1930+$F$1931)))+
($F$1925))))+
(($F$1924)*((($F$1926)*(($F$1931)/($F$1927+$F$1928+$F$1929+$F$1930+$F$1931)))
/((($F$1926)*(($F$1927)/($F$1927+$F$1928+$F$1929+$F$1930+$F$1931)))+
(($F$1926)*(($F$1928)/($F$1927+$F$1928+$F$1929+$F$1930+$F$1931)))+
(($F$1926)*(($F$1929)/($F$1927+$F$1928+$F$1929+$F$1930+$F$1931)))+
(($F$1926)*(($F$1930)/($F$1927+$F$1928+$F$1929+$F$1930+$F$1931)))+
(($F$1926)*(($F$1931)/($F$1927+$F$1928+$F$1929+$F$1930+$F$1931)))+
($F$1925))))))),2)</f>
        <v>0.18</v>
      </c>
      <c r="I1928" s="18" t="s">
        <v>73</v>
      </c>
      <c r="J1928" s="337"/>
      <c r="K1928" s="680">
        <f>(A1890*H1928)</f>
        <v>3.42</v>
      </c>
      <c r="L1928" s="535"/>
      <c r="M1928" s="552" t="str">
        <f t="shared" si="267"/>
        <v/>
      </c>
      <c r="N1928" s="552"/>
      <c r="O1928" s="552" t="str">
        <f t="shared" si="268"/>
        <v/>
      </c>
      <c r="P1928" s="39"/>
    </row>
    <row r="1929" spans="1:16" x14ac:dyDescent="0.35">
      <c r="A1929" s="593" t="str">
        <f t="shared" si="271"/>
        <v/>
      </c>
      <c r="B1929" s="330"/>
      <c r="C1929" s="330"/>
      <c r="D1929" s="326" t="s">
        <v>50</v>
      </c>
      <c r="E1929" s="665" t="s">
        <v>92</v>
      </c>
      <c r="F1929" s="22">
        <v>100</v>
      </c>
      <c r="G1929" s="22" t="s">
        <v>73</v>
      </c>
      <c r="H1929" s="328">
        <f>ROUND((($F$1911)*(
(($F$1924)*((($F$1926)*(($F$1929)/($F$1927+$F$1928+$F$1929+$F$1930+$F$1931)))
/((($F$1926)*(($F$1927)/($F$1927+$F$1928+$F$1929+$F$1930+$F$1931)))+
(($F$1926)*(($F$1928)/($F$1927+$F$1928+$F$1929+$F$1930+$F$1931)))+
(($F$1926)*(($F$1929)/($F$1927+$F$1928+$F$1929+$F$1930+$F$1931)))+
(($F$1926)*(($F$1930)/($F$1927+$F$1928+$F$1929+$F$1930+$F$1931)))+
(($F$1926)*(($F$1931)/($F$1927+$F$1928+$F$1929+$F$1930+$F$1931)))+
($F$1925))))
/(($F$1912)+($F$1913)+($F$1914)+($F$1915)+($F$1916)+($F$1917)+
(($F$1918)*(($F$1919)/($F$1919+$F$1920+$F$1921+$F$1922+$F$1923)))+
(($F$1918)*(($F$1920)/($F$1919+$F$1920+$F$1921+$F$1922+$F$1923)))+
(($F$1918)*(($F$1921)/($F$1919+$F$1920+$F$1921+$F$1922+$F$1923)))+
(($F$1918)*(($F$1922)/($F$1919+$F$1920+$F$1921+$F$1922+$F$1923)))+
(($F$1918)*(($F$1923)/($F$1919+$F$1920+$F$1921+$F$1922+$F$1923)))+
(($F$1924)*(($F$1925)/((($F$1926)*(($F$1927)/($F$1927+$F$1928+$F$1929+$F$1930+$F$1931)))+
(($F$1926)*(($F$1928)/($F$1927+$F$1928+$F$1929+$F$1930+$F$1931)))+
(($F$1926)*(($F$1929)/($F$1927+$F$1928+$F$1929+$F$1930+$F$1931)))+
(($F$1926)*(($F$1930)/($F$1927+$F$1928+$F$1929+$F$1930+$F$1931)))+
(($F$1926)*(($F$1931)/($F$1927+$F$1928+$F$1929+$F$1930+$F$1931)))+
($F$1925))))+
(($F$1924)*((($F$1926)*(($F$1927)/($F$1927+$F$1928+$F$1929+$F$1930+$F$1931)))
/((($F$1926)*(($F$1927)/($F$1927+$F$1928+$F$1929+$F$1930+$F$1931)))+
(($F$1926)*(($F$1928)/($F$1927+$F$1928+$F$1929+$F$1930+$F$1931)))+
(($F$1926)*(($F$1929)/($F$1927+$F$1928+$F$1929+$F$1930+$F$1931)))+
(($F$1926)*(($F$1930)/($F$1927+$F$1928+$F$1929+$F$1930+$F$1931)))+
(($F$1926)*(($F$1931)/($F$1927+$F$1928+$F$1929+$F$1930+$F$1931)))+
($F$1925))))+
(($F$1924)*((($F$1926)*(($F$1928)/($F$1927+$F$1928+$F$1929+$F$1930+$F$1931)))
/((($F$1926)*(($F$1927)/($F$1927+$F$1928+$F$1929+$F$1930+$F$1931)))+
(($F$1926)*(($F$1928)/($F$1927+$F$1928+$F$1929+$F$1930+$F$1931)))+
(($F$1926)*(($F$1929)/($F$1927+$F$1928+$F$1929+$F$1930+$F$1931)))+
(($F$1926)*(($F$1930)/($F$1927+$F$1928+$F$1929+$F$1930+$F$1931)))+
(($F$1926)*(($F$1931)/($F$1927+$F$1928+$F$1929+$F$1930+$F$1931)))+
($F$1925))))+
(($F$1924)*((($F$1926)*(($F$1929)/($F$1927+$F$1928+$F$1929+$F$1930+$F$1931)))
/((($F$1926)*(($F$1927)/($F$1927+$F$1928+$F$1929+$F$1930+$F$1931)))+
(($F$1926)*(($F$1928)/($F$1927+$F$1928+$F$1929+$F$1930+$F$1931)))+
(($F$1926)*(($F$1929)/($F$1927+$F$1928+$F$1929+$F$1930+$F$1931)))+
(($F$1926)*(($F$1930)/($F$1927+$F$1928+$F$1929+$F$1930+$F$1931)))+
(($F$1926)*(($F$1931)/($F$1927+$F$1928+$F$1929+$F$1930+$F$1931)))+
($F$1925))))+
(($F$1924)*((($F$1926)*(($F$1930)/($F$1927+$F$1928+$F$1929+$F$1930+$F$1931)))
/((($F$1926)*(($F$1927)/($F$1927+$F$1928+$F$1929+$F$1930+$F$1931)))+
(($F$1926)*(($F$1928)/($F$1927+$F$1928+$F$1929+$F$1930+$F$1931)))+
(($F$1926)*(($F$1929)/($F$1927+$F$1928+$F$1929+$F$1930+$F$1931)))+
(($F$1926)*(($F$1930)/($F$1927+$F$1928+$F$1929+$F$1930+$F$1931)))+
(($F$1926)*(($F$1931)/($F$1927+$F$1928+$F$1929+$F$1930+$F$1931)))+
($F$1925))))+
(($F$1924)*((($F$1926)*(($F$1931)/($F$1927+$F$1928+$F$1929+$F$1930+$F$1931)))
/((($F$1926)*(($F$1927)/($F$1927+$F$1928+$F$1929+$F$1930+$F$1931)))+
(($F$1926)*(($F$1928)/($F$1927+$F$1928+$F$1929+$F$1930+$F$1931)))+
(($F$1926)*(($F$1929)/($F$1927+$F$1928+$F$1929+$F$1930+$F$1931)))+
(($F$1926)*(($F$1930)/($F$1927+$F$1928+$F$1929+$F$1930+$F$1931)))+
(($F$1926)*(($F$1931)/($F$1927+$F$1928+$F$1929+$F$1930+$F$1931)))+
($F$1925))))))),2)</f>
        <v>0.18</v>
      </c>
      <c r="I1929" s="22" t="s">
        <v>73</v>
      </c>
      <c r="J1929" s="330"/>
      <c r="K1929" s="681">
        <f>(A1890*H1929)</f>
        <v>3.42</v>
      </c>
      <c r="L1929" s="535"/>
      <c r="M1929" s="552" t="str">
        <f t="shared" si="267"/>
        <v/>
      </c>
      <c r="N1929" s="552"/>
      <c r="O1929" s="552" t="str">
        <f t="shared" si="268"/>
        <v/>
      </c>
      <c r="P1929" s="39"/>
    </row>
    <row r="1930" spans="1:16" x14ac:dyDescent="0.35">
      <c r="A1930" s="593" t="str">
        <f t="shared" si="271"/>
        <v/>
      </c>
      <c r="B1930" s="337"/>
      <c r="C1930" s="337"/>
      <c r="D1930" s="326" t="s">
        <v>49</v>
      </c>
      <c r="E1930" s="666" t="s">
        <v>99</v>
      </c>
      <c r="F1930" s="18">
        <v>50</v>
      </c>
      <c r="G1930" s="18" t="s">
        <v>73</v>
      </c>
      <c r="H1930" s="335">
        <f>ROUND((($F$1911)*(
(($F$1924)*((($F$1926)*(($F$1930)/($F$1927+$F$1928+$F$1929+$F$1930+$F$1931)))
/((($F$1926)*(($F$1927)/($F$1927+$F$1928+$F$1929+$F$1930+$F$1931)))+
(($F$1926)*(($F$1928)/($F$1927+$F$1928+$F$1929+$F$1930+$F$1931)))+
(($F$1926)*(($F$1929)/($F$1927+$F$1928+$F$1929+$F$1930+$F$1931)))+
(($F$1926)*(($F$1930)/($F$1927+$F$1928+$F$1929+$F$1930+$F$1931)))+
(($F$1926)*(($F$1931)/($F$1927+$F$1928+$F$1929+$F$1930+$F$1931)))+
($F$1925))))
/(($F$1912)+($F$1913)+($F$1914)+($F$1915)+($F$1916)+($F$1917)+
(($F$1918)*(($F$1919)/($F$1919+$F$1920+$F$1921+$F$1922+$F$1923)))+
(($F$1918)*(($F$1920)/($F$1919+$F$1920+$F$1921+$F$1922+$F$1923)))+
(($F$1918)*(($F$1921)/($F$1919+$F$1920+$F$1921+$F$1922+$F$1923)))+
(($F$1918)*(($F$1922)/($F$1919+$F$1920+$F$1921+$F$1922+$F$1923)))+
(($F$1918)*(($F$1923)/($F$1919+$F$1920+$F$1921+$F$1922+$F$1923)))+
(($F$1924)*(($F$1925)/((($F$1926)*(($F$1927)/($F$1927+$F$1928+$F$1929+$F$1930+$F$1931)))+
(($F$1926)*(($F$1928)/($F$1927+$F$1928+$F$1929+$F$1930+$F$1931)))+
(($F$1926)*(($F$1929)/($F$1927+$F$1928+$F$1929+$F$1930+$F$1931)))+
(($F$1926)*(($F$1930)/($F$1927+$F$1928+$F$1929+$F$1930+$F$1931)))+
(($F$1926)*(($F$1931)/($F$1927+$F$1928+$F$1929+$F$1930+$F$1931)))+
($F$1925))))+
(($F$1924)*((($F$1926)*(($F$1927)/($F$1927+$F$1928+$F$1929+$F$1930+$F$1931)))
/((($F$1926)*(($F$1927)/($F$1927+$F$1928+$F$1929+$F$1930+$F$1931)))+
(($F$1926)*(($F$1928)/($F$1927+$F$1928+$F$1929+$F$1930+$F$1931)))+
(($F$1926)*(($F$1929)/($F$1927+$F$1928+$F$1929+$F$1930+$F$1931)))+
(($F$1926)*(($F$1930)/($F$1927+$F$1928+$F$1929+$F$1930+$F$1931)))+
(($F$1926)*(($F$1931)/($F$1927+$F$1928+$F$1929+$F$1930+$F$1931)))+
($F$1925))))+
(($F$1924)*((($F$1926)*(($F$1928)/($F$1927+$F$1928+$F$1929+$F$1930+$F$1931)))
/((($F$1926)*(($F$1927)/($F$1927+$F$1928+$F$1929+$F$1930+$F$1931)))+
(($F$1926)*(($F$1928)/($F$1927+$F$1928+$F$1929+$F$1930+$F$1931)))+
(($F$1926)*(($F$1929)/($F$1927+$F$1928+$F$1929+$F$1930+$F$1931)))+
(($F$1926)*(($F$1930)/($F$1927+$F$1928+$F$1929+$F$1930+$F$1931)))+
(($F$1926)*(($F$1931)/($F$1927+$F$1928+$F$1929+$F$1930+$F$1931)))+
($F$1925))))+
(($F$1924)*((($F$1926)*(($F$1929)/($F$1927+$F$1928+$F$1929+$F$1930+$F$1931)))
/((($F$1926)*(($F$1927)/($F$1927+$F$1928+$F$1929+$F$1930+$F$1931)))+
(($F$1926)*(($F$1928)/($F$1927+$F$1928+$F$1929+$F$1930+$F$1931)))+
(($F$1926)*(($F$1929)/($F$1927+$F$1928+$F$1929+$F$1930+$F$1931)))+
(($F$1926)*(($F$1930)/($F$1927+$F$1928+$F$1929+$F$1930+$F$1931)))+
(($F$1926)*(($F$1931)/($F$1927+$F$1928+$F$1929+$F$1930+$F$1931)))+
($F$1925))))+
(($F$1924)*((($F$1926)*(($F$1930)/($F$1927+$F$1928+$F$1929+$F$1930+$F$1931)))
/((($F$1926)*(($F$1927)/($F$1927+$F$1928+$F$1929+$F$1930+$F$1931)))+
(($F$1926)*(($F$1928)/($F$1927+$F$1928+$F$1929+$F$1930+$F$1931)))+
(($F$1926)*(($F$1929)/($F$1927+$F$1928+$F$1929+$F$1930+$F$1931)))+
(($F$1926)*(($F$1930)/($F$1927+$F$1928+$F$1929+$F$1930+$F$1931)))+
(($F$1926)*(($F$1931)/($F$1927+$F$1928+$F$1929+$F$1930+$F$1931)))+
($F$1925))))+
(($F$1924)*((($F$1926)*(($F$1931)/($F$1927+$F$1928+$F$1929+$F$1930+$F$1931)))
/((($F$1926)*(($F$1927)/($F$1927+$F$1928+$F$1929+$F$1930+$F$1931)))+
(($F$1926)*(($F$1928)/($F$1927+$F$1928+$F$1929+$F$1930+$F$1931)))+
(($F$1926)*(($F$1929)/($F$1927+$F$1928+$F$1929+$F$1930+$F$1931)))+
(($F$1926)*(($F$1930)/($F$1927+$F$1928+$F$1929+$F$1930+$F$1931)))+
(($F$1926)*(($F$1931)/($F$1927+$F$1928+$F$1929+$F$1930+$F$1931)))+
($F$1925))))))),2)</f>
        <v>0.09</v>
      </c>
      <c r="I1930" s="18" t="s">
        <v>73</v>
      </c>
      <c r="J1930" s="337"/>
      <c r="K1930" s="680">
        <f>(A1890*H1930)</f>
        <v>1.71</v>
      </c>
      <c r="L1930" s="535"/>
      <c r="M1930" s="552" t="str">
        <f t="shared" si="267"/>
        <v/>
      </c>
      <c r="N1930" s="552"/>
      <c r="O1930" s="552" t="str">
        <f t="shared" si="268"/>
        <v/>
      </c>
      <c r="P1930" s="39"/>
    </row>
    <row r="1931" spans="1:16" x14ac:dyDescent="0.35">
      <c r="A1931" s="593" t="str">
        <f t="shared" si="271"/>
        <v/>
      </c>
      <c r="B1931" s="330"/>
      <c r="C1931" s="330"/>
      <c r="D1931" s="326" t="s">
        <v>51</v>
      </c>
      <c r="E1931" s="665" t="s">
        <v>98</v>
      </c>
      <c r="F1931" s="22">
        <v>50</v>
      </c>
      <c r="G1931" s="22" t="s">
        <v>73</v>
      </c>
      <c r="H1931" s="328">
        <f>ROUND((($F$1911)*(
(($F$1924)*((($F$1926)*(($F$1931)/($F$1927+$F$1928+$F$1929+$F$1930+$F$1931)))
/((($F$1926)*(($F$1927)/($F$1927+$F$1928+$F$1929+$F$1930+$F$1931)))+
(($F$1926)*(($F$1928)/($F$1927+$F$1928+$F$1929+$F$1930+$F$1931)))+
(($F$1926)*(($F$1929)/($F$1927+$F$1928+$F$1929+$F$1930+$F$1931)))+
(($F$1926)*(($F$1930)/($F$1927+$F$1928+$F$1929+$F$1930+$F$1931)))+
(($F$1926)*(($F$1931)/($F$1927+$F$1928+$F$1929+$F$1930+$F$1931)))+
($F$1925))))
/(($F$1912)+($F$1913)+($F$1914)+($F$1915)+($F$1916)+($F$1917)+
(($F$1918)*(($F$1919)/($F$1919+$F$1920+$F$1921+$F$1922+$F$1923)))+
(($F$1918)*(($F$1920)/($F$1919+$F$1920+$F$1921+$F$1922+$F$1923)))+
(($F$1918)*(($F$1921)/($F$1919+$F$1920+$F$1921+$F$1922+$F$1923)))+
(($F$1918)*(($F$1922)/($F$1919+$F$1920+$F$1921+$F$1922+$F$1923)))+
(($F$1918)*(($F$1923)/($F$1919+$F$1920+$F$1921+$F$1922+$F$1923)))+
(($F$1924)*(($F$1925)/((($F$1926)*(($F$1927)/($F$1927+$F$1928+$F$1929+$F$1930+$F$1931)))+
(($F$1926)*(($F$1928)/($F$1927+$F$1928+$F$1929+$F$1930+$F$1931)))+
(($F$1926)*(($F$1929)/($F$1927+$F$1928+$F$1929+$F$1930+$F$1931)))+
(($F$1926)*(($F$1930)/($F$1927+$F$1928+$F$1929+$F$1930+$F$1931)))+
(($F$1926)*(($F$1931)/($F$1927+$F$1928+$F$1929+$F$1930+$F$1931)))+
($F$1925))))+
(($F$1924)*((($F$1926)*(($F$1927)/($F$1927+$F$1928+$F$1929+$F$1930+$F$1931)))
/((($F$1926)*(($F$1927)/($F$1927+$F$1928+$F$1929+$F$1930+$F$1931)))+
(($F$1926)*(($F$1928)/($F$1927+$F$1928+$F$1929+$F$1930+$F$1931)))+
(($F$1926)*(($F$1929)/($F$1927+$F$1928+$F$1929+$F$1930+$F$1931)))+
(($F$1926)*(($F$1930)/($F$1927+$F$1928+$F$1929+$F$1930+$F$1931)))+
(($F$1926)*(($F$1931)/($F$1927+$F$1928+$F$1929+$F$1930+$F$1931)))+
($F$1925))))+
(($F$1924)*((($F$1926)*(($F$1928)/($F$1927+$F$1928+$F$1929+$F$1930+$F$1931)))
/((($F$1926)*(($F$1927)/($F$1927+$F$1928+$F$1929+$F$1930+$F$1931)))+
(($F$1926)*(($F$1928)/($F$1927+$F$1928+$F$1929+$F$1930+$F$1931)))+
(($F$1926)*(($F$1929)/($F$1927+$F$1928+$F$1929+$F$1930+$F$1931)))+
(($F$1926)*(($F$1930)/($F$1927+$F$1928+$F$1929+$F$1930+$F$1931)))+
(($F$1926)*(($F$1931)/($F$1927+$F$1928+$F$1929+$F$1930+$F$1931)))+
($F$1925))))+
(($F$1924)*((($F$1926)*(($F$1929)/($F$1927+$F$1928+$F$1929+$F$1930+$F$1931)))
/((($F$1926)*(($F$1927)/($F$1927+$F$1928+$F$1929+$F$1930+$F$1931)))+
(($F$1926)*(($F$1928)/($F$1927+$F$1928+$F$1929+$F$1930+$F$1931)))+
(($F$1926)*(($F$1929)/($F$1927+$F$1928+$F$1929+$F$1930+$F$1931)))+
(($F$1926)*(($F$1930)/($F$1927+$F$1928+$F$1929+$F$1930+$F$1931)))+
(($F$1926)*(($F$1931)/($F$1927+$F$1928+$F$1929+$F$1930+$F$1931)))+
($F$1925))))+
(($F$1924)*((($F$1926)*(($F$1930)/($F$1927+$F$1928+$F$1929+$F$1930+$F$1931)))
/((($F$1926)*(($F$1927)/($F$1927+$F$1928+$F$1929+$F$1930+$F$1931)))+
(($F$1926)*(($F$1928)/($F$1927+$F$1928+$F$1929+$F$1930+$F$1931)))+
(($F$1926)*(($F$1929)/($F$1927+$F$1928+$F$1929+$F$1930+$F$1931)))+
(($F$1926)*(($F$1930)/($F$1927+$F$1928+$F$1929+$F$1930+$F$1931)))+
(($F$1926)*(($F$1931)/($F$1927+$F$1928+$F$1929+$F$1930+$F$1931)))+
($F$1925))))+
(($F$1924)*((($F$1926)*(($F$1931)/($F$1927+$F$1928+$F$1929+$F$1930+$F$1931)))
/((($F$1926)*(($F$1927)/($F$1927+$F$1928+$F$1929+$F$1930+$F$1931)))+
(($F$1926)*(($F$1928)/($F$1927+$F$1928+$F$1929+$F$1930+$F$1931)))+
(($F$1926)*(($F$1929)/($F$1927+$F$1928+$F$1929+$F$1930+$F$1931)))+
(($F$1926)*(($F$1930)/($F$1927+$F$1928+$F$1929+$F$1930+$F$1931)))+
(($F$1926)*(($F$1931)/($F$1927+$F$1928+$F$1929+$F$1930+$F$1931)))+
($F$1925))))))),2)</f>
        <v>0.09</v>
      </c>
      <c r="I1931" s="22" t="s">
        <v>73</v>
      </c>
      <c r="J1931" s="330"/>
      <c r="K1931" s="681">
        <f>(A1890*H1931)</f>
        <v>1.71</v>
      </c>
      <c r="L1931" s="535"/>
      <c r="M1931" s="552" t="str">
        <f t="shared" si="267"/>
        <v/>
      </c>
      <c r="N1931" s="552"/>
      <c r="O1931" s="552" t="str">
        <f t="shared" si="268"/>
        <v/>
      </c>
      <c r="P1931" s="39"/>
    </row>
    <row r="1932" spans="1:16" x14ac:dyDescent="0.35">
      <c r="A1932" s="593" t="str">
        <f t="shared" si="271"/>
        <v/>
      </c>
      <c r="B1932" s="337"/>
      <c r="C1932" s="337"/>
      <c r="D1932" s="355"/>
      <c r="E1932" s="355" t="s">
        <v>85</v>
      </c>
      <c r="F1932" s="378">
        <v>0.2</v>
      </c>
      <c r="G1932" s="378" t="s">
        <v>73</v>
      </c>
      <c r="H1932" s="356"/>
      <c r="I1932" s="378"/>
      <c r="J1932" s="515"/>
      <c r="K1932" s="684"/>
      <c r="L1932" s="535"/>
      <c r="M1932" s="552" t="str">
        <f t="shared" si="267"/>
        <v/>
      </c>
      <c r="N1932" s="552"/>
      <c r="O1932" s="552" t="str">
        <f t="shared" si="268"/>
        <v/>
      </c>
      <c r="P1932" s="39"/>
    </row>
    <row r="1933" spans="1:16" x14ac:dyDescent="0.35">
      <c r="A1933" s="593" t="str">
        <f t="shared" si="271"/>
        <v/>
      </c>
      <c r="B1933" s="330"/>
      <c r="C1933" s="330"/>
      <c r="D1933" s="326" t="s">
        <v>52</v>
      </c>
      <c r="E1933" s="426" t="s">
        <v>106</v>
      </c>
      <c r="F1933" s="22">
        <v>5</v>
      </c>
      <c r="G1933" s="22" t="s">
        <v>73</v>
      </c>
      <c r="H1933" s="328">
        <f>ROUND(($F$1932)*(($F$1933)/((($F$1934)*(($F$1936)/($F$1935+$F$1936)))+(($F$1934)*(($F$1935)/($F$1935+$F$1936)))
+($F$1933))),2)</f>
        <v>0.04</v>
      </c>
      <c r="I1933" s="22" t="s">
        <v>73</v>
      </c>
      <c r="J1933" s="330"/>
      <c r="K1933" s="681">
        <f>(A1890*H1933)</f>
        <v>0.76</v>
      </c>
      <c r="L1933" s="535"/>
      <c r="M1933" s="552" t="str">
        <f t="shared" si="267"/>
        <v/>
      </c>
      <c r="N1933" s="552"/>
      <c r="O1933" s="552" t="str">
        <f t="shared" si="268"/>
        <v/>
      </c>
      <c r="P1933" s="39"/>
    </row>
    <row r="1934" spans="1:16" x14ac:dyDescent="0.35">
      <c r="A1934" s="593" t="str">
        <f t="shared" si="271"/>
        <v/>
      </c>
      <c r="B1934" s="337"/>
      <c r="C1934" s="337"/>
      <c r="D1934" s="355"/>
      <c r="E1934" s="416" t="s">
        <v>23</v>
      </c>
      <c r="F1934" s="378">
        <v>20</v>
      </c>
      <c r="G1934" s="378" t="s">
        <v>73</v>
      </c>
      <c r="H1934" s="356"/>
      <c r="I1934" s="378"/>
      <c r="J1934" s="515"/>
      <c r="K1934" s="684"/>
      <c r="L1934" s="535"/>
      <c r="M1934" s="552" t="str">
        <f t="shared" si="267"/>
        <v/>
      </c>
      <c r="N1934" s="552"/>
      <c r="O1934" s="552" t="str">
        <f t="shared" si="268"/>
        <v/>
      </c>
      <c r="P1934" s="39"/>
    </row>
    <row r="1935" spans="1:16" x14ac:dyDescent="0.35">
      <c r="A1935" s="593" t="str">
        <f t="shared" si="271"/>
        <v/>
      </c>
      <c r="B1935" s="330"/>
      <c r="C1935" s="330"/>
      <c r="D1935" s="326" t="s">
        <v>43</v>
      </c>
      <c r="E1935" s="366" t="s">
        <v>94</v>
      </c>
      <c r="F1935" s="22">
        <v>85</v>
      </c>
      <c r="G1935" s="22" t="s">
        <v>73</v>
      </c>
      <c r="H1935" s="328">
        <f>ROUND(($F$1932)*((($F$1934)*(($F$1935)/($F$1935+$F$1936)))
/((($F$1934)*(($F$1936)/($F$1935+$F$1936)))+(($F$1934)*(($F$1935)/($F$1935+$F$1936)))
+($F$1933))),2)</f>
        <v>0.14000000000000001</v>
      </c>
      <c r="I1935" s="22" t="s">
        <v>73</v>
      </c>
      <c r="J1935" s="330"/>
      <c r="K1935" s="681">
        <f>(A1890*H1935)</f>
        <v>2.66</v>
      </c>
      <c r="L1935" s="535"/>
      <c r="M1935" s="552" t="str">
        <f t="shared" si="267"/>
        <v/>
      </c>
      <c r="N1935" s="552"/>
      <c r="O1935" s="552" t="str">
        <f t="shared" si="268"/>
        <v/>
      </c>
      <c r="P1935" s="39"/>
    </row>
    <row r="1936" spans="1:16" x14ac:dyDescent="0.35">
      <c r="A1936" s="593" t="str">
        <f t="shared" si="271"/>
        <v/>
      </c>
      <c r="B1936" s="337"/>
      <c r="C1936" s="337"/>
      <c r="D1936" s="417" t="s">
        <v>42</v>
      </c>
      <c r="E1936" s="360" t="s">
        <v>95</v>
      </c>
      <c r="F1936" s="18">
        <v>15</v>
      </c>
      <c r="G1936" s="18" t="s">
        <v>73</v>
      </c>
      <c r="H1936" s="335">
        <f>ROUND(($F$1932)*((($F$1934)*(($F$1936)/($F$1935+$F$1936)))
/((($F$1934)*(($F$1936)/($F$1935+$F$1936)))+(($F$1934)*(($F$1935)/($F$1935+$F$1936)))
+($F$1933))),2)</f>
        <v>0.02</v>
      </c>
      <c r="I1936" s="18" t="s">
        <v>73</v>
      </c>
      <c r="J1936" s="337"/>
      <c r="K1936" s="680">
        <f>(A1890*H1936)</f>
        <v>0.38</v>
      </c>
      <c r="L1936" s="535"/>
      <c r="M1936" s="552" t="str">
        <f t="shared" si="267"/>
        <v/>
      </c>
      <c r="N1936" s="552"/>
      <c r="O1936" s="552" t="str">
        <f t="shared" si="268"/>
        <v/>
      </c>
      <c r="P1936" s="39"/>
    </row>
    <row r="1937" spans="1:16" x14ac:dyDescent="0.35">
      <c r="A1937" s="593" t="str">
        <f t="shared" si="271"/>
        <v/>
      </c>
      <c r="B1937" s="330"/>
      <c r="C1937" s="330"/>
      <c r="D1937" s="539"/>
      <c r="E1937" s="549" t="s">
        <v>991</v>
      </c>
      <c r="F1937" s="378">
        <v>20</v>
      </c>
      <c r="G1937" s="378" t="s">
        <v>73</v>
      </c>
      <c r="H1937" s="356"/>
      <c r="I1937" s="378"/>
      <c r="J1937" s="515"/>
      <c r="K1937" s="684"/>
      <c r="L1937" s="535"/>
      <c r="M1937" s="552" t="str">
        <f t="shared" si="267"/>
        <v/>
      </c>
      <c r="N1937" s="552"/>
      <c r="O1937" s="552" t="str">
        <f t="shared" si="268"/>
        <v/>
      </c>
      <c r="P1937" s="39"/>
    </row>
    <row r="1938" spans="1:16" x14ac:dyDescent="0.35">
      <c r="A1938" s="593" t="str">
        <f t="shared" si="271"/>
        <v/>
      </c>
      <c r="B1938" s="337"/>
      <c r="C1938" s="337"/>
      <c r="D1938" s="326" t="s">
        <v>377</v>
      </c>
      <c r="E1938" s="419" t="s">
        <v>975</v>
      </c>
      <c r="F1938" s="335">
        <v>1000</v>
      </c>
      <c r="G1938" s="18" t="s">
        <v>73</v>
      </c>
      <c r="H1938" s="335">
        <f>ROUND(($F$1937)*(($F$1938)/((($F$1940)*(($F$1943)/($F$1941+$F$1942+$F$1943)))+(($F$1940)*(($F$1942)/($F$1941+$F$1942+$F$1943)))+(($F$1940)*(($F$1941)/($F$1941+$F$1942+$F$1943)))+($F$1938)+($F$1939))),2)</f>
        <v>16.39</v>
      </c>
      <c r="I1938" s="18" t="s">
        <v>73</v>
      </c>
      <c r="J1938" s="337"/>
      <c r="K1938" s="680">
        <f>(A1890*H1938)</f>
        <v>311.41000000000003</v>
      </c>
      <c r="L1938" s="535"/>
      <c r="M1938" s="552" t="str">
        <f t="shared" si="267"/>
        <v/>
      </c>
      <c r="N1938" s="552"/>
      <c r="O1938" s="552" t="str">
        <f t="shared" si="268"/>
        <v/>
      </c>
      <c r="P1938" s="39"/>
    </row>
    <row r="1939" spans="1:16" x14ac:dyDescent="0.35">
      <c r="A1939" s="593" t="str">
        <f t="shared" si="271"/>
        <v/>
      </c>
      <c r="B1939" s="330"/>
      <c r="C1939" s="330"/>
      <c r="D1939" s="326" t="s">
        <v>43</v>
      </c>
      <c r="E1939" s="475" t="s">
        <v>105</v>
      </c>
      <c r="F1939" s="328">
        <v>20</v>
      </c>
      <c r="G1939" s="22" t="s">
        <v>73</v>
      </c>
      <c r="H1939" s="328">
        <f>ROUND(($F$1937)*(($F$1939)/((($F$1940)*(($F$1943)/($F$1941+$F$1942+$F$1943)))+(($F$1940)*(($F$1942)/($F$1941+$F$1942+$F$1943)))+(($F$1940)*(($F$1941)/($F$1941+$F$1942+$F$1943)))+($F$1938)+($F$1939))),2)</f>
        <v>0.33</v>
      </c>
      <c r="I1939" s="22" t="s">
        <v>73</v>
      </c>
      <c r="J1939" s="330"/>
      <c r="K1939" s="681">
        <f>(A1890*H1939)</f>
        <v>6.2700000000000005</v>
      </c>
      <c r="L1939" s="535"/>
      <c r="M1939" s="552" t="str">
        <f t="shared" si="267"/>
        <v/>
      </c>
      <c r="N1939" s="552"/>
      <c r="O1939" s="552" t="str">
        <f>IF(V1944&gt;0, V1944, "")</f>
        <v/>
      </c>
      <c r="P1939" s="39"/>
    </row>
    <row r="1940" spans="1:16" x14ac:dyDescent="0.35">
      <c r="A1940" s="593" t="str">
        <f t="shared" si="271"/>
        <v/>
      </c>
      <c r="B1940" s="337"/>
      <c r="C1940" s="337"/>
      <c r="D1940" s="355"/>
      <c r="E1940" s="556" t="s">
        <v>889</v>
      </c>
      <c r="F1940" s="356">
        <v>200</v>
      </c>
      <c r="G1940" s="378" t="s">
        <v>73</v>
      </c>
      <c r="H1940" s="356"/>
      <c r="I1940" s="378"/>
      <c r="J1940" s="515"/>
      <c r="K1940" s="684"/>
      <c r="L1940" s="535"/>
      <c r="M1940" s="552" t="str">
        <f>IF(Q1944&gt;0, Q1944, "")</f>
        <v/>
      </c>
      <c r="N1940" s="552"/>
      <c r="O1940" s="552" t="str">
        <f>IF(V1945&gt;0, V1945, "")</f>
        <v/>
      </c>
      <c r="P1940" s="39"/>
    </row>
    <row r="1941" spans="1:16" x14ac:dyDescent="0.35">
      <c r="A1941" s="593" t="str">
        <f t="shared" si="271"/>
        <v/>
      </c>
      <c r="B1941" s="330"/>
      <c r="C1941" s="330"/>
      <c r="D1941" s="342"/>
      <c r="E1941" s="660" t="s">
        <v>81</v>
      </c>
      <c r="F1941" s="343">
        <v>200</v>
      </c>
      <c r="G1941" s="404" t="s">
        <v>73</v>
      </c>
      <c r="H1941" s="343">
        <f>ROUND(($F$1937)*((($F$1940)*(($F$1941)/($F$1941+$F$1942+$F$1943)))
/((($F$1940)*(($F$1943)/($F$1941+$F$1942+$F$1943)))+(($F$1940)*(($F$1942)/($F$1941+$F$1942+$F$1943)))+(($F$1940)*(($F$1941)/($F$1941+$F$1942+$F$1943)))+($F$1938)+($F$1939))),2)</f>
        <v>1.37</v>
      </c>
      <c r="I1941" s="404"/>
      <c r="J1941" s="345"/>
      <c r="K1941" s="685"/>
      <c r="L1941" s="535"/>
      <c r="M1941" s="552" t="str">
        <f>IF(Q1945&gt;0, Q1945, "")</f>
        <v/>
      </c>
      <c r="N1941" s="552"/>
      <c r="O1941" s="552" t="str">
        <f>IF(V1946&gt;0, V1946, "")</f>
        <v/>
      </c>
      <c r="P1941" s="39"/>
    </row>
    <row r="1942" spans="1:16" x14ac:dyDescent="0.35">
      <c r="A1942" s="593" t="str">
        <f t="shared" si="271"/>
        <v/>
      </c>
      <c r="B1942" s="337"/>
      <c r="C1942" s="337"/>
      <c r="D1942" s="326" t="s">
        <v>333</v>
      </c>
      <c r="E1942" s="659" t="s">
        <v>334</v>
      </c>
      <c r="F1942" s="335">
        <v>250</v>
      </c>
      <c r="G1942" s="18" t="s">
        <v>73</v>
      </c>
      <c r="H1942" s="335">
        <f>ROUND(($F$1937)*((($F$1940)*(($F$1942)/($F$1941+$F$1942+$F$1943)))
/((($F$1940)*(($F$1943)/($F$1941+$F$1942+$F$1943)))+(($F$1940)*(($F$1942)/($F$1941+$F$1942+$F$1943)))+(($F$1940)*(($F$1941)/($F$1941+$F$1942+$F$1943)))+($F$1938)+($F$1939))),2)</f>
        <v>1.71</v>
      </c>
      <c r="I1942" s="18" t="s">
        <v>73</v>
      </c>
      <c r="J1942" s="337"/>
      <c r="K1942" s="680">
        <f>(A1890*H1942)</f>
        <v>32.49</v>
      </c>
      <c r="L1942" s="535"/>
      <c r="M1942" s="552" t="str">
        <f>IF(Q1946&gt;0, Q1946, "")</f>
        <v/>
      </c>
      <c r="N1942" s="552"/>
      <c r="O1942" s="552" t="str">
        <f>IF(V1947&gt;0, V1947, "")</f>
        <v/>
      </c>
      <c r="P1942" s="39"/>
    </row>
    <row r="1943" spans="1:16" ht="15" thickBot="1" x14ac:dyDescent="0.4">
      <c r="A1943" s="593" t="str">
        <f t="shared" si="271"/>
        <v/>
      </c>
      <c r="B1943" s="330"/>
      <c r="C1943" s="330"/>
      <c r="D1943" s="326" t="s">
        <v>529</v>
      </c>
      <c r="E1943" s="661" t="s">
        <v>530</v>
      </c>
      <c r="F1943" s="328">
        <v>30</v>
      </c>
      <c r="G1943" s="22" t="s">
        <v>73</v>
      </c>
      <c r="H1943" s="328">
        <f>ROUND(($F$1937)*((($F$1940)*(($F$1943)/($F$1941+$F$1942+$F$1943)))
/((($F$1940)*(($F$1943)/($F$1941+$F$1942+$F$1943)))+(($F$1940)*(($F$1942)/($F$1941+$F$1942+$F$1943)))+(($F$1940)*(($F$1941)/($F$1941+$F$1942+$F$1943)))+($F$1938)+($F$1939))),2)</f>
        <v>0.2</v>
      </c>
      <c r="I1943" s="22" t="s">
        <v>73</v>
      </c>
      <c r="J1943" s="330"/>
      <c r="K1943" s="681">
        <f>(A1890*H1943)</f>
        <v>3.8000000000000003</v>
      </c>
      <c r="L1943" s="507"/>
      <c r="M1943" s="667" t="str">
        <f>IF(Q1947&gt;0, Q1947, "")</f>
        <v/>
      </c>
      <c r="N1943" s="667"/>
      <c r="O1943" s="667" t="str">
        <f>IF(V1948&gt;0, V1948, "")</f>
        <v/>
      </c>
      <c r="P1943" s="39"/>
    </row>
    <row r="1944" spans="1:16" ht="15" thickTop="1" x14ac:dyDescent="0.35">
      <c r="A1944" s="320"/>
      <c r="B1944" s="321"/>
      <c r="C1944" s="321"/>
      <c r="D1944" s="694"/>
      <c r="E1944" s="321"/>
      <c r="F1944" s="321"/>
      <c r="G1944" s="321"/>
      <c r="H1944" s="321"/>
      <c r="I1944" s="321"/>
      <c r="J1944" s="321" t="s">
        <v>1960</v>
      </c>
      <c r="K1944" s="322"/>
      <c r="L1944" s="20"/>
      <c r="M1944" s="20"/>
      <c r="N1944" s="20"/>
      <c r="O1944" s="20"/>
      <c r="P1944" s="39"/>
    </row>
    <row r="1945" spans="1:16" x14ac:dyDescent="0.35">
      <c r="A1945" s="323" t="str">
        <f>IFERROR(INDEX($Q$17:$Q$201,MATCH(B1945,$R$17:$R$201, 0)), "")</f>
        <v/>
      </c>
      <c r="B1945" s="324"/>
      <c r="C1945" s="325" t="s">
        <v>1191</v>
      </c>
      <c r="D1945" s="326" t="s">
        <v>47</v>
      </c>
      <c r="E1945" s="327" t="s">
        <v>1192</v>
      </c>
      <c r="F1945" s="328">
        <v>10</v>
      </c>
      <c r="G1945" s="328" t="s">
        <v>73</v>
      </c>
      <c r="H1945" s="329">
        <v>10</v>
      </c>
      <c r="I1945" s="328" t="s">
        <v>73</v>
      </c>
      <c r="J1945" s="330"/>
      <c r="K1945" s="331"/>
      <c r="L1945" s="19"/>
      <c r="M1945" s="19"/>
      <c r="N1945" s="19"/>
      <c r="O1945" s="19"/>
      <c r="P1945" s="39"/>
    </row>
    <row r="1946" spans="1:16" x14ac:dyDescent="0.35">
      <c r="A1946" s="332"/>
      <c r="B1946" s="333"/>
      <c r="C1946" s="333"/>
      <c r="D1946" s="326" t="s">
        <v>50</v>
      </c>
      <c r="E1946" s="334" t="s">
        <v>394</v>
      </c>
      <c r="F1946" s="335">
        <v>40</v>
      </c>
      <c r="G1946" s="335" t="s">
        <v>73</v>
      </c>
      <c r="H1946" s="336">
        <v>40</v>
      </c>
      <c r="I1946" s="335" t="s">
        <v>73</v>
      </c>
      <c r="J1946" s="337"/>
      <c r="K1946" s="338"/>
      <c r="L1946" s="19"/>
      <c r="M1946" s="19"/>
      <c r="N1946" s="19"/>
      <c r="O1946" s="19"/>
      <c r="P1946" s="39"/>
    </row>
    <row r="1947" spans="1:16" x14ac:dyDescent="0.35">
      <c r="A1947" s="339"/>
      <c r="B1947" s="340"/>
      <c r="C1947" s="340"/>
      <c r="D1947" s="326" t="s">
        <v>371</v>
      </c>
      <c r="E1947" s="327" t="s">
        <v>372</v>
      </c>
      <c r="F1947" s="328">
        <v>40</v>
      </c>
      <c r="G1947" s="328" t="s">
        <v>73</v>
      </c>
      <c r="H1947" s="329">
        <v>40</v>
      </c>
      <c r="I1947" s="328" t="s">
        <v>73</v>
      </c>
      <c r="J1947" s="330"/>
      <c r="K1947" s="331"/>
      <c r="L1947" s="19"/>
      <c r="M1947" s="19"/>
      <c r="N1947" s="19"/>
      <c r="O1947" s="19"/>
      <c r="P1947" s="39"/>
    </row>
    <row r="1948" spans="1:16" x14ac:dyDescent="0.35">
      <c r="A1948" s="332"/>
      <c r="B1948" s="333"/>
      <c r="C1948" s="333"/>
      <c r="D1948" s="326" t="s">
        <v>260</v>
      </c>
      <c r="E1948" s="334" t="s">
        <v>1193</v>
      </c>
      <c r="F1948" s="335">
        <v>120</v>
      </c>
      <c r="G1948" s="335" t="s">
        <v>73</v>
      </c>
      <c r="H1948" s="336">
        <v>120</v>
      </c>
      <c r="I1948" s="335" t="s">
        <v>73</v>
      </c>
      <c r="J1948" s="337"/>
      <c r="K1948" s="338"/>
      <c r="L1948" s="19"/>
      <c r="M1948" s="19"/>
      <c r="N1948" s="19"/>
      <c r="O1948" s="19"/>
      <c r="P1948" s="39"/>
    </row>
    <row r="1949" spans="1:16" ht="15" thickBot="1" x14ac:dyDescent="0.4">
      <c r="A1949" s="339"/>
      <c r="B1949" s="340"/>
      <c r="C1949" s="340"/>
      <c r="D1949" s="341"/>
      <c r="E1949" s="342" t="s">
        <v>950</v>
      </c>
      <c r="F1949" s="343">
        <v>40</v>
      </c>
      <c r="G1949" s="343" t="s">
        <v>73</v>
      </c>
      <c r="H1949" s="344"/>
      <c r="I1949" s="343"/>
      <c r="J1949" s="345"/>
      <c r="K1949" s="346"/>
      <c r="L1949" s="19"/>
      <c r="M1949" s="19"/>
      <c r="N1949" s="19"/>
      <c r="O1949" s="19"/>
      <c r="P1949" s="19"/>
    </row>
    <row r="1950" spans="1:16" ht="15" thickTop="1" x14ac:dyDescent="0.35">
      <c r="A1950" s="332"/>
      <c r="B1950" s="333"/>
      <c r="C1950" s="333"/>
      <c r="D1950" s="347" t="s">
        <v>141</v>
      </c>
      <c r="E1950" s="334" t="s">
        <v>1194</v>
      </c>
      <c r="F1950" s="335">
        <v>40</v>
      </c>
      <c r="G1950" s="335" t="s">
        <v>73</v>
      </c>
      <c r="H1950" s="336">
        <v>40</v>
      </c>
      <c r="I1950" s="335" t="s">
        <v>73</v>
      </c>
      <c r="J1950" s="337"/>
      <c r="K1950" s="338"/>
      <c r="L1950" s="19"/>
      <c r="M1950" s="19"/>
      <c r="N1950" s="19"/>
      <c r="O1950" s="19"/>
      <c r="P1950" s="19"/>
    </row>
    <row r="1951" spans="1:16" x14ac:dyDescent="0.35">
      <c r="A1951" s="339"/>
      <c r="B1951" s="340"/>
      <c r="C1951" s="340"/>
      <c r="D1951" s="326" t="s">
        <v>46</v>
      </c>
      <c r="E1951" s="327" t="s">
        <v>1195</v>
      </c>
      <c r="F1951" s="328">
        <v>20</v>
      </c>
      <c r="G1951" s="328" t="s">
        <v>73</v>
      </c>
      <c r="H1951" s="329">
        <v>20</v>
      </c>
      <c r="I1951" s="328" t="s">
        <v>73</v>
      </c>
      <c r="J1951" s="330"/>
      <c r="K1951" s="331"/>
      <c r="L1951" s="19"/>
      <c r="M1951" s="19"/>
      <c r="N1951" s="19"/>
      <c r="O1951" s="19"/>
      <c r="P1951" s="19"/>
    </row>
    <row r="1952" spans="1:16" ht="15" thickBot="1" x14ac:dyDescent="0.4">
      <c r="A1952" s="332"/>
      <c r="B1952" s="333"/>
      <c r="C1952" s="333"/>
      <c r="D1952" s="326" t="s">
        <v>379</v>
      </c>
      <c r="E1952" s="334" t="s">
        <v>380</v>
      </c>
      <c r="F1952" s="335">
        <v>10</v>
      </c>
      <c r="G1952" s="335" t="s">
        <v>73</v>
      </c>
      <c r="H1952" s="336">
        <v>10</v>
      </c>
      <c r="I1952" s="335" t="s">
        <v>73</v>
      </c>
      <c r="J1952" s="337"/>
      <c r="K1952" s="338"/>
      <c r="L1952" s="19"/>
      <c r="M1952" s="19"/>
      <c r="N1952" s="19"/>
      <c r="O1952" s="19"/>
      <c r="P1952" s="19"/>
    </row>
    <row r="1953" spans="1:16" ht="15.5" thickTop="1" thickBot="1" x14ac:dyDescent="0.4">
      <c r="A1953" s="348"/>
      <c r="B1953" s="349"/>
      <c r="C1953" s="349"/>
      <c r="D1953" s="350"/>
      <c r="E1953" s="349"/>
      <c r="F1953" s="349"/>
      <c r="G1953" s="349"/>
      <c r="H1953" s="351"/>
      <c r="I1953" s="349"/>
      <c r="J1953" s="349"/>
      <c r="K1953" s="352"/>
      <c r="L1953" s="19"/>
      <c r="M1953" s="19"/>
      <c r="N1953" s="19"/>
      <c r="O1953" s="19"/>
      <c r="P1953" s="19"/>
    </row>
    <row r="1954" spans="1:16" ht="15" thickTop="1" x14ac:dyDescent="0.35">
      <c r="A1954" s="353" t="str">
        <f>IFERROR(INDEX($Q$17:$Q$201,MATCH(B1954,$R$17:$R$201, 0)), "")</f>
        <v/>
      </c>
      <c r="B1954" s="324"/>
      <c r="C1954" s="325" t="s">
        <v>1196</v>
      </c>
      <c r="D1954" s="347" t="s">
        <v>491</v>
      </c>
      <c r="E1954" s="334" t="s">
        <v>1197</v>
      </c>
      <c r="F1954" s="335">
        <v>1</v>
      </c>
      <c r="G1954" s="335" t="s">
        <v>1072</v>
      </c>
      <c r="H1954" s="336">
        <v>1</v>
      </c>
      <c r="I1954" s="335" t="s">
        <v>1072</v>
      </c>
      <c r="J1954" s="333"/>
      <c r="K1954" s="354"/>
      <c r="L1954" s="19"/>
      <c r="M1954" s="19"/>
      <c r="N1954" s="19"/>
      <c r="O1954" s="19"/>
      <c r="P1954" s="19"/>
    </row>
    <row r="1955" spans="1:16" x14ac:dyDescent="0.35">
      <c r="A1955" s="339"/>
      <c r="B1955" s="340"/>
      <c r="C1955" s="340"/>
      <c r="D1955" s="355"/>
      <c r="E1955" s="355" t="s">
        <v>853</v>
      </c>
      <c r="F1955" s="356">
        <v>50</v>
      </c>
      <c r="G1955" s="356" t="s">
        <v>73</v>
      </c>
      <c r="H1955" s="357"/>
      <c r="I1955" s="358"/>
      <c r="J1955" s="358"/>
      <c r="K1955" s="359"/>
      <c r="L1955" s="19"/>
      <c r="M1955" s="19"/>
      <c r="N1955" s="19"/>
      <c r="O1955" s="19"/>
      <c r="P1955" s="19"/>
    </row>
    <row r="1956" spans="1:16" x14ac:dyDescent="0.35">
      <c r="A1956" s="332"/>
      <c r="B1956" s="333"/>
      <c r="C1956" s="333"/>
      <c r="D1956" s="326" t="s">
        <v>1068</v>
      </c>
      <c r="E1956" s="360" t="s">
        <v>1069</v>
      </c>
      <c r="F1956" s="335">
        <v>60</v>
      </c>
      <c r="G1956" s="335" t="s">
        <v>73</v>
      </c>
      <c r="H1956" s="361"/>
      <c r="I1956" s="335" t="s">
        <v>73</v>
      </c>
      <c r="J1956" s="333"/>
      <c r="K1956" s="354"/>
      <c r="L1956" s="19"/>
      <c r="M1956" s="19"/>
      <c r="N1956" s="19"/>
      <c r="O1956" s="19"/>
      <c r="P1956" s="19"/>
    </row>
    <row r="1957" spans="1:16" x14ac:dyDescent="0.35">
      <c r="A1957" s="339"/>
      <c r="B1957" s="340"/>
      <c r="C1957" s="340"/>
      <c r="D1957" s="342"/>
      <c r="E1957" s="362" t="s">
        <v>854</v>
      </c>
      <c r="F1957" s="343">
        <v>90</v>
      </c>
      <c r="G1957" s="343" t="s">
        <v>73</v>
      </c>
      <c r="H1957" s="363"/>
      <c r="I1957" s="343"/>
      <c r="J1957" s="364"/>
      <c r="K1957" s="365"/>
      <c r="L1957" s="19"/>
      <c r="M1957" s="19"/>
      <c r="N1957" s="19"/>
      <c r="O1957" s="19"/>
      <c r="P1957" s="19"/>
    </row>
    <row r="1958" spans="1:16" x14ac:dyDescent="0.35">
      <c r="A1958" s="332"/>
      <c r="B1958" s="333"/>
      <c r="C1958" s="333"/>
      <c r="D1958" s="326" t="s">
        <v>45</v>
      </c>
      <c r="E1958" s="360" t="s">
        <v>101</v>
      </c>
      <c r="F1958" s="335">
        <v>1.5</v>
      </c>
      <c r="G1958" s="335" t="s">
        <v>73</v>
      </c>
      <c r="H1958" s="361"/>
      <c r="I1958" s="335" t="s">
        <v>73</v>
      </c>
      <c r="J1958" s="333"/>
      <c r="K1958" s="354"/>
      <c r="L1958" s="19"/>
      <c r="M1958" s="19"/>
      <c r="N1958" s="19"/>
      <c r="O1958" s="19"/>
      <c r="P1958" s="19"/>
    </row>
    <row r="1959" spans="1:16" ht="15" thickBot="1" x14ac:dyDescent="0.4">
      <c r="A1959" s="339"/>
      <c r="B1959" s="340"/>
      <c r="C1959" s="340"/>
      <c r="D1959" s="326" t="s">
        <v>521</v>
      </c>
      <c r="E1959" s="366" t="s">
        <v>855</v>
      </c>
      <c r="F1959" s="328">
        <v>55.75</v>
      </c>
      <c r="G1959" s="328" t="s">
        <v>73</v>
      </c>
      <c r="H1959" s="367"/>
      <c r="I1959" s="328" t="s">
        <v>73</v>
      </c>
      <c r="J1959" s="340"/>
      <c r="K1959" s="368"/>
      <c r="L1959" s="19"/>
      <c r="M1959" s="19"/>
      <c r="N1959" s="19"/>
      <c r="O1959" s="19"/>
      <c r="P1959" s="19"/>
    </row>
    <row r="1960" spans="1:16" ht="15" thickTop="1" x14ac:dyDescent="0.35">
      <c r="A1960" s="369"/>
      <c r="B1960" s="370"/>
      <c r="C1960" s="370"/>
      <c r="D1960" s="371"/>
      <c r="E1960" s="372"/>
      <c r="F1960" s="370"/>
      <c r="G1960" s="370"/>
      <c r="H1960" s="373"/>
      <c r="I1960" s="349"/>
      <c r="J1960" s="349"/>
      <c r="K1960" s="352"/>
      <c r="L1960" s="19"/>
      <c r="M1960" s="19"/>
      <c r="N1960" s="19"/>
      <c r="O1960" s="19"/>
      <c r="P1960" s="19"/>
    </row>
    <row r="1961" spans="1:16" x14ac:dyDescent="0.35">
      <c r="A1961" s="353"/>
      <c r="B1961" s="324"/>
      <c r="C1961" s="325" t="s">
        <v>1198</v>
      </c>
      <c r="D1961" s="374" t="s">
        <v>145</v>
      </c>
      <c r="E1961" s="327" t="s">
        <v>1199</v>
      </c>
      <c r="F1961" s="22">
        <v>100</v>
      </c>
      <c r="G1961" s="22" t="s">
        <v>73</v>
      </c>
      <c r="H1961" s="375">
        <v>100</v>
      </c>
      <c r="I1961" s="22" t="s">
        <v>73</v>
      </c>
      <c r="J1961" s="340"/>
      <c r="K1961" s="368"/>
      <c r="L1961" s="19"/>
      <c r="M1961" s="19"/>
      <c r="N1961" s="19"/>
      <c r="O1961" s="19"/>
      <c r="P1961" s="19"/>
    </row>
    <row r="1962" spans="1:16" x14ac:dyDescent="0.35">
      <c r="A1962" s="332"/>
      <c r="B1962" s="333"/>
      <c r="C1962" s="333"/>
      <c r="D1962" s="326" t="s">
        <v>40</v>
      </c>
      <c r="E1962" s="334" t="s">
        <v>1200</v>
      </c>
      <c r="F1962" s="18">
        <v>8</v>
      </c>
      <c r="G1962" s="18" t="s">
        <v>73</v>
      </c>
      <c r="H1962" s="376">
        <v>8</v>
      </c>
      <c r="I1962" s="18" t="s">
        <v>73</v>
      </c>
      <c r="J1962" s="333"/>
      <c r="K1962" s="354"/>
      <c r="L1962" s="19"/>
      <c r="M1962" s="19"/>
      <c r="N1962" s="19"/>
      <c r="O1962" s="19"/>
      <c r="P1962" s="19"/>
    </row>
    <row r="1963" spans="1:16" x14ac:dyDescent="0.35">
      <c r="A1963" s="339"/>
      <c r="B1963" s="340"/>
      <c r="C1963" s="340"/>
      <c r="D1963" s="326" t="s">
        <v>505</v>
      </c>
      <c r="E1963" s="327" t="s">
        <v>1169</v>
      </c>
      <c r="F1963" s="22">
        <v>10</v>
      </c>
      <c r="G1963" s="22" t="s">
        <v>73</v>
      </c>
      <c r="H1963" s="375">
        <v>10</v>
      </c>
      <c r="I1963" s="22" t="s">
        <v>73</v>
      </c>
      <c r="J1963" s="340"/>
      <c r="K1963" s="368"/>
      <c r="L1963" s="19"/>
      <c r="M1963" s="19"/>
      <c r="N1963" s="19"/>
      <c r="O1963" s="19"/>
      <c r="P1963" s="19"/>
    </row>
    <row r="1964" spans="1:16" x14ac:dyDescent="0.35">
      <c r="A1964" s="332"/>
      <c r="B1964" s="333"/>
      <c r="C1964" s="333"/>
      <c r="D1964" s="326" t="s">
        <v>41</v>
      </c>
      <c r="E1964" s="334" t="s">
        <v>1201</v>
      </c>
      <c r="F1964" s="18">
        <v>5</v>
      </c>
      <c r="G1964" s="18" t="s">
        <v>73</v>
      </c>
      <c r="H1964" s="376">
        <v>5</v>
      </c>
      <c r="I1964" s="18" t="s">
        <v>73</v>
      </c>
      <c r="J1964" s="333"/>
      <c r="K1964" s="354"/>
      <c r="L1964" s="19"/>
      <c r="M1964" s="19"/>
      <c r="N1964" s="19"/>
      <c r="O1964" s="19"/>
      <c r="P1964" s="19"/>
    </row>
    <row r="1965" spans="1:16" x14ac:dyDescent="0.35">
      <c r="A1965" s="339"/>
      <c r="B1965" s="340"/>
      <c r="C1965" s="340"/>
      <c r="D1965" s="326" t="s">
        <v>672</v>
      </c>
      <c r="E1965" s="327" t="s">
        <v>1202</v>
      </c>
      <c r="F1965" s="22">
        <v>10</v>
      </c>
      <c r="G1965" s="22" t="s">
        <v>73</v>
      </c>
      <c r="H1965" s="375">
        <v>10</v>
      </c>
      <c r="I1965" s="22" t="s">
        <v>73</v>
      </c>
      <c r="J1965" s="340"/>
      <c r="K1965" s="368"/>
      <c r="L1965" s="19"/>
      <c r="M1965" s="19"/>
      <c r="N1965" s="19"/>
      <c r="O1965" s="19"/>
      <c r="P1965" s="19"/>
    </row>
    <row r="1966" spans="1:16" x14ac:dyDescent="0.35">
      <c r="A1966" s="369"/>
      <c r="B1966" s="370"/>
      <c r="C1966" s="370"/>
      <c r="D1966" s="372"/>
      <c r="E1966" s="372"/>
      <c r="F1966" s="370"/>
      <c r="G1966" s="370"/>
      <c r="H1966" s="373"/>
      <c r="I1966" s="349"/>
      <c r="J1966" s="349"/>
      <c r="K1966" s="352"/>
      <c r="L1966" s="19"/>
      <c r="M1966" s="19"/>
      <c r="N1966" s="19"/>
      <c r="O1966" s="19"/>
      <c r="P1966" s="19"/>
    </row>
    <row r="1967" spans="1:16" x14ac:dyDescent="0.35">
      <c r="A1967" s="353"/>
      <c r="B1967" s="324"/>
      <c r="C1967" s="325" t="s">
        <v>1203</v>
      </c>
      <c r="D1967" s="326" t="s">
        <v>48</v>
      </c>
      <c r="E1967" s="327" t="s">
        <v>1126</v>
      </c>
      <c r="F1967" s="22">
        <v>20</v>
      </c>
      <c r="G1967" s="22" t="s">
        <v>73</v>
      </c>
      <c r="H1967" s="375">
        <v>20</v>
      </c>
      <c r="I1967" s="22" t="s">
        <v>73</v>
      </c>
      <c r="J1967" s="340"/>
      <c r="K1967" s="368"/>
      <c r="L1967" s="19"/>
      <c r="M1967" s="19"/>
      <c r="N1967" s="19"/>
      <c r="O1967" s="19"/>
      <c r="P1967" s="19"/>
    </row>
    <row r="1968" spans="1:16" x14ac:dyDescent="0.35">
      <c r="A1968" s="332"/>
      <c r="B1968" s="333"/>
      <c r="C1968" s="333"/>
      <c r="D1968" s="326" t="s">
        <v>505</v>
      </c>
      <c r="E1968" s="334" t="s">
        <v>1169</v>
      </c>
      <c r="F1968" s="18">
        <v>1</v>
      </c>
      <c r="G1968" s="18" t="s">
        <v>73</v>
      </c>
      <c r="H1968" s="376">
        <v>1</v>
      </c>
      <c r="I1968" s="18" t="s">
        <v>73</v>
      </c>
      <c r="J1968" s="333"/>
      <c r="K1968" s="354"/>
      <c r="L1968" s="19"/>
      <c r="M1968" s="19"/>
      <c r="N1968" s="19"/>
      <c r="O1968" s="19"/>
      <c r="P1968" s="19"/>
    </row>
    <row r="1969" spans="1:16" x14ac:dyDescent="0.35">
      <c r="A1969" s="339"/>
      <c r="B1969" s="340"/>
      <c r="C1969" s="340"/>
      <c r="D1969" s="377"/>
      <c r="E1969" s="355" t="s">
        <v>1204</v>
      </c>
      <c r="F1969" s="356">
        <v>5</v>
      </c>
      <c r="G1969" s="378" t="s">
        <v>73</v>
      </c>
      <c r="H1969" s="357"/>
      <c r="I1969" s="356"/>
      <c r="J1969" s="358"/>
      <c r="K1969" s="359"/>
      <c r="L1969" s="19"/>
      <c r="M1969" s="19"/>
      <c r="N1969" s="19"/>
      <c r="O1969" s="19"/>
      <c r="P1969" s="19"/>
    </row>
    <row r="1970" spans="1:16" x14ac:dyDescent="0.35">
      <c r="A1970" s="332"/>
      <c r="B1970" s="333"/>
      <c r="C1970" s="333"/>
      <c r="D1970" s="374" t="s">
        <v>145</v>
      </c>
      <c r="E1970" s="379" t="s">
        <v>1199</v>
      </c>
      <c r="F1970" s="18">
        <v>100</v>
      </c>
      <c r="G1970" s="18" t="s">
        <v>73</v>
      </c>
      <c r="H1970" s="361"/>
      <c r="I1970" s="18" t="s">
        <v>73</v>
      </c>
      <c r="J1970" s="333"/>
      <c r="K1970" s="354"/>
      <c r="L1970" s="19"/>
      <c r="M1970" s="19"/>
      <c r="N1970" s="19"/>
      <c r="O1970" s="19"/>
      <c r="P1970" s="19"/>
    </row>
    <row r="1971" spans="1:16" x14ac:dyDescent="0.35">
      <c r="A1971" s="339"/>
      <c r="B1971" s="340"/>
      <c r="C1971" s="340"/>
      <c r="D1971" s="326" t="s">
        <v>40</v>
      </c>
      <c r="E1971" s="380" t="s">
        <v>1200</v>
      </c>
      <c r="F1971" s="22">
        <v>8</v>
      </c>
      <c r="G1971" s="22" t="s">
        <v>73</v>
      </c>
      <c r="H1971" s="367"/>
      <c r="I1971" s="22" t="s">
        <v>73</v>
      </c>
      <c r="J1971" s="340"/>
      <c r="K1971" s="368"/>
      <c r="L1971" s="19"/>
      <c r="M1971" s="19"/>
      <c r="N1971" s="19"/>
      <c r="O1971" s="19"/>
      <c r="P1971" s="19"/>
    </row>
    <row r="1972" spans="1:16" x14ac:dyDescent="0.35">
      <c r="A1972" s="332"/>
      <c r="B1972" s="333"/>
      <c r="C1972" s="333"/>
      <c r="D1972" s="326" t="s">
        <v>505</v>
      </c>
      <c r="E1972" s="379" t="s">
        <v>1169</v>
      </c>
      <c r="F1972" s="18">
        <v>10</v>
      </c>
      <c r="G1972" s="18" t="s">
        <v>73</v>
      </c>
      <c r="H1972" s="361"/>
      <c r="I1972" s="18" t="s">
        <v>73</v>
      </c>
      <c r="J1972" s="333"/>
      <c r="K1972" s="354"/>
      <c r="L1972" s="19"/>
      <c r="M1972" s="19"/>
      <c r="N1972" s="19"/>
      <c r="O1972" s="19"/>
      <c r="P1972" s="19"/>
    </row>
    <row r="1973" spans="1:16" x14ac:dyDescent="0.35">
      <c r="A1973" s="339"/>
      <c r="B1973" s="340"/>
      <c r="C1973" s="340"/>
      <c r="D1973" s="326" t="s">
        <v>41</v>
      </c>
      <c r="E1973" s="380" t="s">
        <v>1201</v>
      </c>
      <c r="F1973" s="22">
        <v>5</v>
      </c>
      <c r="G1973" s="22" t="s">
        <v>73</v>
      </c>
      <c r="H1973" s="367"/>
      <c r="I1973" s="22" t="s">
        <v>73</v>
      </c>
      <c r="J1973" s="340"/>
      <c r="K1973" s="368"/>
      <c r="L1973" s="19"/>
      <c r="M1973" s="19"/>
      <c r="N1973" s="19"/>
      <c r="O1973" s="19"/>
      <c r="P1973" s="19"/>
    </row>
    <row r="1974" spans="1:16" ht="15" thickBot="1" x14ac:dyDescent="0.4">
      <c r="A1974" s="332"/>
      <c r="B1974" s="333"/>
      <c r="C1974" s="333"/>
      <c r="D1974" s="326" t="s">
        <v>672</v>
      </c>
      <c r="E1974" s="379" t="s">
        <v>1202</v>
      </c>
      <c r="F1974" s="18">
        <v>10</v>
      </c>
      <c r="G1974" s="18" t="s">
        <v>73</v>
      </c>
      <c r="H1974" s="361"/>
      <c r="I1974" s="18" t="s">
        <v>73</v>
      </c>
      <c r="J1974" s="333"/>
      <c r="K1974" s="354"/>
      <c r="L1974" s="19"/>
      <c r="M1974" s="19"/>
      <c r="N1974" s="19"/>
      <c r="O1974" s="19"/>
      <c r="P1974" s="19"/>
    </row>
    <row r="1975" spans="1:16" ht="15.5" thickTop="1" thickBot="1" x14ac:dyDescent="0.4">
      <c r="A1975" s="369"/>
      <c r="B1975" s="370"/>
      <c r="C1975" s="370"/>
      <c r="D1975" s="381"/>
      <c r="E1975" s="370"/>
      <c r="F1975" s="370"/>
      <c r="G1975" s="370"/>
      <c r="H1975" s="373"/>
      <c r="I1975" s="349"/>
      <c r="J1975" s="349"/>
      <c r="K1975" s="352"/>
      <c r="L1975" s="19"/>
      <c r="M1975" s="19"/>
      <c r="N1975" s="19"/>
      <c r="O1975" s="19"/>
      <c r="P1975" s="19"/>
    </row>
    <row r="1976" spans="1:16" ht="15.5" thickTop="1" thickBot="1" x14ac:dyDescent="0.4">
      <c r="A1976" s="353">
        <f>IFERROR(INDEX($Q$17:$Q$201,MATCH(B1976,$R$17:$R$201, 0)), "")</f>
        <v>1</v>
      </c>
      <c r="B1976" s="382" t="s">
        <v>1364</v>
      </c>
      <c r="C1976" s="325" t="s">
        <v>1205</v>
      </c>
      <c r="D1976" s="383"/>
      <c r="E1976" s="384" t="s">
        <v>1206</v>
      </c>
      <c r="F1976" s="378">
        <v>6</v>
      </c>
      <c r="G1976" s="378" t="s">
        <v>74</v>
      </c>
      <c r="H1976" s="357"/>
      <c r="I1976" s="358"/>
      <c r="J1976" s="358"/>
      <c r="K1976" s="359"/>
      <c r="L1976" s="19"/>
      <c r="M1976" s="19"/>
      <c r="N1976" s="19"/>
      <c r="O1976" s="19"/>
      <c r="P1976" s="19"/>
    </row>
    <row r="1977" spans="1:16" ht="15" thickTop="1" x14ac:dyDescent="0.35">
      <c r="A1977" s="339"/>
      <c r="B1977" s="340"/>
      <c r="C1977" s="340"/>
      <c r="D1977" s="385" t="s">
        <v>491</v>
      </c>
      <c r="E1977" s="386" t="s">
        <v>1197</v>
      </c>
      <c r="F1977" s="328">
        <v>0.5</v>
      </c>
      <c r="G1977" s="328" t="s">
        <v>1072</v>
      </c>
      <c r="H1977" s="387">
        <v>0.5</v>
      </c>
      <c r="I1977" s="22" t="s">
        <v>1072</v>
      </c>
      <c r="J1977" s="340"/>
      <c r="K1977" s="368"/>
      <c r="L1977" s="19"/>
      <c r="M1977" s="19"/>
      <c r="N1977" s="19"/>
      <c r="O1977" s="19"/>
      <c r="P1977" s="19"/>
    </row>
    <row r="1978" spans="1:16" x14ac:dyDescent="0.35">
      <c r="A1978" s="332"/>
      <c r="B1978" s="333"/>
      <c r="C1978" s="333"/>
      <c r="D1978" s="388"/>
      <c r="E1978" s="389" t="s">
        <v>853</v>
      </c>
      <c r="F1978" s="356">
        <v>42.5</v>
      </c>
      <c r="G1978" s="356" t="s">
        <v>73</v>
      </c>
      <c r="H1978" s="357"/>
      <c r="I1978" s="358"/>
      <c r="J1978" s="358"/>
      <c r="K1978" s="359"/>
      <c r="L1978" s="19"/>
      <c r="M1978" s="19"/>
      <c r="N1978" s="19"/>
      <c r="O1978" s="19"/>
      <c r="P1978" s="19"/>
    </row>
    <row r="1979" spans="1:16" x14ac:dyDescent="0.35">
      <c r="A1979" s="339"/>
      <c r="B1979" s="340"/>
      <c r="C1979" s="340"/>
      <c r="D1979" s="390" t="s">
        <v>1068</v>
      </c>
      <c r="E1979" s="391" t="s">
        <v>1069</v>
      </c>
      <c r="F1979" s="328">
        <v>60</v>
      </c>
      <c r="G1979" s="328" t="s">
        <v>73</v>
      </c>
      <c r="H1979" s="367"/>
      <c r="I1979" s="328" t="s">
        <v>73</v>
      </c>
      <c r="J1979" s="340"/>
      <c r="K1979" s="368"/>
      <c r="L1979" s="19"/>
      <c r="M1979" s="19"/>
      <c r="N1979" s="19"/>
      <c r="O1979" s="19"/>
      <c r="P1979" s="19"/>
    </row>
    <row r="1980" spans="1:16" x14ac:dyDescent="0.35">
      <c r="A1980" s="332"/>
      <c r="B1980" s="333"/>
      <c r="C1980" s="333"/>
      <c r="D1980" s="392"/>
      <c r="E1980" s="393" t="s">
        <v>854</v>
      </c>
      <c r="F1980" s="343">
        <v>90</v>
      </c>
      <c r="G1980" s="343" t="s">
        <v>73</v>
      </c>
      <c r="H1980" s="363"/>
      <c r="I1980" s="343"/>
      <c r="J1980" s="364"/>
      <c r="K1980" s="365"/>
      <c r="L1980" s="19"/>
      <c r="M1980" s="19"/>
      <c r="N1980" s="19"/>
      <c r="O1980" s="19"/>
      <c r="P1980" s="19"/>
    </row>
    <row r="1981" spans="1:16" x14ac:dyDescent="0.35">
      <c r="A1981" s="339"/>
      <c r="B1981" s="340"/>
      <c r="C1981" s="340"/>
      <c r="D1981" s="390" t="s">
        <v>45</v>
      </c>
      <c r="E1981" s="500" t="s">
        <v>101</v>
      </c>
      <c r="F1981" s="502">
        <v>1.5</v>
      </c>
      <c r="G1981" s="502" t="s">
        <v>73</v>
      </c>
      <c r="H1981" s="501"/>
      <c r="I1981" s="328" t="s">
        <v>73</v>
      </c>
      <c r="J1981" s="340"/>
      <c r="K1981" s="368"/>
      <c r="L1981" s="19"/>
      <c r="M1981" s="19"/>
      <c r="N1981" s="19"/>
      <c r="O1981" s="19"/>
      <c r="P1981" s="19"/>
    </row>
    <row r="1982" spans="1:16" ht="15" thickBot="1" x14ac:dyDescent="0.4">
      <c r="A1982" s="332"/>
      <c r="B1982" s="333"/>
      <c r="C1982" s="333"/>
      <c r="D1982" s="390" t="s">
        <v>521</v>
      </c>
      <c r="E1982" s="500" t="s">
        <v>855</v>
      </c>
      <c r="F1982" s="502">
        <v>55.75</v>
      </c>
      <c r="G1982" s="502" t="s">
        <v>73</v>
      </c>
      <c r="H1982" s="501"/>
      <c r="I1982" s="335" t="s">
        <v>73</v>
      </c>
      <c r="J1982" s="333"/>
      <c r="K1982" s="354"/>
      <c r="L1982" s="19"/>
      <c r="M1982" s="19"/>
      <c r="N1982" s="19"/>
      <c r="O1982" s="19"/>
      <c r="P1982" s="19"/>
    </row>
    <row r="1983" spans="1:16" ht="15.5" thickTop="1" thickBot="1" x14ac:dyDescent="0.4">
      <c r="A1983" s="339"/>
      <c r="B1983" s="340"/>
      <c r="C1983" s="340"/>
      <c r="D1983" s="394"/>
      <c r="E1983" s="388" t="s">
        <v>1191</v>
      </c>
      <c r="F1983" s="356">
        <v>60</v>
      </c>
      <c r="G1983" s="356" t="s">
        <v>73</v>
      </c>
      <c r="H1983" s="357"/>
      <c r="I1983" s="356"/>
      <c r="J1983" s="358"/>
      <c r="K1983" s="359"/>
      <c r="L1983" s="19"/>
      <c r="M1983" s="19"/>
      <c r="N1983" s="19"/>
      <c r="O1983" s="19"/>
      <c r="P1983" s="19"/>
    </row>
    <row r="1984" spans="1:16" ht="15" thickTop="1" x14ac:dyDescent="0.35">
      <c r="A1984" s="332"/>
      <c r="B1984" s="333"/>
      <c r="C1984" s="333"/>
      <c r="D1984" s="385" t="s">
        <v>47</v>
      </c>
      <c r="E1984" s="395" t="s">
        <v>1192</v>
      </c>
      <c r="F1984" s="335">
        <v>10</v>
      </c>
      <c r="G1984" s="335" t="s">
        <v>73</v>
      </c>
      <c r="H1984" s="361"/>
      <c r="I1984" s="335" t="s">
        <v>73</v>
      </c>
      <c r="J1984" s="333"/>
      <c r="K1984" s="354"/>
      <c r="L1984" s="19"/>
      <c r="M1984" s="19"/>
      <c r="N1984" s="19"/>
      <c r="O1984" s="19"/>
      <c r="P1984" s="19"/>
    </row>
    <row r="1985" spans="1:16" x14ac:dyDescent="0.35">
      <c r="A1985" s="339"/>
      <c r="B1985" s="340"/>
      <c r="C1985" s="340"/>
      <c r="D1985" s="390" t="s">
        <v>50</v>
      </c>
      <c r="E1985" s="391" t="s">
        <v>394</v>
      </c>
      <c r="F1985" s="328">
        <v>40</v>
      </c>
      <c r="G1985" s="328" t="s">
        <v>73</v>
      </c>
      <c r="H1985" s="367"/>
      <c r="I1985" s="328" t="s">
        <v>73</v>
      </c>
      <c r="J1985" s="340"/>
      <c r="K1985" s="368"/>
      <c r="L1985" s="19"/>
      <c r="M1985" s="19"/>
      <c r="N1985" s="19"/>
      <c r="O1985" s="19"/>
      <c r="P1985" s="19"/>
    </row>
    <row r="1986" spans="1:16" x14ac:dyDescent="0.35">
      <c r="A1986" s="332"/>
      <c r="B1986" s="333"/>
      <c r="C1986" s="333"/>
      <c r="D1986" s="390" t="s">
        <v>371</v>
      </c>
      <c r="E1986" s="395" t="s">
        <v>372</v>
      </c>
      <c r="F1986" s="335">
        <v>40</v>
      </c>
      <c r="G1986" s="335" t="s">
        <v>73</v>
      </c>
      <c r="H1986" s="361"/>
      <c r="I1986" s="335" t="s">
        <v>73</v>
      </c>
      <c r="J1986" s="333"/>
      <c r="K1986" s="354"/>
      <c r="L1986" s="19"/>
      <c r="M1986" s="19"/>
      <c r="N1986" s="19"/>
      <c r="O1986" s="19"/>
      <c r="P1986" s="19"/>
    </row>
    <row r="1987" spans="1:16" x14ac:dyDescent="0.35">
      <c r="A1987" s="339"/>
      <c r="B1987" s="340"/>
      <c r="C1987" s="340"/>
      <c r="D1987" s="390" t="s">
        <v>260</v>
      </c>
      <c r="E1987" s="391" t="s">
        <v>1193</v>
      </c>
      <c r="F1987" s="328">
        <v>120</v>
      </c>
      <c r="G1987" s="328" t="s">
        <v>73</v>
      </c>
      <c r="H1987" s="367"/>
      <c r="I1987" s="328" t="s">
        <v>73</v>
      </c>
      <c r="J1987" s="340"/>
      <c r="K1987" s="368"/>
      <c r="L1987" s="19"/>
      <c r="M1987" s="19"/>
      <c r="N1987" s="19"/>
      <c r="O1987" s="19"/>
      <c r="P1987" s="19"/>
    </row>
    <row r="1988" spans="1:16" ht="15" thickBot="1" x14ac:dyDescent="0.4">
      <c r="A1988" s="332"/>
      <c r="B1988" s="333"/>
      <c r="C1988" s="333"/>
      <c r="D1988" s="396"/>
      <c r="E1988" s="393" t="s">
        <v>950</v>
      </c>
      <c r="F1988" s="343">
        <v>40</v>
      </c>
      <c r="G1988" s="343" t="s">
        <v>73</v>
      </c>
      <c r="H1988" s="363"/>
      <c r="I1988" s="343"/>
      <c r="J1988" s="364"/>
      <c r="K1988" s="365"/>
      <c r="L1988" s="19"/>
      <c r="M1988" s="19"/>
      <c r="N1988" s="19"/>
      <c r="O1988" s="19"/>
      <c r="P1988" s="19"/>
    </row>
    <row r="1989" spans="1:16" ht="15" thickTop="1" x14ac:dyDescent="0.35">
      <c r="A1989" s="339"/>
      <c r="B1989" s="340"/>
      <c r="C1989" s="340"/>
      <c r="D1989" s="385" t="s">
        <v>141</v>
      </c>
      <c r="E1989" s="391" t="s">
        <v>1194</v>
      </c>
      <c r="F1989" s="328">
        <v>40</v>
      </c>
      <c r="G1989" s="328" t="s">
        <v>73</v>
      </c>
      <c r="H1989" s="367"/>
      <c r="I1989" s="328" t="s">
        <v>73</v>
      </c>
      <c r="J1989" s="340"/>
      <c r="K1989" s="368"/>
      <c r="L1989" s="19"/>
      <c r="M1989" s="19"/>
      <c r="N1989" s="19"/>
      <c r="O1989" s="19"/>
      <c r="P1989" s="19"/>
    </row>
    <row r="1990" spans="1:16" x14ac:dyDescent="0.35">
      <c r="A1990" s="332"/>
      <c r="B1990" s="333"/>
      <c r="C1990" s="333"/>
      <c r="D1990" s="390" t="s">
        <v>46</v>
      </c>
      <c r="E1990" s="395" t="s">
        <v>1195</v>
      </c>
      <c r="F1990" s="335">
        <v>20</v>
      </c>
      <c r="G1990" s="335" t="s">
        <v>73</v>
      </c>
      <c r="H1990" s="361"/>
      <c r="I1990" s="335" t="s">
        <v>73</v>
      </c>
      <c r="J1990" s="333"/>
      <c r="K1990" s="354"/>
      <c r="L1990" s="19"/>
      <c r="M1990" s="19"/>
      <c r="N1990" s="19"/>
      <c r="O1990" s="19"/>
      <c r="P1990" s="19"/>
    </row>
    <row r="1991" spans="1:16" ht="15" thickBot="1" x14ac:dyDescent="0.4">
      <c r="A1991" s="339"/>
      <c r="B1991" s="340"/>
      <c r="C1991" s="340"/>
      <c r="D1991" s="390" t="s">
        <v>379</v>
      </c>
      <c r="E1991" s="391" t="s">
        <v>380</v>
      </c>
      <c r="F1991" s="328">
        <v>10</v>
      </c>
      <c r="G1991" s="328" t="s">
        <v>73</v>
      </c>
      <c r="H1991" s="367"/>
      <c r="I1991" s="328" t="s">
        <v>73</v>
      </c>
      <c r="J1991" s="340"/>
      <c r="K1991" s="368"/>
      <c r="L1991" s="19"/>
      <c r="M1991" s="19"/>
      <c r="N1991" s="19"/>
      <c r="O1991" s="19"/>
      <c r="P1991" s="19"/>
    </row>
    <row r="1992" spans="1:16" ht="15" thickTop="1" x14ac:dyDescent="0.35">
      <c r="A1992" s="332"/>
      <c r="B1992" s="333"/>
      <c r="C1992" s="333"/>
      <c r="D1992" s="394"/>
      <c r="E1992" s="384" t="s">
        <v>1203</v>
      </c>
      <c r="F1992" s="356">
        <v>30</v>
      </c>
      <c r="G1992" s="356" t="s">
        <v>73</v>
      </c>
      <c r="H1992" s="357"/>
      <c r="I1992" s="356"/>
      <c r="J1992" s="358"/>
      <c r="K1992" s="359"/>
      <c r="L1992" s="19"/>
      <c r="M1992" s="19"/>
      <c r="N1992" s="19"/>
      <c r="O1992" s="19"/>
      <c r="P1992" s="19"/>
    </row>
    <row r="1993" spans="1:16" x14ac:dyDescent="0.35">
      <c r="A1993" s="339"/>
      <c r="B1993" s="340"/>
      <c r="C1993" s="340"/>
      <c r="D1993" s="390" t="s">
        <v>48</v>
      </c>
      <c r="E1993" s="386" t="s">
        <v>1126</v>
      </c>
      <c r="F1993" s="22">
        <v>20</v>
      </c>
      <c r="G1993" s="22" t="s">
        <v>73</v>
      </c>
      <c r="H1993" s="367"/>
      <c r="I1993" s="328" t="s">
        <v>73</v>
      </c>
      <c r="J1993" s="340"/>
      <c r="K1993" s="368"/>
      <c r="L1993" s="19"/>
      <c r="M1993" s="19"/>
      <c r="N1993" s="19"/>
      <c r="O1993" s="19"/>
      <c r="P1993" s="19"/>
    </row>
    <row r="1994" spans="1:16" x14ac:dyDescent="0.35">
      <c r="A1994" s="332"/>
      <c r="B1994" s="333"/>
      <c r="C1994" s="333"/>
      <c r="D1994" s="390" t="s">
        <v>505</v>
      </c>
      <c r="E1994" s="397" t="s">
        <v>1169</v>
      </c>
      <c r="F1994" s="18">
        <v>1</v>
      </c>
      <c r="G1994" s="18" t="s">
        <v>73</v>
      </c>
      <c r="H1994" s="361"/>
      <c r="I1994" s="335" t="s">
        <v>73</v>
      </c>
      <c r="J1994" s="333"/>
      <c r="K1994" s="354"/>
      <c r="L1994" s="19"/>
      <c r="M1994" s="19"/>
      <c r="N1994" s="19"/>
      <c r="O1994" s="19"/>
      <c r="P1994" s="19"/>
    </row>
    <row r="1995" spans="1:16" x14ac:dyDescent="0.35">
      <c r="A1995" s="339"/>
      <c r="B1995" s="340"/>
      <c r="C1995" s="340"/>
      <c r="D1995" s="398"/>
      <c r="E1995" s="389" t="s">
        <v>1204</v>
      </c>
      <c r="F1995" s="356">
        <v>5</v>
      </c>
      <c r="G1995" s="378" t="s">
        <v>73</v>
      </c>
      <c r="H1995" s="357"/>
      <c r="I1995" s="356"/>
      <c r="J1995" s="358"/>
      <c r="K1995" s="359"/>
      <c r="L1995" s="19"/>
      <c r="M1995" s="19"/>
      <c r="N1995" s="19"/>
      <c r="O1995" s="19"/>
      <c r="P1995" s="19"/>
    </row>
    <row r="1996" spans="1:16" x14ac:dyDescent="0.35">
      <c r="A1996" s="332"/>
      <c r="B1996" s="333"/>
      <c r="C1996" s="333"/>
      <c r="D1996" s="399" t="s">
        <v>145</v>
      </c>
      <c r="E1996" s="400" t="s">
        <v>1199</v>
      </c>
      <c r="F1996" s="18">
        <v>100</v>
      </c>
      <c r="G1996" s="18" t="s">
        <v>73</v>
      </c>
      <c r="H1996" s="361"/>
      <c r="I1996" s="335" t="s">
        <v>73</v>
      </c>
      <c r="J1996" s="333"/>
      <c r="K1996" s="354"/>
      <c r="L1996" s="19"/>
      <c r="M1996" s="19"/>
      <c r="N1996" s="19"/>
      <c r="O1996" s="19"/>
      <c r="P1996" s="19"/>
    </row>
    <row r="1997" spans="1:16" x14ac:dyDescent="0.35">
      <c r="A1997" s="339"/>
      <c r="B1997" s="340"/>
      <c r="C1997" s="340"/>
      <c r="D1997" s="390" t="s">
        <v>40</v>
      </c>
      <c r="E1997" s="401" t="s">
        <v>1200</v>
      </c>
      <c r="F1997" s="22">
        <v>8</v>
      </c>
      <c r="G1997" s="22" t="s">
        <v>73</v>
      </c>
      <c r="H1997" s="367"/>
      <c r="I1997" s="328" t="s">
        <v>73</v>
      </c>
      <c r="J1997" s="340"/>
      <c r="K1997" s="368"/>
      <c r="L1997" s="19"/>
      <c r="M1997" s="19"/>
      <c r="N1997" s="19"/>
      <c r="O1997" s="19"/>
      <c r="P1997" s="19"/>
    </row>
    <row r="1998" spans="1:16" x14ac:dyDescent="0.35">
      <c r="A1998" s="332"/>
      <c r="B1998" s="333"/>
      <c r="C1998" s="333"/>
      <c r="D1998" s="390" t="s">
        <v>505</v>
      </c>
      <c r="E1998" s="400" t="s">
        <v>1169</v>
      </c>
      <c r="F1998" s="18">
        <v>10</v>
      </c>
      <c r="G1998" s="18" t="s">
        <v>73</v>
      </c>
      <c r="H1998" s="361"/>
      <c r="I1998" s="335" t="s">
        <v>73</v>
      </c>
      <c r="J1998" s="333"/>
      <c r="K1998" s="354"/>
      <c r="L1998" s="19"/>
      <c r="M1998" s="19"/>
      <c r="N1998" s="19"/>
      <c r="O1998" s="19"/>
      <c r="P1998" s="19"/>
    </row>
    <row r="1999" spans="1:16" x14ac:dyDescent="0.35">
      <c r="A1999" s="339"/>
      <c r="B1999" s="340"/>
      <c r="C1999" s="340"/>
      <c r="D1999" s="390" t="s">
        <v>41</v>
      </c>
      <c r="E1999" s="401" t="s">
        <v>1201</v>
      </c>
      <c r="F1999" s="22">
        <v>5</v>
      </c>
      <c r="G1999" s="22" t="s">
        <v>73</v>
      </c>
      <c r="H1999" s="367"/>
      <c r="I1999" s="328" t="s">
        <v>73</v>
      </c>
      <c r="J1999" s="340"/>
      <c r="K1999" s="368"/>
      <c r="L1999" s="19"/>
      <c r="M1999" s="19"/>
      <c r="N1999" s="19"/>
      <c r="O1999" s="19"/>
      <c r="P1999" s="19"/>
    </row>
    <row r="2000" spans="1:16" x14ac:dyDescent="0.35">
      <c r="A2000" s="332"/>
      <c r="B2000" s="333"/>
      <c r="C2000" s="333"/>
      <c r="D2000" s="390" t="s">
        <v>672</v>
      </c>
      <c r="E2000" s="400" t="s">
        <v>1202</v>
      </c>
      <c r="F2000" s="18">
        <v>10</v>
      </c>
      <c r="G2000" s="18" t="s">
        <v>73</v>
      </c>
      <c r="H2000" s="361"/>
      <c r="I2000" s="335" t="s">
        <v>73</v>
      </c>
      <c r="J2000" s="333"/>
      <c r="K2000" s="354"/>
      <c r="L2000" s="19"/>
      <c r="M2000" s="19"/>
      <c r="N2000" s="19"/>
      <c r="O2000" s="19"/>
      <c r="P2000" s="19"/>
    </row>
    <row r="2001" spans="1:16" x14ac:dyDescent="0.35">
      <c r="A2001" s="339"/>
      <c r="B2001" s="340"/>
      <c r="C2001" s="340"/>
      <c r="D2001" s="388"/>
      <c r="E2001" s="384" t="s">
        <v>769</v>
      </c>
      <c r="F2001" s="378">
        <v>5</v>
      </c>
      <c r="G2001" s="378" t="s">
        <v>73</v>
      </c>
      <c r="H2001" s="357"/>
      <c r="I2001" s="356"/>
      <c r="J2001" s="358"/>
      <c r="K2001" s="359"/>
      <c r="L2001" s="19"/>
      <c r="M2001" s="19"/>
      <c r="N2001" s="19"/>
      <c r="O2001" s="19"/>
      <c r="P2001" s="19"/>
    </row>
    <row r="2002" spans="1:16" x14ac:dyDescent="0.35">
      <c r="A2002" s="332"/>
      <c r="B2002" s="333"/>
      <c r="C2002" s="333"/>
      <c r="D2002" s="390" t="s">
        <v>521</v>
      </c>
      <c r="E2002" s="402" t="s">
        <v>906</v>
      </c>
      <c r="F2002" s="22">
        <v>200</v>
      </c>
      <c r="G2002" s="22" t="s">
        <v>73</v>
      </c>
      <c r="H2002" s="361"/>
      <c r="I2002" s="335" t="s">
        <v>73</v>
      </c>
      <c r="J2002" s="333"/>
      <c r="K2002" s="354"/>
      <c r="L2002" s="19"/>
      <c r="M2002" s="19"/>
      <c r="N2002" s="19"/>
      <c r="O2002" s="19"/>
      <c r="P2002" s="19"/>
    </row>
    <row r="2003" spans="1:16" x14ac:dyDescent="0.35">
      <c r="A2003" s="339"/>
      <c r="B2003" s="340"/>
      <c r="C2003" s="340"/>
      <c r="D2003" s="388"/>
      <c r="E2003" s="403" t="s">
        <v>770</v>
      </c>
      <c r="F2003" s="378">
        <v>30</v>
      </c>
      <c r="G2003" s="378" t="s">
        <v>73</v>
      </c>
      <c r="H2003" s="357"/>
      <c r="I2003" s="356"/>
      <c r="J2003" s="358"/>
      <c r="K2003" s="359"/>
      <c r="L2003" s="19"/>
      <c r="M2003" s="19"/>
      <c r="N2003" s="19"/>
      <c r="O2003" s="19"/>
      <c r="P2003" s="19"/>
    </row>
    <row r="2004" spans="1:16" x14ac:dyDescent="0.35">
      <c r="A2004" s="332"/>
      <c r="B2004" s="333"/>
      <c r="C2004" s="333"/>
      <c r="D2004" s="390" t="s">
        <v>537</v>
      </c>
      <c r="E2004" s="391" t="s">
        <v>771</v>
      </c>
      <c r="F2004" s="22">
        <v>1</v>
      </c>
      <c r="G2004" s="22" t="s">
        <v>73</v>
      </c>
      <c r="H2004" s="361"/>
      <c r="I2004" s="335" t="s">
        <v>73</v>
      </c>
      <c r="J2004" s="333"/>
      <c r="K2004" s="354"/>
      <c r="L2004" s="19"/>
      <c r="M2004" s="19"/>
      <c r="N2004" s="19"/>
      <c r="O2004" s="19"/>
      <c r="P2004" s="19"/>
    </row>
    <row r="2005" spans="1:16" x14ac:dyDescent="0.35">
      <c r="A2005" s="339"/>
      <c r="B2005" s="340"/>
      <c r="C2005" s="340"/>
      <c r="D2005" s="392"/>
      <c r="E2005" s="393" t="s">
        <v>81</v>
      </c>
      <c r="F2005" s="404">
        <v>100</v>
      </c>
      <c r="G2005" s="404" t="s">
        <v>73</v>
      </c>
      <c r="H2005" s="363"/>
      <c r="I2005" s="343"/>
      <c r="J2005" s="364"/>
      <c r="K2005" s="365"/>
      <c r="L2005" s="19"/>
      <c r="M2005" s="19"/>
      <c r="N2005" s="19"/>
      <c r="O2005" s="19"/>
      <c r="P2005" s="19"/>
    </row>
    <row r="2006" spans="1:16" x14ac:dyDescent="0.35">
      <c r="A2006" s="332"/>
      <c r="B2006" s="333"/>
      <c r="C2006" s="333"/>
      <c r="D2006" s="388"/>
      <c r="E2006" s="403" t="s">
        <v>726</v>
      </c>
      <c r="F2006" s="378">
        <v>2</v>
      </c>
      <c r="G2006" s="378" t="s">
        <v>73</v>
      </c>
      <c r="H2006" s="357"/>
      <c r="I2006" s="356"/>
      <c r="J2006" s="358"/>
      <c r="K2006" s="359"/>
      <c r="L2006" s="19"/>
      <c r="M2006" s="19"/>
      <c r="N2006" s="19"/>
      <c r="O2006" s="19"/>
      <c r="P2006" s="19"/>
    </row>
    <row r="2007" spans="1:16" x14ac:dyDescent="0.35">
      <c r="A2007" s="339"/>
      <c r="B2007" s="340"/>
      <c r="C2007" s="340"/>
      <c r="D2007" s="390" t="s">
        <v>43</v>
      </c>
      <c r="E2007" s="500" t="s">
        <v>105</v>
      </c>
      <c r="F2007" s="114">
        <v>15</v>
      </c>
      <c r="G2007" s="114" t="s">
        <v>73</v>
      </c>
      <c r="H2007" s="501"/>
      <c r="I2007" s="328" t="s">
        <v>73</v>
      </c>
      <c r="J2007" s="340"/>
      <c r="K2007" s="368"/>
      <c r="L2007" s="19"/>
      <c r="M2007" s="19"/>
      <c r="N2007" s="19"/>
      <c r="O2007" s="19"/>
      <c r="P2007" s="19"/>
    </row>
    <row r="2008" spans="1:16" x14ac:dyDescent="0.35">
      <c r="A2008" s="332"/>
      <c r="B2008" s="333"/>
      <c r="C2008" s="333"/>
      <c r="D2008" s="390" t="s">
        <v>42</v>
      </c>
      <c r="E2008" s="500" t="s">
        <v>95</v>
      </c>
      <c r="F2008" s="114">
        <v>85</v>
      </c>
      <c r="G2008" s="114" t="s">
        <v>73</v>
      </c>
      <c r="H2008" s="501"/>
      <c r="I2008" s="335" t="s">
        <v>73</v>
      </c>
      <c r="J2008" s="333"/>
      <c r="K2008" s="354"/>
      <c r="L2008" s="19"/>
      <c r="M2008" s="19"/>
      <c r="N2008" s="19"/>
      <c r="O2008" s="19"/>
      <c r="P2008" s="19"/>
    </row>
    <row r="2009" spans="1:16" x14ac:dyDescent="0.35">
      <c r="A2009" s="339"/>
      <c r="B2009" s="340"/>
      <c r="C2009" s="340"/>
      <c r="D2009" s="390" t="s">
        <v>517</v>
      </c>
      <c r="E2009" s="504" t="s">
        <v>724</v>
      </c>
      <c r="F2009" s="114">
        <v>8</v>
      </c>
      <c r="G2009" s="114" t="s">
        <v>73</v>
      </c>
      <c r="H2009" s="501"/>
      <c r="I2009" s="328" t="s">
        <v>73</v>
      </c>
      <c r="J2009" s="340"/>
      <c r="K2009" s="368"/>
      <c r="L2009" s="19"/>
      <c r="M2009" s="19"/>
      <c r="N2009" s="19"/>
      <c r="O2009" s="19"/>
      <c r="P2009" s="19"/>
    </row>
    <row r="2010" spans="1:16" x14ac:dyDescent="0.35">
      <c r="A2010" s="332"/>
      <c r="B2010" s="333"/>
      <c r="C2010" s="333"/>
      <c r="D2010" s="390" t="s">
        <v>45</v>
      </c>
      <c r="E2010" s="504" t="s">
        <v>101</v>
      </c>
      <c r="F2010" s="114">
        <v>1</v>
      </c>
      <c r="G2010" s="114" t="s">
        <v>73</v>
      </c>
      <c r="H2010" s="501"/>
      <c r="I2010" s="335" t="s">
        <v>73</v>
      </c>
      <c r="J2010" s="333"/>
      <c r="K2010" s="354"/>
      <c r="L2010" s="19"/>
      <c r="M2010" s="19"/>
      <c r="N2010" s="19"/>
      <c r="O2010" s="19"/>
      <c r="P2010" s="19"/>
    </row>
    <row r="2011" spans="1:16" x14ac:dyDescent="0.35">
      <c r="A2011" s="339"/>
      <c r="B2011" s="340"/>
      <c r="C2011" s="340"/>
      <c r="D2011" s="388"/>
      <c r="E2011" s="388" t="s">
        <v>973</v>
      </c>
      <c r="F2011" s="356">
        <v>80</v>
      </c>
      <c r="G2011" s="356" t="s">
        <v>73</v>
      </c>
      <c r="H2011" s="357"/>
      <c r="I2011" s="356"/>
      <c r="J2011" s="358"/>
      <c r="K2011" s="359"/>
      <c r="L2011" s="19"/>
      <c r="M2011" s="19"/>
      <c r="N2011" s="19"/>
      <c r="O2011" s="19"/>
      <c r="P2011" s="19"/>
    </row>
    <row r="2012" spans="1:16" x14ac:dyDescent="0.35">
      <c r="A2012" s="332"/>
      <c r="B2012" s="333"/>
      <c r="C2012" s="333"/>
      <c r="D2012" s="390" t="s">
        <v>47</v>
      </c>
      <c r="E2012" s="504" t="s">
        <v>740</v>
      </c>
      <c r="F2012" s="114">
        <v>3</v>
      </c>
      <c r="G2012" s="114" t="s">
        <v>73</v>
      </c>
      <c r="H2012" s="501"/>
      <c r="I2012" s="502" t="s">
        <v>73</v>
      </c>
      <c r="J2012" s="333"/>
      <c r="K2012" s="354"/>
      <c r="L2012" s="19"/>
      <c r="M2012" s="19"/>
      <c r="N2012" s="19"/>
      <c r="O2012" s="19"/>
      <c r="P2012" s="19"/>
    </row>
    <row r="2013" spans="1:16" x14ac:dyDescent="0.35">
      <c r="A2013" s="339"/>
      <c r="B2013" s="340"/>
      <c r="C2013" s="340"/>
      <c r="D2013" s="390" t="s">
        <v>49</v>
      </c>
      <c r="E2013" s="504" t="s">
        <v>916</v>
      </c>
      <c r="F2013" s="114">
        <v>8</v>
      </c>
      <c r="G2013" s="114" t="s">
        <v>73</v>
      </c>
      <c r="H2013" s="501"/>
      <c r="I2013" s="502" t="s">
        <v>73</v>
      </c>
      <c r="J2013" s="340"/>
      <c r="K2013" s="368"/>
      <c r="L2013" s="19"/>
      <c r="M2013" s="19"/>
      <c r="N2013" s="19"/>
      <c r="O2013" s="19"/>
      <c r="P2013" s="19"/>
    </row>
    <row r="2014" spans="1:16" x14ac:dyDescent="0.35">
      <c r="A2014" s="332"/>
      <c r="B2014" s="333"/>
      <c r="C2014" s="333"/>
      <c r="D2014" s="390" t="s">
        <v>50</v>
      </c>
      <c r="E2014" s="504" t="s">
        <v>917</v>
      </c>
      <c r="F2014" s="114">
        <v>40</v>
      </c>
      <c r="G2014" s="114" t="s">
        <v>73</v>
      </c>
      <c r="H2014" s="501"/>
      <c r="I2014" s="502" t="s">
        <v>73</v>
      </c>
      <c r="J2014" s="333"/>
      <c r="K2014" s="354"/>
      <c r="L2014" s="19"/>
      <c r="M2014" s="19"/>
      <c r="N2014" s="19"/>
      <c r="O2014" s="19"/>
      <c r="P2014" s="19"/>
    </row>
    <row r="2015" spans="1:16" x14ac:dyDescent="0.35">
      <c r="A2015" s="339"/>
      <c r="B2015" s="340"/>
      <c r="C2015" s="340"/>
      <c r="D2015" s="390" t="s">
        <v>371</v>
      </c>
      <c r="E2015" s="504" t="s">
        <v>918</v>
      </c>
      <c r="F2015" s="114">
        <v>20</v>
      </c>
      <c r="G2015" s="114" t="s">
        <v>73</v>
      </c>
      <c r="H2015" s="501"/>
      <c r="I2015" s="502" t="s">
        <v>73</v>
      </c>
      <c r="J2015" s="340"/>
      <c r="K2015" s="368"/>
      <c r="L2015" s="19"/>
      <c r="M2015" s="19"/>
      <c r="N2015" s="19"/>
      <c r="O2015" s="19"/>
      <c r="P2015" s="19"/>
    </row>
    <row r="2016" spans="1:16" x14ac:dyDescent="0.35">
      <c r="A2016" s="332"/>
      <c r="B2016" s="333"/>
      <c r="C2016" s="333"/>
      <c r="D2016" s="390" t="s">
        <v>379</v>
      </c>
      <c r="E2016" s="504" t="s">
        <v>919</v>
      </c>
      <c r="F2016" s="114">
        <v>10</v>
      </c>
      <c r="G2016" s="114" t="s">
        <v>73</v>
      </c>
      <c r="H2016" s="501"/>
      <c r="I2016" s="502" t="s">
        <v>73</v>
      </c>
      <c r="J2016" s="333"/>
      <c r="K2016" s="354"/>
      <c r="L2016" s="19"/>
      <c r="M2016" s="19"/>
      <c r="N2016" s="19"/>
      <c r="O2016" s="19"/>
      <c r="P2016" s="19"/>
    </row>
    <row r="2017" spans="1:16" x14ac:dyDescent="0.35">
      <c r="A2017" s="339"/>
      <c r="B2017" s="340"/>
      <c r="C2017" s="340"/>
      <c r="D2017" s="390" t="s">
        <v>505</v>
      </c>
      <c r="E2017" s="504" t="s">
        <v>722</v>
      </c>
      <c r="F2017" s="114">
        <v>0.5</v>
      </c>
      <c r="G2017" s="114" t="s">
        <v>73</v>
      </c>
      <c r="H2017" s="501"/>
      <c r="I2017" s="502" t="s">
        <v>73</v>
      </c>
      <c r="J2017" s="340"/>
      <c r="K2017" s="368"/>
      <c r="L2017" s="19"/>
      <c r="M2017" s="19"/>
      <c r="N2017" s="19"/>
      <c r="O2017" s="19"/>
      <c r="P2017" s="19"/>
    </row>
    <row r="2018" spans="1:16" x14ac:dyDescent="0.35">
      <c r="A2018" s="332"/>
      <c r="B2018" s="333"/>
      <c r="C2018" s="333"/>
      <c r="D2018" s="390" t="s">
        <v>41</v>
      </c>
      <c r="E2018" s="504" t="s">
        <v>911</v>
      </c>
      <c r="F2018" s="114">
        <v>2</v>
      </c>
      <c r="G2018" s="114" t="s">
        <v>73</v>
      </c>
      <c r="H2018" s="501"/>
      <c r="I2018" s="502" t="s">
        <v>73</v>
      </c>
      <c r="J2018" s="333"/>
      <c r="K2018" s="354"/>
      <c r="L2018" s="19"/>
      <c r="M2018" s="19"/>
      <c r="N2018" s="19"/>
      <c r="O2018" s="19"/>
      <c r="P2018" s="19"/>
    </row>
    <row r="2019" spans="1:16" ht="15" thickBot="1" x14ac:dyDescent="0.4">
      <c r="A2019" s="339"/>
      <c r="B2019" s="340"/>
      <c r="C2019" s="340"/>
      <c r="D2019" s="390" t="s">
        <v>127</v>
      </c>
      <c r="E2019" s="504" t="s">
        <v>912</v>
      </c>
      <c r="F2019" s="114">
        <v>28</v>
      </c>
      <c r="G2019" s="114" t="s">
        <v>73</v>
      </c>
      <c r="H2019" s="501"/>
      <c r="I2019" s="502" t="s">
        <v>73</v>
      </c>
      <c r="J2019" s="340"/>
      <c r="K2019" s="368"/>
      <c r="L2019" s="19"/>
      <c r="M2019" s="19"/>
      <c r="N2019" s="19"/>
      <c r="O2019" s="19"/>
      <c r="P2019" s="19"/>
    </row>
    <row r="2020" spans="1:16" ht="15.5" thickTop="1" thickBot="1" x14ac:dyDescent="0.4">
      <c r="A2020" s="332"/>
      <c r="B2020" s="333"/>
      <c r="C2020" s="333"/>
      <c r="D2020" s="405" t="s">
        <v>549</v>
      </c>
      <c r="E2020" s="741" t="s">
        <v>915</v>
      </c>
      <c r="F2020" s="114">
        <v>165</v>
      </c>
      <c r="G2020" s="114" t="s">
        <v>73</v>
      </c>
      <c r="H2020" s="501"/>
      <c r="I2020" s="502" t="s">
        <v>73</v>
      </c>
      <c r="J2020" s="333"/>
      <c r="K2020" s="354"/>
      <c r="L2020" s="19"/>
      <c r="M2020" s="19"/>
      <c r="N2020" s="19"/>
      <c r="O2020" s="19"/>
      <c r="P2020" s="19"/>
    </row>
    <row r="2021" spans="1:16" ht="15" thickTop="1" x14ac:dyDescent="0.35">
      <c r="A2021" s="339"/>
      <c r="B2021" s="340"/>
      <c r="C2021" s="340"/>
      <c r="D2021" s="406" t="s">
        <v>505</v>
      </c>
      <c r="E2021" s="733" t="s">
        <v>1169</v>
      </c>
      <c r="F2021" s="114">
        <v>2</v>
      </c>
      <c r="G2021" s="114" t="s">
        <v>73</v>
      </c>
      <c r="H2021" s="742">
        <v>2</v>
      </c>
      <c r="I2021" s="502" t="s">
        <v>73</v>
      </c>
      <c r="J2021" s="340"/>
      <c r="K2021" s="368"/>
      <c r="L2021" s="19"/>
      <c r="M2021" s="19"/>
      <c r="N2021" s="19"/>
      <c r="O2021" s="19"/>
      <c r="P2021" s="19"/>
    </row>
    <row r="2022" spans="1:16" ht="15" thickBot="1" x14ac:dyDescent="0.4">
      <c r="A2022" s="348"/>
      <c r="B2022" s="349"/>
      <c r="C2022" s="349"/>
      <c r="D2022" s="349"/>
      <c r="E2022" s="349"/>
      <c r="F2022" s="349"/>
      <c r="G2022" s="349"/>
      <c r="H2022" s="351"/>
      <c r="I2022" s="349"/>
      <c r="J2022" s="349"/>
      <c r="K2022" s="352"/>
      <c r="L2022" s="19"/>
      <c r="M2022" s="19"/>
      <c r="N2022" s="19"/>
      <c r="O2022" s="19"/>
      <c r="P2022" s="19"/>
    </row>
    <row r="2023" spans="1:16" ht="15" thickTop="1" x14ac:dyDescent="0.35">
      <c r="A2023" s="353">
        <f>IFERROR(INDEX($Q$17:$Q$201,MATCH(B2023,$R$17:$R$201, 0)), "")</f>
        <v>3</v>
      </c>
      <c r="B2023" s="408" t="s">
        <v>1299</v>
      </c>
      <c r="C2023" s="325" t="s">
        <v>1207</v>
      </c>
      <c r="D2023" s="406" t="s">
        <v>61</v>
      </c>
      <c r="E2023" s="409" t="s">
        <v>1208</v>
      </c>
      <c r="F2023" s="22">
        <v>150</v>
      </c>
      <c r="G2023" s="22" t="s">
        <v>73</v>
      </c>
      <c r="H2023" s="375">
        <v>150</v>
      </c>
      <c r="I2023" s="22" t="s">
        <v>73</v>
      </c>
      <c r="J2023" s="22"/>
      <c r="K2023" s="410">
        <f>$A$2023*H2023</f>
        <v>450</v>
      </c>
      <c r="L2023" s="19"/>
      <c r="M2023" s="19"/>
      <c r="N2023" s="19"/>
      <c r="O2023" s="19"/>
      <c r="P2023" s="19"/>
    </row>
    <row r="2024" spans="1:16" x14ac:dyDescent="0.35">
      <c r="A2024" s="332"/>
      <c r="B2024" s="333"/>
      <c r="C2024" s="333"/>
      <c r="D2024" s="326" t="s">
        <v>48</v>
      </c>
      <c r="E2024" s="334" t="s">
        <v>1126</v>
      </c>
      <c r="F2024" s="18">
        <v>5</v>
      </c>
      <c r="G2024" s="18" t="s">
        <v>73</v>
      </c>
      <c r="H2024" s="376">
        <v>5</v>
      </c>
      <c r="I2024" s="18" t="s">
        <v>73</v>
      </c>
      <c r="J2024" s="18"/>
      <c r="K2024" s="411">
        <f t="shared" ref="K2024:K2087" si="272">$A$2023*H2024</f>
        <v>15</v>
      </c>
      <c r="L2024" s="19"/>
      <c r="M2024" s="19"/>
      <c r="N2024" s="19"/>
      <c r="O2024" s="19"/>
      <c r="P2024" s="19"/>
    </row>
    <row r="2025" spans="1:16" x14ac:dyDescent="0.35">
      <c r="A2025" s="339"/>
      <c r="B2025" s="340"/>
      <c r="C2025" s="340"/>
      <c r="D2025" s="326" t="s">
        <v>55</v>
      </c>
      <c r="E2025" s="327" t="s">
        <v>1209</v>
      </c>
      <c r="F2025" s="22">
        <v>0.1</v>
      </c>
      <c r="G2025" s="22" t="s">
        <v>73</v>
      </c>
      <c r="H2025" s="375">
        <v>0.1</v>
      </c>
      <c r="I2025" s="22" t="s">
        <v>73</v>
      </c>
      <c r="J2025" s="22"/>
      <c r="K2025" s="410">
        <f t="shared" si="272"/>
        <v>0.30000000000000004</v>
      </c>
      <c r="L2025" s="19"/>
      <c r="M2025" s="19"/>
      <c r="N2025" s="19"/>
      <c r="O2025" s="19"/>
      <c r="P2025" s="19"/>
    </row>
    <row r="2026" spans="1:16" x14ac:dyDescent="0.35">
      <c r="A2026" s="332"/>
      <c r="B2026" s="333"/>
      <c r="C2026" s="333"/>
      <c r="D2026" s="326" t="s">
        <v>392</v>
      </c>
      <c r="E2026" s="334" t="s">
        <v>1210</v>
      </c>
      <c r="F2026" s="18">
        <v>3</v>
      </c>
      <c r="G2026" s="18" t="s">
        <v>73</v>
      </c>
      <c r="H2026" s="376">
        <v>3</v>
      </c>
      <c r="I2026" s="18" t="s">
        <v>73</v>
      </c>
      <c r="J2026" s="18"/>
      <c r="K2026" s="411">
        <f t="shared" si="272"/>
        <v>9</v>
      </c>
      <c r="L2026" s="19"/>
      <c r="M2026" s="19"/>
      <c r="N2026" s="19"/>
      <c r="O2026" s="19"/>
      <c r="P2026" s="19"/>
    </row>
    <row r="2027" spans="1:16" x14ac:dyDescent="0.35">
      <c r="A2027" s="339"/>
      <c r="B2027" s="340"/>
      <c r="C2027" s="340"/>
      <c r="D2027" s="390" t="s">
        <v>505</v>
      </c>
      <c r="E2027" s="409" t="s">
        <v>1169</v>
      </c>
      <c r="F2027" s="22">
        <v>1</v>
      </c>
      <c r="G2027" s="22" t="s">
        <v>73</v>
      </c>
      <c r="H2027" s="375">
        <v>1</v>
      </c>
      <c r="I2027" s="22" t="s">
        <v>73</v>
      </c>
      <c r="J2027" s="22"/>
      <c r="K2027" s="410">
        <f t="shared" si="272"/>
        <v>3</v>
      </c>
      <c r="L2027" s="19"/>
      <c r="M2027" s="19"/>
      <c r="N2027" s="19"/>
      <c r="O2027" s="19"/>
      <c r="P2027" s="19"/>
    </row>
    <row r="2028" spans="1:16" x14ac:dyDescent="0.35">
      <c r="A2028" s="332"/>
      <c r="B2028" s="333"/>
      <c r="C2028" s="333"/>
      <c r="D2028" s="390" t="s">
        <v>505</v>
      </c>
      <c r="E2028" s="412" t="s">
        <v>1169</v>
      </c>
      <c r="F2028" s="18">
        <v>2</v>
      </c>
      <c r="G2028" s="18" t="s">
        <v>73</v>
      </c>
      <c r="H2028" s="376">
        <v>2</v>
      </c>
      <c r="I2028" s="18" t="s">
        <v>73</v>
      </c>
      <c r="J2028" s="18"/>
      <c r="K2028" s="411">
        <f t="shared" si="272"/>
        <v>6</v>
      </c>
      <c r="L2028" s="19"/>
      <c r="M2028" s="19"/>
      <c r="N2028" s="19"/>
      <c r="O2028" s="19"/>
      <c r="P2028" s="19"/>
    </row>
    <row r="2029" spans="1:16" x14ac:dyDescent="0.35">
      <c r="A2029" s="339"/>
      <c r="B2029" s="340"/>
      <c r="C2029" s="340"/>
      <c r="D2029" s="326" t="s">
        <v>398</v>
      </c>
      <c r="E2029" s="327" t="s">
        <v>1211</v>
      </c>
      <c r="F2029" s="22">
        <v>60</v>
      </c>
      <c r="G2029" s="22" t="s">
        <v>73</v>
      </c>
      <c r="H2029" s="375">
        <v>60</v>
      </c>
      <c r="I2029" s="22" t="s">
        <v>73</v>
      </c>
      <c r="J2029" s="22"/>
      <c r="K2029" s="410">
        <f t="shared" si="272"/>
        <v>180</v>
      </c>
      <c r="L2029" s="19"/>
      <c r="M2029" s="19"/>
      <c r="N2029" s="19"/>
      <c r="O2029" s="19"/>
      <c r="P2029" s="19"/>
    </row>
    <row r="2030" spans="1:16" x14ac:dyDescent="0.35">
      <c r="A2030" s="332"/>
      <c r="B2030" s="333"/>
      <c r="C2030" s="333"/>
      <c r="D2030" s="390" t="s">
        <v>49</v>
      </c>
      <c r="E2030" s="412" t="s">
        <v>1212</v>
      </c>
      <c r="F2030" s="18">
        <v>10</v>
      </c>
      <c r="G2030" s="18" t="s">
        <v>73</v>
      </c>
      <c r="H2030" s="376">
        <v>10</v>
      </c>
      <c r="I2030" s="18" t="s">
        <v>73</v>
      </c>
      <c r="J2030" s="18"/>
      <c r="K2030" s="411">
        <f t="shared" si="272"/>
        <v>30</v>
      </c>
      <c r="L2030" s="19"/>
      <c r="M2030" s="19"/>
      <c r="N2030" s="19"/>
      <c r="O2030" s="19"/>
      <c r="P2030" s="19"/>
    </row>
    <row r="2031" spans="1:16" ht="15" thickBot="1" x14ac:dyDescent="0.4">
      <c r="A2031" s="339"/>
      <c r="B2031" s="340"/>
      <c r="C2031" s="340"/>
      <c r="D2031" s="413"/>
      <c r="E2031" s="388" t="s">
        <v>84</v>
      </c>
      <c r="F2031" s="378">
        <v>180</v>
      </c>
      <c r="G2031" s="378" t="s">
        <v>73</v>
      </c>
      <c r="H2031" s="357"/>
      <c r="I2031" s="358"/>
      <c r="J2031" s="358"/>
      <c r="K2031" s="414"/>
      <c r="L2031" s="19"/>
      <c r="M2031" s="19"/>
      <c r="N2031" s="19"/>
      <c r="O2031" s="19"/>
      <c r="P2031" s="19"/>
    </row>
    <row r="2032" spans="1:16" ht="15" thickTop="1" x14ac:dyDescent="0.35">
      <c r="A2032" s="332"/>
      <c r="B2032" s="333"/>
      <c r="C2032" s="333"/>
      <c r="D2032" s="415"/>
      <c r="E2032" s="416" t="s">
        <v>26</v>
      </c>
      <c r="F2032" s="378">
        <v>1000</v>
      </c>
      <c r="G2032" s="378" t="s">
        <v>73</v>
      </c>
      <c r="H2032" s="357"/>
      <c r="I2032" s="358"/>
      <c r="J2032" s="358"/>
      <c r="K2032" s="414"/>
      <c r="L2032" s="19"/>
      <c r="M2032" s="19"/>
      <c r="N2032" s="19"/>
      <c r="O2032" s="19"/>
      <c r="P2032" s="19"/>
    </row>
    <row r="2033" spans="1:16" x14ac:dyDescent="0.35">
      <c r="A2033" s="339"/>
      <c r="B2033" s="340"/>
      <c r="C2033" s="340"/>
      <c r="D2033" s="417" t="s">
        <v>60</v>
      </c>
      <c r="E2033" s="418" t="s">
        <v>121</v>
      </c>
      <c r="F2033" s="22">
        <v>1000</v>
      </c>
      <c r="G2033" s="22" t="s">
        <v>73</v>
      </c>
      <c r="H2033" s="367"/>
      <c r="I2033" s="22" t="s">
        <v>73</v>
      </c>
      <c r="J2033" s="340"/>
      <c r="K2033" s="410">
        <f t="shared" si="272"/>
        <v>0</v>
      </c>
      <c r="L2033" s="19"/>
      <c r="M2033" s="19"/>
      <c r="N2033" s="19"/>
      <c r="O2033" s="19"/>
      <c r="P2033" s="19"/>
    </row>
    <row r="2034" spans="1:16" x14ac:dyDescent="0.35">
      <c r="A2034" s="332"/>
      <c r="B2034" s="333"/>
      <c r="C2034" s="333"/>
      <c r="D2034" s="417" t="s">
        <v>43</v>
      </c>
      <c r="E2034" s="419" t="s">
        <v>94</v>
      </c>
      <c r="F2034" s="18">
        <v>30</v>
      </c>
      <c r="G2034" s="18" t="s">
        <v>73</v>
      </c>
      <c r="H2034" s="361"/>
      <c r="I2034" s="18" t="s">
        <v>73</v>
      </c>
      <c r="J2034" s="333"/>
      <c r="K2034" s="411">
        <f t="shared" si="272"/>
        <v>0</v>
      </c>
      <c r="L2034" s="19"/>
      <c r="M2034" s="19"/>
      <c r="N2034" s="19"/>
      <c r="O2034" s="19"/>
      <c r="P2034" s="19"/>
    </row>
    <row r="2035" spans="1:16" x14ac:dyDescent="0.35">
      <c r="A2035" s="339"/>
      <c r="B2035" s="340"/>
      <c r="C2035" s="340"/>
      <c r="D2035" s="420"/>
      <c r="E2035" s="421" t="s">
        <v>81</v>
      </c>
      <c r="F2035" s="404">
        <v>400</v>
      </c>
      <c r="G2035" s="404" t="s">
        <v>73</v>
      </c>
      <c r="H2035" s="363"/>
      <c r="I2035" s="422"/>
      <c r="J2035" s="423"/>
      <c r="K2035" s="424"/>
      <c r="L2035" s="19"/>
      <c r="M2035" s="19"/>
      <c r="N2035" s="19"/>
      <c r="O2035" s="19"/>
      <c r="P2035" s="19"/>
    </row>
    <row r="2036" spans="1:16" x14ac:dyDescent="0.35">
      <c r="A2036" s="332"/>
      <c r="B2036" s="333"/>
      <c r="C2036" s="333"/>
      <c r="D2036" s="417" t="s">
        <v>59</v>
      </c>
      <c r="E2036" s="425" t="s">
        <v>27</v>
      </c>
      <c r="F2036" s="18">
        <v>350</v>
      </c>
      <c r="G2036" s="18" t="s">
        <v>73</v>
      </c>
      <c r="H2036" s="361"/>
      <c r="I2036" s="335" t="s">
        <v>73</v>
      </c>
      <c r="J2036" s="333"/>
      <c r="K2036" s="411">
        <f t="shared" si="272"/>
        <v>0</v>
      </c>
      <c r="L2036" s="19"/>
      <c r="M2036" s="19"/>
      <c r="N2036" s="19"/>
      <c r="O2036" s="19"/>
      <c r="P2036" s="19"/>
    </row>
    <row r="2037" spans="1:16" x14ac:dyDescent="0.35">
      <c r="A2037" s="339"/>
      <c r="B2037" s="340"/>
      <c r="C2037" s="340"/>
      <c r="D2037" s="417" t="s">
        <v>48</v>
      </c>
      <c r="E2037" s="426" t="s">
        <v>91</v>
      </c>
      <c r="F2037" s="22">
        <v>100</v>
      </c>
      <c r="G2037" s="22" t="s">
        <v>73</v>
      </c>
      <c r="H2037" s="367"/>
      <c r="I2037" s="328" t="s">
        <v>73</v>
      </c>
      <c r="J2037" s="340"/>
      <c r="K2037" s="410">
        <f t="shared" si="272"/>
        <v>0</v>
      </c>
      <c r="L2037" s="19"/>
      <c r="M2037" s="19"/>
      <c r="N2037" s="19"/>
      <c r="O2037" s="19"/>
      <c r="P2037" s="19"/>
    </row>
    <row r="2038" spans="1:16" x14ac:dyDescent="0.35">
      <c r="A2038" s="332"/>
      <c r="B2038" s="333"/>
      <c r="C2038" s="333"/>
      <c r="D2038" s="355"/>
      <c r="E2038" s="355" t="s">
        <v>85</v>
      </c>
      <c r="F2038" s="378">
        <v>0.3</v>
      </c>
      <c r="G2038" s="378" t="s">
        <v>73</v>
      </c>
      <c r="H2038" s="357"/>
      <c r="I2038" s="356"/>
      <c r="J2038" s="358"/>
      <c r="K2038" s="414"/>
      <c r="L2038" s="19"/>
      <c r="M2038" s="19"/>
      <c r="N2038" s="19"/>
      <c r="O2038" s="19"/>
      <c r="P2038" s="19"/>
    </row>
    <row r="2039" spans="1:16" x14ac:dyDescent="0.35">
      <c r="A2039" s="339"/>
      <c r="B2039" s="340"/>
      <c r="C2039" s="340"/>
      <c r="D2039" s="326" t="s">
        <v>52</v>
      </c>
      <c r="E2039" s="426" t="s">
        <v>106</v>
      </c>
      <c r="F2039" s="22">
        <v>5</v>
      </c>
      <c r="G2039" s="22" t="s">
        <v>73</v>
      </c>
      <c r="H2039" s="367"/>
      <c r="I2039" s="328" t="s">
        <v>73</v>
      </c>
      <c r="J2039" s="340"/>
      <c r="K2039" s="410">
        <f t="shared" si="272"/>
        <v>0</v>
      </c>
      <c r="L2039" s="19"/>
      <c r="M2039" s="19"/>
      <c r="N2039" s="19"/>
      <c r="O2039" s="19"/>
      <c r="P2039" s="19"/>
    </row>
    <row r="2040" spans="1:16" x14ac:dyDescent="0.35">
      <c r="A2040" s="332"/>
      <c r="B2040" s="333"/>
      <c r="C2040" s="333"/>
      <c r="D2040" s="355"/>
      <c r="E2040" s="416" t="s">
        <v>23</v>
      </c>
      <c r="F2040" s="378">
        <v>20</v>
      </c>
      <c r="G2040" s="378" t="s">
        <v>73</v>
      </c>
      <c r="H2040" s="357"/>
      <c r="I2040" s="356"/>
      <c r="J2040" s="358"/>
      <c r="K2040" s="414"/>
      <c r="L2040" s="19"/>
      <c r="M2040" s="19"/>
      <c r="N2040" s="19"/>
      <c r="O2040" s="19"/>
      <c r="P2040" s="19"/>
    </row>
    <row r="2041" spans="1:16" x14ac:dyDescent="0.35">
      <c r="A2041" s="339"/>
      <c r="B2041" s="340"/>
      <c r="C2041" s="340"/>
      <c r="D2041" s="326" t="s">
        <v>43</v>
      </c>
      <c r="E2041" s="366" t="s">
        <v>94</v>
      </c>
      <c r="F2041" s="22">
        <v>85</v>
      </c>
      <c r="G2041" s="22" t="s">
        <v>73</v>
      </c>
      <c r="H2041" s="367"/>
      <c r="I2041" s="328" t="s">
        <v>73</v>
      </c>
      <c r="J2041" s="340"/>
      <c r="K2041" s="410">
        <f t="shared" si="272"/>
        <v>0</v>
      </c>
      <c r="L2041" s="19"/>
      <c r="M2041" s="19"/>
      <c r="N2041" s="19"/>
      <c r="O2041" s="19"/>
      <c r="P2041" s="19"/>
    </row>
    <row r="2042" spans="1:16" ht="15" thickBot="1" x14ac:dyDescent="0.4">
      <c r="A2042" s="332"/>
      <c r="B2042" s="333"/>
      <c r="C2042" s="333"/>
      <c r="D2042" s="417" t="s">
        <v>42</v>
      </c>
      <c r="E2042" s="360" t="s">
        <v>95</v>
      </c>
      <c r="F2042" s="18">
        <v>15</v>
      </c>
      <c r="G2042" s="18" t="s">
        <v>73</v>
      </c>
      <c r="H2042" s="361"/>
      <c r="I2042" s="335" t="s">
        <v>73</v>
      </c>
      <c r="J2042" s="333"/>
      <c r="K2042" s="411">
        <f t="shared" si="272"/>
        <v>0</v>
      </c>
      <c r="L2042" s="19"/>
      <c r="M2042" s="19"/>
      <c r="N2042" s="19"/>
      <c r="O2042" s="19"/>
      <c r="P2042" s="19"/>
    </row>
    <row r="2043" spans="1:16" ht="15.5" thickTop="1" thickBot="1" x14ac:dyDescent="0.4">
      <c r="A2043" s="339"/>
      <c r="B2043" s="340"/>
      <c r="C2043" s="340"/>
      <c r="D2043" s="383"/>
      <c r="E2043" s="384" t="s">
        <v>1206</v>
      </c>
      <c r="F2043" s="378">
        <v>6</v>
      </c>
      <c r="G2043" s="378" t="s">
        <v>74</v>
      </c>
      <c r="H2043" s="357"/>
      <c r="I2043" s="356"/>
      <c r="J2043" s="358"/>
      <c r="K2043" s="414"/>
      <c r="L2043" s="19"/>
      <c r="M2043" s="19"/>
      <c r="N2043" s="19"/>
      <c r="O2043" s="19"/>
      <c r="P2043" s="19"/>
    </row>
    <row r="2044" spans="1:16" ht="15" thickTop="1" x14ac:dyDescent="0.35">
      <c r="A2044" s="332"/>
      <c r="B2044" s="333"/>
      <c r="C2044" s="333"/>
      <c r="D2044" s="385" t="s">
        <v>491</v>
      </c>
      <c r="E2044" s="397" t="s">
        <v>1197</v>
      </c>
      <c r="F2044" s="335">
        <v>0.5</v>
      </c>
      <c r="G2044" s="335" t="s">
        <v>1072</v>
      </c>
      <c r="H2044" s="336">
        <v>0.5</v>
      </c>
      <c r="I2044" s="18" t="s">
        <v>1072</v>
      </c>
      <c r="J2044" s="333"/>
      <c r="K2044" s="411">
        <f t="shared" si="272"/>
        <v>1.5</v>
      </c>
      <c r="L2044" s="19"/>
      <c r="M2044" s="19"/>
      <c r="N2044" s="19"/>
      <c r="O2044" s="19"/>
      <c r="P2044" s="19"/>
    </row>
    <row r="2045" spans="1:16" x14ac:dyDescent="0.35">
      <c r="A2045" s="339"/>
      <c r="B2045" s="340"/>
      <c r="C2045" s="340"/>
      <c r="D2045" s="388"/>
      <c r="E2045" s="389" t="s">
        <v>853</v>
      </c>
      <c r="F2045" s="356">
        <v>42.5</v>
      </c>
      <c r="G2045" s="356" t="s">
        <v>73</v>
      </c>
      <c r="H2045" s="427"/>
      <c r="I2045" s="358"/>
      <c r="J2045" s="358"/>
      <c r="K2045" s="414"/>
      <c r="L2045" s="19"/>
      <c r="M2045" s="19"/>
      <c r="N2045" s="19"/>
      <c r="O2045" s="19"/>
      <c r="P2045" s="19"/>
    </row>
    <row r="2046" spans="1:16" x14ac:dyDescent="0.35">
      <c r="A2046" s="332"/>
      <c r="B2046" s="333"/>
      <c r="C2046" s="333"/>
      <c r="D2046" s="390" t="s">
        <v>1068</v>
      </c>
      <c r="E2046" s="395" t="s">
        <v>1069</v>
      </c>
      <c r="F2046" s="335">
        <v>60</v>
      </c>
      <c r="G2046" s="335" t="s">
        <v>73</v>
      </c>
      <c r="H2046" s="336">
        <f>ROUND(($F$2045)*((F2046)/($F$2046+$F$2047+$F$2048+$F$2049)),2)</f>
        <v>12.3</v>
      </c>
      <c r="I2046" s="335" t="s">
        <v>73</v>
      </c>
      <c r="J2046" s="333"/>
      <c r="K2046" s="411">
        <f t="shared" si="272"/>
        <v>36.900000000000006</v>
      </c>
      <c r="L2046" s="19"/>
      <c r="M2046" s="19"/>
      <c r="N2046" s="19"/>
      <c r="O2046" s="19"/>
      <c r="P2046" s="19"/>
    </row>
    <row r="2047" spans="1:16" x14ac:dyDescent="0.35">
      <c r="A2047" s="339"/>
      <c r="B2047" s="340"/>
      <c r="C2047" s="340"/>
      <c r="D2047" s="392"/>
      <c r="E2047" s="393" t="s">
        <v>854</v>
      </c>
      <c r="F2047" s="343">
        <v>90</v>
      </c>
      <c r="G2047" s="343" t="s">
        <v>73</v>
      </c>
      <c r="H2047" s="344">
        <f t="shared" ref="H2047:H2049" si="273">ROUND(($F$2045)*((F2047)/($F$2046+$F$2047+$F$2048+$F$2049)),2)</f>
        <v>18.46</v>
      </c>
      <c r="I2047" s="343"/>
      <c r="J2047" s="364"/>
      <c r="K2047" s="428"/>
      <c r="L2047" s="19"/>
      <c r="M2047" s="19"/>
      <c r="N2047" s="19"/>
      <c r="O2047" s="19"/>
      <c r="P2047" s="19"/>
    </row>
    <row r="2048" spans="1:16" x14ac:dyDescent="0.35">
      <c r="A2048" s="332"/>
      <c r="B2048" s="333"/>
      <c r="C2048" s="333"/>
      <c r="D2048" s="390" t="s">
        <v>45</v>
      </c>
      <c r="E2048" s="395" t="s">
        <v>101</v>
      </c>
      <c r="F2048" s="335">
        <v>1.5</v>
      </c>
      <c r="G2048" s="335" t="s">
        <v>73</v>
      </c>
      <c r="H2048" s="336">
        <f t="shared" si="273"/>
        <v>0.31</v>
      </c>
      <c r="I2048" s="335" t="s">
        <v>73</v>
      </c>
      <c r="J2048" s="333"/>
      <c r="K2048" s="411">
        <f t="shared" si="272"/>
        <v>0.92999999999999994</v>
      </c>
      <c r="L2048" s="19"/>
      <c r="M2048" s="19"/>
      <c r="N2048" s="19"/>
      <c r="O2048" s="19"/>
      <c r="P2048" s="19"/>
    </row>
    <row r="2049" spans="1:16" ht="15" thickBot="1" x14ac:dyDescent="0.4">
      <c r="A2049" s="339"/>
      <c r="B2049" s="340"/>
      <c r="C2049" s="340"/>
      <c r="D2049" s="390" t="s">
        <v>521</v>
      </c>
      <c r="E2049" s="391" t="s">
        <v>855</v>
      </c>
      <c r="F2049" s="328">
        <v>55.75</v>
      </c>
      <c r="G2049" s="328" t="s">
        <v>73</v>
      </c>
      <c r="H2049" s="329">
        <f t="shared" si="273"/>
        <v>11.43</v>
      </c>
      <c r="I2049" s="328" t="s">
        <v>73</v>
      </c>
      <c r="J2049" s="340"/>
      <c r="K2049" s="410">
        <f t="shared" si="272"/>
        <v>34.29</v>
      </c>
      <c r="L2049" s="19"/>
      <c r="M2049" s="19"/>
      <c r="N2049" s="19"/>
      <c r="O2049" s="19"/>
      <c r="P2049" s="19"/>
    </row>
    <row r="2050" spans="1:16" ht="15.5" thickTop="1" thickBot="1" x14ac:dyDescent="0.4">
      <c r="A2050" s="332"/>
      <c r="B2050" s="333"/>
      <c r="C2050" s="333"/>
      <c r="D2050" s="394"/>
      <c r="E2050" s="388" t="s">
        <v>1191</v>
      </c>
      <c r="F2050" s="356">
        <v>60</v>
      </c>
      <c r="G2050" s="356" t="s">
        <v>73</v>
      </c>
      <c r="H2050" s="357"/>
      <c r="I2050" s="356"/>
      <c r="J2050" s="358"/>
      <c r="K2050" s="414"/>
      <c r="L2050" s="19"/>
      <c r="M2050" s="19"/>
      <c r="N2050" s="19"/>
      <c r="O2050" s="19"/>
      <c r="P2050" s="19"/>
    </row>
    <row r="2051" spans="1:16" ht="15" thickTop="1" x14ac:dyDescent="0.35">
      <c r="A2051" s="339"/>
      <c r="B2051" s="340"/>
      <c r="C2051" s="340"/>
      <c r="D2051" s="385" t="s">
        <v>47</v>
      </c>
      <c r="E2051" s="391" t="s">
        <v>1192</v>
      </c>
      <c r="F2051" s="328">
        <v>10</v>
      </c>
      <c r="G2051" s="328" t="s">
        <v>73</v>
      </c>
      <c r="H2051" s="329">
        <f>ROUND(($F$2050)*((F2051)/($F$2051+$F$2052+$F$2053+$F$2054+$F$2056+$F$2057+$F$2058)),2)</f>
        <v>2.14</v>
      </c>
      <c r="I2051" s="328" t="s">
        <v>73</v>
      </c>
      <c r="J2051" s="340"/>
      <c r="K2051" s="410">
        <f t="shared" si="272"/>
        <v>6.42</v>
      </c>
      <c r="L2051" s="19"/>
      <c r="M2051" s="19"/>
      <c r="N2051" s="19"/>
      <c r="O2051" s="19"/>
      <c r="P2051" s="19"/>
    </row>
    <row r="2052" spans="1:16" x14ac:dyDescent="0.35">
      <c r="A2052" s="332"/>
      <c r="B2052" s="333"/>
      <c r="C2052" s="333"/>
      <c r="D2052" s="390" t="s">
        <v>50</v>
      </c>
      <c r="E2052" s="395" t="s">
        <v>394</v>
      </c>
      <c r="F2052" s="335">
        <v>40</v>
      </c>
      <c r="G2052" s="335" t="s">
        <v>73</v>
      </c>
      <c r="H2052" s="336">
        <f t="shared" ref="H2052:H2058" si="274">ROUND(($F$2050)*((F2052)/($F$2051+$F$2052+$F$2053+$F$2054+$F$2056+$F$2057+$F$2058)),2)</f>
        <v>8.57</v>
      </c>
      <c r="I2052" s="335" t="s">
        <v>73</v>
      </c>
      <c r="J2052" s="333"/>
      <c r="K2052" s="411">
        <f t="shared" si="272"/>
        <v>25.71</v>
      </c>
      <c r="L2052" s="19"/>
      <c r="M2052" s="19"/>
      <c r="N2052" s="19"/>
      <c r="O2052" s="19"/>
      <c r="P2052" s="19"/>
    </row>
    <row r="2053" spans="1:16" x14ac:dyDescent="0.35">
      <c r="A2053" s="339"/>
      <c r="B2053" s="340"/>
      <c r="C2053" s="340"/>
      <c r="D2053" s="390" t="s">
        <v>371</v>
      </c>
      <c r="E2053" s="391" t="s">
        <v>372</v>
      </c>
      <c r="F2053" s="328">
        <v>40</v>
      </c>
      <c r="G2053" s="328" t="s">
        <v>73</v>
      </c>
      <c r="H2053" s="329">
        <f t="shared" si="274"/>
        <v>8.57</v>
      </c>
      <c r="I2053" s="328" t="s">
        <v>73</v>
      </c>
      <c r="J2053" s="340"/>
      <c r="K2053" s="410">
        <f t="shared" si="272"/>
        <v>25.71</v>
      </c>
      <c r="L2053" s="19"/>
      <c r="M2053" s="19"/>
      <c r="N2053" s="19"/>
      <c r="O2053" s="19"/>
      <c r="P2053" s="19"/>
    </row>
    <row r="2054" spans="1:16" x14ac:dyDescent="0.35">
      <c r="A2054" s="332"/>
      <c r="B2054" s="333"/>
      <c r="C2054" s="333"/>
      <c r="D2054" s="390" t="s">
        <v>260</v>
      </c>
      <c r="E2054" s="395" t="s">
        <v>1193</v>
      </c>
      <c r="F2054" s="335">
        <v>120</v>
      </c>
      <c r="G2054" s="335" t="s">
        <v>73</v>
      </c>
      <c r="H2054" s="336">
        <f t="shared" si="274"/>
        <v>25.71</v>
      </c>
      <c r="I2054" s="335" t="s">
        <v>73</v>
      </c>
      <c r="J2054" s="333"/>
      <c r="K2054" s="411">
        <f t="shared" si="272"/>
        <v>77.13</v>
      </c>
      <c r="L2054" s="19"/>
      <c r="M2054" s="19"/>
      <c r="N2054" s="19"/>
      <c r="O2054" s="19"/>
      <c r="P2054" s="19"/>
    </row>
    <row r="2055" spans="1:16" ht="15" thickBot="1" x14ac:dyDescent="0.4">
      <c r="A2055" s="339"/>
      <c r="B2055" s="340"/>
      <c r="C2055" s="340"/>
      <c r="D2055" s="396"/>
      <c r="E2055" s="393" t="s">
        <v>950</v>
      </c>
      <c r="F2055" s="343">
        <v>40</v>
      </c>
      <c r="G2055" s="343" t="s">
        <v>73</v>
      </c>
      <c r="H2055" s="344"/>
      <c r="I2055" s="343"/>
      <c r="J2055" s="364"/>
      <c r="K2055" s="428"/>
      <c r="L2055" s="19"/>
      <c r="M2055" s="19"/>
      <c r="N2055" s="19"/>
      <c r="O2055" s="19"/>
      <c r="P2055" s="19"/>
    </row>
    <row r="2056" spans="1:16" ht="15" thickTop="1" x14ac:dyDescent="0.35">
      <c r="A2056" s="332"/>
      <c r="B2056" s="333"/>
      <c r="C2056" s="333"/>
      <c r="D2056" s="385" t="s">
        <v>141</v>
      </c>
      <c r="E2056" s="395" t="s">
        <v>1194</v>
      </c>
      <c r="F2056" s="335">
        <v>40</v>
      </c>
      <c r="G2056" s="335" t="s">
        <v>73</v>
      </c>
      <c r="H2056" s="336">
        <f t="shared" si="274"/>
        <v>8.57</v>
      </c>
      <c r="I2056" s="335" t="s">
        <v>73</v>
      </c>
      <c r="J2056" s="333"/>
      <c r="K2056" s="411">
        <f t="shared" si="272"/>
        <v>25.71</v>
      </c>
      <c r="L2056" s="19"/>
      <c r="M2056" s="19"/>
      <c r="N2056" s="19"/>
      <c r="O2056" s="19"/>
      <c r="P2056" s="19"/>
    </row>
    <row r="2057" spans="1:16" x14ac:dyDescent="0.35">
      <c r="A2057" s="339"/>
      <c r="B2057" s="340"/>
      <c r="C2057" s="340"/>
      <c r="D2057" s="390" t="s">
        <v>46</v>
      </c>
      <c r="E2057" s="391" t="s">
        <v>1195</v>
      </c>
      <c r="F2057" s="328">
        <v>20</v>
      </c>
      <c r="G2057" s="328" t="s">
        <v>73</v>
      </c>
      <c r="H2057" s="329">
        <f t="shared" si="274"/>
        <v>4.29</v>
      </c>
      <c r="I2057" s="328" t="s">
        <v>73</v>
      </c>
      <c r="J2057" s="340"/>
      <c r="K2057" s="410">
        <f t="shared" si="272"/>
        <v>12.870000000000001</v>
      </c>
      <c r="L2057" s="19"/>
      <c r="M2057" s="19"/>
      <c r="N2057" s="19"/>
      <c r="O2057" s="19"/>
      <c r="P2057" s="19"/>
    </row>
    <row r="2058" spans="1:16" ht="15" thickBot="1" x14ac:dyDescent="0.4">
      <c r="A2058" s="332"/>
      <c r="B2058" s="333"/>
      <c r="C2058" s="333"/>
      <c r="D2058" s="390" t="s">
        <v>379</v>
      </c>
      <c r="E2058" s="395" t="s">
        <v>380</v>
      </c>
      <c r="F2058" s="335">
        <v>10</v>
      </c>
      <c r="G2058" s="335" t="s">
        <v>73</v>
      </c>
      <c r="H2058" s="336">
        <f t="shared" si="274"/>
        <v>2.14</v>
      </c>
      <c r="I2058" s="335" t="s">
        <v>73</v>
      </c>
      <c r="J2058" s="333"/>
      <c r="K2058" s="411">
        <f t="shared" si="272"/>
        <v>6.42</v>
      </c>
      <c r="L2058" s="19"/>
      <c r="M2058" s="19"/>
      <c r="N2058" s="19"/>
      <c r="O2058" s="19"/>
      <c r="P2058" s="19"/>
    </row>
    <row r="2059" spans="1:16" ht="15" thickTop="1" x14ac:dyDescent="0.35">
      <c r="A2059" s="339"/>
      <c r="B2059" s="340"/>
      <c r="C2059" s="340"/>
      <c r="D2059" s="394"/>
      <c r="E2059" s="384" t="s">
        <v>1203</v>
      </c>
      <c r="F2059" s="356">
        <v>30</v>
      </c>
      <c r="G2059" s="356" t="s">
        <v>73</v>
      </c>
      <c r="H2059" s="357"/>
      <c r="I2059" s="356"/>
      <c r="J2059" s="358"/>
      <c r="K2059" s="414"/>
      <c r="L2059" s="19"/>
      <c r="M2059" s="19"/>
      <c r="N2059" s="19"/>
      <c r="O2059" s="19"/>
      <c r="P2059" s="19"/>
    </row>
    <row r="2060" spans="1:16" x14ac:dyDescent="0.35">
      <c r="A2060" s="332"/>
      <c r="B2060" s="333"/>
      <c r="C2060" s="333"/>
      <c r="D2060" s="390" t="s">
        <v>48</v>
      </c>
      <c r="E2060" s="397" t="s">
        <v>1126</v>
      </c>
      <c r="F2060" s="18">
        <v>20</v>
      </c>
      <c r="G2060" s="18" t="s">
        <v>73</v>
      </c>
      <c r="H2060" s="336">
        <f>ROUND(($F$2059)*((F2060)/((($F$2062)*(($F$2063)/($F$2063+$F$2064+$F$2065+$F$2066+$F$2067)))+
(($F$2062)*(($F$2064)/($F$2063+$F$2064+$F$2065+$F$2066+$F$2067)))+
(($F$2062)*(($F$2065)/($F$2063+$F$2064+$F$2065+$F$2066+$F$2067)))+
(($F$2062)*(($F$2066)/($F$2063+$F$2064+$F$2065+$F$2066+$F$2067)))+
(($F$2062)*(($F$2067)/($F$2063+$F$2064+$F$2065+$F$2066+$F$2067)))+
($F$2060)+($F$2061))),2)</f>
        <v>23.08</v>
      </c>
      <c r="I2060" s="335" t="s">
        <v>73</v>
      </c>
      <c r="J2060" s="333"/>
      <c r="K2060" s="411">
        <f t="shared" si="272"/>
        <v>69.239999999999995</v>
      </c>
      <c r="L2060" s="19"/>
      <c r="M2060" s="19"/>
      <c r="N2060" s="19"/>
      <c r="O2060" s="19"/>
      <c r="P2060" s="19"/>
    </row>
    <row r="2061" spans="1:16" x14ac:dyDescent="0.35">
      <c r="A2061" s="339"/>
      <c r="B2061" s="340"/>
      <c r="C2061" s="340"/>
      <c r="D2061" s="390" t="s">
        <v>505</v>
      </c>
      <c r="E2061" s="386" t="s">
        <v>1169</v>
      </c>
      <c r="F2061" s="22">
        <v>1</v>
      </c>
      <c r="G2061" s="22" t="s">
        <v>73</v>
      </c>
      <c r="H2061" s="329">
        <f>ROUND(($F$2059)*((F2061)/((($F$2062)*(($F$2063)/($F$2063+$F$2064+$F$2065+$F$2066+$F$2067)))+
(($F$2062)*(($F$2064)/($F$2063+$F$2064+$F$2065+$F$2066+$F$2067)))+
(($F$2062)*(($F$2065)/($F$2063+$F$2064+$F$2065+$F$2066+$F$2067)))+
(($F$2062)*(($F$2066)/($F$2063+$F$2064+$F$2065+$F$2066+$F$2067)))+
(($F$2062)*(($F$2067)/($F$2063+$F$2064+$F$2065+$F$2066+$F$2067)))+
($F$2060)+($F$2061))),2)</f>
        <v>1.1499999999999999</v>
      </c>
      <c r="I2061" s="328" t="s">
        <v>73</v>
      </c>
      <c r="J2061" s="340"/>
      <c r="K2061" s="410">
        <f t="shared" si="272"/>
        <v>3.4499999999999997</v>
      </c>
      <c r="L2061" s="19"/>
      <c r="M2061" s="19"/>
      <c r="N2061" s="19"/>
      <c r="O2061" s="19"/>
      <c r="P2061" s="19"/>
    </row>
    <row r="2062" spans="1:16" x14ac:dyDescent="0.35">
      <c r="A2062" s="332"/>
      <c r="B2062" s="333"/>
      <c r="C2062" s="333"/>
      <c r="D2062" s="398"/>
      <c r="E2062" s="389" t="s">
        <v>1204</v>
      </c>
      <c r="F2062" s="356">
        <v>5</v>
      </c>
      <c r="G2062" s="378" t="s">
        <v>73</v>
      </c>
      <c r="H2062" s="429"/>
      <c r="I2062" s="356"/>
      <c r="J2062" s="358"/>
      <c r="K2062" s="414"/>
      <c r="L2062" s="19"/>
      <c r="M2062" s="19"/>
      <c r="N2062" s="19"/>
      <c r="O2062" s="19"/>
      <c r="P2062" s="19"/>
    </row>
    <row r="2063" spans="1:16" x14ac:dyDescent="0.35">
      <c r="A2063" s="339"/>
      <c r="B2063" s="340"/>
      <c r="C2063" s="340"/>
      <c r="D2063" s="399" t="s">
        <v>145</v>
      </c>
      <c r="E2063" s="401" t="s">
        <v>1199</v>
      </c>
      <c r="F2063" s="22">
        <v>100</v>
      </c>
      <c r="G2063" s="22" t="s">
        <v>73</v>
      </c>
      <c r="H2063" s="329">
        <f>ROUND(($F$2059)*((($F$2062)*((F2063)/($F$2063+$F$2064+$F$2065+$F$2066+$F$2067)))
/((($F$2062)*(($F$2063)/($F$2063+$F$2064+$F$2065+$F$2066+$F$2067)))+
(($F$2062)*(($F$2064)/($F$2063+$F$2064+$F$2065+$F$2066+$F$2067)))+
(($F$2062)*(($F$2065)/($F$2063+$F$2064+$F$2065+$F$2066+$F$2067)))+
(($F$2062)*(($F$2066)/($F$2063+$F$2064+$F$2065+$F$2066+$F$2067)))+
(($F$2062)*(($F$2067)/($F$2063+$F$2064+$F$2065+$F$2066+$F$2067)))+
($F$2060)+($F$2061))),2)</f>
        <v>4.34</v>
      </c>
      <c r="I2063" s="328" t="s">
        <v>73</v>
      </c>
      <c r="J2063" s="340"/>
      <c r="K2063" s="410">
        <f t="shared" si="272"/>
        <v>13.02</v>
      </c>
      <c r="L2063" s="19"/>
      <c r="M2063" s="19"/>
      <c r="N2063" s="19"/>
      <c r="O2063" s="19"/>
      <c r="P2063" s="19"/>
    </row>
    <row r="2064" spans="1:16" x14ac:dyDescent="0.35">
      <c r="A2064" s="332"/>
      <c r="B2064" s="333"/>
      <c r="C2064" s="333"/>
      <c r="D2064" s="390" t="s">
        <v>40</v>
      </c>
      <c r="E2064" s="400" t="s">
        <v>1200</v>
      </c>
      <c r="F2064" s="18">
        <v>8</v>
      </c>
      <c r="G2064" s="18" t="s">
        <v>73</v>
      </c>
      <c r="H2064" s="336">
        <f t="shared" ref="H2064:H2067" si="275">ROUND(($F$2059)*((($F$2062)*((F2064)/($F$2063+$F$2064+$F$2065+$F$2066+$F$2067)))
/((($F$2062)*(($F$2063)/($F$2063+$F$2064+$F$2065+$F$2066+$F$2067)))+
(($F$2062)*(($F$2064)/($F$2063+$F$2064+$F$2065+$F$2066+$F$2067)))+
(($F$2062)*(($F$2065)/($F$2063+$F$2064+$F$2065+$F$2066+$F$2067)))+
(($F$2062)*(($F$2066)/($F$2063+$F$2064+$F$2065+$F$2066+$F$2067)))+
(($F$2062)*(($F$2067)/($F$2063+$F$2064+$F$2065+$F$2066+$F$2067)))+
($F$2060)+($F$2061))),2)</f>
        <v>0.35</v>
      </c>
      <c r="I2064" s="335" t="s">
        <v>73</v>
      </c>
      <c r="J2064" s="333"/>
      <c r="K2064" s="411">
        <f t="shared" si="272"/>
        <v>1.0499999999999998</v>
      </c>
      <c r="L2064" s="19"/>
      <c r="M2064" s="19"/>
      <c r="N2064" s="19"/>
      <c r="O2064" s="19"/>
      <c r="P2064" s="19"/>
    </row>
    <row r="2065" spans="1:16" x14ac:dyDescent="0.35">
      <c r="A2065" s="339"/>
      <c r="B2065" s="340"/>
      <c r="C2065" s="340"/>
      <c r="D2065" s="390" t="s">
        <v>505</v>
      </c>
      <c r="E2065" s="401" t="s">
        <v>1169</v>
      </c>
      <c r="F2065" s="22">
        <v>10</v>
      </c>
      <c r="G2065" s="22" t="s">
        <v>73</v>
      </c>
      <c r="H2065" s="329">
        <f t="shared" si="275"/>
        <v>0.43</v>
      </c>
      <c r="I2065" s="328" t="s">
        <v>73</v>
      </c>
      <c r="J2065" s="340"/>
      <c r="K2065" s="410">
        <f t="shared" si="272"/>
        <v>1.29</v>
      </c>
      <c r="L2065" s="19"/>
      <c r="M2065" s="19"/>
      <c r="N2065" s="19"/>
      <c r="O2065" s="19"/>
      <c r="P2065" s="19"/>
    </row>
    <row r="2066" spans="1:16" x14ac:dyDescent="0.35">
      <c r="A2066" s="332"/>
      <c r="B2066" s="333"/>
      <c r="C2066" s="333"/>
      <c r="D2066" s="390" t="s">
        <v>41</v>
      </c>
      <c r="E2066" s="400" t="s">
        <v>1201</v>
      </c>
      <c r="F2066" s="18">
        <v>5</v>
      </c>
      <c r="G2066" s="18" t="s">
        <v>73</v>
      </c>
      <c r="H2066" s="336">
        <f t="shared" si="275"/>
        <v>0.22</v>
      </c>
      <c r="I2066" s="335" t="s">
        <v>73</v>
      </c>
      <c r="J2066" s="333"/>
      <c r="K2066" s="411">
        <f t="shared" si="272"/>
        <v>0.66</v>
      </c>
      <c r="L2066" s="19"/>
      <c r="M2066" s="19"/>
      <c r="N2066" s="19"/>
      <c r="O2066" s="19"/>
      <c r="P2066" s="19"/>
    </row>
    <row r="2067" spans="1:16" x14ac:dyDescent="0.35">
      <c r="A2067" s="339"/>
      <c r="B2067" s="340"/>
      <c r="C2067" s="340"/>
      <c r="D2067" s="390" t="s">
        <v>672</v>
      </c>
      <c r="E2067" s="401" t="s">
        <v>1202</v>
      </c>
      <c r="F2067" s="22">
        <v>10</v>
      </c>
      <c r="G2067" s="22" t="s">
        <v>73</v>
      </c>
      <c r="H2067" s="329">
        <f t="shared" si="275"/>
        <v>0.43</v>
      </c>
      <c r="I2067" s="328" t="s">
        <v>73</v>
      </c>
      <c r="J2067" s="340"/>
      <c r="K2067" s="410">
        <f t="shared" si="272"/>
        <v>1.29</v>
      </c>
      <c r="L2067" s="19"/>
      <c r="M2067" s="19"/>
      <c r="N2067" s="19"/>
      <c r="O2067" s="19"/>
      <c r="P2067" s="19"/>
    </row>
    <row r="2068" spans="1:16" x14ac:dyDescent="0.35">
      <c r="A2068" s="332"/>
      <c r="B2068" s="333"/>
      <c r="C2068" s="333"/>
      <c r="D2068" s="388"/>
      <c r="E2068" s="384" t="s">
        <v>769</v>
      </c>
      <c r="F2068" s="378">
        <v>5</v>
      </c>
      <c r="G2068" s="378" t="s">
        <v>73</v>
      </c>
      <c r="H2068" s="357"/>
      <c r="I2068" s="356"/>
      <c r="J2068" s="358"/>
      <c r="K2068" s="414"/>
      <c r="L2068" s="19"/>
      <c r="M2068" s="19"/>
      <c r="N2068" s="19"/>
      <c r="O2068" s="19"/>
      <c r="P2068" s="19"/>
    </row>
    <row r="2069" spans="1:16" x14ac:dyDescent="0.35">
      <c r="A2069" s="339"/>
      <c r="B2069" s="340"/>
      <c r="C2069" s="340"/>
      <c r="D2069" s="390" t="s">
        <v>521</v>
      </c>
      <c r="E2069" s="402" t="s">
        <v>906</v>
      </c>
      <c r="F2069" s="22">
        <v>200</v>
      </c>
      <c r="G2069" s="22" t="s">
        <v>73</v>
      </c>
      <c r="H2069" s="375">
        <f>ROUND(($F$2068)*(($F$2069)/((($F$2070)*(($F$2071)/($F$2071+$F$2072)))+
(($F$2070)*(($F$2072)/($F$2071+$F$2072)))+
(($F$2073)*(($F$2074)/($F$2074+$F$2075)))+
(($F$2073)*(($F$2075)/($F$2074+$F$2075)))+
($F$2069)+($F$2076)+($F$2077))),2)</f>
        <v>4.1500000000000004</v>
      </c>
      <c r="I2069" s="328" t="s">
        <v>73</v>
      </c>
      <c r="J2069" s="340"/>
      <c r="K2069" s="410">
        <f t="shared" si="272"/>
        <v>12.450000000000001</v>
      </c>
      <c r="L2069" s="19"/>
      <c r="M2069" s="19"/>
      <c r="N2069" s="19"/>
      <c r="O2069" s="19"/>
      <c r="P2069" s="19"/>
    </row>
    <row r="2070" spans="1:16" x14ac:dyDescent="0.35">
      <c r="A2070" s="332"/>
      <c r="B2070" s="333"/>
      <c r="C2070" s="333"/>
      <c r="D2070" s="388"/>
      <c r="E2070" s="403" t="s">
        <v>770</v>
      </c>
      <c r="F2070" s="378">
        <v>30</v>
      </c>
      <c r="G2070" s="378" t="s">
        <v>73</v>
      </c>
      <c r="H2070" s="430"/>
      <c r="I2070" s="356"/>
      <c r="J2070" s="358"/>
      <c r="K2070" s="414"/>
      <c r="L2070" s="19"/>
      <c r="M2070" s="19"/>
      <c r="N2070" s="19"/>
      <c r="O2070" s="19"/>
      <c r="P2070" s="19"/>
    </row>
    <row r="2071" spans="1:16" x14ac:dyDescent="0.35">
      <c r="A2071" s="339"/>
      <c r="B2071" s="340"/>
      <c r="C2071" s="340"/>
      <c r="D2071" s="390" t="s">
        <v>537</v>
      </c>
      <c r="E2071" s="391" t="s">
        <v>771</v>
      </c>
      <c r="F2071" s="22">
        <v>1</v>
      </c>
      <c r="G2071" s="22" t="s">
        <v>73</v>
      </c>
      <c r="H2071" s="375">
        <f>ROUND(($F$2068)*((($F$2070)*(($F$2071)/($F$2071+$F$2072)))
/((($F$2070)*(($F$2071)/($F$2071+$F$2072)))+
(($F$2070)*(($F$2072)/($F$2071+$F$2072)))+
(($F$2073)*(($F$2074)/($F$2074+$F$2075)))+
(($F$2073)*(($F$2075)/($F$2074+$F$2075)))+
($F$2069)+($F$2076)+($F$2077))),2)</f>
        <v>0.01</v>
      </c>
      <c r="I2071" s="328" t="s">
        <v>73</v>
      </c>
      <c r="J2071" s="340"/>
      <c r="K2071" s="410">
        <f t="shared" si="272"/>
        <v>0.03</v>
      </c>
      <c r="L2071" s="19"/>
      <c r="M2071" s="19"/>
      <c r="N2071" s="19"/>
      <c r="O2071" s="19"/>
      <c r="P2071" s="19"/>
    </row>
    <row r="2072" spans="1:16" x14ac:dyDescent="0.35">
      <c r="A2072" s="332"/>
      <c r="B2072" s="333"/>
      <c r="C2072" s="333"/>
      <c r="D2072" s="392"/>
      <c r="E2072" s="393" t="s">
        <v>81</v>
      </c>
      <c r="F2072" s="404">
        <v>100</v>
      </c>
      <c r="G2072" s="404" t="s">
        <v>73</v>
      </c>
      <c r="H2072" s="431">
        <f>ROUND(($F$2068)*((($F$2070)*(($F$2072)/($F$2071+$F$2072)))
/((($F$2070)*(($F$2071)/($F$2071+$F$2072)))+
(($F$2070)*(($F$2072)/($F$2071+$F$2072)))+
(($F$2073)*(($F$2074)/($F$2074+$F$2075)))+
(($F$2073)*(($F$2075)/($F$2074+$F$2075)))+
($F$2069)+($F$2076)+($F$2077))),2)</f>
        <v>0.62</v>
      </c>
      <c r="I2072" s="343"/>
      <c r="J2072" s="364"/>
      <c r="K2072" s="428"/>
      <c r="L2072" s="19"/>
      <c r="M2072" s="19"/>
      <c r="N2072" s="19"/>
      <c r="O2072" s="19"/>
      <c r="P2072" s="19"/>
    </row>
    <row r="2073" spans="1:16" x14ac:dyDescent="0.35">
      <c r="A2073" s="339"/>
      <c r="B2073" s="340"/>
      <c r="C2073" s="340"/>
      <c r="D2073" s="388"/>
      <c r="E2073" s="403" t="s">
        <v>726</v>
      </c>
      <c r="F2073" s="378">
        <v>2</v>
      </c>
      <c r="G2073" s="378" t="s">
        <v>73</v>
      </c>
      <c r="H2073" s="430"/>
      <c r="I2073" s="356"/>
      <c r="J2073" s="358"/>
      <c r="K2073" s="414"/>
      <c r="L2073" s="19"/>
      <c r="M2073" s="19"/>
      <c r="N2073" s="19"/>
      <c r="O2073" s="19"/>
      <c r="P2073" s="19"/>
    </row>
    <row r="2074" spans="1:16" x14ac:dyDescent="0.35">
      <c r="A2074" s="332"/>
      <c r="B2074" s="333"/>
      <c r="C2074" s="333"/>
      <c r="D2074" s="390" t="s">
        <v>43</v>
      </c>
      <c r="E2074" s="395" t="s">
        <v>105</v>
      </c>
      <c r="F2074" s="18">
        <v>15</v>
      </c>
      <c r="G2074" s="18" t="s">
        <v>73</v>
      </c>
      <c r="H2074" s="376">
        <f>ROUND(($F$2068)*((($F$2073)*(($F$2074)/($F$2074+$F$2075)))
/((($F$2070)*(($F$2071)/($F$2071+$F$2072)))+
(($F$2070)*(($F$2072)/($F$2071+$F$2072)))+
(($F$2073)*(($F$2074)/($F$2074+$F$2075)))+
(($F$2073)*(($F$2075)/($F$2074+$F$2075)))+
($F$2069)+($F$2076)+($F$2077))),2)</f>
        <v>0.01</v>
      </c>
      <c r="I2074" s="335" t="s">
        <v>73</v>
      </c>
      <c r="J2074" s="333"/>
      <c r="K2074" s="411">
        <f t="shared" si="272"/>
        <v>0.03</v>
      </c>
      <c r="L2074" s="19"/>
      <c r="M2074" s="19"/>
      <c r="N2074" s="19"/>
      <c r="O2074" s="19"/>
      <c r="P2074" s="19"/>
    </row>
    <row r="2075" spans="1:16" x14ac:dyDescent="0.35">
      <c r="A2075" s="339"/>
      <c r="B2075" s="340"/>
      <c r="C2075" s="340"/>
      <c r="D2075" s="390" t="s">
        <v>42</v>
      </c>
      <c r="E2075" s="391" t="s">
        <v>95</v>
      </c>
      <c r="F2075" s="22">
        <v>85</v>
      </c>
      <c r="G2075" s="22" t="s">
        <v>73</v>
      </c>
      <c r="H2075" s="375">
        <f>ROUND(($F$2068)*((($F$2073)*(($F$2075)/($F$2074+$F$2075)))
/((($F$2070)*(($F$2071)/($F$2071+$F$2072)))+
(($F$2070)*(($F$2072)/($F$2071+$F$2072)))+
(($F$2073)*(($F$2074)/($F$2074+$F$2075)))+
(($F$2073)*(($F$2075)/($F$2074+$F$2075)))+
($F$2069)+($F$2076)+($F$2077))),2)</f>
        <v>0.04</v>
      </c>
      <c r="I2075" s="328" t="s">
        <v>73</v>
      </c>
      <c r="J2075" s="340"/>
      <c r="K2075" s="410">
        <f t="shared" si="272"/>
        <v>0.12</v>
      </c>
      <c r="L2075" s="19"/>
      <c r="M2075" s="19"/>
      <c r="N2075" s="19"/>
      <c r="O2075" s="19"/>
      <c r="P2075" s="19"/>
    </row>
    <row r="2076" spans="1:16" x14ac:dyDescent="0.35">
      <c r="A2076" s="332"/>
      <c r="B2076" s="333"/>
      <c r="C2076" s="333"/>
      <c r="D2076" s="390" t="s">
        <v>517</v>
      </c>
      <c r="E2076" s="432" t="s">
        <v>724</v>
      </c>
      <c r="F2076" s="18">
        <v>8</v>
      </c>
      <c r="G2076" s="18" t="s">
        <v>73</v>
      </c>
      <c r="H2076" s="376">
        <f>ROUND(($F$2068)*((F2076)/((($F$2070)*(($F$2071)/($F$2071+$F$2072)))+
(($F$2070)*(($F$2072)/($F$2071+$F$2072)))+
(($F$2073)*(($F$2074)/($F$2074+$F$2075)))+
(($F$2073)*(($F$2075)/($F$2074+$F$2075)))+
($F$2069)+($F$2076)+($F$2077))),2)</f>
        <v>0.17</v>
      </c>
      <c r="I2076" s="335" t="s">
        <v>73</v>
      </c>
      <c r="J2076" s="333"/>
      <c r="K2076" s="411">
        <f t="shared" si="272"/>
        <v>0.51</v>
      </c>
      <c r="L2076" s="19"/>
      <c r="M2076" s="19"/>
      <c r="N2076" s="19"/>
      <c r="O2076" s="19"/>
      <c r="P2076" s="19"/>
    </row>
    <row r="2077" spans="1:16" x14ac:dyDescent="0.35">
      <c r="A2077" s="339"/>
      <c r="B2077" s="340"/>
      <c r="C2077" s="340"/>
      <c r="D2077" s="390" t="s">
        <v>45</v>
      </c>
      <c r="E2077" s="402" t="s">
        <v>101</v>
      </c>
      <c r="F2077" s="22">
        <v>1</v>
      </c>
      <c r="G2077" s="22" t="s">
        <v>73</v>
      </c>
      <c r="H2077" s="375">
        <f>ROUND(($F$2068)*((F2077)/((($F$2070)*(($F$2071)/($F$2071+$F$2072)))+
(($F$2070)*(($F$2072)/($F$2071+$F$2072)))+
(($F$2073)*(($F$2074)/($F$2074+$F$2075)))+
(($F$2073)*(($F$2075)/($F$2074+$F$2075)))+
($F$2069)+($F$2076)+($F$2077))),2)</f>
        <v>0.02</v>
      </c>
      <c r="I2077" s="328" t="s">
        <v>73</v>
      </c>
      <c r="J2077" s="340"/>
      <c r="K2077" s="410">
        <f t="shared" si="272"/>
        <v>0.06</v>
      </c>
      <c r="L2077" s="19"/>
      <c r="M2077" s="19"/>
      <c r="N2077" s="19"/>
      <c r="O2077" s="19"/>
      <c r="P2077" s="19"/>
    </row>
    <row r="2078" spans="1:16" x14ac:dyDescent="0.35">
      <c r="A2078" s="332"/>
      <c r="B2078" s="333"/>
      <c r="C2078" s="333"/>
      <c r="D2078" s="388"/>
      <c r="E2078" s="388" t="s">
        <v>973</v>
      </c>
      <c r="F2078" s="356">
        <v>80</v>
      </c>
      <c r="G2078" s="356" t="s">
        <v>73</v>
      </c>
      <c r="H2078" s="357"/>
      <c r="I2078" s="356"/>
      <c r="J2078" s="358"/>
      <c r="K2078" s="414"/>
      <c r="L2078" s="19"/>
      <c r="M2078" s="19"/>
      <c r="N2078" s="19"/>
      <c r="O2078" s="19"/>
      <c r="P2078" s="19"/>
    </row>
    <row r="2079" spans="1:16" x14ac:dyDescent="0.35">
      <c r="A2079" s="339"/>
      <c r="B2079" s="340"/>
      <c r="C2079" s="340"/>
      <c r="D2079" s="390" t="s">
        <v>47</v>
      </c>
      <c r="E2079" s="402" t="s">
        <v>740</v>
      </c>
      <c r="F2079" s="22">
        <v>3</v>
      </c>
      <c r="G2079" s="22" t="s">
        <v>73</v>
      </c>
      <c r="H2079" s="375">
        <f>ROUND((($F$2078)*((F2079)/($F$2079+$F$2080+$F$2081+$F$2082+$F$2083+$F$2084+$F$2085+$F$2086+$F$2087))),2)</f>
        <v>0.87</v>
      </c>
      <c r="I2079" s="328" t="s">
        <v>73</v>
      </c>
      <c r="J2079" s="340"/>
      <c r="K2079" s="410">
        <f t="shared" si="272"/>
        <v>2.61</v>
      </c>
      <c r="L2079" s="19"/>
      <c r="M2079" s="19"/>
      <c r="N2079" s="19"/>
      <c r="O2079" s="19"/>
      <c r="P2079" s="19"/>
    </row>
    <row r="2080" spans="1:16" x14ac:dyDescent="0.35">
      <c r="A2080" s="332"/>
      <c r="B2080" s="333"/>
      <c r="C2080" s="333"/>
      <c r="D2080" s="390" t="s">
        <v>49</v>
      </c>
      <c r="E2080" s="432" t="s">
        <v>916</v>
      </c>
      <c r="F2080" s="18">
        <v>8</v>
      </c>
      <c r="G2080" s="18" t="s">
        <v>73</v>
      </c>
      <c r="H2080" s="376">
        <f t="shared" ref="H2080:H2087" si="276">ROUND((($F$2078)*((F2080)/($F$2079+$F$2080+$F$2081+$F$2082+$F$2083+$F$2084+$F$2085+$F$2086+$F$2087))),2)</f>
        <v>2.31</v>
      </c>
      <c r="I2080" s="335" t="s">
        <v>73</v>
      </c>
      <c r="J2080" s="333"/>
      <c r="K2080" s="411">
        <f t="shared" si="272"/>
        <v>6.93</v>
      </c>
      <c r="L2080" s="19"/>
      <c r="M2080" s="19"/>
      <c r="N2080" s="19"/>
      <c r="O2080" s="19"/>
      <c r="P2080" s="19"/>
    </row>
    <row r="2081" spans="1:16" x14ac:dyDescent="0.35">
      <c r="A2081" s="339"/>
      <c r="B2081" s="340"/>
      <c r="C2081" s="340"/>
      <c r="D2081" s="390" t="s">
        <v>50</v>
      </c>
      <c r="E2081" s="402" t="s">
        <v>917</v>
      </c>
      <c r="F2081" s="22">
        <v>40</v>
      </c>
      <c r="G2081" s="22" t="s">
        <v>73</v>
      </c>
      <c r="H2081" s="375">
        <f t="shared" si="276"/>
        <v>11.57</v>
      </c>
      <c r="I2081" s="328" t="s">
        <v>73</v>
      </c>
      <c r="J2081" s="340"/>
      <c r="K2081" s="410">
        <f t="shared" si="272"/>
        <v>34.71</v>
      </c>
      <c r="L2081" s="19"/>
      <c r="M2081" s="19"/>
      <c r="N2081" s="19"/>
      <c r="O2081" s="19"/>
      <c r="P2081" s="19"/>
    </row>
    <row r="2082" spans="1:16" x14ac:dyDescent="0.35">
      <c r="A2082" s="332"/>
      <c r="B2082" s="333"/>
      <c r="C2082" s="333"/>
      <c r="D2082" s="390" t="s">
        <v>371</v>
      </c>
      <c r="E2082" s="432" t="s">
        <v>918</v>
      </c>
      <c r="F2082" s="18">
        <v>20</v>
      </c>
      <c r="G2082" s="18" t="s">
        <v>73</v>
      </c>
      <c r="H2082" s="376">
        <f t="shared" si="276"/>
        <v>5.79</v>
      </c>
      <c r="I2082" s="335" t="s">
        <v>73</v>
      </c>
      <c r="J2082" s="333"/>
      <c r="K2082" s="411">
        <f t="shared" si="272"/>
        <v>17.37</v>
      </c>
      <c r="L2082" s="19"/>
      <c r="M2082" s="19"/>
      <c r="N2082" s="19"/>
      <c r="O2082" s="19"/>
      <c r="P2082" s="19"/>
    </row>
    <row r="2083" spans="1:16" x14ac:dyDescent="0.35">
      <c r="A2083" s="339"/>
      <c r="B2083" s="340"/>
      <c r="C2083" s="340"/>
      <c r="D2083" s="390" t="s">
        <v>379</v>
      </c>
      <c r="E2083" s="402" t="s">
        <v>919</v>
      </c>
      <c r="F2083" s="22">
        <v>10</v>
      </c>
      <c r="G2083" s="22" t="s">
        <v>73</v>
      </c>
      <c r="H2083" s="375">
        <f t="shared" si="276"/>
        <v>2.89</v>
      </c>
      <c r="I2083" s="328" t="s">
        <v>73</v>
      </c>
      <c r="J2083" s="340"/>
      <c r="K2083" s="410">
        <f t="shared" si="272"/>
        <v>8.67</v>
      </c>
      <c r="L2083" s="19"/>
      <c r="M2083" s="19"/>
      <c r="N2083" s="19"/>
      <c r="O2083" s="19"/>
      <c r="P2083" s="19"/>
    </row>
    <row r="2084" spans="1:16" x14ac:dyDescent="0.35">
      <c r="A2084" s="332"/>
      <c r="B2084" s="333"/>
      <c r="C2084" s="333"/>
      <c r="D2084" s="390" t="s">
        <v>505</v>
      </c>
      <c r="E2084" s="432" t="s">
        <v>722</v>
      </c>
      <c r="F2084" s="18">
        <v>0.5</v>
      </c>
      <c r="G2084" s="18" t="s">
        <v>73</v>
      </c>
      <c r="H2084" s="376">
        <f t="shared" si="276"/>
        <v>0.14000000000000001</v>
      </c>
      <c r="I2084" s="335" t="s">
        <v>73</v>
      </c>
      <c r="J2084" s="333"/>
      <c r="K2084" s="411">
        <f t="shared" si="272"/>
        <v>0.42000000000000004</v>
      </c>
      <c r="L2084" s="19"/>
      <c r="M2084" s="19"/>
      <c r="N2084" s="19"/>
      <c r="O2084" s="19"/>
      <c r="P2084" s="19"/>
    </row>
    <row r="2085" spans="1:16" x14ac:dyDescent="0.35">
      <c r="A2085" s="339"/>
      <c r="B2085" s="340"/>
      <c r="C2085" s="340"/>
      <c r="D2085" s="390" t="s">
        <v>41</v>
      </c>
      <c r="E2085" s="402" t="s">
        <v>911</v>
      </c>
      <c r="F2085" s="22">
        <v>2</v>
      </c>
      <c r="G2085" s="22" t="s">
        <v>73</v>
      </c>
      <c r="H2085" s="375">
        <f t="shared" si="276"/>
        <v>0.57999999999999996</v>
      </c>
      <c r="I2085" s="328" t="s">
        <v>73</v>
      </c>
      <c r="J2085" s="340"/>
      <c r="K2085" s="410">
        <f t="shared" si="272"/>
        <v>1.7399999999999998</v>
      </c>
      <c r="L2085" s="19"/>
      <c r="M2085" s="19"/>
      <c r="N2085" s="19"/>
      <c r="O2085" s="19"/>
      <c r="P2085" s="19"/>
    </row>
    <row r="2086" spans="1:16" x14ac:dyDescent="0.35">
      <c r="A2086" s="332"/>
      <c r="B2086" s="333"/>
      <c r="C2086" s="333"/>
      <c r="D2086" s="390" t="s">
        <v>127</v>
      </c>
      <c r="E2086" s="432" t="s">
        <v>912</v>
      </c>
      <c r="F2086" s="18">
        <v>28</v>
      </c>
      <c r="G2086" s="18" t="s">
        <v>73</v>
      </c>
      <c r="H2086" s="376">
        <f t="shared" si="276"/>
        <v>8.1</v>
      </c>
      <c r="I2086" s="335" t="s">
        <v>73</v>
      </c>
      <c r="J2086" s="333"/>
      <c r="K2086" s="411">
        <f t="shared" si="272"/>
        <v>24.299999999999997</v>
      </c>
      <c r="L2086" s="19"/>
      <c r="M2086" s="19"/>
      <c r="N2086" s="19"/>
      <c r="O2086" s="19"/>
      <c r="P2086" s="19"/>
    </row>
    <row r="2087" spans="1:16" ht="15" thickBot="1" x14ac:dyDescent="0.4">
      <c r="A2087" s="339"/>
      <c r="B2087" s="340"/>
      <c r="C2087" s="340"/>
      <c r="D2087" s="390" t="s">
        <v>549</v>
      </c>
      <c r="E2087" s="402" t="s">
        <v>915</v>
      </c>
      <c r="F2087" s="22">
        <v>165</v>
      </c>
      <c r="G2087" s="22" t="s">
        <v>73</v>
      </c>
      <c r="H2087" s="375">
        <f t="shared" si="276"/>
        <v>47.74</v>
      </c>
      <c r="I2087" s="328" t="s">
        <v>73</v>
      </c>
      <c r="J2087" s="340"/>
      <c r="K2087" s="410">
        <f t="shared" si="272"/>
        <v>143.22</v>
      </c>
      <c r="L2087" s="19"/>
      <c r="M2087" s="19"/>
      <c r="N2087" s="19"/>
      <c r="O2087" s="19"/>
      <c r="P2087" s="19"/>
    </row>
    <row r="2088" spans="1:16" ht="15.5" thickTop="1" thickBot="1" x14ac:dyDescent="0.4">
      <c r="A2088" s="348"/>
      <c r="B2088" s="349"/>
      <c r="C2088" s="349"/>
      <c r="D2088" s="433"/>
      <c r="E2088" s="349"/>
      <c r="F2088" s="349"/>
      <c r="G2088" s="349"/>
      <c r="H2088" s="351"/>
      <c r="I2088" s="349"/>
      <c r="J2088" s="349"/>
      <c r="K2088" s="434"/>
      <c r="L2088" s="19"/>
      <c r="M2088" s="19"/>
      <c r="N2088" s="19"/>
      <c r="O2088" s="19"/>
      <c r="P2088" s="19"/>
    </row>
    <row r="2089" spans="1:16" ht="15" thickTop="1" x14ac:dyDescent="0.35">
      <c r="A2089" s="435">
        <f>IFERROR(INDEX($Q$17:$Q$201,MATCH(B2089,$R$17:$R$201, 0)), "")</f>
        <v>66</v>
      </c>
      <c r="B2089" s="436" t="s">
        <v>1513</v>
      </c>
      <c r="C2089" s="107" t="s">
        <v>1514</v>
      </c>
      <c r="D2089" s="385" t="s">
        <v>49</v>
      </c>
      <c r="E2089" s="437" t="s">
        <v>1905</v>
      </c>
      <c r="F2089" s="438">
        <v>5</v>
      </c>
      <c r="G2089" s="438" t="s">
        <v>73</v>
      </c>
      <c r="H2089" s="438">
        <v>5</v>
      </c>
      <c r="I2089" s="439" t="s">
        <v>73</v>
      </c>
      <c r="J2089" s="440"/>
      <c r="K2089" s="441"/>
      <c r="L2089" s="19"/>
      <c r="M2089" s="19"/>
      <c r="N2089" s="19"/>
      <c r="O2089" s="19"/>
      <c r="P2089" s="19"/>
    </row>
    <row r="2090" spans="1:16" x14ac:dyDescent="0.35">
      <c r="A2090" s="332"/>
      <c r="B2090" s="333"/>
      <c r="C2090" s="333"/>
      <c r="D2090" s="326" t="s">
        <v>1070</v>
      </c>
      <c r="E2090" s="334" t="s">
        <v>1906</v>
      </c>
      <c r="F2090" s="18">
        <v>100</v>
      </c>
      <c r="G2090" s="18" t="s">
        <v>73</v>
      </c>
      <c r="H2090" s="18">
        <v>100</v>
      </c>
      <c r="I2090" s="335" t="s">
        <v>73</v>
      </c>
      <c r="J2090" s="333"/>
      <c r="K2090" s="442"/>
      <c r="L2090" s="19"/>
      <c r="M2090" s="19"/>
      <c r="N2090" s="19"/>
      <c r="O2090" s="19"/>
      <c r="P2090" s="19"/>
    </row>
    <row r="2091" spans="1:16" x14ac:dyDescent="0.35">
      <c r="A2091" s="339"/>
      <c r="B2091" s="340"/>
      <c r="C2091" s="340"/>
      <c r="D2091" s="390" t="s">
        <v>141</v>
      </c>
      <c r="E2091" s="409" t="s">
        <v>1907</v>
      </c>
      <c r="F2091" s="22">
        <v>35</v>
      </c>
      <c r="G2091" s="22" t="s">
        <v>73</v>
      </c>
      <c r="H2091" s="22">
        <v>35</v>
      </c>
      <c r="I2091" s="328" t="s">
        <v>73</v>
      </c>
      <c r="J2091" s="340"/>
      <c r="K2091" s="443"/>
      <c r="L2091" s="19"/>
      <c r="M2091" s="19"/>
      <c r="N2091" s="19"/>
      <c r="O2091" s="19"/>
      <c r="P2091" s="19"/>
    </row>
    <row r="2092" spans="1:16" x14ac:dyDescent="0.35">
      <c r="A2092" s="332"/>
      <c r="B2092" s="333"/>
      <c r="C2092" s="333"/>
      <c r="D2092" s="326" t="s">
        <v>392</v>
      </c>
      <c r="E2092" s="334" t="s">
        <v>844</v>
      </c>
      <c r="F2092" s="18">
        <v>1</v>
      </c>
      <c r="G2092" s="18" t="s">
        <v>73</v>
      </c>
      <c r="H2092" s="18">
        <v>1</v>
      </c>
      <c r="I2092" s="335" t="s">
        <v>73</v>
      </c>
      <c r="J2092" s="333"/>
      <c r="K2092" s="442"/>
      <c r="L2092" s="19"/>
      <c r="M2092" s="19"/>
      <c r="N2092" s="19"/>
      <c r="O2092" s="19"/>
      <c r="P2092" s="19"/>
    </row>
    <row r="2093" spans="1:16" x14ac:dyDescent="0.35">
      <c r="A2093" s="339"/>
      <c r="B2093" s="340"/>
      <c r="C2093" s="340"/>
      <c r="D2093" s="444" t="s">
        <v>505</v>
      </c>
      <c r="E2093" s="445" t="s">
        <v>1908</v>
      </c>
      <c r="F2093" s="22">
        <v>0.2</v>
      </c>
      <c r="G2093" s="22" t="s">
        <v>73</v>
      </c>
      <c r="H2093" s="22">
        <v>0.2</v>
      </c>
      <c r="I2093" s="328" t="s">
        <v>73</v>
      </c>
      <c r="J2093" s="340"/>
      <c r="K2093" s="443"/>
      <c r="L2093" s="19"/>
      <c r="M2093" s="19"/>
      <c r="N2093" s="19"/>
      <c r="O2093" s="19"/>
      <c r="P2093" s="19"/>
    </row>
    <row r="2094" spans="1:16" x14ac:dyDescent="0.35">
      <c r="A2094" s="332"/>
      <c r="B2094" s="333"/>
      <c r="C2094" s="333"/>
      <c r="D2094" s="446"/>
      <c r="E2094" s="447" t="s">
        <v>1909</v>
      </c>
      <c r="F2094" s="378">
        <v>180</v>
      </c>
      <c r="G2094" s="378" t="s">
        <v>73</v>
      </c>
      <c r="H2094" s="358"/>
      <c r="I2094" s="358"/>
      <c r="J2094" s="358"/>
      <c r="K2094" s="448"/>
      <c r="L2094" s="19"/>
      <c r="M2094" s="19"/>
      <c r="N2094" s="19"/>
      <c r="O2094" s="19"/>
      <c r="P2094" s="19"/>
    </row>
    <row r="2095" spans="1:16" x14ac:dyDescent="0.35">
      <c r="A2095" s="339"/>
      <c r="B2095" s="340"/>
      <c r="C2095" s="340"/>
      <c r="D2095" s="449" t="s">
        <v>1660</v>
      </c>
      <c r="E2095" s="450" t="s">
        <v>1897</v>
      </c>
      <c r="F2095" s="22">
        <v>1000</v>
      </c>
      <c r="G2095" s="22" t="s">
        <v>73</v>
      </c>
      <c r="H2095" s="340"/>
      <c r="I2095" s="328" t="s">
        <v>73</v>
      </c>
      <c r="J2095" s="340"/>
      <c r="K2095" s="443"/>
      <c r="L2095" s="19"/>
      <c r="M2095" s="19"/>
      <c r="N2095" s="19"/>
      <c r="O2095" s="19"/>
      <c r="P2095" s="19"/>
    </row>
    <row r="2096" spans="1:16" x14ac:dyDescent="0.35">
      <c r="A2096" s="332"/>
      <c r="B2096" s="333"/>
      <c r="C2096" s="333"/>
      <c r="D2096" s="449" t="s">
        <v>1871</v>
      </c>
      <c r="E2096" s="451" t="s">
        <v>1910</v>
      </c>
      <c r="F2096" s="18">
        <v>60</v>
      </c>
      <c r="G2096" s="18" t="s">
        <v>73</v>
      </c>
      <c r="H2096" s="333"/>
      <c r="I2096" s="335" t="s">
        <v>73</v>
      </c>
      <c r="J2096" s="333"/>
      <c r="K2096" s="442"/>
      <c r="L2096" s="19"/>
      <c r="M2096" s="19"/>
      <c r="N2096" s="19"/>
      <c r="O2096" s="19"/>
      <c r="P2096" s="19"/>
    </row>
    <row r="2097" spans="1:16" x14ac:dyDescent="0.35">
      <c r="A2097" s="339"/>
      <c r="B2097" s="340"/>
      <c r="C2097" s="340"/>
      <c r="D2097" s="449"/>
      <c r="E2097" s="450" t="s">
        <v>81</v>
      </c>
      <c r="F2097" s="22">
        <v>1300</v>
      </c>
      <c r="G2097" s="22" t="s">
        <v>73</v>
      </c>
      <c r="H2097" s="340"/>
      <c r="I2097" s="328" t="s">
        <v>73</v>
      </c>
      <c r="J2097" s="340"/>
      <c r="K2097" s="443"/>
      <c r="L2097" s="19"/>
      <c r="M2097" s="19"/>
      <c r="N2097" s="19"/>
      <c r="O2097" s="19"/>
      <c r="P2097" s="19"/>
    </row>
    <row r="2098" spans="1:16" x14ac:dyDescent="0.35">
      <c r="A2098" s="332"/>
      <c r="B2098" s="333"/>
      <c r="C2098" s="333"/>
      <c r="D2098" s="447"/>
      <c r="E2098" s="452" t="s">
        <v>1916</v>
      </c>
      <c r="F2098" s="378">
        <v>150</v>
      </c>
      <c r="G2098" s="358"/>
      <c r="H2098" s="358"/>
      <c r="I2098" s="358"/>
      <c r="J2098" s="358"/>
      <c r="K2098" s="448"/>
      <c r="L2098" s="19"/>
      <c r="M2098" s="19"/>
      <c r="N2098" s="19"/>
      <c r="O2098" s="19"/>
      <c r="P2098" s="19"/>
    </row>
    <row r="2099" spans="1:16" x14ac:dyDescent="0.35">
      <c r="A2099" s="339"/>
      <c r="B2099" s="340"/>
      <c r="C2099" s="340"/>
      <c r="D2099" s="449"/>
      <c r="E2099" s="450" t="s">
        <v>81</v>
      </c>
      <c r="F2099" s="22">
        <v>1000</v>
      </c>
      <c r="G2099" s="328" t="s">
        <v>73</v>
      </c>
      <c r="H2099" s="340"/>
      <c r="I2099" s="328" t="s">
        <v>73</v>
      </c>
      <c r="J2099" s="340"/>
      <c r="K2099" s="443"/>
      <c r="L2099" s="19"/>
      <c r="M2099" s="19"/>
      <c r="N2099" s="19"/>
      <c r="O2099" s="19"/>
      <c r="P2099" s="19"/>
    </row>
    <row r="2100" spans="1:16" x14ac:dyDescent="0.35">
      <c r="A2100" s="332"/>
      <c r="B2100" s="333"/>
      <c r="C2100" s="333"/>
      <c r="D2100" s="390" t="s">
        <v>45</v>
      </c>
      <c r="E2100" s="453" t="s">
        <v>101</v>
      </c>
      <c r="F2100" s="18">
        <v>15</v>
      </c>
      <c r="G2100" s="335" t="s">
        <v>73</v>
      </c>
      <c r="H2100" s="333"/>
      <c r="I2100" s="335" t="s">
        <v>73</v>
      </c>
      <c r="J2100" s="333"/>
      <c r="K2100" s="442"/>
      <c r="L2100" s="19"/>
      <c r="M2100" s="19"/>
      <c r="N2100" s="19"/>
      <c r="O2100" s="19"/>
      <c r="P2100" s="19"/>
    </row>
    <row r="2101" spans="1:16" x14ac:dyDescent="0.35">
      <c r="A2101" s="339"/>
      <c r="B2101" s="340"/>
      <c r="C2101" s="340"/>
      <c r="D2101" s="390" t="s">
        <v>43</v>
      </c>
      <c r="E2101" s="454" t="s">
        <v>105</v>
      </c>
      <c r="F2101" s="22">
        <v>4</v>
      </c>
      <c r="G2101" s="328" t="s">
        <v>73</v>
      </c>
      <c r="H2101" s="340"/>
      <c r="I2101" s="328" t="s">
        <v>73</v>
      </c>
      <c r="J2101" s="340"/>
      <c r="K2101" s="443"/>
      <c r="L2101" s="19"/>
      <c r="M2101" s="19"/>
      <c r="N2101" s="19"/>
      <c r="O2101" s="19"/>
      <c r="P2101" s="19"/>
    </row>
    <row r="2102" spans="1:16" x14ac:dyDescent="0.35">
      <c r="A2102" s="332"/>
      <c r="B2102" s="333"/>
      <c r="C2102" s="333"/>
      <c r="D2102" s="390" t="s">
        <v>46</v>
      </c>
      <c r="E2102" s="453" t="s">
        <v>1911</v>
      </c>
      <c r="F2102" s="18">
        <v>2</v>
      </c>
      <c r="G2102" s="335" t="s">
        <v>73</v>
      </c>
      <c r="H2102" s="333"/>
      <c r="I2102" s="335" t="s">
        <v>73</v>
      </c>
      <c r="J2102" s="333"/>
      <c r="K2102" s="442"/>
      <c r="L2102" s="19"/>
      <c r="M2102" s="19"/>
      <c r="N2102" s="19"/>
      <c r="O2102" s="19"/>
      <c r="P2102" s="19"/>
    </row>
    <row r="2103" spans="1:16" x14ac:dyDescent="0.35">
      <c r="A2103" s="339"/>
      <c r="B2103" s="340"/>
      <c r="C2103" s="340"/>
      <c r="D2103" s="390" t="s">
        <v>42</v>
      </c>
      <c r="E2103" s="454" t="s">
        <v>66</v>
      </c>
      <c r="F2103" s="22">
        <v>5</v>
      </c>
      <c r="G2103" s="328" t="s">
        <v>73</v>
      </c>
      <c r="H2103" s="340"/>
      <c r="I2103" s="328" t="s">
        <v>73</v>
      </c>
      <c r="J2103" s="340"/>
      <c r="K2103" s="443"/>
      <c r="L2103" s="19"/>
      <c r="M2103" s="19"/>
      <c r="N2103" s="19"/>
      <c r="O2103" s="19"/>
      <c r="P2103" s="19"/>
    </row>
    <row r="2104" spans="1:16" x14ac:dyDescent="0.35">
      <c r="A2104" s="332"/>
      <c r="B2104" s="333"/>
      <c r="C2104" s="333"/>
      <c r="D2104" s="326" t="s">
        <v>41</v>
      </c>
      <c r="E2104" s="379" t="s">
        <v>1912</v>
      </c>
      <c r="F2104" s="18">
        <v>3</v>
      </c>
      <c r="G2104" s="335" t="s">
        <v>73</v>
      </c>
      <c r="H2104" s="333"/>
      <c r="I2104" s="335" t="s">
        <v>73</v>
      </c>
      <c r="J2104" s="333"/>
      <c r="K2104" s="442"/>
      <c r="L2104" s="19"/>
      <c r="M2104" s="19"/>
      <c r="N2104" s="19"/>
      <c r="O2104" s="19"/>
      <c r="P2104" s="19"/>
    </row>
    <row r="2105" spans="1:16" x14ac:dyDescent="0.35">
      <c r="A2105" s="339"/>
      <c r="B2105" s="340"/>
      <c r="C2105" s="340"/>
      <c r="D2105" s="326" t="s">
        <v>521</v>
      </c>
      <c r="E2105" s="380" t="s">
        <v>1913</v>
      </c>
      <c r="F2105" s="22">
        <v>59</v>
      </c>
      <c r="G2105" s="328" t="s">
        <v>73</v>
      </c>
      <c r="H2105" s="340"/>
      <c r="I2105" s="328" t="s">
        <v>73</v>
      </c>
      <c r="J2105" s="340"/>
      <c r="K2105" s="443"/>
      <c r="L2105" s="19"/>
      <c r="M2105" s="19"/>
      <c r="N2105" s="19"/>
      <c r="O2105" s="19"/>
      <c r="P2105" s="19"/>
    </row>
    <row r="2106" spans="1:16" x14ac:dyDescent="0.35">
      <c r="A2106" s="332"/>
      <c r="B2106" s="333"/>
      <c r="C2106" s="333"/>
      <c r="D2106" s="449" t="s">
        <v>1915</v>
      </c>
      <c r="E2106" s="451" t="s">
        <v>1941</v>
      </c>
      <c r="F2106" s="18">
        <v>0.5</v>
      </c>
      <c r="G2106" s="335" t="s">
        <v>73</v>
      </c>
      <c r="H2106" s="333"/>
      <c r="I2106" s="335" t="s">
        <v>73</v>
      </c>
      <c r="J2106" s="333"/>
      <c r="K2106" s="442"/>
      <c r="L2106" s="19"/>
      <c r="M2106" s="19"/>
      <c r="N2106" s="19"/>
      <c r="O2106" s="19"/>
      <c r="P2106" s="19"/>
    </row>
    <row r="2107" spans="1:16" x14ac:dyDescent="0.35">
      <c r="A2107" s="339"/>
      <c r="B2107" s="340"/>
      <c r="C2107" s="340"/>
      <c r="D2107" s="390" t="s">
        <v>48</v>
      </c>
      <c r="E2107" s="454" t="s">
        <v>1914</v>
      </c>
      <c r="F2107" s="22">
        <v>3</v>
      </c>
      <c r="G2107" s="328" t="s">
        <v>73</v>
      </c>
      <c r="H2107" s="340"/>
      <c r="I2107" s="328" t="s">
        <v>73</v>
      </c>
      <c r="J2107" s="340"/>
      <c r="K2107" s="443"/>
      <c r="L2107" s="19"/>
      <c r="M2107" s="19"/>
      <c r="N2107" s="19"/>
      <c r="O2107" s="19"/>
      <c r="P2107" s="19"/>
    </row>
    <row r="2108" spans="1:16" x14ac:dyDescent="0.35">
      <c r="A2108" s="332"/>
      <c r="B2108" s="333"/>
      <c r="C2108" s="333"/>
      <c r="D2108" s="447"/>
      <c r="E2108" s="452" t="s">
        <v>1917</v>
      </c>
      <c r="F2108" s="356">
        <v>30</v>
      </c>
      <c r="G2108" s="358"/>
      <c r="H2108" s="358"/>
      <c r="I2108" s="358"/>
      <c r="J2108" s="358"/>
      <c r="K2108" s="448"/>
      <c r="L2108" s="19"/>
      <c r="M2108" s="19"/>
      <c r="N2108" s="19"/>
      <c r="O2108" s="19"/>
      <c r="P2108" s="19"/>
    </row>
    <row r="2109" spans="1:16" x14ac:dyDescent="0.35">
      <c r="A2109" s="339"/>
      <c r="B2109" s="340"/>
      <c r="C2109" s="340"/>
      <c r="D2109" s="449" t="s">
        <v>1604</v>
      </c>
      <c r="E2109" s="450" t="s">
        <v>1940</v>
      </c>
      <c r="F2109" s="328">
        <v>60</v>
      </c>
      <c r="G2109" s="328" t="s">
        <v>73</v>
      </c>
      <c r="H2109" s="340"/>
      <c r="I2109" s="328" t="s">
        <v>73</v>
      </c>
      <c r="J2109" s="340"/>
      <c r="K2109" s="443"/>
      <c r="L2109" s="19"/>
      <c r="M2109" s="19"/>
      <c r="N2109" s="19"/>
      <c r="O2109" s="19"/>
      <c r="P2109" s="19"/>
    </row>
    <row r="2110" spans="1:16" x14ac:dyDescent="0.35">
      <c r="A2110" s="332"/>
      <c r="B2110" s="333"/>
      <c r="C2110" s="333"/>
      <c r="D2110" s="449" t="s">
        <v>1626</v>
      </c>
      <c r="E2110" s="451" t="s">
        <v>1918</v>
      </c>
      <c r="F2110" s="335">
        <v>70</v>
      </c>
      <c r="G2110" s="335" t="s">
        <v>73</v>
      </c>
      <c r="H2110" s="333"/>
      <c r="I2110" s="335" t="s">
        <v>73</v>
      </c>
      <c r="J2110" s="333"/>
      <c r="K2110" s="442"/>
      <c r="L2110" s="19"/>
      <c r="M2110" s="19"/>
      <c r="N2110" s="19"/>
      <c r="O2110" s="19"/>
      <c r="P2110" s="19"/>
    </row>
    <row r="2111" spans="1:16" x14ac:dyDescent="0.35">
      <c r="A2111" s="339"/>
      <c r="B2111" s="340"/>
      <c r="C2111" s="340"/>
      <c r="D2111" s="390" t="s">
        <v>50</v>
      </c>
      <c r="E2111" s="454" t="s">
        <v>1919</v>
      </c>
      <c r="F2111" s="328">
        <v>20</v>
      </c>
      <c r="G2111" s="328" t="s">
        <v>73</v>
      </c>
      <c r="H2111" s="340"/>
      <c r="I2111" s="328" t="s">
        <v>73</v>
      </c>
      <c r="J2111" s="340"/>
      <c r="K2111" s="443"/>
      <c r="L2111" s="19"/>
      <c r="M2111" s="19"/>
      <c r="N2111" s="19"/>
      <c r="O2111" s="19"/>
      <c r="P2111" s="19"/>
    </row>
    <row r="2112" spans="1:16" x14ac:dyDescent="0.35">
      <c r="A2112" s="332"/>
      <c r="B2112" s="333"/>
      <c r="C2112" s="333"/>
      <c r="D2112" s="449" t="s">
        <v>1647</v>
      </c>
      <c r="E2112" s="451" t="s">
        <v>1920</v>
      </c>
      <c r="F2112" s="335">
        <v>80</v>
      </c>
      <c r="G2112" s="335" t="s">
        <v>73</v>
      </c>
      <c r="H2112" s="333"/>
      <c r="I2112" s="335" t="s">
        <v>73</v>
      </c>
      <c r="J2112" s="333"/>
      <c r="K2112" s="442"/>
      <c r="L2112" s="19"/>
      <c r="M2112" s="19"/>
      <c r="N2112" s="19"/>
      <c r="O2112" s="19"/>
      <c r="P2112" s="19"/>
    </row>
    <row r="2113" spans="1:16" x14ac:dyDescent="0.35">
      <c r="A2113" s="339"/>
      <c r="B2113" s="340"/>
      <c r="C2113" s="340"/>
      <c r="D2113" s="447"/>
      <c r="E2113" s="455" t="s">
        <v>1921</v>
      </c>
      <c r="F2113" s="356">
        <v>1.5</v>
      </c>
      <c r="G2113" s="356" t="s">
        <v>73</v>
      </c>
      <c r="H2113" s="358"/>
      <c r="I2113" s="358"/>
      <c r="J2113" s="358"/>
      <c r="K2113" s="448"/>
      <c r="L2113" s="19"/>
      <c r="M2113" s="19"/>
      <c r="N2113" s="19"/>
      <c r="O2113" s="19"/>
      <c r="P2113" s="19"/>
    </row>
    <row r="2114" spans="1:16" x14ac:dyDescent="0.35">
      <c r="A2114" s="332"/>
      <c r="B2114" s="333"/>
      <c r="C2114" s="333"/>
      <c r="D2114" s="417" t="s">
        <v>43</v>
      </c>
      <c r="E2114" s="456" t="s">
        <v>94</v>
      </c>
      <c r="F2114" s="22">
        <v>85</v>
      </c>
      <c r="G2114" s="457" t="s">
        <v>73</v>
      </c>
      <c r="H2114" s="333"/>
      <c r="I2114" s="335" t="s">
        <v>73</v>
      </c>
      <c r="J2114" s="333"/>
      <c r="K2114" s="442"/>
      <c r="L2114" s="19"/>
      <c r="M2114" s="19"/>
      <c r="N2114" s="19"/>
      <c r="O2114" s="19"/>
      <c r="P2114" s="19"/>
    </row>
    <row r="2115" spans="1:16" x14ac:dyDescent="0.35">
      <c r="A2115" s="339"/>
      <c r="B2115" s="340"/>
      <c r="C2115" s="340"/>
      <c r="D2115" s="417" t="s">
        <v>42</v>
      </c>
      <c r="E2115" s="456" t="s">
        <v>95</v>
      </c>
      <c r="F2115" s="22">
        <v>15</v>
      </c>
      <c r="G2115" s="458" t="s">
        <v>73</v>
      </c>
      <c r="H2115" s="340"/>
      <c r="I2115" s="328" t="s">
        <v>73</v>
      </c>
      <c r="J2115" s="340"/>
      <c r="K2115" s="443"/>
      <c r="L2115" s="19"/>
      <c r="M2115" s="19"/>
      <c r="N2115" s="19"/>
      <c r="O2115" s="19"/>
      <c r="P2115" s="19"/>
    </row>
    <row r="2116" spans="1:16" ht="15" thickBot="1" x14ac:dyDescent="0.4">
      <c r="A2116" s="332"/>
      <c r="B2116" s="333"/>
      <c r="C2116" s="333"/>
      <c r="D2116" s="398"/>
      <c r="E2116" s="388" t="s">
        <v>1191</v>
      </c>
      <c r="F2116" s="459">
        <v>30</v>
      </c>
      <c r="G2116" s="460" t="s">
        <v>73</v>
      </c>
      <c r="H2116" s="358"/>
      <c r="I2116" s="356" t="s">
        <v>73</v>
      </c>
      <c r="J2116" s="358"/>
      <c r="K2116" s="448"/>
      <c r="L2116" s="19"/>
      <c r="M2116" s="19"/>
      <c r="N2116" s="19"/>
      <c r="O2116" s="19"/>
      <c r="P2116" s="19"/>
    </row>
    <row r="2117" spans="1:16" ht="15" thickTop="1" x14ac:dyDescent="0.35">
      <c r="A2117" s="339"/>
      <c r="B2117" s="340"/>
      <c r="C2117" s="340"/>
      <c r="D2117" s="385" t="s">
        <v>47</v>
      </c>
      <c r="E2117" s="391" t="s">
        <v>1192</v>
      </c>
      <c r="F2117" s="328">
        <v>10</v>
      </c>
      <c r="G2117" s="461" t="s">
        <v>73</v>
      </c>
      <c r="H2117" s="340"/>
      <c r="I2117" s="328" t="s">
        <v>73</v>
      </c>
      <c r="J2117" s="340"/>
      <c r="K2117" s="443"/>
      <c r="L2117" s="19"/>
      <c r="M2117" s="19"/>
      <c r="N2117" s="19"/>
      <c r="O2117" s="19"/>
      <c r="P2117" s="19"/>
    </row>
    <row r="2118" spans="1:16" x14ac:dyDescent="0.35">
      <c r="A2118" s="332"/>
      <c r="B2118" s="333"/>
      <c r="C2118" s="333"/>
      <c r="D2118" s="390" t="s">
        <v>50</v>
      </c>
      <c r="E2118" s="395" t="s">
        <v>394</v>
      </c>
      <c r="F2118" s="335">
        <v>40</v>
      </c>
      <c r="G2118" s="462" t="s">
        <v>73</v>
      </c>
      <c r="H2118" s="333"/>
      <c r="I2118" s="335" t="s">
        <v>73</v>
      </c>
      <c r="J2118" s="333"/>
      <c r="K2118" s="442"/>
      <c r="L2118" s="19"/>
      <c r="M2118" s="19"/>
      <c r="N2118" s="19"/>
      <c r="O2118" s="19"/>
      <c r="P2118" s="19"/>
    </row>
    <row r="2119" spans="1:16" x14ac:dyDescent="0.35">
      <c r="A2119" s="339"/>
      <c r="B2119" s="340"/>
      <c r="C2119" s="340"/>
      <c r="D2119" s="390" t="s">
        <v>371</v>
      </c>
      <c r="E2119" s="391" t="s">
        <v>372</v>
      </c>
      <c r="F2119" s="328">
        <v>40</v>
      </c>
      <c r="G2119" s="461" t="s">
        <v>73</v>
      </c>
      <c r="H2119" s="340"/>
      <c r="I2119" s="328" t="s">
        <v>73</v>
      </c>
      <c r="J2119" s="340"/>
      <c r="K2119" s="443"/>
      <c r="L2119" s="19"/>
      <c r="M2119" s="19"/>
      <c r="N2119" s="19"/>
      <c r="O2119" s="19"/>
      <c r="P2119" s="19"/>
    </row>
    <row r="2120" spans="1:16" x14ac:dyDescent="0.35">
      <c r="A2120" s="332"/>
      <c r="B2120" s="333"/>
      <c r="C2120" s="333"/>
      <c r="D2120" s="390" t="s">
        <v>260</v>
      </c>
      <c r="E2120" s="395" t="s">
        <v>1193</v>
      </c>
      <c r="F2120" s="335">
        <v>120</v>
      </c>
      <c r="G2120" s="462" t="s">
        <v>73</v>
      </c>
      <c r="H2120" s="333"/>
      <c r="I2120" s="335" t="s">
        <v>73</v>
      </c>
      <c r="J2120" s="333"/>
      <c r="K2120" s="442"/>
      <c r="L2120" s="19"/>
      <c r="M2120" s="19"/>
      <c r="N2120" s="19"/>
      <c r="O2120" s="19"/>
      <c r="P2120" s="19"/>
    </row>
    <row r="2121" spans="1:16" ht="15" thickBot="1" x14ac:dyDescent="0.4">
      <c r="A2121" s="339"/>
      <c r="B2121" s="340"/>
      <c r="C2121" s="340"/>
      <c r="D2121" s="396"/>
      <c r="E2121" s="463" t="s">
        <v>950</v>
      </c>
      <c r="F2121" s="343">
        <v>40</v>
      </c>
      <c r="G2121" s="464" t="s">
        <v>73</v>
      </c>
      <c r="H2121" s="465"/>
      <c r="I2121" s="466" t="s">
        <v>73</v>
      </c>
      <c r="J2121" s="465"/>
      <c r="K2121" s="467"/>
      <c r="L2121" s="19"/>
      <c r="M2121" s="19"/>
      <c r="N2121" s="19"/>
      <c r="O2121" s="19"/>
      <c r="P2121" s="19"/>
    </row>
    <row r="2122" spans="1:16" ht="15" thickTop="1" x14ac:dyDescent="0.35">
      <c r="A2122" s="332"/>
      <c r="B2122" s="333"/>
      <c r="C2122" s="333"/>
      <c r="D2122" s="385" t="s">
        <v>141</v>
      </c>
      <c r="E2122" s="395" t="s">
        <v>1194</v>
      </c>
      <c r="F2122" s="335">
        <v>40</v>
      </c>
      <c r="G2122" s="462" t="s">
        <v>73</v>
      </c>
      <c r="H2122" s="333"/>
      <c r="I2122" s="335" t="s">
        <v>73</v>
      </c>
      <c r="J2122" s="333"/>
      <c r="K2122" s="442"/>
      <c r="L2122" s="19"/>
      <c r="M2122" s="19"/>
      <c r="N2122" s="19"/>
      <c r="O2122" s="19"/>
      <c r="P2122" s="19"/>
    </row>
    <row r="2123" spans="1:16" x14ac:dyDescent="0.35">
      <c r="A2123" s="339"/>
      <c r="B2123" s="340"/>
      <c r="C2123" s="340"/>
      <c r="D2123" s="390" t="s">
        <v>46</v>
      </c>
      <c r="E2123" s="391" t="s">
        <v>1195</v>
      </c>
      <c r="F2123" s="328">
        <v>20</v>
      </c>
      <c r="G2123" s="461" t="s">
        <v>73</v>
      </c>
      <c r="H2123" s="340"/>
      <c r="I2123" s="328" t="s">
        <v>73</v>
      </c>
      <c r="J2123" s="340"/>
      <c r="K2123" s="443"/>
      <c r="L2123" s="19"/>
      <c r="M2123" s="19"/>
      <c r="N2123" s="19"/>
      <c r="O2123" s="19"/>
      <c r="P2123" s="19"/>
    </row>
    <row r="2124" spans="1:16" ht="15" thickBot="1" x14ac:dyDescent="0.4">
      <c r="A2124" s="332"/>
      <c r="B2124" s="333"/>
      <c r="C2124" s="333"/>
      <c r="D2124" s="390" t="s">
        <v>379</v>
      </c>
      <c r="E2124" s="395" t="s">
        <v>380</v>
      </c>
      <c r="F2124" s="335">
        <v>10</v>
      </c>
      <c r="G2124" s="462" t="s">
        <v>73</v>
      </c>
      <c r="H2124" s="333"/>
      <c r="I2124" s="335" t="s">
        <v>73</v>
      </c>
      <c r="J2124" s="333"/>
      <c r="K2124" s="442"/>
      <c r="L2124" s="19"/>
      <c r="M2124" s="19"/>
      <c r="N2124" s="19"/>
      <c r="O2124" s="19"/>
      <c r="P2124" s="19"/>
    </row>
    <row r="2125" spans="1:16" ht="15" thickTop="1" x14ac:dyDescent="0.35">
      <c r="A2125" s="339"/>
      <c r="B2125" s="340"/>
      <c r="C2125" s="340"/>
      <c r="D2125" s="468"/>
      <c r="E2125" s="355" t="s">
        <v>973</v>
      </c>
      <c r="F2125" s="356">
        <v>40</v>
      </c>
      <c r="G2125" s="460" t="s">
        <v>73</v>
      </c>
      <c r="H2125" s="358"/>
      <c r="I2125" s="356" t="s">
        <v>73</v>
      </c>
      <c r="J2125" s="358"/>
      <c r="K2125" s="448"/>
      <c r="L2125" s="19"/>
      <c r="M2125" s="19"/>
      <c r="N2125" s="19"/>
      <c r="O2125" s="19"/>
      <c r="P2125" s="19"/>
    </row>
    <row r="2126" spans="1:16" x14ac:dyDescent="0.35">
      <c r="A2126" s="332"/>
      <c r="B2126" s="333"/>
      <c r="C2126" s="333"/>
      <c r="D2126" s="326" t="s">
        <v>47</v>
      </c>
      <c r="E2126" s="720" t="s">
        <v>740</v>
      </c>
      <c r="F2126" s="114">
        <v>3</v>
      </c>
      <c r="G2126" s="740" t="s">
        <v>73</v>
      </c>
      <c r="H2126" s="333"/>
      <c r="I2126" s="335" t="s">
        <v>73</v>
      </c>
      <c r="J2126" s="333"/>
      <c r="K2126" s="442"/>
      <c r="L2126" s="19"/>
      <c r="M2126" s="19"/>
      <c r="N2126" s="19"/>
      <c r="O2126" s="19"/>
      <c r="P2126" s="19"/>
    </row>
    <row r="2127" spans="1:16" x14ac:dyDescent="0.35">
      <c r="A2127" s="339"/>
      <c r="B2127" s="340"/>
      <c r="C2127" s="340"/>
      <c r="D2127" s="326" t="s">
        <v>49</v>
      </c>
      <c r="E2127" s="720" t="s">
        <v>916</v>
      </c>
      <c r="F2127" s="114">
        <v>8</v>
      </c>
      <c r="G2127" s="740" t="s">
        <v>73</v>
      </c>
      <c r="H2127" s="340"/>
      <c r="I2127" s="328" t="s">
        <v>73</v>
      </c>
      <c r="J2127" s="340"/>
      <c r="K2127" s="443"/>
      <c r="L2127" s="19"/>
      <c r="M2127" s="19"/>
      <c r="N2127" s="19"/>
      <c r="O2127" s="19"/>
      <c r="P2127" s="19"/>
    </row>
    <row r="2128" spans="1:16" x14ac:dyDescent="0.35">
      <c r="A2128" s="332"/>
      <c r="B2128" s="333"/>
      <c r="C2128" s="333"/>
      <c r="D2128" s="326" t="s">
        <v>50</v>
      </c>
      <c r="E2128" s="720" t="s">
        <v>917</v>
      </c>
      <c r="F2128" s="114">
        <v>40</v>
      </c>
      <c r="G2128" s="740" t="s">
        <v>73</v>
      </c>
      <c r="H2128" s="333"/>
      <c r="I2128" s="335" t="s">
        <v>73</v>
      </c>
      <c r="J2128" s="333"/>
      <c r="K2128" s="442"/>
      <c r="L2128" s="19"/>
      <c r="M2128" s="19"/>
      <c r="N2128" s="19"/>
      <c r="O2128" s="19"/>
      <c r="P2128" s="19"/>
    </row>
    <row r="2129" spans="1:16" x14ac:dyDescent="0.35">
      <c r="A2129" s="339"/>
      <c r="B2129" s="340"/>
      <c r="C2129" s="340"/>
      <c r="D2129" s="326" t="s">
        <v>371</v>
      </c>
      <c r="E2129" s="720" t="s">
        <v>918</v>
      </c>
      <c r="F2129" s="114">
        <v>20</v>
      </c>
      <c r="G2129" s="740" t="s">
        <v>73</v>
      </c>
      <c r="H2129" s="340"/>
      <c r="I2129" s="328" t="s">
        <v>73</v>
      </c>
      <c r="J2129" s="340"/>
      <c r="K2129" s="443"/>
      <c r="L2129" s="19"/>
      <c r="M2129" s="19"/>
      <c r="N2129" s="19"/>
      <c r="O2129" s="19"/>
      <c r="P2129" s="19"/>
    </row>
    <row r="2130" spans="1:16" x14ac:dyDescent="0.35">
      <c r="A2130" s="332"/>
      <c r="B2130" s="333"/>
      <c r="C2130" s="333"/>
      <c r="D2130" s="326" t="s">
        <v>379</v>
      </c>
      <c r="E2130" s="720" t="s">
        <v>919</v>
      </c>
      <c r="F2130" s="114">
        <v>10</v>
      </c>
      <c r="G2130" s="740" t="s">
        <v>73</v>
      </c>
      <c r="H2130" s="333"/>
      <c r="I2130" s="335" t="s">
        <v>73</v>
      </c>
      <c r="J2130" s="333"/>
      <c r="K2130" s="442"/>
      <c r="L2130" s="19"/>
      <c r="M2130" s="19"/>
      <c r="N2130" s="19"/>
      <c r="O2130" s="19"/>
      <c r="P2130" s="19"/>
    </row>
    <row r="2131" spans="1:16" x14ac:dyDescent="0.35">
      <c r="A2131" s="339"/>
      <c r="B2131" s="340"/>
      <c r="C2131" s="340"/>
      <c r="D2131" s="326" t="s">
        <v>505</v>
      </c>
      <c r="E2131" s="720" t="s">
        <v>722</v>
      </c>
      <c r="F2131" s="114">
        <v>0.5</v>
      </c>
      <c r="G2131" s="740" t="s">
        <v>73</v>
      </c>
      <c r="H2131" s="340"/>
      <c r="I2131" s="328" t="s">
        <v>73</v>
      </c>
      <c r="J2131" s="340"/>
      <c r="K2131" s="443"/>
      <c r="L2131" s="19"/>
      <c r="M2131" s="19"/>
      <c r="N2131" s="19"/>
      <c r="O2131" s="19"/>
      <c r="P2131" s="19"/>
    </row>
    <row r="2132" spans="1:16" x14ac:dyDescent="0.35">
      <c r="A2132" s="332"/>
      <c r="B2132" s="333"/>
      <c r="C2132" s="333"/>
      <c r="D2132" s="326" t="s">
        <v>41</v>
      </c>
      <c r="E2132" s="720" t="s">
        <v>911</v>
      </c>
      <c r="F2132" s="114">
        <v>2</v>
      </c>
      <c r="G2132" s="740" t="s">
        <v>73</v>
      </c>
      <c r="H2132" s="333"/>
      <c r="I2132" s="335" t="s">
        <v>73</v>
      </c>
      <c r="J2132" s="333"/>
      <c r="K2132" s="442"/>
      <c r="L2132" s="19"/>
      <c r="M2132" s="19"/>
      <c r="N2132" s="19"/>
      <c r="O2132" s="19"/>
      <c r="P2132" s="19"/>
    </row>
    <row r="2133" spans="1:16" x14ac:dyDescent="0.35">
      <c r="A2133" s="339"/>
      <c r="B2133" s="340"/>
      <c r="C2133" s="340"/>
      <c r="D2133" s="326" t="s">
        <v>127</v>
      </c>
      <c r="E2133" s="720" t="s">
        <v>912</v>
      </c>
      <c r="F2133" s="114">
        <v>28</v>
      </c>
      <c r="G2133" s="740" t="s">
        <v>73</v>
      </c>
      <c r="H2133" s="340"/>
      <c r="I2133" s="328" t="s">
        <v>73</v>
      </c>
      <c r="J2133" s="340"/>
      <c r="K2133" s="443"/>
      <c r="L2133" s="19"/>
      <c r="M2133" s="19"/>
      <c r="N2133" s="19"/>
      <c r="O2133" s="19"/>
      <c r="P2133" s="19"/>
    </row>
    <row r="2134" spans="1:16" x14ac:dyDescent="0.35">
      <c r="A2134" s="332"/>
      <c r="B2134" s="333"/>
      <c r="C2134" s="333"/>
      <c r="D2134" s="326" t="s">
        <v>549</v>
      </c>
      <c r="E2134" s="720" t="s">
        <v>915</v>
      </c>
      <c r="F2134" s="114">
        <v>165</v>
      </c>
      <c r="G2134" s="740" t="s">
        <v>73</v>
      </c>
      <c r="H2134" s="333"/>
      <c r="I2134" s="335" t="s">
        <v>73</v>
      </c>
      <c r="J2134" s="333"/>
      <c r="K2134" s="442"/>
      <c r="L2134" s="19"/>
      <c r="M2134" s="19"/>
      <c r="N2134" s="19"/>
      <c r="O2134" s="19"/>
      <c r="P2134" s="19"/>
    </row>
    <row r="2135" spans="1:16" ht="15" thickBot="1" x14ac:dyDescent="0.4">
      <c r="A2135" s="339"/>
      <c r="B2135" s="340"/>
      <c r="C2135" s="340"/>
      <c r="D2135" s="413"/>
      <c r="E2135" s="388" t="s">
        <v>84</v>
      </c>
      <c r="F2135" s="378">
        <v>30</v>
      </c>
      <c r="G2135" s="378" t="s">
        <v>73</v>
      </c>
      <c r="H2135" s="357"/>
      <c r="I2135" s="358"/>
      <c r="J2135" s="358"/>
      <c r="K2135" s="414"/>
      <c r="L2135" s="19"/>
      <c r="M2135" s="19"/>
      <c r="N2135" s="19"/>
      <c r="O2135" s="19"/>
      <c r="P2135" s="19"/>
    </row>
    <row r="2136" spans="1:16" ht="15" thickTop="1" x14ac:dyDescent="0.35">
      <c r="A2136" s="332"/>
      <c r="B2136" s="333"/>
      <c r="C2136" s="333"/>
      <c r="D2136" s="415"/>
      <c r="E2136" s="416" t="s">
        <v>26</v>
      </c>
      <c r="F2136" s="378">
        <v>1000</v>
      </c>
      <c r="G2136" s="378" t="s">
        <v>73</v>
      </c>
      <c r="H2136" s="357"/>
      <c r="I2136" s="358"/>
      <c r="J2136" s="358"/>
      <c r="K2136" s="414"/>
      <c r="L2136" s="19"/>
      <c r="M2136" s="19"/>
      <c r="N2136" s="19"/>
      <c r="O2136" s="19"/>
      <c r="P2136" s="19"/>
    </row>
    <row r="2137" spans="1:16" x14ac:dyDescent="0.35">
      <c r="A2137" s="339"/>
      <c r="B2137" s="340"/>
      <c r="C2137" s="340"/>
      <c r="D2137" s="417" t="s">
        <v>60</v>
      </c>
      <c r="E2137" s="418" t="s">
        <v>121</v>
      </c>
      <c r="F2137" s="22">
        <v>1000</v>
      </c>
      <c r="G2137" s="22" t="s">
        <v>73</v>
      </c>
      <c r="H2137" s="367"/>
      <c r="I2137" s="22" t="s">
        <v>73</v>
      </c>
      <c r="J2137" s="340"/>
      <c r="K2137" s="410">
        <f t="shared" ref="K2137:K2138" si="277">$A$2023*H2137</f>
        <v>0</v>
      </c>
      <c r="L2137" s="19"/>
      <c r="M2137" s="19"/>
      <c r="N2137" s="19"/>
      <c r="O2137" s="19"/>
      <c r="P2137" s="19"/>
    </row>
    <row r="2138" spans="1:16" x14ac:dyDescent="0.35">
      <c r="A2138" s="332"/>
      <c r="B2138" s="333"/>
      <c r="C2138" s="333"/>
      <c r="D2138" s="417" t="s">
        <v>43</v>
      </c>
      <c r="E2138" s="419" t="s">
        <v>94</v>
      </c>
      <c r="F2138" s="18">
        <v>30</v>
      </c>
      <c r="G2138" s="18" t="s">
        <v>73</v>
      </c>
      <c r="H2138" s="361"/>
      <c r="I2138" s="18" t="s">
        <v>73</v>
      </c>
      <c r="J2138" s="333"/>
      <c r="K2138" s="411">
        <f t="shared" si="277"/>
        <v>0</v>
      </c>
      <c r="L2138" s="19"/>
      <c r="M2138" s="19"/>
      <c r="N2138" s="19"/>
      <c r="O2138" s="19"/>
      <c r="P2138" s="19"/>
    </row>
    <row r="2139" spans="1:16" x14ac:dyDescent="0.35">
      <c r="A2139" s="339"/>
      <c r="B2139" s="340"/>
      <c r="C2139" s="340"/>
      <c r="D2139" s="420"/>
      <c r="E2139" s="421" t="s">
        <v>81</v>
      </c>
      <c r="F2139" s="404">
        <v>400</v>
      </c>
      <c r="G2139" s="404" t="s">
        <v>73</v>
      </c>
      <c r="H2139" s="363"/>
      <c r="I2139" s="422"/>
      <c r="J2139" s="423"/>
      <c r="K2139" s="424"/>
      <c r="L2139" s="19"/>
      <c r="M2139" s="19"/>
      <c r="N2139" s="19"/>
      <c r="O2139" s="19"/>
      <c r="P2139" s="19"/>
    </row>
    <row r="2140" spans="1:16" x14ac:dyDescent="0.35">
      <c r="A2140" s="332"/>
      <c r="B2140" s="333"/>
      <c r="C2140" s="333"/>
      <c r="D2140" s="417" t="s">
        <v>59</v>
      </c>
      <c r="E2140" s="425" t="s">
        <v>27</v>
      </c>
      <c r="F2140" s="18">
        <v>350</v>
      </c>
      <c r="G2140" s="18" t="s">
        <v>73</v>
      </c>
      <c r="H2140" s="361"/>
      <c r="I2140" s="335" t="s">
        <v>73</v>
      </c>
      <c r="J2140" s="333"/>
      <c r="K2140" s="411">
        <f t="shared" ref="K2140:K2141" si="278">$A$2023*H2140</f>
        <v>0</v>
      </c>
      <c r="L2140" s="19"/>
      <c r="M2140" s="19"/>
      <c r="N2140" s="19"/>
      <c r="O2140" s="19"/>
      <c r="P2140" s="19"/>
    </row>
    <row r="2141" spans="1:16" x14ac:dyDescent="0.35">
      <c r="A2141" s="339"/>
      <c r="B2141" s="340"/>
      <c r="C2141" s="340"/>
      <c r="D2141" s="417" t="s">
        <v>48</v>
      </c>
      <c r="E2141" s="426" t="s">
        <v>91</v>
      </c>
      <c r="F2141" s="22">
        <v>100</v>
      </c>
      <c r="G2141" s="22" t="s">
        <v>73</v>
      </c>
      <c r="H2141" s="367"/>
      <c r="I2141" s="328" t="s">
        <v>73</v>
      </c>
      <c r="J2141" s="340"/>
      <c r="K2141" s="410">
        <f t="shared" si="278"/>
        <v>0</v>
      </c>
      <c r="L2141" s="19"/>
      <c r="M2141" s="19"/>
      <c r="N2141" s="19"/>
      <c r="O2141" s="19"/>
      <c r="P2141" s="19"/>
    </row>
    <row r="2142" spans="1:16" x14ac:dyDescent="0.35">
      <c r="A2142" s="332"/>
      <c r="B2142" s="333"/>
      <c r="C2142" s="333"/>
      <c r="D2142" s="388"/>
      <c r="E2142" s="384" t="s">
        <v>769</v>
      </c>
      <c r="F2142" s="378">
        <v>2</v>
      </c>
      <c r="G2142" s="378" t="s">
        <v>73</v>
      </c>
      <c r="H2142" s="358"/>
      <c r="I2142" s="358"/>
      <c r="J2142" s="358"/>
      <c r="K2142" s="448"/>
      <c r="L2142" s="19"/>
      <c r="M2142" s="19"/>
      <c r="N2142" s="19"/>
      <c r="O2142" s="19"/>
      <c r="P2142" s="19"/>
    </row>
    <row r="2143" spans="1:16" x14ac:dyDescent="0.35">
      <c r="A2143" s="339"/>
      <c r="B2143" s="340"/>
      <c r="C2143" s="340"/>
      <c r="D2143" s="390" t="s">
        <v>521</v>
      </c>
      <c r="E2143" s="402" t="s">
        <v>906</v>
      </c>
      <c r="F2143" s="22">
        <v>200</v>
      </c>
      <c r="G2143" s="22" t="s">
        <v>73</v>
      </c>
      <c r="H2143" s="340"/>
      <c r="I2143" s="340"/>
      <c r="J2143" s="340"/>
      <c r="K2143" s="443"/>
      <c r="L2143" s="19"/>
      <c r="M2143" s="19"/>
      <c r="N2143" s="19"/>
      <c r="O2143" s="19"/>
      <c r="P2143" s="19"/>
    </row>
    <row r="2144" spans="1:16" x14ac:dyDescent="0.35">
      <c r="A2144" s="332"/>
      <c r="B2144" s="333"/>
      <c r="C2144" s="333"/>
      <c r="D2144" s="388"/>
      <c r="E2144" s="403" t="s">
        <v>770</v>
      </c>
      <c r="F2144" s="378">
        <v>30</v>
      </c>
      <c r="G2144" s="378" t="s">
        <v>73</v>
      </c>
      <c r="H2144" s="358"/>
      <c r="I2144" s="358"/>
      <c r="J2144" s="358"/>
      <c r="K2144" s="448"/>
      <c r="L2144" s="19"/>
      <c r="M2144" s="19"/>
      <c r="N2144" s="19"/>
      <c r="O2144" s="19"/>
      <c r="P2144" s="19"/>
    </row>
    <row r="2145" spans="1:16" x14ac:dyDescent="0.35">
      <c r="A2145" s="339"/>
      <c r="B2145" s="340"/>
      <c r="C2145" s="340"/>
      <c r="D2145" s="390" t="s">
        <v>537</v>
      </c>
      <c r="E2145" s="391" t="s">
        <v>771</v>
      </c>
      <c r="F2145" s="22">
        <v>1</v>
      </c>
      <c r="G2145" s="22" t="s">
        <v>73</v>
      </c>
      <c r="H2145" s="340"/>
      <c r="I2145" s="340"/>
      <c r="J2145" s="340"/>
      <c r="K2145" s="443"/>
      <c r="L2145" s="19"/>
      <c r="M2145" s="19"/>
      <c r="N2145" s="19"/>
      <c r="O2145" s="19"/>
      <c r="P2145" s="19"/>
    </row>
    <row r="2146" spans="1:16" x14ac:dyDescent="0.35">
      <c r="A2146" s="332"/>
      <c r="B2146" s="333"/>
      <c r="C2146" s="333"/>
      <c r="D2146" s="392"/>
      <c r="E2146" s="393" t="s">
        <v>81</v>
      </c>
      <c r="F2146" s="404">
        <v>100</v>
      </c>
      <c r="G2146" s="404" t="s">
        <v>73</v>
      </c>
      <c r="H2146" s="364"/>
      <c r="I2146" s="364"/>
      <c r="J2146" s="364"/>
      <c r="K2146" s="469"/>
      <c r="L2146" s="19"/>
      <c r="M2146" s="19"/>
      <c r="N2146" s="19"/>
      <c r="O2146" s="19"/>
      <c r="P2146" s="19"/>
    </row>
    <row r="2147" spans="1:16" x14ac:dyDescent="0.35">
      <c r="A2147" s="339"/>
      <c r="B2147" s="340"/>
      <c r="C2147" s="340"/>
      <c r="D2147" s="388"/>
      <c r="E2147" s="403" t="s">
        <v>726</v>
      </c>
      <c r="F2147" s="378">
        <v>2</v>
      </c>
      <c r="G2147" s="378" t="s">
        <v>73</v>
      </c>
      <c r="H2147" s="358"/>
      <c r="I2147" s="358"/>
      <c r="J2147" s="358"/>
      <c r="K2147" s="448"/>
      <c r="L2147" s="19"/>
      <c r="M2147" s="19"/>
      <c r="N2147" s="19"/>
      <c r="O2147" s="19"/>
      <c r="P2147" s="19"/>
    </row>
    <row r="2148" spans="1:16" x14ac:dyDescent="0.35">
      <c r="A2148" s="332"/>
      <c r="B2148" s="333"/>
      <c r="C2148" s="333"/>
      <c r="D2148" s="390" t="s">
        <v>43</v>
      </c>
      <c r="E2148" s="395" t="s">
        <v>105</v>
      </c>
      <c r="F2148" s="18">
        <v>15</v>
      </c>
      <c r="G2148" s="18" t="s">
        <v>73</v>
      </c>
      <c r="H2148" s="333"/>
      <c r="I2148" s="333"/>
      <c r="J2148" s="333"/>
      <c r="K2148" s="442"/>
      <c r="L2148" s="19"/>
      <c r="M2148" s="19"/>
      <c r="N2148" s="19"/>
      <c r="O2148" s="19"/>
      <c r="P2148" s="19"/>
    </row>
    <row r="2149" spans="1:16" x14ac:dyDescent="0.35">
      <c r="A2149" s="339"/>
      <c r="B2149" s="340"/>
      <c r="C2149" s="340"/>
      <c r="D2149" s="390" t="s">
        <v>42</v>
      </c>
      <c r="E2149" s="391" t="s">
        <v>95</v>
      </c>
      <c r="F2149" s="22">
        <v>85</v>
      </c>
      <c r="G2149" s="22" t="s">
        <v>73</v>
      </c>
      <c r="H2149" s="340"/>
      <c r="I2149" s="340"/>
      <c r="J2149" s="340"/>
      <c r="K2149" s="443"/>
      <c r="L2149" s="19"/>
      <c r="M2149" s="19"/>
      <c r="N2149" s="19"/>
      <c r="O2149" s="19"/>
      <c r="P2149" s="19"/>
    </row>
    <row r="2150" spans="1:16" x14ac:dyDescent="0.35">
      <c r="A2150" s="332"/>
      <c r="B2150" s="333"/>
      <c r="C2150" s="333"/>
      <c r="D2150" s="390" t="s">
        <v>517</v>
      </c>
      <c r="E2150" s="432" t="s">
        <v>724</v>
      </c>
      <c r="F2150" s="18">
        <v>8</v>
      </c>
      <c r="G2150" s="18" t="s">
        <v>73</v>
      </c>
      <c r="H2150" s="333"/>
      <c r="I2150" s="333"/>
      <c r="J2150" s="333"/>
      <c r="K2150" s="442"/>
      <c r="L2150" s="19"/>
      <c r="M2150" s="19"/>
      <c r="N2150" s="19"/>
      <c r="O2150" s="19"/>
      <c r="P2150" s="19"/>
    </row>
    <row r="2151" spans="1:16" ht="15" thickBot="1" x14ac:dyDescent="0.4">
      <c r="A2151" s="339"/>
      <c r="B2151" s="340"/>
      <c r="C2151" s="340"/>
      <c r="D2151" s="390" t="s">
        <v>45</v>
      </c>
      <c r="E2151" s="402" t="s">
        <v>101</v>
      </c>
      <c r="F2151" s="22">
        <v>1</v>
      </c>
      <c r="G2151" s="22" t="s">
        <v>73</v>
      </c>
      <c r="H2151" s="340"/>
      <c r="I2151" s="340"/>
      <c r="J2151" s="340"/>
      <c r="K2151" s="443"/>
      <c r="L2151" s="19"/>
      <c r="M2151" s="19"/>
      <c r="N2151" s="19"/>
      <c r="O2151" s="19"/>
      <c r="P2151" s="19"/>
    </row>
    <row r="2152" spans="1:16" ht="15.5" thickTop="1" thickBot="1" x14ac:dyDescent="0.4">
      <c r="A2152" s="332"/>
      <c r="B2152" s="333"/>
      <c r="C2152" s="333"/>
      <c r="D2152" s="383"/>
      <c r="E2152" s="384" t="s">
        <v>1206</v>
      </c>
      <c r="F2152" s="378">
        <v>3</v>
      </c>
      <c r="G2152" s="378" t="s">
        <v>74</v>
      </c>
      <c r="H2152" s="358"/>
      <c r="I2152" s="358"/>
      <c r="J2152" s="358"/>
      <c r="K2152" s="448"/>
      <c r="L2152" s="19"/>
      <c r="M2152" s="19"/>
      <c r="N2152" s="19"/>
      <c r="O2152" s="19"/>
      <c r="P2152" s="19"/>
    </row>
    <row r="2153" spans="1:16" ht="15" thickTop="1" x14ac:dyDescent="0.35">
      <c r="A2153" s="339"/>
      <c r="B2153" s="340"/>
      <c r="C2153" s="340"/>
      <c r="D2153" s="385" t="s">
        <v>491</v>
      </c>
      <c r="E2153" s="386" t="s">
        <v>1197</v>
      </c>
      <c r="F2153" s="328">
        <v>6.3E-2</v>
      </c>
      <c r="G2153" s="328" t="s">
        <v>1072</v>
      </c>
      <c r="H2153" s="340"/>
      <c r="I2153" s="340"/>
      <c r="J2153" s="340"/>
      <c r="K2153" s="443"/>
      <c r="L2153" s="19"/>
      <c r="M2153" s="19"/>
      <c r="N2153" s="19"/>
      <c r="O2153" s="19"/>
      <c r="P2153" s="19"/>
    </row>
    <row r="2154" spans="1:16" x14ac:dyDescent="0.35">
      <c r="A2154" s="332"/>
      <c r="B2154" s="333"/>
      <c r="C2154" s="333"/>
      <c r="D2154" s="388"/>
      <c r="E2154" s="389" t="s">
        <v>853</v>
      </c>
      <c r="F2154" s="356">
        <v>42.5</v>
      </c>
      <c r="G2154" s="356" t="s">
        <v>73</v>
      </c>
      <c r="H2154" s="358"/>
      <c r="I2154" s="358"/>
      <c r="J2154" s="358"/>
      <c r="K2154" s="448"/>
      <c r="L2154" s="19"/>
      <c r="M2154" s="19"/>
      <c r="N2154" s="19"/>
      <c r="O2154" s="19"/>
      <c r="P2154" s="19"/>
    </row>
    <row r="2155" spans="1:16" x14ac:dyDescent="0.35">
      <c r="A2155" s="339"/>
      <c r="B2155" s="340"/>
      <c r="C2155" s="340"/>
      <c r="D2155" s="390" t="s">
        <v>1068</v>
      </c>
      <c r="E2155" s="391" t="s">
        <v>1069</v>
      </c>
      <c r="F2155" s="328">
        <v>60</v>
      </c>
      <c r="G2155" s="328" t="s">
        <v>73</v>
      </c>
      <c r="H2155" s="340"/>
      <c r="I2155" s="340"/>
      <c r="J2155" s="340"/>
      <c r="K2155" s="443"/>
      <c r="L2155" s="19"/>
      <c r="M2155" s="19"/>
      <c r="N2155" s="19"/>
      <c r="O2155" s="19"/>
      <c r="P2155" s="19"/>
    </row>
    <row r="2156" spans="1:16" x14ac:dyDescent="0.35">
      <c r="A2156" s="332"/>
      <c r="B2156" s="333"/>
      <c r="C2156" s="333"/>
      <c r="D2156" s="392"/>
      <c r="E2156" s="393" t="s">
        <v>854</v>
      </c>
      <c r="F2156" s="343">
        <v>90</v>
      </c>
      <c r="G2156" s="343" t="s">
        <v>73</v>
      </c>
      <c r="H2156" s="364"/>
      <c r="I2156" s="364"/>
      <c r="J2156" s="364"/>
      <c r="K2156" s="469"/>
      <c r="L2156" s="19"/>
      <c r="M2156" s="19"/>
      <c r="N2156" s="19"/>
      <c r="O2156" s="19"/>
      <c r="P2156" s="19"/>
    </row>
    <row r="2157" spans="1:16" x14ac:dyDescent="0.35">
      <c r="A2157" s="339"/>
      <c r="B2157" s="340"/>
      <c r="C2157" s="340"/>
      <c r="D2157" s="390" t="s">
        <v>45</v>
      </c>
      <c r="E2157" s="500" t="s">
        <v>101</v>
      </c>
      <c r="F2157" s="502">
        <v>1.5</v>
      </c>
      <c r="G2157" s="502" t="s">
        <v>73</v>
      </c>
      <c r="H2157" s="503"/>
      <c r="I2157" s="340"/>
      <c r="J2157" s="340"/>
      <c r="K2157" s="443"/>
      <c r="L2157" s="19"/>
      <c r="M2157" s="19"/>
      <c r="N2157" s="19"/>
      <c r="O2157" s="19"/>
      <c r="P2157" s="19"/>
    </row>
    <row r="2158" spans="1:16" ht="15" thickBot="1" x14ac:dyDescent="0.4">
      <c r="A2158" s="332"/>
      <c r="B2158" s="333"/>
      <c r="C2158" s="333"/>
      <c r="D2158" s="390" t="s">
        <v>521</v>
      </c>
      <c r="E2158" s="500" t="s">
        <v>855</v>
      </c>
      <c r="F2158" s="502">
        <v>55.75</v>
      </c>
      <c r="G2158" s="502" t="s">
        <v>73</v>
      </c>
      <c r="H2158" s="503"/>
      <c r="I2158" s="333"/>
      <c r="J2158" s="333"/>
      <c r="K2158" s="442"/>
      <c r="L2158" s="19"/>
      <c r="M2158" s="19"/>
      <c r="N2158" s="19"/>
      <c r="O2158" s="19"/>
      <c r="P2158" s="19"/>
    </row>
    <row r="2159" spans="1:16" ht="15" thickTop="1" x14ac:dyDescent="0.35">
      <c r="A2159" s="348"/>
      <c r="B2159" s="349"/>
      <c r="C2159" s="349"/>
      <c r="D2159" s="470"/>
      <c r="E2159" s="471"/>
      <c r="F2159" s="349"/>
      <c r="G2159" s="472"/>
      <c r="H2159" s="349"/>
      <c r="I2159" s="349"/>
      <c r="J2159" s="349"/>
      <c r="K2159" s="434"/>
      <c r="L2159" s="19"/>
      <c r="M2159" s="19"/>
      <c r="N2159" s="19"/>
      <c r="O2159" s="19"/>
      <c r="P2159" s="19"/>
    </row>
    <row r="2160" spans="1:16" x14ac:dyDescent="0.35">
      <c r="A2160" s="353">
        <f>IFERROR(INDEX($Q$17:$Q$201,MATCH(B2160,$R$17:$R$201, 0)), "")</f>
        <v>40</v>
      </c>
      <c r="B2160" s="408" t="s">
        <v>1519</v>
      </c>
      <c r="C2160" s="325" t="s">
        <v>1520</v>
      </c>
      <c r="D2160" s="390" t="s">
        <v>49</v>
      </c>
      <c r="E2160" s="412" t="s">
        <v>1905</v>
      </c>
      <c r="F2160" s="18">
        <v>0</v>
      </c>
      <c r="G2160" s="18" t="s">
        <v>73</v>
      </c>
      <c r="H2160" s="18">
        <v>5</v>
      </c>
      <c r="I2160" s="335" t="s">
        <v>73</v>
      </c>
      <c r="J2160" s="333"/>
      <c r="K2160" s="442"/>
      <c r="L2160" s="19"/>
      <c r="M2160" s="19"/>
      <c r="N2160" s="19"/>
      <c r="O2160" s="19"/>
      <c r="P2160" s="19"/>
    </row>
    <row r="2161" spans="1:16" x14ac:dyDescent="0.35">
      <c r="A2161" s="339"/>
      <c r="B2161" s="340"/>
      <c r="C2161" s="340"/>
      <c r="D2161" s="326" t="s">
        <v>1070</v>
      </c>
      <c r="E2161" s="327" t="s">
        <v>1906</v>
      </c>
      <c r="F2161" s="22">
        <v>100</v>
      </c>
      <c r="G2161" s="22" t="s">
        <v>73</v>
      </c>
      <c r="H2161" s="22">
        <v>100</v>
      </c>
      <c r="I2161" s="328" t="s">
        <v>73</v>
      </c>
      <c r="J2161" s="340"/>
      <c r="K2161" s="443"/>
      <c r="L2161" s="19"/>
      <c r="M2161" s="19"/>
      <c r="N2161" s="19"/>
      <c r="O2161" s="19"/>
      <c r="P2161" s="19"/>
    </row>
    <row r="2162" spans="1:16" x14ac:dyDescent="0.35">
      <c r="A2162" s="332"/>
      <c r="B2162" s="333"/>
      <c r="C2162" s="333"/>
      <c r="D2162" s="390" t="s">
        <v>139</v>
      </c>
      <c r="E2162" s="412" t="s">
        <v>140</v>
      </c>
      <c r="F2162" s="18">
        <v>35</v>
      </c>
      <c r="G2162" s="18" t="s">
        <v>73</v>
      </c>
      <c r="H2162" s="18">
        <v>35</v>
      </c>
      <c r="I2162" s="335" t="s">
        <v>73</v>
      </c>
      <c r="J2162" s="333"/>
      <c r="K2162" s="442"/>
      <c r="L2162" s="19"/>
      <c r="M2162" s="19"/>
      <c r="N2162" s="19"/>
      <c r="O2162" s="19"/>
      <c r="P2162" s="19"/>
    </row>
    <row r="2163" spans="1:16" x14ac:dyDescent="0.35">
      <c r="A2163" s="339"/>
      <c r="B2163" s="340"/>
      <c r="C2163" s="340"/>
      <c r="D2163" s="326" t="s">
        <v>392</v>
      </c>
      <c r="E2163" s="327" t="s">
        <v>844</v>
      </c>
      <c r="F2163" s="22">
        <v>1</v>
      </c>
      <c r="G2163" s="22" t="s">
        <v>73</v>
      </c>
      <c r="H2163" s="22">
        <v>1</v>
      </c>
      <c r="I2163" s="328" t="s">
        <v>73</v>
      </c>
      <c r="J2163" s="340"/>
      <c r="K2163" s="443"/>
      <c r="L2163" s="19"/>
      <c r="M2163" s="19"/>
      <c r="N2163" s="19"/>
      <c r="O2163" s="19"/>
      <c r="P2163" s="19"/>
    </row>
    <row r="2164" spans="1:16" x14ac:dyDescent="0.35">
      <c r="A2164" s="332"/>
      <c r="B2164" s="333"/>
      <c r="C2164" s="333"/>
      <c r="D2164" s="444" t="s">
        <v>505</v>
      </c>
      <c r="E2164" s="473" t="s">
        <v>1908</v>
      </c>
      <c r="F2164" s="18">
        <v>0.2</v>
      </c>
      <c r="G2164" s="18" t="s">
        <v>73</v>
      </c>
      <c r="H2164" s="18">
        <v>0.2</v>
      </c>
      <c r="I2164" s="335" t="s">
        <v>73</v>
      </c>
      <c r="J2164" s="333"/>
      <c r="K2164" s="442"/>
      <c r="L2164" s="19"/>
      <c r="M2164" s="19"/>
      <c r="N2164" s="19"/>
      <c r="O2164" s="19"/>
      <c r="P2164" s="19"/>
    </row>
    <row r="2165" spans="1:16" x14ac:dyDescent="0.35">
      <c r="A2165" s="339"/>
      <c r="B2165" s="340"/>
      <c r="C2165" s="340"/>
      <c r="D2165" s="446"/>
      <c r="E2165" s="447" t="s">
        <v>1909</v>
      </c>
      <c r="F2165" s="378">
        <v>180</v>
      </c>
      <c r="G2165" s="378" t="s">
        <v>73</v>
      </c>
      <c r="H2165" s="358"/>
      <c r="I2165" s="358"/>
      <c r="J2165" s="358"/>
      <c r="K2165" s="448"/>
      <c r="L2165" s="19"/>
      <c r="M2165" s="19"/>
      <c r="N2165" s="19"/>
      <c r="O2165" s="19"/>
      <c r="P2165" s="19"/>
    </row>
    <row r="2166" spans="1:16" x14ac:dyDescent="0.35">
      <c r="A2166" s="332"/>
      <c r="B2166" s="333"/>
      <c r="C2166" s="333"/>
      <c r="D2166" s="449" t="s">
        <v>1660</v>
      </c>
      <c r="E2166" s="451" t="s">
        <v>1897</v>
      </c>
      <c r="F2166" s="18">
        <v>1000</v>
      </c>
      <c r="G2166" s="18" t="s">
        <v>73</v>
      </c>
      <c r="H2166" s="333"/>
      <c r="I2166" s="335" t="s">
        <v>73</v>
      </c>
      <c r="J2166" s="333"/>
      <c r="K2166" s="442"/>
      <c r="L2166" s="19"/>
      <c r="M2166" s="19"/>
      <c r="N2166" s="19"/>
      <c r="O2166" s="19"/>
      <c r="P2166" s="19"/>
    </row>
    <row r="2167" spans="1:16" x14ac:dyDescent="0.35">
      <c r="A2167" s="339"/>
      <c r="B2167" s="340"/>
      <c r="C2167" s="340"/>
      <c r="D2167" s="449" t="s">
        <v>1871</v>
      </c>
      <c r="E2167" s="450" t="s">
        <v>1910</v>
      </c>
      <c r="F2167" s="22">
        <v>60</v>
      </c>
      <c r="G2167" s="22" t="s">
        <v>73</v>
      </c>
      <c r="H2167" s="340"/>
      <c r="I2167" s="328" t="s">
        <v>73</v>
      </c>
      <c r="J2167" s="340"/>
      <c r="K2167" s="443"/>
      <c r="L2167" s="19"/>
      <c r="M2167" s="19"/>
      <c r="N2167" s="19"/>
      <c r="O2167" s="19"/>
      <c r="P2167" s="19"/>
    </row>
    <row r="2168" spans="1:16" x14ac:dyDescent="0.35">
      <c r="A2168" s="332"/>
      <c r="B2168" s="333"/>
      <c r="C2168" s="333"/>
      <c r="D2168" s="449"/>
      <c r="E2168" s="451" t="s">
        <v>81</v>
      </c>
      <c r="F2168" s="18">
        <v>1300</v>
      </c>
      <c r="G2168" s="18" t="s">
        <v>73</v>
      </c>
      <c r="H2168" s="333"/>
      <c r="I2168" s="335" t="s">
        <v>73</v>
      </c>
      <c r="J2168" s="333"/>
      <c r="K2168" s="442"/>
      <c r="L2168" s="19"/>
      <c r="M2168" s="19"/>
      <c r="N2168" s="19"/>
      <c r="O2168" s="19"/>
      <c r="P2168" s="19"/>
    </row>
    <row r="2169" spans="1:16" x14ac:dyDescent="0.35">
      <c r="A2169" s="339"/>
      <c r="B2169" s="340"/>
      <c r="C2169" s="340"/>
      <c r="D2169" s="447"/>
      <c r="E2169" s="452" t="s">
        <v>1916</v>
      </c>
      <c r="F2169" s="378">
        <v>150</v>
      </c>
      <c r="G2169" s="358"/>
      <c r="H2169" s="358"/>
      <c r="I2169" s="358"/>
      <c r="J2169" s="358"/>
      <c r="K2169" s="448"/>
      <c r="L2169" s="19"/>
      <c r="M2169" s="19"/>
      <c r="N2169" s="19"/>
      <c r="O2169" s="19"/>
      <c r="P2169" s="19"/>
    </row>
    <row r="2170" spans="1:16" x14ac:dyDescent="0.35">
      <c r="A2170" s="332"/>
      <c r="B2170" s="333"/>
      <c r="C2170" s="333"/>
      <c r="D2170" s="449"/>
      <c r="E2170" s="451" t="s">
        <v>81</v>
      </c>
      <c r="F2170" s="18">
        <v>1000</v>
      </c>
      <c r="G2170" s="335" t="s">
        <v>73</v>
      </c>
      <c r="H2170" s="333"/>
      <c r="I2170" s="335" t="s">
        <v>73</v>
      </c>
      <c r="J2170" s="333"/>
      <c r="K2170" s="442"/>
      <c r="L2170" s="19"/>
      <c r="M2170" s="19"/>
      <c r="N2170" s="19"/>
      <c r="O2170" s="19"/>
      <c r="P2170" s="19"/>
    </row>
    <row r="2171" spans="1:16" x14ac:dyDescent="0.35">
      <c r="A2171" s="339"/>
      <c r="B2171" s="340"/>
      <c r="C2171" s="340"/>
      <c r="D2171" s="390" t="s">
        <v>45</v>
      </c>
      <c r="E2171" s="454" t="s">
        <v>101</v>
      </c>
      <c r="F2171" s="22">
        <v>15</v>
      </c>
      <c r="G2171" s="328" t="s">
        <v>73</v>
      </c>
      <c r="H2171" s="340"/>
      <c r="I2171" s="328" t="s">
        <v>73</v>
      </c>
      <c r="J2171" s="340"/>
      <c r="K2171" s="443"/>
      <c r="L2171" s="19"/>
      <c r="M2171" s="19"/>
      <c r="N2171" s="19"/>
      <c r="O2171" s="19"/>
      <c r="P2171" s="19"/>
    </row>
    <row r="2172" spans="1:16" x14ac:dyDescent="0.35">
      <c r="A2172" s="332"/>
      <c r="B2172" s="333"/>
      <c r="C2172" s="333"/>
      <c r="D2172" s="390" t="s">
        <v>43</v>
      </c>
      <c r="E2172" s="453" t="s">
        <v>105</v>
      </c>
      <c r="F2172" s="18">
        <v>4</v>
      </c>
      <c r="G2172" s="335" t="s">
        <v>73</v>
      </c>
      <c r="H2172" s="333"/>
      <c r="I2172" s="335" t="s">
        <v>73</v>
      </c>
      <c r="J2172" s="333"/>
      <c r="K2172" s="442"/>
      <c r="L2172" s="19"/>
      <c r="M2172" s="19"/>
      <c r="N2172" s="19"/>
      <c r="O2172" s="19"/>
      <c r="P2172" s="19"/>
    </row>
    <row r="2173" spans="1:16" x14ac:dyDescent="0.35">
      <c r="A2173" s="339"/>
      <c r="B2173" s="340"/>
      <c r="C2173" s="340"/>
      <c r="D2173" s="390" t="s">
        <v>46</v>
      </c>
      <c r="E2173" s="454" t="s">
        <v>1911</v>
      </c>
      <c r="F2173" s="22">
        <v>2</v>
      </c>
      <c r="G2173" s="328" t="s">
        <v>73</v>
      </c>
      <c r="H2173" s="340"/>
      <c r="I2173" s="328" t="s">
        <v>73</v>
      </c>
      <c r="J2173" s="340"/>
      <c r="K2173" s="443"/>
      <c r="L2173" s="19"/>
      <c r="M2173" s="19"/>
      <c r="N2173" s="19"/>
      <c r="O2173" s="19"/>
      <c r="P2173" s="19"/>
    </row>
    <row r="2174" spans="1:16" x14ac:dyDescent="0.35">
      <c r="A2174" s="332"/>
      <c r="B2174" s="333"/>
      <c r="C2174" s="333"/>
      <c r="D2174" s="390" t="s">
        <v>42</v>
      </c>
      <c r="E2174" s="453" t="s">
        <v>66</v>
      </c>
      <c r="F2174" s="18">
        <v>5</v>
      </c>
      <c r="G2174" s="335" t="s">
        <v>73</v>
      </c>
      <c r="H2174" s="333"/>
      <c r="I2174" s="335" t="s">
        <v>73</v>
      </c>
      <c r="J2174" s="333"/>
      <c r="K2174" s="442"/>
      <c r="L2174" s="19"/>
      <c r="M2174" s="19"/>
      <c r="N2174" s="19"/>
      <c r="O2174" s="19"/>
      <c r="P2174" s="19"/>
    </row>
    <row r="2175" spans="1:16" x14ac:dyDescent="0.35">
      <c r="A2175" s="339"/>
      <c r="B2175" s="340"/>
      <c r="C2175" s="340"/>
      <c r="D2175" s="326" t="s">
        <v>41</v>
      </c>
      <c r="E2175" s="380" t="s">
        <v>1912</v>
      </c>
      <c r="F2175" s="22">
        <v>3</v>
      </c>
      <c r="G2175" s="328" t="s">
        <v>73</v>
      </c>
      <c r="H2175" s="340"/>
      <c r="I2175" s="328" t="s">
        <v>73</v>
      </c>
      <c r="J2175" s="340"/>
      <c r="K2175" s="443"/>
      <c r="L2175" s="19"/>
      <c r="M2175" s="19"/>
      <c r="N2175" s="19"/>
      <c r="O2175" s="19"/>
      <c r="P2175" s="19"/>
    </row>
    <row r="2176" spans="1:16" x14ac:dyDescent="0.35">
      <c r="A2176" s="332"/>
      <c r="B2176" s="333"/>
      <c r="C2176" s="333"/>
      <c r="D2176" s="326" t="s">
        <v>521</v>
      </c>
      <c r="E2176" s="379" t="s">
        <v>1913</v>
      </c>
      <c r="F2176" s="18">
        <v>59</v>
      </c>
      <c r="G2176" s="335" t="s">
        <v>73</v>
      </c>
      <c r="H2176" s="333"/>
      <c r="I2176" s="335" t="s">
        <v>73</v>
      </c>
      <c r="J2176" s="333"/>
      <c r="K2176" s="442"/>
      <c r="L2176" s="19"/>
      <c r="M2176" s="19"/>
      <c r="N2176" s="19"/>
      <c r="O2176" s="19"/>
      <c r="P2176" s="19"/>
    </row>
    <row r="2177" spans="1:16" x14ac:dyDescent="0.35">
      <c r="A2177" s="339"/>
      <c r="B2177" s="340"/>
      <c r="C2177" s="340"/>
      <c r="D2177" s="449" t="s">
        <v>1915</v>
      </c>
      <c r="E2177" s="450" t="s">
        <v>1941</v>
      </c>
      <c r="F2177" s="22">
        <v>0.5</v>
      </c>
      <c r="G2177" s="328" t="s">
        <v>73</v>
      </c>
      <c r="H2177" s="340"/>
      <c r="I2177" s="328" t="s">
        <v>73</v>
      </c>
      <c r="J2177" s="340"/>
      <c r="K2177" s="443"/>
      <c r="L2177" s="19"/>
      <c r="M2177" s="19"/>
      <c r="N2177" s="19"/>
      <c r="O2177" s="19"/>
      <c r="P2177" s="19"/>
    </row>
    <row r="2178" spans="1:16" x14ac:dyDescent="0.35">
      <c r="A2178" s="332"/>
      <c r="B2178" s="333"/>
      <c r="C2178" s="333"/>
      <c r="D2178" s="390" t="s">
        <v>48</v>
      </c>
      <c r="E2178" s="453" t="s">
        <v>1914</v>
      </c>
      <c r="F2178" s="18">
        <v>3</v>
      </c>
      <c r="G2178" s="335" t="s">
        <v>73</v>
      </c>
      <c r="H2178" s="333"/>
      <c r="I2178" s="335" t="s">
        <v>73</v>
      </c>
      <c r="J2178" s="333"/>
      <c r="K2178" s="442"/>
      <c r="L2178" s="19"/>
      <c r="M2178" s="19"/>
      <c r="N2178" s="19"/>
      <c r="O2178" s="19"/>
      <c r="P2178" s="19"/>
    </row>
    <row r="2179" spans="1:16" x14ac:dyDescent="0.35">
      <c r="A2179" s="339"/>
      <c r="B2179" s="340"/>
      <c r="C2179" s="340"/>
      <c r="D2179" s="447"/>
      <c r="E2179" s="452" t="s">
        <v>1917</v>
      </c>
      <c r="F2179" s="356">
        <v>30</v>
      </c>
      <c r="G2179" s="358"/>
      <c r="H2179" s="358"/>
      <c r="I2179" s="358"/>
      <c r="J2179" s="358"/>
      <c r="K2179" s="448"/>
      <c r="L2179" s="19"/>
      <c r="M2179" s="19"/>
      <c r="N2179" s="19"/>
      <c r="O2179" s="19"/>
      <c r="P2179" s="19"/>
    </row>
    <row r="2180" spans="1:16" x14ac:dyDescent="0.35">
      <c r="A2180" s="332"/>
      <c r="B2180" s="333"/>
      <c r="C2180" s="333"/>
      <c r="D2180" s="449" t="s">
        <v>1604</v>
      </c>
      <c r="E2180" s="451" t="s">
        <v>1940</v>
      </c>
      <c r="F2180" s="335">
        <v>60</v>
      </c>
      <c r="G2180" s="335" t="s">
        <v>73</v>
      </c>
      <c r="H2180" s="333"/>
      <c r="I2180" s="335" t="s">
        <v>73</v>
      </c>
      <c r="J2180" s="333"/>
      <c r="K2180" s="442"/>
      <c r="L2180" s="19"/>
      <c r="M2180" s="19"/>
      <c r="N2180" s="19"/>
      <c r="O2180" s="19"/>
      <c r="P2180" s="19"/>
    </row>
    <row r="2181" spans="1:16" x14ac:dyDescent="0.35">
      <c r="A2181" s="339"/>
      <c r="B2181" s="340"/>
      <c r="C2181" s="340"/>
      <c r="D2181" s="449" t="s">
        <v>1626</v>
      </c>
      <c r="E2181" s="450" t="s">
        <v>1918</v>
      </c>
      <c r="F2181" s="328">
        <v>70</v>
      </c>
      <c r="G2181" s="328" t="s">
        <v>73</v>
      </c>
      <c r="H2181" s="340"/>
      <c r="I2181" s="328" t="s">
        <v>73</v>
      </c>
      <c r="J2181" s="340"/>
      <c r="K2181" s="443"/>
      <c r="L2181" s="19"/>
      <c r="M2181" s="19"/>
      <c r="N2181" s="19"/>
      <c r="O2181" s="19"/>
      <c r="P2181" s="19"/>
    </row>
    <row r="2182" spans="1:16" x14ac:dyDescent="0.35">
      <c r="A2182" s="332"/>
      <c r="B2182" s="333"/>
      <c r="C2182" s="333"/>
      <c r="D2182" s="390" t="s">
        <v>50</v>
      </c>
      <c r="E2182" s="453" t="s">
        <v>1919</v>
      </c>
      <c r="F2182" s="335">
        <v>20</v>
      </c>
      <c r="G2182" s="335" t="s">
        <v>73</v>
      </c>
      <c r="H2182" s="333"/>
      <c r="I2182" s="335" t="s">
        <v>73</v>
      </c>
      <c r="J2182" s="333"/>
      <c r="K2182" s="442"/>
      <c r="L2182" s="19"/>
      <c r="M2182" s="19"/>
      <c r="N2182" s="19"/>
      <c r="O2182" s="19"/>
      <c r="P2182" s="19"/>
    </row>
    <row r="2183" spans="1:16" x14ac:dyDescent="0.35">
      <c r="A2183" s="339"/>
      <c r="B2183" s="340"/>
      <c r="C2183" s="340"/>
      <c r="D2183" s="449" t="s">
        <v>1647</v>
      </c>
      <c r="E2183" s="450" t="s">
        <v>1920</v>
      </c>
      <c r="F2183" s="328">
        <v>80</v>
      </c>
      <c r="G2183" s="328" t="s">
        <v>73</v>
      </c>
      <c r="H2183" s="340"/>
      <c r="I2183" s="328" t="s">
        <v>73</v>
      </c>
      <c r="J2183" s="340"/>
      <c r="K2183" s="443"/>
      <c r="L2183" s="19"/>
      <c r="M2183" s="19"/>
      <c r="N2183" s="19"/>
      <c r="O2183" s="19"/>
      <c r="P2183" s="19"/>
    </row>
    <row r="2184" spans="1:16" x14ac:dyDescent="0.35">
      <c r="A2184" s="332"/>
      <c r="B2184" s="333"/>
      <c r="C2184" s="333"/>
      <c r="D2184" s="447"/>
      <c r="E2184" s="455" t="s">
        <v>1921</v>
      </c>
      <c r="F2184" s="356">
        <v>1.5</v>
      </c>
      <c r="G2184" s="356" t="s">
        <v>73</v>
      </c>
      <c r="H2184" s="358"/>
      <c r="I2184" s="358"/>
      <c r="J2184" s="358"/>
      <c r="K2184" s="448"/>
      <c r="L2184" s="19"/>
      <c r="M2184" s="19"/>
      <c r="N2184" s="19"/>
      <c r="O2184" s="19"/>
      <c r="P2184" s="19"/>
    </row>
    <row r="2185" spans="1:16" x14ac:dyDescent="0.35">
      <c r="A2185" s="339"/>
      <c r="B2185" s="340"/>
      <c r="C2185" s="340"/>
      <c r="D2185" s="417" t="s">
        <v>43</v>
      </c>
      <c r="E2185" s="456" t="s">
        <v>94</v>
      </c>
      <c r="F2185" s="22">
        <v>85</v>
      </c>
      <c r="G2185" s="457" t="s">
        <v>73</v>
      </c>
      <c r="H2185" s="340"/>
      <c r="I2185" s="328" t="s">
        <v>73</v>
      </c>
      <c r="J2185" s="340"/>
      <c r="K2185" s="443"/>
      <c r="L2185" s="19"/>
      <c r="M2185" s="19"/>
      <c r="N2185" s="19"/>
      <c r="O2185" s="19"/>
      <c r="P2185" s="19"/>
    </row>
    <row r="2186" spans="1:16" x14ac:dyDescent="0.35">
      <c r="A2186" s="332"/>
      <c r="B2186" s="333"/>
      <c r="C2186" s="333"/>
      <c r="D2186" s="417" t="s">
        <v>42</v>
      </c>
      <c r="E2186" s="474" t="s">
        <v>95</v>
      </c>
      <c r="F2186" s="18">
        <v>15</v>
      </c>
      <c r="G2186" s="458" t="s">
        <v>73</v>
      </c>
      <c r="H2186" s="333"/>
      <c r="I2186" s="335" t="s">
        <v>73</v>
      </c>
      <c r="J2186" s="333"/>
      <c r="K2186" s="442"/>
      <c r="L2186" s="19"/>
      <c r="M2186" s="19"/>
      <c r="N2186" s="19"/>
      <c r="O2186" s="19"/>
      <c r="P2186" s="19"/>
    </row>
    <row r="2187" spans="1:16" ht="15" thickBot="1" x14ac:dyDescent="0.4">
      <c r="A2187" s="339"/>
      <c r="B2187" s="340"/>
      <c r="C2187" s="340"/>
      <c r="D2187" s="398"/>
      <c r="E2187" s="388" t="s">
        <v>1191</v>
      </c>
      <c r="F2187" s="459">
        <v>30</v>
      </c>
      <c r="G2187" s="460" t="s">
        <v>73</v>
      </c>
      <c r="H2187" s="358"/>
      <c r="I2187" s="356" t="s">
        <v>73</v>
      </c>
      <c r="J2187" s="358"/>
      <c r="K2187" s="448"/>
      <c r="L2187" s="19"/>
      <c r="M2187" s="19"/>
      <c r="N2187" s="19"/>
      <c r="O2187" s="19"/>
      <c r="P2187" s="19"/>
    </row>
    <row r="2188" spans="1:16" ht="15" thickTop="1" x14ac:dyDescent="0.35">
      <c r="A2188" s="332"/>
      <c r="B2188" s="333"/>
      <c r="C2188" s="333"/>
      <c r="D2188" s="385" t="s">
        <v>47</v>
      </c>
      <c r="E2188" s="395" t="s">
        <v>1192</v>
      </c>
      <c r="F2188" s="335">
        <v>10</v>
      </c>
      <c r="G2188" s="462" t="s">
        <v>73</v>
      </c>
      <c r="H2188" s="333"/>
      <c r="I2188" s="335" t="s">
        <v>73</v>
      </c>
      <c r="J2188" s="333"/>
      <c r="K2188" s="442"/>
      <c r="L2188" s="19"/>
      <c r="M2188" s="19"/>
      <c r="N2188" s="19"/>
      <c r="O2188" s="19"/>
      <c r="P2188" s="19"/>
    </row>
    <row r="2189" spans="1:16" x14ac:dyDescent="0.35">
      <c r="A2189" s="339"/>
      <c r="B2189" s="340"/>
      <c r="C2189" s="340"/>
      <c r="D2189" s="390" t="s">
        <v>50</v>
      </c>
      <c r="E2189" s="391" t="s">
        <v>394</v>
      </c>
      <c r="F2189" s="328">
        <v>40</v>
      </c>
      <c r="G2189" s="461" t="s">
        <v>73</v>
      </c>
      <c r="H2189" s="340"/>
      <c r="I2189" s="328" t="s">
        <v>73</v>
      </c>
      <c r="J2189" s="340"/>
      <c r="K2189" s="443"/>
      <c r="L2189" s="19"/>
      <c r="M2189" s="19"/>
      <c r="N2189" s="19"/>
      <c r="O2189" s="19"/>
      <c r="P2189" s="19"/>
    </row>
    <row r="2190" spans="1:16" x14ac:dyDescent="0.35">
      <c r="A2190" s="332"/>
      <c r="B2190" s="333"/>
      <c r="C2190" s="333"/>
      <c r="D2190" s="390" t="s">
        <v>371</v>
      </c>
      <c r="E2190" s="395" t="s">
        <v>372</v>
      </c>
      <c r="F2190" s="335">
        <v>40</v>
      </c>
      <c r="G2190" s="462" t="s">
        <v>73</v>
      </c>
      <c r="H2190" s="333"/>
      <c r="I2190" s="335" t="s">
        <v>73</v>
      </c>
      <c r="J2190" s="333"/>
      <c r="K2190" s="442"/>
      <c r="L2190" s="19"/>
      <c r="M2190" s="19"/>
      <c r="N2190" s="19"/>
      <c r="O2190" s="19"/>
      <c r="P2190" s="19"/>
    </row>
    <row r="2191" spans="1:16" x14ac:dyDescent="0.35">
      <c r="A2191" s="339"/>
      <c r="B2191" s="340"/>
      <c r="C2191" s="340"/>
      <c r="D2191" s="390" t="s">
        <v>260</v>
      </c>
      <c r="E2191" s="391" t="s">
        <v>1193</v>
      </c>
      <c r="F2191" s="328">
        <v>120</v>
      </c>
      <c r="G2191" s="461" t="s">
        <v>73</v>
      </c>
      <c r="H2191" s="340"/>
      <c r="I2191" s="328" t="s">
        <v>73</v>
      </c>
      <c r="J2191" s="340"/>
      <c r="K2191" s="443"/>
      <c r="L2191" s="19"/>
      <c r="M2191" s="19"/>
      <c r="N2191" s="19"/>
      <c r="O2191" s="19"/>
      <c r="P2191" s="19"/>
    </row>
    <row r="2192" spans="1:16" ht="15" thickBot="1" x14ac:dyDescent="0.4">
      <c r="A2192" s="332"/>
      <c r="B2192" s="333"/>
      <c r="C2192" s="333"/>
      <c r="D2192" s="396"/>
      <c r="E2192" s="463" t="s">
        <v>950</v>
      </c>
      <c r="F2192" s="343">
        <v>40</v>
      </c>
      <c r="G2192" s="464" t="s">
        <v>73</v>
      </c>
      <c r="H2192" s="465"/>
      <c r="I2192" s="466" t="s">
        <v>73</v>
      </c>
      <c r="J2192" s="465"/>
      <c r="K2192" s="467"/>
      <c r="L2192" s="19"/>
      <c r="M2192" s="19"/>
      <c r="N2192" s="19"/>
      <c r="O2192" s="19"/>
      <c r="P2192" s="19"/>
    </row>
    <row r="2193" spans="1:16" ht="15" thickTop="1" x14ac:dyDescent="0.35">
      <c r="A2193" s="339"/>
      <c r="B2193" s="340"/>
      <c r="C2193" s="340"/>
      <c r="D2193" s="385" t="s">
        <v>141</v>
      </c>
      <c r="E2193" s="391" t="s">
        <v>1194</v>
      </c>
      <c r="F2193" s="328">
        <v>40</v>
      </c>
      <c r="G2193" s="461" t="s">
        <v>73</v>
      </c>
      <c r="H2193" s="340"/>
      <c r="I2193" s="328" t="s">
        <v>73</v>
      </c>
      <c r="J2193" s="340"/>
      <c r="K2193" s="443"/>
      <c r="L2193" s="19"/>
      <c r="M2193" s="19"/>
      <c r="N2193" s="19"/>
      <c r="O2193" s="19"/>
      <c r="P2193" s="19"/>
    </row>
    <row r="2194" spans="1:16" x14ac:dyDescent="0.35">
      <c r="A2194" s="332"/>
      <c r="B2194" s="333"/>
      <c r="C2194" s="333"/>
      <c r="D2194" s="390" t="s">
        <v>46</v>
      </c>
      <c r="E2194" s="395" t="s">
        <v>1195</v>
      </c>
      <c r="F2194" s="335">
        <v>20</v>
      </c>
      <c r="G2194" s="462" t="s">
        <v>73</v>
      </c>
      <c r="H2194" s="333"/>
      <c r="I2194" s="335" t="s">
        <v>73</v>
      </c>
      <c r="J2194" s="333"/>
      <c r="K2194" s="442"/>
      <c r="L2194" s="19"/>
      <c r="M2194" s="19"/>
      <c r="N2194" s="19"/>
      <c r="O2194" s="19"/>
      <c r="P2194" s="19"/>
    </row>
    <row r="2195" spans="1:16" ht="15" thickBot="1" x14ac:dyDescent="0.4">
      <c r="A2195" s="339"/>
      <c r="B2195" s="340"/>
      <c r="C2195" s="340"/>
      <c r="D2195" s="390" t="s">
        <v>379</v>
      </c>
      <c r="E2195" s="391" t="s">
        <v>380</v>
      </c>
      <c r="F2195" s="328">
        <v>10</v>
      </c>
      <c r="G2195" s="461" t="s">
        <v>73</v>
      </c>
      <c r="H2195" s="340"/>
      <c r="I2195" s="328" t="s">
        <v>73</v>
      </c>
      <c r="J2195" s="340"/>
      <c r="K2195" s="443"/>
      <c r="L2195" s="19"/>
      <c r="M2195" s="19"/>
      <c r="N2195" s="19"/>
      <c r="O2195" s="19"/>
      <c r="P2195" s="19"/>
    </row>
    <row r="2196" spans="1:16" ht="15" thickTop="1" x14ac:dyDescent="0.35">
      <c r="A2196" s="332"/>
      <c r="B2196" s="333"/>
      <c r="C2196" s="333"/>
      <c r="D2196" s="468"/>
      <c r="E2196" s="355" t="s">
        <v>973</v>
      </c>
      <c r="F2196" s="356">
        <v>40</v>
      </c>
      <c r="G2196" s="460" t="s">
        <v>73</v>
      </c>
      <c r="H2196" s="358"/>
      <c r="I2196" s="356" t="s">
        <v>73</v>
      </c>
      <c r="J2196" s="358"/>
      <c r="K2196" s="448"/>
      <c r="L2196" s="19"/>
      <c r="M2196" s="19"/>
      <c r="N2196" s="19"/>
      <c r="O2196" s="19"/>
      <c r="P2196" s="19"/>
    </row>
    <row r="2197" spans="1:16" x14ac:dyDescent="0.35">
      <c r="A2197" s="339"/>
      <c r="B2197" s="340"/>
      <c r="C2197" s="340"/>
      <c r="D2197" s="326" t="s">
        <v>47</v>
      </c>
      <c r="E2197" s="426" t="s">
        <v>740</v>
      </c>
      <c r="F2197" s="22">
        <v>3</v>
      </c>
      <c r="G2197" s="461" t="s">
        <v>73</v>
      </c>
      <c r="H2197" s="340"/>
      <c r="I2197" s="328" t="s">
        <v>73</v>
      </c>
      <c r="J2197" s="340"/>
      <c r="K2197" s="443"/>
      <c r="L2197" s="19"/>
      <c r="M2197" s="19"/>
      <c r="N2197" s="19"/>
      <c r="O2197" s="19"/>
      <c r="P2197" s="19"/>
    </row>
    <row r="2198" spans="1:16" x14ac:dyDescent="0.35">
      <c r="A2198" s="332"/>
      <c r="B2198" s="333"/>
      <c r="C2198" s="333"/>
      <c r="D2198" s="326" t="s">
        <v>49</v>
      </c>
      <c r="E2198" s="425" t="s">
        <v>916</v>
      </c>
      <c r="F2198" s="18">
        <v>8</v>
      </c>
      <c r="G2198" s="462" t="s">
        <v>73</v>
      </c>
      <c r="H2198" s="333"/>
      <c r="I2198" s="335" t="s">
        <v>73</v>
      </c>
      <c r="J2198" s="333"/>
      <c r="K2198" s="442"/>
      <c r="L2198" s="19"/>
      <c r="M2198" s="19"/>
      <c r="N2198" s="19"/>
      <c r="O2198" s="19"/>
      <c r="P2198" s="19"/>
    </row>
    <row r="2199" spans="1:16" x14ac:dyDescent="0.35">
      <c r="A2199" s="339"/>
      <c r="B2199" s="340"/>
      <c r="C2199" s="340"/>
      <c r="D2199" s="326" t="s">
        <v>50</v>
      </c>
      <c r="E2199" s="426" t="s">
        <v>917</v>
      </c>
      <c r="F2199" s="22">
        <v>40</v>
      </c>
      <c r="G2199" s="461" t="s">
        <v>73</v>
      </c>
      <c r="H2199" s="340"/>
      <c r="I2199" s="328" t="s">
        <v>73</v>
      </c>
      <c r="J2199" s="340"/>
      <c r="K2199" s="443"/>
      <c r="L2199" s="19"/>
      <c r="M2199" s="19"/>
      <c r="N2199" s="19"/>
      <c r="O2199" s="19"/>
      <c r="P2199" s="19"/>
    </row>
    <row r="2200" spans="1:16" x14ac:dyDescent="0.35">
      <c r="A2200" s="332"/>
      <c r="B2200" s="333"/>
      <c r="C2200" s="333"/>
      <c r="D2200" s="326" t="s">
        <v>371</v>
      </c>
      <c r="E2200" s="425" t="s">
        <v>918</v>
      </c>
      <c r="F2200" s="18">
        <v>20</v>
      </c>
      <c r="G2200" s="462" t="s">
        <v>73</v>
      </c>
      <c r="H2200" s="333"/>
      <c r="I2200" s="335" t="s">
        <v>73</v>
      </c>
      <c r="J2200" s="333"/>
      <c r="K2200" s="442"/>
      <c r="L2200" s="19"/>
      <c r="M2200" s="19"/>
      <c r="N2200" s="19"/>
      <c r="O2200" s="19"/>
      <c r="P2200" s="19"/>
    </row>
    <row r="2201" spans="1:16" x14ac:dyDescent="0.35">
      <c r="A2201" s="339"/>
      <c r="B2201" s="340"/>
      <c r="C2201" s="340"/>
      <c r="D2201" s="326" t="s">
        <v>379</v>
      </c>
      <c r="E2201" s="426" t="s">
        <v>919</v>
      </c>
      <c r="F2201" s="22">
        <v>10</v>
      </c>
      <c r="G2201" s="461" t="s">
        <v>73</v>
      </c>
      <c r="H2201" s="340"/>
      <c r="I2201" s="328" t="s">
        <v>73</v>
      </c>
      <c r="J2201" s="340"/>
      <c r="K2201" s="443"/>
      <c r="L2201" s="19"/>
      <c r="M2201" s="19"/>
      <c r="N2201" s="19"/>
      <c r="O2201" s="19"/>
      <c r="P2201" s="19"/>
    </row>
    <row r="2202" spans="1:16" x14ac:dyDescent="0.35">
      <c r="A2202" s="332"/>
      <c r="B2202" s="333"/>
      <c r="C2202" s="333"/>
      <c r="D2202" s="326" t="s">
        <v>505</v>
      </c>
      <c r="E2202" s="425" t="s">
        <v>722</v>
      </c>
      <c r="F2202" s="18">
        <v>0.5</v>
      </c>
      <c r="G2202" s="462" t="s">
        <v>73</v>
      </c>
      <c r="H2202" s="333"/>
      <c r="I2202" s="335" t="s">
        <v>73</v>
      </c>
      <c r="J2202" s="333"/>
      <c r="K2202" s="442"/>
      <c r="L2202" s="19"/>
      <c r="M2202" s="19"/>
      <c r="N2202" s="19"/>
      <c r="O2202" s="19"/>
      <c r="P2202" s="19"/>
    </row>
    <row r="2203" spans="1:16" x14ac:dyDescent="0.35">
      <c r="A2203" s="339"/>
      <c r="B2203" s="340"/>
      <c r="C2203" s="340"/>
      <c r="D2203" s="326" t="s">
        <v>41</v>
      </c>
      <c r="E2203" s="426" t="s">
        <v>911</v>
      </c>
      <c r="F2203" s="22">
        <v>2</v>
      </c>
      <c r="G2203" s="461" t="s">
        <v>73</v>
      </c>
      <c r="H2203" s="340"/>
      <c r="I2203" s="328" t="s">
        <v>73</v>
      </c>
      <c r="J2203" s="340"/>
      <c r="K2203" s="443"/>
      <c r="L2203" s="19"/>
      <c r="M2203" s="19"/>
      <c r="N2203" s="19"/>
      <c r="O2203" s="19"/>
      <c r="P2203" s="19"/>
    </row>
    <row r="2204" spans="1:16" x14ac:dyDescent="0.35">
      <c r="A2204" s="332"/>
      <c r="B2204" s="333"/>
      <c r="C2204" s="333"/>
      <c r="D2204" s="326" t="s">
        <v>127</v>
      </c>
      <c r="E2204" s="425" t="s">
        <v>912</v>
      </c>
      <c r="F2204" s="18">
        <v>28</v>
      </c>
      <c r="G2204" s="462" t="s">
        <v>73</v>
      </c>
      <c r="H2204" s="333"/>
      <c r="I2204" s="335" t="s">
        <v>73</v>
      </c>
      <c r="J2204" s="333"/>
      <c r="K2204" s="442"/>
      <c r="L2204" s="19"/>
      <c r="M2204" s="19"/>
      <c r="N2204" s="19"/>
      <c r="O2204" s="19"/>
      <c r="P2204" s="19"/>
    </row>
    <row r="2205" spans="1:16" x14ac:dyDescent="0.35">
      <c r="A2205" s="339"/>
      <c r="B2205" s="340"/>
      <c r="C2205" s="340"/>
      <c r="D2205" s="326" t="s">
        <v>549</v>
      </c>
      <c r="E2205" s="426" t="s">
        <v>915</v>
      </c>
      <c r="F2205" s="22">
        <v>165</v>
      </c>
      <c r="G2205" s="461" t="s">
        <v>73</v>
      </c>
      <c r="H2205" s="340"/>
      <c r="I2205" s="328" t="s">
        <v>73</v>
      </c>
      <c r="J2205" s="340"/>
      <c r="K2205" s="443"/>
      <c r="L2205" s="19"/>
      <c r="M2205" s="19"/>
      <c r="N2205" s="19"/>
      <c r="O2205" s="19"/>
      <c r="P2205" s="19"/>
    </row>
    <row r="2206" spans="1:16" ht="15" thickBot="1" x14ac:dyDescent="0.4">
      <c r="A2206" s="332"/>
      <c r="B2206" s="333"/>
      <c r="C2206" s="333"/>
      <c r="D2206" s="413"/>
      <c r="E2206" s="388" t="s">
        <v>84</v>
      </c>
      <c r="F2206" s="378">
        <v>30</v>
      </c>
      <c r="G2206" s="378" t="s">
        <v>73</v>
      </c>
      <c r="H2206" s="357"/>
      <c r="I2206" s="358"/>
      <c r="J2206" s="358"/>
      <c r="K2206" s="414"/>
      <c r="L2206" s="19"/>
      <c r="M2206" s="19"/>
      <c r="N2206" s="19"/>
      <c r="O2206" s="19"/>
      <c r="P2206" s="19"/>
    </row>
    <row r="2207" spans="1:16" ht="15" thickTop="1" x14ac:dyDescent="0.35">
      <c r="A2207" s="339"/>
      <c r="B2207" s="340"/>
      <c r="C2207" s="340"/>
      <c r="D2207" s="415"/>
      <c r="E2207" s="416" t="s">
        <v>26</v>
      </c>
      <c r="F2207" s="378">
        <v>1000</v>
      </c>
      <c r="G2207" s="378" t="s">
        <v>73</v>
      </c>
      <c r="H2207" s="357"/>
      <c r="I2207" s="358"/>
      <c r="J2207" s="358"/>
      <c r="K2207" s="414"/>
      <c r="L2207" s="19"/>
      <c r="M2207" s="19"/>
      <c r="N2207" s="19"/>
      <c r="O2207" s="19"/>
      <c r="P2207" s="19"/>
    </row>
    <row r="2208" spans="1:16" x14ac:dyDescent="0.35">
      <c r="A2208" s="332"/>
      <c r="B2208" s="333"/>
      <c r="C2208" s="333"/>
      <c r="D2208" s="417" t="s">
        <v>60</v>
      </c>
      <c r="E2208" s="418" t="s">
        <v>121</v>
      </c>
      <c r="F2208" s="22">
        <v>1000</v>
      </c>
      <c r="G2208" s="22" t="s">
        <v>73</v>
      </c>
      <c r="H2208" s="361"/>
      <c r="I2208" s="18" t="s">
        <v>73</v>
      </c>
      <c r="J2208" s="333"/>
      <c r="K2208" s="411">
        <f t="shared" ref="K2208:K2209" si="279">$A$2023*H2208</f>
        <v>0</v>
      </c>
      <c r="L2208" s="19"/>
      <c r="M2208" s="19"/>
      <c r="N2208" s="19"/>
      <c r="O2208" s="19"/>
      <c r="P2208" s="19"/>
    </row>
    <row r="2209" spans="1:16" x14ac:dyDescent="0.35">
      <c r="A2209" s="339"/>
      <c r="B2209" s="340"/>
      <c r="C2209" s="340"/>
      <c r="D2209" s="417" t="s">
        <v>43</v>
      </c>
      <c r="E2209" s="475" t="s">
        <v>94</v>
      </c>
      <c r="F2209" s="22">
        <v>30</v>
      </c>
      <c r="G2209" s="22" t="s">
        <v>73</v>
      </c>
      <c r="H2209" s="367"/>
      <c r="I2209" s="22" t="s">
        <v>73</v>
      </c>
      <c r="J2209" s="340"/>
      <c r="K2209" s="410">
        <f t="shared" si="279"/>
        <v>0</v>
      </c>
      <c r="L2209" s="19"/>
      <c r="M2209" s="19"/>
      <c r="N2209" s="19"/>
      <c r="O2209" s="19"/>
      <c r="P2209" s="19"/>
    </row>
    <row r="2210" spans="1:16" x14ac:dyDescent="0.35">
      <c r="A2210" s="332"/>
      <c r="B2210" s="333"/>
      <c r="C2210" s="333"/>
      <c r="D2210" s="420"/>
      <c r="E2210" s="421" t="s">
        <v>81</v>
      </c>
      <c r="F2210" s="404">
        <v>400</v>
      </c>
      <c r="G2210" s="404" t="s">
        <v>73</v>
      </c>
      <c r="H2210" s="363"/>
      <c r="I2210" s="422"/>
      <c r="J2210" s="423"/>
      <c r="K2210" s="424"/>
      <c r="L2210" s="19"/>
      <c r="M2210" s="19"/>
      <c r="N2210" s="19"/>
      <c r="O2210" s="19"/>
      <c r="P2210" s="19"/>
    </row>
    <row r="2211" spans="1:16" x14ac:dyDescent="0.35">
      <c r="A2211" s="339"/>
      <c r="B2211" s="340"/>
      <c r="C2211" s="340"/>
      <c r="D2211" s="417" t="s">
        <v>59</v>
      </c>
      <c r="E2211" s="720" t="s">
        <v>27</v>
      </c>
      <c r="F2211" s="114">
        <v>350</v>
      </c>
      <c r="G2211" s="114" t="s">
        <v>73</v>
      </c>
      <c r="H2211" s="501"/>
      <c r="I2211" s="328" t="s">
        <v>73</v>
      </c>
      <c r="J2211" s="340"/>
      <c r="K2211" s="410">
        <f t="shared" ref="K2211:K2212" si="280">$A$2023*H2211</f>
        <v>0</v>
      </c>
      <c r="L2211" s="19"/>
      <c r="M2211" s="19"/>
      <c r="N2211" s="19"/>
      <c r="O2211" s="19"/>
      <c r="P2211" s="19"/>
    </row>
    <row r="2212" spans="1:16" x14ac:dyDescent="0.35">
      <c r="A2212" s="332"/>
      <c r="B2212" s="333"/>
      <c r="C2212" s="333"/>
      <c r="D2212" s="417" t="s">
        <v>48</v>
      </c>
      <c r="E2212" s="720" t="s">
        <v>91</v>
      </c>
      <c r="F2212" s="114">
        <v>100</v>
      </c>
      <c r="G2212" s="114" t="s">
        <v>73</v>
      </c>
      <c r="H2212" s="501"/>
      <c r="I2212" s="335" t="s">
        <v>73</v>
      </c>
      <c r="J2212" s="333"/>
      <c r="K2212" s="411">
        <f t="shared" si="280"/>
        <v>0</v>
      </c>
      <c r="L2212" s="19"/>
      <c r="M2212" s="19"/>
      <c r="N2212" s="19"/>
      <c r="O2212" s="19"/>
      <c r="P2212" s="19"/>
    </row>
    <row r="2213" spans="1:16" x14ac:dyDescent="0.35">
      <c r="A2213" s="339"/>
      <c r="B2213" s="340"/>
      <c r="C2213" s="340"/>
      <c r="D2213" s="388"/>
      <c r="E2213" s="384" t="s">
        <v>769</v>
      </c>
      <c r="F2213" s="378">
        <v>2</v>
      </c>
      <c r="G2213" s="378" t="s">
        <v>73</v>
      </c>
      <c r="H2213" s="358"/>
      <c r="I2213" s="358"/>
      <c r="J2213" s="358"/>
      <c r="K2213" s="448"/>
      <c r="L2213" s="19"/>
      <c r="M2213" s="19"/>
      <c r="N2213" s="19"/>
      <c r="O2213" s="19"/>
      <c r="P2213" s="19"/>
    </row>
    <row r="2214" spans="1:16" x14ac:dyDescent="0.35">
      <c r="A2214" s="332"/>
      <c r="B2214" s="333"/>
      <c r="C2214" s="333"/>
      <c r="D2214" s="390" t="s">
        <v>521</v>
      </c>
      <c r="E2214" s="402" t="s">
        <v>906</v>
      </c>
      <c r="F2214" s="22">
        <v>200</v>
      </c>
      <c r="G2214" s="22" t="s">
        <v>73</v>
      </c>
      <c r="H2214" s="333"/>
      <c r="I2214" s="333"/>
      <c r="J2214" s="333"/>
      <c r="K2214" s="442"/>
      <c r="L2214" s="19"/>
      <c r="M2214" s="19"/>
      <c r="N2214" s="19"/>
      <c r="O2214" s="19"/>
      <c r="P2214" s="19"/>
    </row>
    <row r="2215" spans="1:16" x14ac:dyDescent="0.35">
      <c r="A2215" s="339"/>
      <c r="B2215" s="340"/>
      <c r="C2215" s="340"/>
      <c r="D2215" s="388"/>
      <c r="E2215" s="403" t="s">
        <v>770</v>
      </c>
      <c r="F2215" s="378">
        <v>30</v>
      </c>
      <c r="G2215" s="378" t="s">
        <v>73</v>
      </c>
      <c r="H2215" s="358"/>
      <c r="I2215" s="358"/>
      <c r="J2215" s="358"/>
      <c r="K2215" s="448"/>
      <c r="L2215" s="19"/>
      <c r="M2215" s="19"/>
      <c r="N2215" s="19"/>
      <c r="O2215" s="19"/>
      <c r="P2215" s="19"/>
    </row>
    <row r="2216" spans="1:16" x14ac:dyDescent="0.35">
      <c r="A2216" s="332"/>
      <c r="B2216" s="333"/>
      <c r="C2216" s="333"/>
      <c r="D2216" s="390" t="s">
        <v>537</v>
      </c>
      <c r="E2216" s="391" t="s">
        <v>771</v>
      </c>
      <c r="F2216" s="22">
        <v>1</v>
      </c>
      <c r="G2216" s="22" t="s">
        <v>73</v>
      </c>
      <c r="H2216" s="333"/>
      <c r="I2216" s="333"/>
      <c r="J2216" s="333"/>
      <c r="K2216" s="442"/>
      <c r="L2216" s="19"/>
      <c r="M2216" s="19"/>
      <c r="N2216" s="19"/>
      <c r="O2216" s="19"/>
      <c r="P2216" s="19"/>
    </row>
    <row r="2217" spans="1:16" x14ac:dyDescent="0.35">
      <c r="A2217" s="339"/>
      <c r="B2217" s="340"/>
      <c r="C2217" s="340"/>
      <c r="D2217" s="392"/>
      <c r="E2217" s="393" t="s">
        <v>81</v>
      </c>
      <c r="F2217" s="404">
        <v>100</v>
      </c>
      <c r="G2217" s="404" t="s">
        <v>73</v>
      </c>
      <c r="H2217" s="364"/>
      <c r="I2217" s="364"/>
      <c r="J2217" s="364"/>
      <c r="K2217" s="469"/>
      <c r="L2217" s="19"/>
      <c r="M2217" s="19"/>
      <c r="N2217" s="19"/>
      <c r="O2217" s="19"/>
      <c r="P2217" s="19"/>
    </row>
    <row r="2218" spans="1:16" x14ac:dyDescent="0.35">
      <c r="A2218" s="332"/>
      <c r="B2218" s="333"/>
      <c r="C2218" s="333"/>
      <c r="D2218" s="388"/>
      <c r="E2218" s="403" t="s">
        <v>726</v>
      </c>
      <c r="F2218" s="378">
        <v>2</v>
      </c>
      <c r="G2218" s="378" t="s">
        <v>73</v>
      </c>
      <c r="H2218" s="358"/>
      <c r="I2218" s="358"/>
      <c r="J2218" s="358"/>
      <c r="K2218" s="448"/>
      <c r="L2218" s="19"/>
      <c r="M2218" s="19"/>
      <c r="N2218" s="19"/>
      <c r="O2218" s="19"/>
      <c r="P2218" s="19"/>
    </row>
    <row r="2219" spans="1:16" x14ac:dyDescent="0.35">
      <c r="A2219" s="339"/>
      <c r="B2219" s="340"/>
      <c r="C2219" s="340"/>
      <c r="D2219" s="390" t="s">
        <v>43</v>
      </c>
      <c r="E2219" s="500" t="s">
        <v>105</v>
      </c>
      <c r="F2219" s="114">
        <v>15</v>
      </c>
      <c r="G2219" s="114" t="s">
        <v>73</v>
      </c>
      <c r="H2219" s="503"/>
      <c r="I2219" s="340"/>
      <c r="J2219" s="340"/>
      <c r="K2219" s="443"/>
      <c r="L2219" s="19"/>
      <c r="M2219" s="19"/>
      <c r="N2219" s="19"/>
      <c r="O2219" s="19"/>
      <c r="P2219" s="19"/>
    </row>
    <row r="2220" spans="1:16" x14ac:dyDescent="0.35">
      <c r="A2220" s="332"/>
      <c r="B2220" s="333"/>
      <c r="C2220" s="333"/>
      <c r="D2220" s="390" t="s">
        <v>42</v>
      </c>
      <c r="E2220" s="500" t="s">
        <v>95</v>
      </c>
      <c r="F2220" s="114">
        <v>85</v>
      </c>
      <c r="G2220" s="114" t="s">
        <v>73</v>
      </c>
      <c r="H2220" s="503"/>
      <c r="I2220" s="333"/>
      <c r="J2220" s="333"/>
      <c r="K2220" s="442"/>
      <c r="L2220" s="19"/>
      <c r="M2220" s="19"/>
      <c r="N2220" s="19"/>
      <c r="O2220" s="19"/>
      <c r="P2220" s="19"/>
    </row>
    <row r="2221" spans="1:16" x14ac:dyDescent="0.35">
      <c r="A2221" s="339"/>
      <c r="B2221" s="340"/>
      <c r="C2221" s="340"/>
      <c r="D2221" s="390" t="s">
        <v>517</v>
      </c>
      <c r="E2221" s="504" t="s">
        <v>724</v>
      </c>
      <c r="F2221" s="114">
        <v>8</v>
      </c>
      <c r="G2221" s="114" t="s">
        <v>73</v>
      </c>
      <c r="H2221" s="503"/>
      <c r="I2221" s="340"/>
      <c r="J2221" s="340"/>
      <c r="K2221" s="443"/>
      <c r="L2221" s="19"/>
      <c r="M2221" s="19"/>
      <c r="N2221" s="19"/>
      <c r="O2221" s="19"/>
      <c r="P2221" s="19"/>
    </row>
    <row r="2222" spans="1:16" ht="15" thickBot="1" x14ac:dyDescent="0.4">
      <c r="A2222" s="332"/>
      <c r="B2222" s="333"/>
      <c r="C2222" s="333"/>
      <c r="D2222" s="390" t="s">
        <v>45</v>
      </c>
      <c r="E2222" s="504" t="s">
        <v>101</v>
      </c>
      <c r="F2222" s="114">
        <v>1</v>
      </c>
      <c r="G2222" s="114" t="s">
        <v>73</v>
      </c>
      <c r="H2222" s="503"/>
      <c r="I2222" s="333"/>
      <c r="J2222" s="333"/>
      <c r="K2222" s="442"/>
      <c r="L2222" s="19"/>
      <c r="M2222" s="19"/>
      <c r="N2222" s="19"/>
      <c r="O2222" s="19"/>
      <c r="P2222" s="19"/>
    </row>
    <row r="2223" spans="1:16" ht="15.5" thickTop="1" thickBot="1" x14ac:dyDescent="0.4">
      <c r="A2223" s="339"/>
      <c r="B2223" s="340"/>
      <c r="C2223" s="340"/>
      <c r="D2223" s="383"/>
      <c r="E2223" s="384" t="s">
        <v>1206</v>
      </c>
      <c r="F2223" s="378">
        <v>3</v>
      </c>
      <c r="G2223" s="378" t="s">
        <v>74</v>
      </c>
      <c r="H2223" s="358"/>
      <c r="I2223" s="358"/>
      <c r="J2223" s="358"/>
      <c r="K2223" s="448"/>
      <c r="L2223" s="19"/>
      <c r="M2223" s="19"/>
      <c r="N2223" s="19"/>
      <c r="O2223" s="19"/>
      <c r="P2223" s="19"/>
    </row>
    <row r="2224" spans="1:16" ht="15" thickTop="1" x14ac:dyDescent="0.35">
      <c r="A2224" s="332"/>
      <c r="B2224" s="333"/>
      <c r="C2224" s="333"/>
      <c r="D2224" s="385" t="s">
        <v>491</v>
      </c>
      <c r="E2224" s="397" t="s">
        <v>1197</v>
      </c>
      <c r="F2224" s="335">
        <v>6.3E-2</v>
      </c>
      <c r="G2224" s="335" t="s">
        <v>1072</v>
      </c>
      <c r="H2224" s="333"/>
      <c r="I2224" s="333"/>
      <c r="J2224" s="333"/>
      <c r="K2224" s="442"/>
      <c r="L2224" s="19"/>
      <c r="M2224" s="19"/>
      <c r="N2224" s="19"/>
      <c r="O2224" s="19"/>
      <c r="P2224" s="19"/>
    </row>
    <row r="2225" spans="1:16" x14ac:dyDescent="0.35">
      <c r="A2225" s="339"/>
      <c r="B2225" s="340"/>
      <c r="C2225" s="340"/>
      <c r="D2225" s="388"/>
      <c r="E2225" s="389" t="s">
        <v>853</v>
      </c>
      <c r="F2225" s="356">
        <v>42.5</v>
      </c>
      <c r="G2225" s="356" t="s">
        <v>73</v>
      </c>
      <c r="H2225" s="358"/>
      <c r="I2225" s="358"/>
      <c r="J2225" s="358"/>
      <c r="K2225" s="448"/>
      <c r="L2225" s="19"/>
      <c r="M2225" s="19"/>
      <c r="N2225" s="19"/>
      <c r="O2225" s="19"/>
      <c r="P2225" s="19"/>
    </row>
    <row r="2226" spans="1:16" x14ac:dyDescent="0.35">
      <c r="A2226" s="332"/>
      <c r="B2226" s="333"/>
      <c r="C2226" s="333"/>
      <c r="D2226" s="390" t="s">
        <v>1068</v>
      </c>
      <c r="E2226" s="395" t="s">
        <v>1069</v>
      </c>
      <c r="F2226" s="335">
        <v>60</v>
      </c>
      <c r="G2226" s="335" t="s">
        <v>73</v>
      </c>
      <c r="H2226" s="333"/>
      <c r="I2226" s="333"/>
      <c r="J2226" s="333"/>
      <c r="K2226" s="442"/>
      <c r="L2226" s="19"/>
      <c r="M2226" s="19"/>
      <c r="N2226" s="19"/>
      <c r="O2226" s="19"/>
      <c r="P2226" s="19"/>
    </row>
    <row r="2227" spans="1:16" x14ac:dyDescent="0.35">
      <c r="A2227" s="339"/>
      <c r="B2227" s="340"/>
      <c r="C2227" s="340"/>
      <c r="D2227" s="392"/>
      <c r="E2227" s="393" t="s">
        <v>854</v>
      </c>
      <c r="F2227" s="343">
        <v>90</v>
      </c>
      <c r="G2227" s="343" t="s">
        <v>73</v>
      </c>
      <c r="H2227" s="364"/>
      <c r="I2227" s="364"/>
      <c r="J2227" s="364"/>
      <c r="K2227" s="469"/>
      <c r="L2227" s="19"/>
      <c r="M2227" s="19"/>
      <c r="N2227" s="19"/>
      <c r="O2227" s="19"/>
      <c r="P2227" s="19"/>
    </row>
    <row r="2228" spans="1:16" x14ac:dyDescent="0.35">
      <c r="A2228" s="332"/>
      <c r="B2228" s="333"/>
      <c r="C2228" s="333"/>
      <c r="D2228" s="390" t="s">
        <v>45</v>
      </c>
      <c r="E2228" s="395" t="s">
        <v>101</v>
      </c>
      <c r="F2228" s="335">
        <v>1.5</v>
      </c>
      <c r="G2228" s="335" t="s">
        <v>73</v>
      </c>
      <c r="H2228" s="333"/>
      <c r="I2228" s="333"/>
      <c r="J2228" s="333"/>
      <c r="K2228" s="442"/>
      <c r="L2228" s="19"/>
      <c r="M2228" s="19"/>
      <c r="N2228" s="19"/>
      <c r="O2228" s="19"/>
      <c r="P2228" s="19"/>
    </row>
    <row r="2229" spans="1:16" ht="15" thickBot="1" x14ac:dyDescent="0.4">
      <c r="A2229" s="339"/>
      <c r="B2229" s="340"/>
      <c r="C2229" s="340"/>
      <c r="D2229" s="390" t="s">
        <v>521</v>
      </c>
      <c r="E2229" s="391" t="s">
        <v>855</v>
      </c>
      <c r="F2229" s="328">
        <v>55.75</v>
      </c>
      <c r="G2229" s="328" t="s">
        <v>73</v>
      </c>
      <c r="H2229" s="340"/>
      <c r="I2229" s="340"/>
      <c r="J2229" s="340"/>
      <c r="K2229" s="443"/>
      <c r="L2229" s="19"/>
      <c r="M2229" s="19"/>
      <c r="N2229" s="19"/>
      <c r="O2229" s="19"/>
      <c r="P2229" s="19"/>
    </row>
    <row r="2230" spans="1:16" ht="15" thickTop="1" x14ac:dyDescent="0.35">
      <c r="A2230" s="348"/>
      <c r="B2230" s="349"/>
      <c r="C2230" s="349"/>
      <c r="D2230" s="476"/>
      <c r="E2230" s="471"/>
      <c r="F2230" s="349"/>
      <c r="G2230" s="349"/>
      <c r="H2230" s="349"/>
      <c r="I2230" s="349"/>
      <c r="J2230" s="349"/>
      <c r="K2230" s="434"/>
      <c r="L2230" s="19"/>
      <c r="M2230" s="19"/>
      <c r="N2230" s="19"/>
      <c r="O2230" s="19"/>
      <c r="P2230" s="19"/>
    </row>
    <row r="2231" spans="1:16" x14ac:dyDescent="0.35">
      <c r="A2231" s="353">
        <f>IFERROR(INDEX($Q$17:$Q$201,MATCH(B2231,$R$17:$R$201, 0)), "")</f>
        <v>30</v>
      </c>
      <c r="B2231" s="408" t="s">
        <v>1521</v>
      </c>
      <c r="C2231" s="325" t="s">
        <v>1522</v>
      </c>
      <c r="D2231" s="390" t="s">
        <v>49</v>
      </c>
      <c r="E2231" s="409" t="s">
        <v>1905</v>
      </c>
      <c r="F2231" s="22">
        <v>0</v>
      </c>
      <c r="G2231" s="22" t="s">
        <v>73</v>
      </c>
      <c r="H2231" s="22">
        <v>0</v>
      </c>
      <c r="I2231" s="328" t="s">
        <v>73</v>
      </c>
      <c r="J2231" s="340"/>
      <c r="K2231" s="443"/>
      <c r="L2231" s="19"/>
      <c r="M2231" s="19"/>
      <c r="N2231" s="19"/>
      <c r="O2231" s="19"/>
      <c r="P2231" s="19"/>
    </row>
    <row r="2232" spans="1:16" x14ac:dyDescent="0.35">
      <c r="A2232" s="332"/>
      <c r="B2232" s="333"/>
      <c r="C2232" s="333"/>
      <c r="D2232" s="326" t="s">
        <v>1070</v>
      </c>
      <c r="E2232" s="334" t="s">
        <v>1906</v>
      </c>
      <c r="F2232" s="18">
        <v>100</v>
      </c>
      <c r="G2232" s="18" t="s">
        <v>73</v>
      </c>
      <c r="H2232" s="18">
        <v>100</v>
      </c>
      <c r="I2232" s="335" t="s">
        <v>73</v>
      </c>
      <c r="J2232" s="333"/>
      <c r="K2232" s="442"/>
      <c r="L2232" s="19"/>
      <c r="M2232" s="19"/>
      <c r="N2232" s="19"/>
      <c r="O2232" s="19"/>
      <c r="P2232" s="19"/>
    </row>
    <row r="2233" spans="1:16" x14ac:dyDescent="0.35">
      <c r="A2233" s="339"/>
      <c r="B2233" s="340"/>
      <c r="C2233" s="340"/>
      <c r="D2233" s="390" t="s">
        <v>203</v>
      </c>
      <c r="E2233" s="409" t="s">
        <v>204</v>
      </c>
      <c r="F2233" s="22">
        <v>35</v>
      </c>
      <c r="G2233" s="22" t="s">
        <v>73</v>
      </c>
      <c r="H2233" s="22">
        <v>35</v>
      </c>
      <c r="I2233" s="328" t="s">
        <v>73</v>
      </c>
      <c r="J2233" s="340"/>
      <c r="K2233" s="443"/>
      <c r="L2233" s="19"/>
      <c r="M2233" s="19"/>
      <c r="N2233" s="19"/>
      <c r="O2233" s="19"/>
      <c r="P2233" s="19"/>
    </row>
    <row r="2234" spans="1:16" x14ac:dyDescent="0.35">
      <c r="A2234" s="332"/>
      <c r="B2234" s="333"/>
      <c r="C2234" s="333"/>
      <c r="D2234" s="326" t="s">
        <v>392</v>
      </c>
      <c r="E2234" s="334" t="s">
        <v>844</v>
      </c>
      <c r="F2234" s="18">
        <v>0</v>
      </c>
      <c r="G2234" s="18" t="s">
        <v>73</v>
      </c>
      <c r="H2234" s="18">
        <v>0</v>
      </c>
      <c r="I2234" s="335" t="s">
        <v>73</v>
      </c>
      <c r="J2234" s="333"/>
      <c r="K2234" s="442"/>
      <c r="L2234" s="19"/>
      <c r="M2234" s="19"/>
      <c r="N2234" s="19"/>
      <c r="O2234" s="19"/>
      <c r="P2234" s="19"/>
    </row>
    <row r="2235" spans="1:16" x14ac:dyDescent="0.35">
      <c r="A2235" s="339"/>
      <c r="B2235" s="340"/>
      <c r="C2235" s="340"/>
      <c r="D2235" s="444" t="s">
        <v>505</v>
      </c>
      <c r="E2235" s="445" t="s">
        <v>1908</v>
      </c>
      <c r="F2235" s="22">
        <v>0</v>
      </c>
      <c r="G2235" s="22" t="s">
        <v>73</v>
      </c>
      <c r="H2235" s="22">
        <v>0</v>
      </c>
      <c r="I2235" s="328" t="s">
        <v>73</v>
      </c>
      <c r="J2235" s="340"/>
      <c r="K2235" s="443"/>
      <c r="L2235" s="19"/>
      <c r="M2235" s="19"/>
      <c r="N2235" s="19"/>
      <c r="O2235" s="19"/>
      <c r="P2235" s="19"/>
    </row>
    <row r="2236" spans="1:16" x14ac:dyDescent="0.35">
      <c r="A2236" s="332"/>
      <c r="B2236" s="333"/>
      <c r="C2236" s="333"/>
      <c r="D2236" s="446"/>
      <c r="E2236" s="447" t="s">
        <v>1909</v>
      </c>
      <c r="F2236" s="378">
        <v>180</v>
      </c>
      <c r="G2236" s="378" t="s">
        <v>73</v>
      </c>
      <c r="H2236" s="358"/>
      <c r="I2236" s="358"/>
      <c r="J2236" s="358"/>
      <c r="K2236" s="448"/>
      <c r="L2236" s="19"/>
      <c r="M2236" s="19"/>
      <c r="N2236" s="19"/>
      <c r="O2236" s="19"/>
      <c r="P2236" s="19"/>
    </row>
    <row r="2237" spans="1:16" x14ac:dyDescent="0.35">
      <c r="A2237" s="339"/>
      <c r="B2237" s="340"/>
      <c r="C2237" s="340"/>
      <c r="D2237" s="449" t="s">
        <v>1660</v>
      </c>
      <c r="E2237" s="450" t="s">
        <v>1897</v>
      </c>
      <c r="F2237" s="22">
        <v>1000</v>
      </c>
      <c r="G2237" s="22" t="s">
        <v>73</v>
      </c>
      <c r="H2237" s="340"/>
      <c r="I2237" s="328" t="s">
        <v>73</v>
      </c>
      <c r="J2237" s="340"/>
      <c r="K2237" s="443"/>
      <c r="L2237" s="19"/>
      <c r="M2237" s="19"/>
      <c r="N2237" s="19"/>
      <c r="O2237" s="19"/>
      <c r="P2237" s="19"/>
    </row>
    <row r="2238" spans="1:16" x14ac:dyDescent="0.35">
      <c r="A2238" s="332"/>
      <c r="B2238" s="333"/>
      <c r="C2238" s="333"/>
      <c r="D2238" s="449" t="s">
        <v>1871</v>
      </c>
      <c r="E2238" s="451" t="s">
        <v>1910</v>
      </c>
      <c r="F2238" s="18">
        <v>60</v>
      </c>
      <c r="G2238" s="18" t="s">
        <v>73</v>
      </c>
      <c r="H2238" s="333"/>
      <c r="I2238" s="335" t="s">
        <v>73</v>
      </c>
      <c r="J2238" s="333"/>
      <c r="K2238" s="442"/>
      <c r="L2238" s="19"/>
      <c r="M2238" s="19"/>
      <c r="N2238" s="19"/>
      <c r="O2238" s="19"/>
      <c r="P2238" s="19"/>
    </row>
    <row r="2239" spans="1:16" x14ac:dyDescent="0.35">
      <c r="A2239" s="339"/>
      <c r="B2239" s="340"/>
      <c r="C2239" s="340"/>
      <c r="D2239" s="449"/>
      <c r="E2239" s="450" t="s">
        <v>81</v>
      </c>
      <c r="F2239" s="22">
        <v>1300</v>
      </c>
      <c r="G2239" s="22" t="s">
        <v>73</v>
      </c>
      <c r="H2239" s="340"/>
      <c r="I2239" s="328" t="s">
        <v>73</v>
      </c>
      <c r="J2239" s="340"/>
      <c r="K2239" s="443"/>
      <c r="L2239" s="19"/>
      <c r="M2239" s="19"/>
      <c r="N2239" s="19"/>
      <c r="O2239" s="19"/>
      <c r="P2239" s="19"/>
    </row>
    <row r="2240" spans="1:16" x14ac:dyDescent="0.35">
      <c r="A2240" s="332"/>
      <c r="B2240" s="333"/>
      <c r="C2240" s="333"/>
      <c r="D2240" s="447"/>
      <c r="E2240" s="452" t="s">
        <v>1916</v>
      </c>
      <c r="F2240" s="378">
        <v>150</v>
      </c>
      <c r="G2240" s="358"/>
      <c r="H2240" s="358"/>
      <c r="I2240" s="358"/>
      <c r="J2240" s="358"/>
      <c r="K2240" s="448"/>
      <c r="L2240" s="19"/>
      <c r="M2240" s="19"/>
      <c r="N2240" s="19"/>
      <c r="O2240" s="19"/>
      <c r="P2240" s="19"/>
    </row>
    <row r="2241" spans="1:16" x14ac:dyDescent="0.35">
      <c r="A2241" s="339"/>
      <c r="B2241" s="340"/>
      <c r="C2241" s="340"/>
      <c r="D2241" s="449"/>
      <c r="E2241" s="450" t="s">
        <v>81</v>
      </c>
      <c r="F2241" s="22">
        <v>1000</v>
      </c>
      <c r="G2241" s="328" t="s">
        <v>73</v>
      </c>
      <c r="H2241" s="340"/>
      <c r="I2241" s="328" t="s">
        <v>73</v>
      </c>
      <c r="J2241" s="340"/>
      <c r="K2241" s="443"/>
      <c r="L2241" s="19"/>
      <c r="M2241" s="19"/>
      <c r="N2241" s="19"/>
      <c r="O2241" s="19"/>
      <c r="P2241" s="19"/>
    </row>
    <row r="2242" spans="1:16" x14ac:dyDescent="0.35">
      <c r="A2242" s="332"/>
      <c r="B2242" s="333"/>
      <c r="C2242" s="333"/>
      <c r="D2242" s="390" t="s">
        <v>45</v>
      </c>
      <c r="E2242" s="453" t="s">
        <v>101</v>
      </c>
      <c r="F2242" s="18">
        <v>15</v>
      </c>
      <c r="G2242" s="335" t="s">
        <v>73</v>
      </c>
      <c r="H2242" s="333"/>
      <c r="I2242" s="335" t="s">
        <v>73</v>
      </c>
      <c r="J2242" s="333"/>
      <c r="K2242" s="442"/>
      <c r="L2242" s="19"/>
      <c r="M2242" s="19"/>
      <c r="N2242" s="19"/>
      <c r="O2242" s="19"/>
      <c r="P2242" s="19"/>
    </row>
    <row r="2243" spans="1:16" x14ac:dyDescent="0.35">
      <c r="A2243" s="339"/>
      <c r="B2243" s="340"/>
      <c r="C2243" s="340"/>
      <c r="D2243" s="390" t="s">
        <v>43</v>
      </c>
      <c r="E2243" s="454" t="s">
        <v>105</v>
      </c>
      <c r="F2243" s="22">
        <v>4</v>
      </c>
      <c r="G2243" s="328" t="s">
        <v>73</v>
      </c>
      <c r="H2243" s="340"/>
      <c r="I2243" s="328" t="s">
        <v>73</v>
      </c>
      <c r="J2243" s="340"/>
      <c r="K2243" s="443"/>
      <c r="L2243" s="19"/>
      <c r="M2243" s="19"/>
      <c r="N2243" s="19"/>
      <c r="O2243" s="19"/>
      <c r="P2243" s="19"/>
    </row>
    <row r="2244" spans="1:16" x14ac:dyDescent="0.35">
      <c r="A2244" s="332"/>
      <c r="B2244" s="333"/>
      <c r="C2244" s="333"/>
      <c r="D2244" s="390" t="s">
        <v>46</v>
      </c>
      <c r="E2244" s="453" t="s">
        <v>1911</v>
      </c>
      <c r="F2244" s="18">
        <v>2</v>
      </c>
      <c r="G2244" s="335" t="s">
        <v>73</v>
      </c>
      <c r="H2244" s="333"/>
      <c r="I2244" s="335" t="s">
        <v>73</v>
      </c>
      <c r="J2244" s="333"/>
      <c r="K2244" s="442"/>
      <c r="L2244" s="19"/>
      <c r="M2244" s="19"/>
      <c r="N2244" s="19"/>
      <c r="O2244" s="19"/>
      <c r="P2244" s="19"/>
    </row>
    <row r="2245" spans="1:16" x14ac:dyDescent="0.35">
      <c r="A2245" s="339"/>
      <c r="B2245" s="340"/>
      <c r="C2245" s="340"/>
      <c r="D2245" s="390" t="s">
        <v>42</v>
      </c>
      <c r="E2245" s="454" t="s">
        <v>66</v>
      </c>
      <c r="F2245" s="22">
        <v>5</v>
      </c>
      <c r="G2245" s="328" t="s">
        <v>73</v>
      </c>
      <c r="H2245" s="340"/>
      <c r="I2245" s="328" t="s">
        <v>73</v>
      </c>
      <c r="J2245" s="340"/>
      <c r="K2245" s="443"/>
      <c r="L2245" s="19"/>
      <c r="M2245" s="19"/>
      <c r="N2245" s="19"/>
      <c r="O2245" s="19"/>
      <c r="P2245" s="19"/>
    </row>
    <row r="2246" spans="1:16" x14ac:dyDescent="0.35">
      <c r="A2246" s="332"/>
      <c r="B2246" s="333"/>
      <c r="C2246" s="333"/>
      <c r="D2246" s="326" t="s">
        <v>41</v>
      </c>
      <c r="E2246" s="379" t="s">
        <v>1912</v>
      </c>
      <c r="F2246" s="18">
        <v>3</v>
      </c>
      <c r="G2246" s="335" t="s">
        <v>73</v>
      </c>
      <c r="H2246" s="333"/>
      <c r="I2246" s="335" t="s">
        <v>73</v>
      </c>
      <c r="J2246" s="333"/>
      <c r="K2246" s="442"/>
      <c r="L2246" s="19"/>
      <c r="M2246" s="19"/>
      <c r="N2246" s="19"/>
      <c r="O2246" s="19"/>
      <c r="P2246" s="19"/>
    </row>
    <row r="2247" spans="1:16" x14ac:dyDescent="0.35">
      <c r="A2247" s="339"/>
      <c r="B2247" s="340"/>
      <c r="C2247" s="340"/>
      <c r="D2247" s="326" t="s">
        <v>521</v>
      </c>
      <c r="E2247" s="380" t="s">
        <v>1913</v>
      </c>
      <c r="F2247" s="22">
        <v>59</v>
      </c>
      <c r="G2247" s="328" t="s">
        <v>73</v>
      </c>
      <c r="H2247" s="340"/>
      <c r="I2247" s="328" t="s">
        <v>73</v>
      </c>
      <c r="J2247" s="340"/>
      <c r="K2247" s="443"/>
      <c r="L2247" s="19"/>
      <c r="M2247" s="19"/>
      <c r="N2247" s="19"/>
      <c r="O2247" s="19"/>
      <c r="P2247" s="19"/>
    </row>
    <row r="2248" spans="1:16" x14ac:dyDescent="0.35">
      <c r="A2248" s="332"/>
      <c r="B2248" s="333"/>
      <c r="C2248" s="333"/>
      <c r="D2248" s="449" t="s">
        <v>1915</v>
      </c>
      <c r="E2248" s="451" t="s">
        <v>1941</v>
      </c>
      <c r="F2248" s="18">
        <v>0.5</v>
      </c>
      <c r="G2248" s="335" t="s">
        <v>73</v>
      </c>
      <c r="H2248" s="333"/>
      <c r="I2248" s="335" t="s">
        <v>73</v>
      </c>
      <c r="J2248" s="333"/>
      <c r="K2248" s="442"/>
      <c r="L2248" s="19"/>
      <c r="M2248" s="19"/>
      <c r="N2248" s="19"/>
      <c r="O2248" s="19"/>
      <c r="P2248" s="19"/>
    </row>
    <row r="2249" spans="1:16" x14ac:dyDescent="0.35">
      <c r="A2249" s="339"/>
      <c r="B2249" s="340"/>
      <c r="C2249" s="340"/>
      <c r="D2249" s="390" t="s">
        <v>48</v>
      </c>
      <c r="E2249" s="454" t="s">
        <v>1914</v>
      </c>
      <c r="F2249" s="22">
        <v>3</v>
      </c>
      <c r="G2249" s="328" t="s">
        <v>73</v>
      </c>
      <c r="H2249" s="340"/>
      <c r="I2249" s="328" t="s">
        <v>73</v>
      </c>
      <c r="J2249" s="340"/>
      <c r="K2249" s="443"/>
      <c r="L2249" s="19"/>
      <c r="M2249" s="19"/>
      <c r="N2249" s="19"/>
      <c r="O2249" s="19"/>
      <c r="P2249" s="19"/>
    </row>
    <row r="2250" spans="1:16" x14ac:dyDescent="0.35">
      <c r="A2250" s="332"/>
      <c r="B2250" s="333"/>
      <c r="C2250" s="333"/>
      <c r="D2250" s="447"/>
      <c r="E2250" s="452" t="s">
        <v>1917</v>
      </c>
      <c r="F2250" s="356">
        <v>30</v>
      </c>
      <c r="G2250" s="358"/>
      <c r="H2250" s="358"/>
      <c r="I2250" s="358"/>
      <c r="J2250" s="358"/>
      <c r="K2250" s="448"/>
      <c r="L2250" s="19"/>
      <c r="M2250" s="19"/>
      <c r="N2250" s="19"/>
      <c r="O2250" s="19"/>
      <c r="P2250" s="19"/>
    </row>
    <row r="2251" spans="1:16" x14ac:dyDescent="0.35">
      <c r="A2251" s="339"/>
      <c r="B2251" s="340"/>
      <c r="C2251" s="340"/>
      <c r="D2251" s="449" t="s">
        <v>1604</v>
      </c>
      <c r="E2251" s="450" t="s">
        <v>1940</v>
      </c>
      <c r="F2251" s="328">
        <v>60</v>
      </c>
      <c r="G2251" s="328" t="s">
        <v>73</v>
      </c>
      <c r="H2251" s="340"/>
      <c r="I2251" s="328" t="s">
        <v>73</v>
      </c>
      <c r="J2251" s="340"/>
      <c r="K2251" s="443"/>
      <c r="L2251" s="19"/>
      <c r="M2251" s="19"/>
      <c r="N2251" s="19"/>
      <c r="O2251" s="19"/>
      <c r="P2251" s="19"/>
    </row>
    <row r="2252" spans="1:16" x14ac:dyDescent="0.35">
      <c r="A2252" s="332"/>
      <c r="B2252" s="333"/>
      <c r="C2252" s="333"/>
      <c r="D2252" s="449" t="s">
        <v>1626</v>
      </c>
      <c r="E2252" s="451" t="s">
        <v>1918</v>
      </c>
      <c r="F2252" s="335">
        <v>70</v>
      </c>
      <c r="G2252" s="335" t="s">
        <v>73</v>
      </c>
      <c r="H2252" s="333"/>
      <c r="I2252" s="335" t="s">
        <v>73</v>
      </c>
      <c r="J2252" s="333"/>
      <c r="K2252" s="442"/>
      <c r="L2252" s="19"/>
      <c r="M2252" s="19"/>
      <c r="N2252" s="19"/>
      <c r="O2252" s="19"/>
      <c r="P2252" s="19"/>
    </row>
    <row r="2253" spans="1:16" x14ac:dyDescent="0.35">
      <c r="A2253" s="339"/>
      <c r="B2253" s="340"/>
      <c r="C2253" s="340"/>
      <c r="D2253" s="390" t="s">
        <v>50</v>
      </c>
      <c r="E2253" s="454" t="s">
        <v>1919</v>
      </c>
      <c r="F2253" s="328">
        <v>20</v>
      </c>
      <c r="G2253" s="328" t="s">
        <v>73</v>
      </c>
      <c r="H2253" s="340"/>
      <c r="I2253" s="328" t="s">
        <v>73</v>
      </c>
      <c r="J2253" s="340"/>
      <c r="K2253" s="443"/>
      <c r="L2253" s="19"/>
      <c r="M2253" s="19"/>
      <c r="N2253" s="19"/>
      <c r="O2253" s="19"/>
      <c r="P2253" s="19"/>
    </row>
    <row r="2254" spans="1:16" x14ac:dyDescent="0.35">
      <c r="A2254" s="332"/>
      <c r="B2254" s="333"/>
      <c r="C2254" s="333"/>
      <c r="D2254" s="449" t="s">
        <v>1647</v>
      </c>
      <c r="E2254" s="451" t="s">
        <v>1920</v>
      </c>
      <c r="F2254" s="335">
        <v>80</v>
      </c>
      <c r="G2254" s="335" t="s">
        <v>73</v>
      </c>
      <c r="H2254" s="333"/>
      <c r="I2254" s="335" t="s">
        <v>73</v>
      </c>
      <c r="J2254" s="333"/>
      <c r="K2254" s="442"/>
      <c r="L2254" s="19"/>
      <c r="M2254" s="19"/>
      <c r="N2254" s="19"/>
      <c r="O2254" s="19"/>
      <c r="P2254" s="19"/>
    </row>
    <row r="2255" spans="1:16" x14ac:dyDescent="0.35">
      <c r="A2255" s="339"/>
      <c r="B2255" s="340"/>
      <c r="C2255" s="340"/>
      <c r="D2255" s="447"/>
      <c r="E2255" s="455" t="s">
        <v>1921</v>
      </c>
      <c r="F2255" s="356">
        <v>1.5</v>
      </c>
      <c r="G2255" s="356" t="s">
        <v>73</v>
      </c>
      <c r="H2255" s="358"/>
      <c r="I2255" s="358"/>
      <c r="J2255" s="358"/>
      <c r="K2255" s="448"/>
      <c r="L2255" s="19"/>
      <c r="M2255" s="19"/>
      <c r="N2255" s="19"/>
      <c r="O2255" s="19"/>
      <c r="P2255" s="19"/>
    </row>
    <row r="2256" spans="1:16" x14ac:dyDescent="0.35">
      <c r="A2256" s="332"/>
      <c r="B2256" s="333"/>
      <c r="C2256" s="333"/>
      <c r="D2256" s="417" t="s">
        <v>43</v>
      </c>
      <c r="E2256" s="728" t="s">
        <v>94</v>
      </c>
      <c r="F2256" s="114">
        <v>85</v>
      </c>
      <c r="G2256" s="114" t="s">
        <v>73</v>
      </c>
      <c r="H2256" s="503"/>
      <c r="I2256" s="502" t="s">
        <v>73</v>
      </c>
      <c r="J2256" s="503"/>
      <c r="K2256" s="719"/>
      <c r="L2256" s="19"/>
      <c r="M2256" s="19"/>
      <c r="N2256" s="19"/>
      <c r="O2256" s="19"/>
      <c r="P2256" s="19"/>
    </row>
    <row r="2257" spans="1:16" x14ac:dyDescent="0.35">
      <c r="A2257" s="339"/>
      <c r="B2257" s="340"/>
      <c r="C2257" s="340"/>
      <c r="D2257" s="417" t="s">
        <v>42</v>
      </c>
      <c r="E2257" s="728" t="s">
        <v>95</v>
      </c>
      <c r="F2257" s="114">
        <v>15</v>
      </c>
      <c r="G2257" s="114" t="s">
        <v>73</v>
      </c>
      <c r="H2257" s="503"/>
      <c r="I2257" s="502" t="s">
        <v>73</v>
      </c>
      <c r="J2257" s="503"/>
      <c r="K2257" s="719"/>
      <c r="L2257" s="19"/>
      <c r="M2257" s="19"/>
      <c r="N2257" s="19"/>
      <c r="O2257" s="19"/>
      <c r="P2257" s="19"/>
    </row>
    <row r="2258" spans="1:16" ht="15" thickBot="1" x14ac:dyDescent="0.4">
      <c r="A2258" s="332"/>
      <c r="B2258" s="333"/>
      <c r="C2258" s="333"/>
      <c r="D2258" s="398"/>
      <c r="E2258" s="388" t="s">
        <v>1191</v>
      </c>
      <c r="F2258" s="459">
        <v>30</v>
      </c>
      <c r="G2258" s="460" t="s">
        <v>73</v>
      </c>
      <c r="H2258" s="358"/>
      <c r="I2258" s="356" t="s">
        <v>73</v>
      </c>
      <c r="J2258" s="358"/>
      <c r="K2258" s="448"/>
      <c r="L2258" s="19"/>
      <c r="M2258" s="19"/>
      <c r="N2258" s="19"/>
      <c r="O2258" s="19"/>
      <c r="P2258" s="19"/>
    </row>
    <row r="2259" spans="1:16" ht="15" thickTop="1" x14ac:dyDescent="0.35">
      <c r="A2259" s="339"/>
      <c r="B2259" s="340"/>
      <c r="C2259" s="340"/>
      <c r="D2259" s="385" t="s">
        <v>47</v>
      </c>
      <c r="E2259" s="391" t="s">
        <v>1192</v>
      </c>
      <c r="F2259" s="328">
        <v>10</v>
      </c>
      <c r="G2259" s="461" t="s">
        <v>73</v>
      </c>
      <c r="H2259" s="340"/>
      <c r="I2259" s="328" t="s">
        <v>73</v>
      </c>
      <c r="J2259" s="340"/>
      <c r="K2259" s="443"/>
      <c r="L2259" s="19"/>
      <c r="M2259" s="19"/>
      <c r="N2259" s="19"/>
      <c r="O2259" s="19"/>
      <c r="P2259" s="19"/>
    </row>
    <row r="2260" spans="1:16" x14ac:dyDescent="0.35">
      <c r="A2260" s="332"/>
      <c r="B2260" s="333"/>
      <c r="C2260" s="333"/>
      <c r="D2260" s="390" t="s">
        <v>50</v>
      </c>
      <c r="E2260" s="395" t="s">
        <v>394</v>
      </c>
      <c r="F2260" s="335">
        <v>40</v>
      </c>
      <c r="G2260" s="462" t="s">
        <v>73</v>
      </c>
      <c r="H2260" s="333"/>
      <c r="I2260" s="335" t="s">
        <v>73</v>
      </c>
      <c r="J2260" s="333"/>
      <c r="K2260" s="442"/>
      <c r="L2260" s="19"/>
      <c r="M2260" s="19"/>
      <c r="N2260" s="19"/>
      <c r="O2260" s="19"/>
      <c r="P2260" s="19"/>
    </row>
    <row r="2261" spans="1:16" x14ac:dyDescent="0.35">
      <c r="A2261" s="339"/>
      <c r="B2261" s="340"/>
      <c r="C2261" s="340"/>
      <c r="D2261" s="390" t="s">
        <v>371</v>
      </c>
      <c r="E2261" s="391" t="s">
        <v>372</v>
      </c>
      <c r="F2261" s="328">
        <v>40</v>
      </c>
      <c r="G2261" s="461" t="s">
        <v>73</v>
      </c>
      <c r="H2261" s="340"/>
      <c r="I2261" s="328" t="s">
        <v>73</v>
      </c>
      <c r="J2261" s="340"/>
      <c r="K2261" s="443"/>
      <c r="L2261" s="19"/>
      <c r="M2261" s="19"/>
      <c r="N2261" s="19"/>
      <c r="O2261" s="19"/>
      <c r="P2261" s="19"/>
    </row>
    <row r="2262" spans="1:16" x14ac:dyDescent="0.35">
      <c r="A2262" s="332"/>
      <c r="B2262" s="333"/>
      <c r="C2262" s="333"/>
      <c r="D2262" s="390" t="s">
        <v>260</v>
      </c>
      <c r="E2262" s="395" t="s">
        <v>1193</v>
      </c>
      <c r="F2262" s="335">
        <v>120</v>
      </c>
      <c r="G2262" s="462" t="s">
        <v>73</v>
      </c>
      <c r="H2262" s="333"/>
      <c r="I2262" s="335" t="s">
        <v>73</v>
      </c>
      <c r="J2262" s="333"/>
      <c r="K2262" s="442"/>
      <c r="L2262" s="19"/>
      <c r="M2262" s="19"/>
      <c r="N2262" s="19"/>
      <c r="O2262" s="19"/>
      <c r="P2262" s="19"/>
    </row>
    <row r="2263" spans="1:16" ht="15" thickBot="1" x14ac:dyDescent="0.4">
      <c r="A2263" s="339"/>
      <c r="B2263" s="340"/>
      <c r="C2263" s="340"/>
      <c r="D2263" s="396"/>
      <c r="E2263" s="463" t="s">
        <v>950</v>
      </c>
      <c r="F2263" s="343">
        <v>40</v>
      </c>
      <c r="G2263" s="464" t="s">
        <v>73</v>
      </c>
      <c r="H2263" s="465"/>
      <c r="I2263" s="466" t="s">
        <v>73</v>
      </c>
      <c r="J2263" s="465"/>
      <c r="K2263" s="467"/>
      <c r="L2263" s="19"/>
      <c r="M2263" s="19"/>
      <c r="N2263" s="19"/>
      <c r="O2263" s="19"/>
      <c r="P2263" s="19"/>
    </row>
    <row r="2264" spans="1:16" ht="15" thickTop="1" x14ac:dyDescent="0.35">
      <c r="A2264" s="332"/>
      <c r="B2264" s="333"/>
      <c r="C2264" s="333"/>
      <c r="D2264" s="385" t="s">
        <v>141</v>
      </c>
      <c r="E2264" s="395" t="s">
        <v>1194</v>
      </c>
      <c r="F2264" s="335">
        <v>40</v>
      </c>
      <c r="G2264" s="462" t="s">
        <v>73</v>
      </c>
      <c r="H2264" s="333"/>
      <c r="I2264" s="335" t="s">
        <v>73</v>
      </c>
      <c r="J2264" s="333"/>
      <c r="K2264" s="442"/>
      <c r="L2264" s="19"/>
      <c r="M2264" s="19"/>
      <c r="N2264" s="19"/>
      <c r="O2264" s="19"/>
      <c r="P2264" s="19"/>
    </row>
    <row r="2265" spans="1:16" x14ac:dyDescent="0.35">
      <c r="A2265" s="339"/>
      <c r="B2265" s="340"/>
      <c r="C2265" s="340"/>
      <c r="D2265" s="390" t="s">
        <v>46</v>
      </c>
      <c r="E2265" s="391" t="s">
        <v>1195</v>
      </c>
      <c r="F2265" s="328">
        <v>20</v>
      </c>
      <c r="G2265" s="461" t="s">
        <v>73</v>
      </c>
      <c r="H2265" s="340"/>
      <c r="I2265" s="328" t="s">
        <v>73</v>
      </c>
      <c r="J2265" s="340"/>
      <c r="K2265" s="443"/>
      <c r="L2265" s="19"/>
      <c r="M2265" s="19"/>
      <c r="N2265" s="19"/>
      <c r="O2265" s="19"/>
      <c r="P2265" s="19"/>
    </row>
    <row r="2266" spans="1:16" ht="15" thickBot="1" x14ac:dyDescent="0.4">
      <c r="A2266" s="332"/>
      <c r="B2266" s="333"/>
      <c r="C2266" s="333"/>
      <c r="D2266" s="390" t="s">
        <v>379</v>
      </c>
      <c r="E2266" s="395" t="s">
        <v>380</v>
      </c>
      <c r="F2266" s="335">
        <v>10</v>
      </c>
      <c r="G2266" s="462" t="s">
        <v>73</v>
      </c>
      <c r="H2266" s="333"/>
      <c r="I2266" s="335" t="s">
        <v>73</v>
      </c>
      <c r="J2266" s="333"/>
      <c r="K2266" s="442"/>
      <c r="L2266" s="19"/>
      <c r="M2266" s="19"/>
      <c r="N2266" s="19"/>
      <c r="O2266" s="19"/>
      <c r="P2266" s="19"/>
    </row>
    <row r="2267" spans="1:16" ht="15" thickTop="1" x14ac:dyDescent="0.35">
      <c r="A2267" s="339"/>
      <c r="B2267" s="340"/>
      <c r="C2267" s="340"/>
      <c r="D2267" s="468"/>
      <c r="E2267" s="355" t="s">
        <v>973</v>
      </c>
      <c r="F2267" s="356">
        <v>40</v>
      </c>
      <c r="G2267" s="460" t="s">
        <v>73</v>
      </c>
      <c r="H2267" s="358"/>
      <c r="I2267" s="356" t="s">
        <v>73</v>
      </c>
      <c r="J2267" s="358"/>
      <c r="K2267" s="448"/>
      <c r="L2267" s="19"/>
      <c r="M2267" s="19"/>
      <c r="N2267" s="19"/>
      <c r="O2267" s="19"/>
      <c r="P2267" s="19"/>
    </row>
    <row r="2268" spans="1:16" x14ac:dyDescent="0.35">
      <c r="A2268" s="332"/>
      <c r="B2268" s="333"/>
      <c r="C2268" s="333"/>
      <c r="D2268" s="326" t="s">
        <v>47</v>
      </c>
      <c r="E2268" s="720" t="s">
        <v>740</v>
      </c>
      <c r="F2268" s="114">
        <v>3</v>
      </c>
      <c r="G2268" s="462" t="s">
        <v>73</v>
      </c>
      <c r="H2268" s="333"/>
      <c r="I2268" s="335" t="s">
        <v>73</v>
      </c>
      <c r="J2268" s="333"/>
      <c r="K2268" s="442"/>
      <c r="L2268" s="19"/>
      <c r="M2268" s="19"/>
      <c r="N2268" s="19"/>
      <c r="O2268" s="19"/>
      <c r="P2268" s="19"/>
    </row>
    <row r="2269" spans="1:16" x14ac:dyDescent="0.35">
      <c r="A2269" s="339"/>
      <c r="B2269" s="340"/>
      <c r="C2269" s="340"/>
      <c r="D2269" s="326" t="s">
        <v>49</v>
      </c>
      <c r="E2269" s="720" t="s">
        <v>916</v>
      </c>
      <c r="F2269" s="114">
        <v>8</v>
      </c>
      <c r="G2269" s="461" t="s">
        <v>73</v>
      </c>
      <c r="H2269" s="340"/>
      <c r="I2269" s="328" t="s">
        <v>73</v>
      </c>
      <c r="J2269" s="340"/>
      <c r="K2269" s="443"/>
      <c r="L2269" s="19"/>
      <c r="M2269" s="19"/>
      <c r="N2269" s="19"/>
      <c r="O2269" s="19"/>
      <c r="P2269" s="19"/>
    </row>
    <row r="2270" spans="1:16" x14ac:dyDescent="0.35">
      <c r="A2270" s="332"/>
      <c r="B2270" s="333"/>
      <c r="C2270" s="333"/>
      <c r="D2270" s="326" t="s">
        <v>50</v>
      </c>
      <c r="E2270" s="720" t="s">
        <v>917</v>
      </c>
      <c r="F2270" s="114">
        <v>40</v>
      </c>
      <c r="G2270" s="462" t="s">
        <v>73</v>
      </c>
      <c r="H2270" s="333"/>
      <c r="I2270" s="335" t="s">
        <v>73</v>
      </c>
      <c r="J2270" s="333"/>
      <c r="K2270" s="442"/>
      <c r="L2270" s="19"/>
      <c r="M2270" s="19"/>
      <c r="N2270" s="19"/>
      <c r="O2270" s="19"/>
      <c r="P2270" s="19"/>
    </row>
    <row r="2271" spans="1:16" x14ac:dyDescent="0.35">
      <c r="A2271" s="339"/>
      <c r="B2271" s="340"/>
      <c r="C2271" s="340"/>
      <c r="D2271" s="326" t="s">
        <v>371</v>
      </c>
      <c r="E2271" s="720" t="s">
        <v>918</v>
      </c>
      <c r="F2271" s="114">
        <v>20</v>
      </c>
      <c r="G2271" s="461" t="s">
        <v>73</v>
      </c>
      <c r="H2271" s="340"/>
      <c r="I2271" s="328" t="s">
        <v>73</v>
      </c>
      <c r="J2271" s="340"/>
      <c r="K2271" s="443"/>
      <c r="L2271" s="19"/>
      <c r="M2271" s="19"/>
      <c r="N2271" s="19"/>
      <c r="O2271" s="19"/>
      <c r="P2271" s="19"/>
    </row>
    <row r="2272" spans="1:16" x14ac:dyDescent="0.35">
      <c r="A2272" s="332"/>
      <c r="B2272" s="333"/>
      <c r="C2272" s="333"/>
      <c r="D2272" s="326" t="s">
        <v>379</v>
      </c>
      <c r="E2272" s="720" t="s">
        <v>919</v>
      </c>
      <c r="F2272" s="114">
        <v>10</v>
      </c>
      <c r="G2272" s="462" t="s">
        <v>73</v>
      </c>
      <c r="H2272" s="333"/>
      <c r="I2272" s="335" t="s">
        <v>73</v>
      </c>
      <c r="J2272" s="333"/>
      <c r="K2272" s="442"/>
      <c r="L2272" s="19"/>
      <c r="M2272" s="19"/>
      <c r="N2272" s="19"/>
      <c r="O2272" s="19"/>
      <c r="P2272" s="19"/>
    </row>
    <row r="2273" spans="1:16" x14ac:dyDescent="0.35">
      <c r="A2273" s="339"/>
      <c r="B2273" s="340"/>
      <c r="C2273" s="340"/>
      <c r="D2273" s="326" t="s">
        <v>505</v>
      </c>
      <c r="E2273" s="720" t="s">
        <v>722</v>
      </c>
      <c r="F2273" s="114">
        <v>0.5</v>
      </c>
      <c r="G2273" s="461" t="s">
        <v>73</v>
      </c>
      <c r="H2273" s="340"/>
      <c r="I2273" s="328" t="s">
        <v>73</v>
      </c>
      <c r="J2273" s="340"/>
      <c r="K2273" s="443"/>
      <c r="L2273" s="19"/>
      <c r="M2273" s="19"/>
      <c r="N2273" s="19"/>
      <c r="O2273" s="19"/>
      <c r="P2273" s="19"/>
    </row>
    <row r="2274" spans="1:16" x14ac:dyDescent="0.35">
      <c r="A2274" s="332"/>
      <c r="B2274" s="333"/>
      <c r="C2274" s="333"/>
      <c r="D2274" s="326" t="s">
        <v>41</v>
      </c>
      <c r="E2274" s="720" t="s">
        <v>911</v>
      </c>
      <c r="F2274" s="114">
        <v>2</v>
      </c>
      <c r="G2274" s="462" t="s">
        <v>73</v>
      </c>
      <c r="H2274" s="333"/>
      <c r="I2274" s="335" t="s">
        <v>73</v>
      </c>
      <c r="J2274" s="333"/>
      <c r="K2274" s="442"/>
      <c r="L2274" s="19"/>
      <c r="M2274" s="19"/>
      <c r="N2274" s="19"/>
      <c r="O2274" s="19"/>
      <c r="P2274" s="19"/>
    </row>
    <row r="2275" spans="1:16" x14ac:dyDescent="0.35">
      <c r="A2275" s="339"/>
      <c r="B2275" s="340"/>
      <c r="C2275" s="340"/>
      <c r="D2275" s="326" t="s">
        <v>127</v>
      </c>
      <c r="E2275" s="720" t="s">
        <v>912</v>
      </c>
      <c r="F2275" s="114">
        <v>28</v>
      </c>
      <c r="G2275" s="461" t="s">
        <v>73</v>
      </c>
      <c r="H2275" s="340"/>
      <c r="I2275" s="328" t="s">
        <v>73</v>
      </c>
      <c r="J2275" s="340"/>
      <c r="K2275" s="443"/>
      <c r="L2275" s="19"/>
      <c r="M2275" s="19"/>
      <c r="N2275" s="19"/>
      <c r="O2275" s="19"/>
      <c r="P2275" s="19"/>
    </row>
    <row r="2276" spans="1:16" x14ac:dyDescent="0.35">
      <c r="A2276" s="332"/>
      <c r="B2276" s="333"/>
      <c r="C2276" s="333"/>
      <c r="D2276" s="326" t="s">
        <v>549</v>
      </c>
      <c r="E2276" s="720" t="s">
        <v>915</v>
      </c>
      <c r="F2276" s="114">
        <v>165</v>
      </c>
      <c r="G2276" s="462" t="s">
        <v>73</v>
      </c>
      <c r="H2276" s="333"/>
      <c r="I2276" s="335" t="s">
        <v>73</v>
      </c>
      <c r="J2276" s="333"/>
      <c r="K2276" s="442"/>
      <c r="L2276" s="19"/>
      <c r="M2276" s="19"/>
      <c r="N2276" s="19"/>
      <c r="O2276" s="19"/>
      <c r="P2276" s="19"/>
    </row>
    <row r="2277" spans="1:16" ht="15" thickBot="1" x14ac:dyDescent="0.4">
      <c r="A2277" s="339"/>
      <c r="B2277" s="340"/>
      <c r="C2277" s="340"/>
      <c r="D2277" s="413"/>
      <c r="E2277" s="388" t="s">
        <v>84</v>
      </c>
      <c r="F2277" s="378">
        <v>30</v>
      </c>
      <c r="G2277" s="378" t="s">
        <v>73</v>
      </c>
      <c r="H2277" s="357"/>
      <c r="I2277" s="358"/>
      <c r="J2277" s="358"/>
      <c r="K2277" s="414"/>
      <c r="L2277" s="19"/>
      <c r="M2277" s="19"/>
      <c r="N2277" s="19"/>
      <c r="O2277" s="19"/>
      <c r="P2277" s="19"/>
    </row>
    <row r="2278" spans="1:16" ht="15" thickTop="1" x14ac:dyDescent="0.35">
      <c r="A2278" s="332"/>
      <c r="B2278" s="333"/>
      <c r="C2278" s="333"/>
      <c r="D2278" s="415"/>
      <c r="E2278" s="416" t="s">
        <v>26</v>
      </c>
      <c r="F2278" s="378">
        <v>1000</v>
      </c>
      <c r="G2278" s="378" t="s">
        <v>73</v>
      </c>
      <c r="H2278" s="357"/>
      <c r="I2278" s="358"/>
      <c r="J2278" s="358"/>
      <c r="K2278" s="414"/>
      <c r="L2278" s="19"/>
      <c r="M2278" s="19"/>
      <c r="N2278" s="19"/>
      <c r="O2278" s="19"/>
      <c r="P2278" s="19"/>
    </row>
    <row r="2279" spans="1:16" x14ac:dyDescent="0.35">
      <c r="A2279" s="339"/>
      <c r="B2279" s="340"/>
      <c r="C2279" s="340"/>
      <c r="D2279" s="417" t="s">
        <v>60</v>
      </c>
      <c r="E2279" s="418" t="s">
        <v>121</v>
      </c>
      <c r="F2279" s="22">
        <v>1000</v>
      </c>
      <c r="G2279" s="22" t="s">
        <v>73</v>
      </c>
      <c r="H2279" s="367"/>
      <c r="I2279" s="22" t="s">
        <v>73</v>
      </c>
      <c r="J2279" s="340"/>
      <c r="K2279" s="410">
        <f t="shared" ref="K2279:K2280" si="281">$A$2023*H2279</f>
        <v>0</v>
      </c>
      <c r="L2279" s="19"/>
      <c r="M2279" s="19"/>
      <c r="N2279" s="19"/>
      <c r="O2279" s="19"/>
      <c r="P2279" s="19"/>
    </row>
    <row r="2280" spans="1:16" x14ac:dyDescent="0.35">
      <c r="A2280" s="332"/>
      <c r="B2280" s="333"/>
      <c r="C2280" s="333"/>
      <c r="D2280" s="417" t="s">
        <v>43</v>
      </c>
      <c r="E2280" s="419" t="s">
        <v>94</v>
      </c>
      <c r="F2280" s="18">
        <v>30</v>
      </c>
      <c r="G2280" s="18" t="s">
        <v>73</v>
      </c>
      <c r="H2280" s="361"/>
      <c r="I2280" s="18" t="s">
        <v>73</v>
      </c>
      <c r="J2280" s="333"/>
      <c r="K2280" s="411">
        <f t="shared" si="281"/>
        <v>0</v>
      </c>
      <c r="L2280" s="19"/>
      <c r="M2280" s="19"/>
      <c r="N2280" s="19"/>
      <c r="O2280" s="19"/>
      <c r="P2280" s="19"/>
    </row>
    <row r="2281" spans="1:16" x14ac:dyDescent="0.35">
      <c r="A2281" s="339"/>
      <c r="B2281" s="340"/>
      <c r="C2281" s="340"/>
      <c r="D2281" s="420"/>
      <c r="E2281" s="421" t="s">
        <v>81</v>
      </c>
      <c r="F2281" s="404">
        <v>400</v>
      </c>
      <c r="G2281" s="404" t="s">
        <v>73</v>
      </c>
      <c r="H2281" s="363"/>
      <c r="I2281" s="422"/>
      <c r="J2281" s="423"/>
      <c r="K2281" s="424"/>
      <c r="L2281" s="19"/>
      <c r="M2281" s="19"/>
      <c r="N2281" s="19"/>
      <c r="O2281" s="19"/>
      <c r="P2281" s="19"/>
    </row>
    <row r="2282" spans="1:16" x14ac:dyDescent="0.35">
      <c r="A2282" s="332"/>
      <c r="B2282" s="333"/>
      <c r="C2282" s="333"/>
      <c r="D2282" s="417" t="s">
        <v>59</v>
      </c>
      <c r="E2282" s="425" t="s">
        <v>27</v>
      </c>
      <c r="F2282" s="18">
        <v>350</v>
      </c>
      <c r="G2282" s="18" t="s">
        <v>73</v>
      </c>
      <c r="H2282" s="361"/>
      <c r="I2282" s="335" t="s">
        <v>73</v>
      </c>
      <c r="J2282" s="333"/>
      <c r="K2282" s="411">
        <f t="shared" ref="K2282:K2283" si="282">$A$2023*H2282</f>
        <v>0</v>
      </c>
      <c r="L2282" s="19"/>
      <c r="M2282" s="19"/>
      <c r="N2282" s="19"/>
      <c r="O2282" s="19"/>
      <c r="P2282" s="19"/>
    </row>
    <row r="2283" spans="1:16" x14ac:dyDescent="0.35">
      <c r="A2283" s="339"/>
      <c r="B2283" s="340"/>
      <c r="C2283" s="340"/>
      <c r="D2283" s="417" t="s">
        <v>48</v>
      </c>
      <c r="E2283" s="426" t="s">
        <v>91</v>
      </c>
      <c r="F2283" s="22">
        <v>100</v>
      </c>
      <c r="G2283" s="22" t="s">
        <v>73</v>
      </c>
      <c r="H2283" s="367"/>
      <c r="I2283" s="328" t="s">
        <v>73</v>
      </c>
      <c r="J2283" s="340"/>
      <c r="K2283" s="410">
        <f t="shared" si="282"/>
        <v>0</v>
      </c>
      <c r="L2283" s="19"/>
      <c r="M2283" s="19"/>
      <c r="N2283" s="19"/>
      <c r="O2283" s="19"/>
      <c r="P2283" s="19"/>
    </row>
    <row r="2284" spans="1:16" x14ac:dyDescent="0.35">
      <c r="A2284" s="332"/>
      <c r="B2284" s="333"/>
      <c r="C2284" s="333"/>
      <c r="D2284" s="388"/>
      <c r="E2284" s="384" t="s">
        <v>769</v>
      </c>
      <c r="F2284" s="378">
        <v>2</v>
      </c>
      <c r="G2284" s="378" t="s">
        <v>73</v>
      </c>
      <c r="H2284" s="358"/>
      <c r="I2284" s="358"/>
      <c r="J2284" s="358"/>
      <c r="K2284" s="448"/>
      <c r="L2284" s="19"/>
      <c r="M2284" s="19"/>
      <c r="N2284" s="19"/>
      <c r="O2284" s="19"/>
      <c r="P2284" s="19"/>
    </row>
    <row r="2285" spans="1:16" x14ac:dyDescent="0.35">
      <c r="A2285" s="339"/>
      <c r="B2285" s="340"/>
      <c r="C2285" s="340"/>
      <c r="D2285" s="390" t="s">
        <v>521</v>
      </c>
      <c r="E2285" s="402" t="s">
        <v>906</v>
      </c>
      <c r="F2285" s="22">
        <v>200</v>
      </c>
      <c r="G2285" s="22" t="s">
        <v>73</v>
      </c>
      <c r="H2285" s="340"/>
      <c r="I2285" s="340"/>
      <c r="J2285" s="340"/>
      <c r="K2285" s="443"/>
      <c r="L2285" s="19"/>
      <c r="M2285" s="19"/>
      <c r="N2285" s="19"/>
      <c r="O2285" s="19"/>
      <c r="P2285" s="19"/>
    </row>
    <row r="2286" spans="1:16" x14ac:dyDescent="0.35">
      <c r="A2286" s="332"/>
      <c r="B2286" s="333"/>
      <c r="C2286" s="333"/>
      <c r="D2286" s="388"/>
      <c r="E2286" s="403" t="s">
        <v>770</v>
      </c>
      <c r="F2286" s="378">
        <v>30</v>
      </c>
      <c r="G2286" s="378" t="s">
        <v>73</v>
      </c>
      <c r="H2286" s="358"/>
      <c r="I2286" s="358"/>
      <c r="J2286" s="358"/>
      <c r="K2286" s="448"/>
      <c r="L2286" s="19"/>
      <c r="M2286" s="19"/>
      <c r="N2286" s="19"/>
      <c r="O2286" s="19"/>
      <c r="P2286" s="19"/>
    </row>
    <row r="2287" spans="1:16" x14ac:dyDescent="0.35">
      <c r="A2287" s="339"/>
      <c r="B2287" s="340"/>
      <c r="C2287" s="340"/>
      <c r="D2287" s="390" t="s">
        <v>537</v>
      </c>
      <c r="E2287" s="391" t="s">
        <v>771</v>
      </c>
      <c r="F2287" s="22">
        <v>1</v>
      </c>
      <c r="G2287" s="22" t="s">
        <v>73</v>
      </c>
      <c r="H2287" s="340"/>
      <c r="I2287" s="340"/>
      <c r="J2287" s="340"/>
      <c r="K2287" s="443"/>
      <c r="L2287" s="19"/>
      <c r="M2287" s="19"/>
      <c r="N2287" s="19"/>
      <c r="O2287" s="19"/>
      <c r="P2287" s="19"/>
    </row>
    <row r="2288" spans="1:16" x14ac:dyDescent="0.35">
      <c r="A2288" s="332"/>
      <c r="B2288" s="333"/>
      <c r="C2288" s="333"/>
      <c r="D2288" s="392"/>
      <c r="E2288" s="393" t="s">
        <v>81</v>
      </c>
      <c r="F2288" s="404">
        <v>100</v>
      </c>
      <c r="G2288" s="404" t="s">
        <v>73</v>
      </c>
      <c r="H2288" s="364"/>
      <c r="I2288" s="364"/>
      <c r="J2288" s="364"/>
      <c r="K2288" s="469"/>
      <c r="L2288" s="19"/>
      <c r="M2288" s="19"/>
      <c r="N2288" s="19"/>
      <c r="O2288" s="19"/>
      <c r="P2288" s="19"/>
    </row>
    <row r="2289" spans="1:16" x14ac:dyDescent="0.35">
      <c r="A2289" s="339"/>
      <c r="B2289" s="340"/>
      <c r="C2289" s="340"/>
      <c r="D2289" s="388"/>
      <c r="E2289" s="403" t="s">
        <v>726</v>
      </c>
      <c r="F2289" s="378">
        <v>2</v>
      </c>
      <c r="G2289" s="378" t="s">
        <v>73</v>
      </c>
      <c r="H2289" s="358"/>
      <c r="I2289" s="358"/>
      <c r="J2289" s="358"/>
      <c r="K2289" s="448"/>
      <c r="L2289" s="19"/>
      <c r="M2289" s="19"/>
      <c r="N2289" s="19"/>
      <c r="O2289" s="19"/>
      <c r="P2289" s="19"/>
    </row>
    <row r="2290" spans="1:16" x14ac:dyDescent="0.35">
      <c r="A2290" s="332"/>
      <c r="B2290" s="333"/>
      <c r="C2290" s="333"/>
      <c r="D2290" s="390" t="s">
        <v>43</v>
      </c>
      <c r="E2290" s="395" t="s">
        <v>105</v>
      </c>
      <c r="F2290" s="18">
        <v>15</v>
      </c>
      <c r="G2290" s="18" t="s">
        <v>73</v>
      </c>
      <c r="H2290" s="333"/>
      <c r="I2290" s="333"/>
      <c r="J2290" s="333"/>
      <c r="K2290" s="442"/>
      <c r="L2290" s="19"/>
      <c r="M2290" s="19"/>
      <c r="N2290" s="19"/>
      <c r="O2290" s="19"/>
      <c r="P2290" s="19"/>
    </row>
    <row r="2291" spans="1:16" x14ac:dyDescent="0.35">
      <c r="A2291" s="339"/>
      <c r="B2291" s="340"/>
      <c r="C2291" s="340"/>
      <c r="D2291" s="390" t="s">
        <v>42</v>
      </c>
      <c r="E2291" s="391" t="s">
        <v>95</v>
      </c>
      <c r="F2291" s="22">
        <v>85</v>
      </c>
      <c r="G2291" s="22" t="s">
        <v>73</v>
      </c>
      <c r="H2291" s="340"/>
      <c r="I2291" s="340"/>
      <c r="J2291" s="340"/>
      <c r="K2291" s="443"/>
      <c r="L2291" s="19"/>
      <c r="M2291" s="19"/>
      <c r="N2291" s="19"/>
      <c r="O2291" s="19"/>
      <c r="P2291" s="19"/>
    </row>
    <row r="2292" spans="1:16" x14ac:dyDescent="0.35">
      <c r="A2292" s="332"/>
      <c r="B2292" s="333"/>
      <c r="C2292" s="333"/>
      <c r="D2292" s="390" t="s">
        <v>517</v>
      </c>
      <c r="E2292" s="432" t="s">
        <v>724</v>
      </c>
      <c r="F2292" s="18">
        <v>8</v>
      </c>
      <c r="G2292" s="18" t="s">
        <v>73</v>
      </c>
      <c r="H2292" s="333"/>
      <c r="I2292" s="333"/>
      <c r="J2292" s="333"/>
      <c r="K2292" s="442"/>
      <c r="L2292" s="19"/>
      <c r="M2292" s="19"/>
      <c r="N2292" s="19"/>
      <c r="O2292" s="19"/>
      <c r="P2292" s="19"/>
    </row>
    <row r="2293" spans="1:16" ht="15" thickBot="1" x14ac:dyDescent="0.4">
      <c r="A2293" s="339"/>
      <c r="B2293" s="340"/>
      <c r="C2293" s="340"/>
      <c r="D2293" s="390" t="s">
        <v>45</v>
      </c>
      <c r="E2293" s="402" t="s">
        <v>101</v>
      </c>
      <c r="F2293" s="22">
        <v>1</v>
      </c>
      <c r="G2293" s="22" t="s">
        <v>73</v>
      </c>
      <c r="H2293" s="340"/>
      <c r="I2293" s="340"/>
      <c r="J2293" s="340"/>
      <c r="K2293" s="443"/>
      <c r="L2293" s="19"/>
      <c r="M2293" s="19"/>
      <c r="N2293" s="19"/>
      <c r="O2293" s="19"/>
      <c r="P2293" s="19"/>
    </row>
    <row r="2294" spans="1:16" ht="15.5" thickTop="1" thickBot="1" x14ac:dyDescent="0.4">
      <c r="A2294" s="332"/>
      <c r="B2294" s="333"/>
      <c r="C2294" s="333"/>
      <c r="D2294" s="383"/>
      <c r="E2294" s="384" t="s">
        <v>1206</v>
      </c>
      <c r="F2294" s="378">
        <v>3</v>
      </c>
      <c r="G2294" s="378" t="s">
        <v>74</v>
      </c>
      <c r="H2294" s="358"/>
      <c r="I2294" s="358"/>
      <c r="J2294" s="358"/>
      <c r="K2294" s="448"/>
      <c r="L2294" s="19"/>
      <c r="M2294" s="19"/>
      <c r="N2294" s="19"/>
      <c r="O2294" s="19"/>
      <c r="P2294" s="19"/>
    </row>
    <row r="2295" spans="1:16" ht="15" thickTop="1" x14ac:dyDescent="0.35">
      <c r="A2295" s="339"/>
      <c r="B2295" s="340"/>
      <c r="C2295" s="340"/>
      <c r="D2295" s="385" t="s">
        <v>491</v>
      </c>
      <c r="E2295" s="386" t="s">
        <v>1197</v>
      </c>
      <c r="F2295" s="328">
        <v>6.3E-2</v>
      </c>
      <c r="G2295" s="328" t="s">
        <v>1072</v>
      </c>
      <c r="H2295" s="340"/>
      <c r="I2295" s="340"/>
      <c r="J2295" s="340"/>
      <c r="K2295" s="443"/>
      <c r="L2295" s="19"/>
      <c r="M2295" s="19"/>
      <c r="N2295" s="19"/>
      <c r="O2295" s="19"/>
      <c r="P2295" s="19"/>
    </row>
    <row r="2296" spans="1:16" x14ac:dyDescent="0.35">
      <c r="A2296" s="332"/>
      <c r="B2296" s="333"/>
      <c r="C2296" s="333"/>
      <c r="D2296" s="388"/>
      <c r="E2296" s="389" t="s">
        <v>853</v>
      </c>
      <c r="F2296" s="356">
        <v>42.5</v>
      </c>
      <c r="G2296" s="356" t="s">
        <v>73</v>
      </c>
      <c r="H2296" s="358"/>
      <c r="I2296" s="358"/>
      <c r="J2296" s="358"/>
      <c r="K2296" s="448"/>
      <c r="L2296" s="19"/>
      <c r="M2296" s="19"/>
      <c r="N2296" s="19"/>
      <c r="O2296" s="19"/>
      <c r="P2296" s="19"/>
    </row>
    <row r="2297" spans="1:16" x14ac:dyDescent="0.35">
      <c r="A2297" s="339"/>
      <c r="B2297" s="340"/>
      <c r="C2297" s="340"/>
      <c r="D2297" s="390" t="s">
        <v>1068</v>
      </c>
      <c r="E2297" s="391" t="s">
        <v>1069</v>
      </c>
      <c r="F2297" s="328">
        <v>60</v>
      </c>
      <c r="G2297" s="328" t="s">
        <v>73</v>
      </c>
      <c r="H2297" s="340"/>
      <c r="I2297" s="340"/>
      <c r="J2297" s="340"/>
      <c r="K2297" s="443"/>
      <c r="L2297" s="19"/>
      <c r="M2297" s="19"/>
      <c r="N2297" s="19"/>
      <c r="O2297" s="19"/>
      <c r="P2297" s="19"/>
    </row>
    <row r="2298" spans="1:16" x14ac:dyDescent="0.35">
      <c r="A2298" s="332"/>
      <c r="B2298" s="333"/>
      <c r="C2298" s="333"/>
      <c r="D2298" s="392"/>
      <c r="E2298" s="393" t="s">
        <v>854</v>
      </c>
      <c r="F2298" s="343">
        <v>90</v>
      </c>
      <c r="G2298" s="343" t="s">
        <v>73</v>
      </c>
      <c r="H2298" s="364"/>
      <c r="I2298" s="364"/>
      <c r="J2298" s="364"/>
      <c r="K2298" s="469"/>
      <c r="L2298" s="19"/>
      <c r="M2298" s="19"/>
      <c r="N2298" s="19"/>
      <c r="O2298" s="19"/>
      <c r="P2298" s="19"/>
    </row>
    <row r="2299" spans="1:16" x14ac:dyDescent="0.35">
      <c r="A2299" s="339"/>
      <c r="B2299" s="340"/>
      <c r="C2299" s="340"/>
      <c r="D2299" s="390" t="s">
        <v>45</v>
      </c>
      <c r="E2299" s="391" t="s">
        <v>101</v>
      </c>
      <c r="F2299" s="328">
        <v>1.5</v>
      </c>
      <c r="G2299" s="328" t="s">
        <v>73</v>
      </c>
      <c r="H2299" s="340"/>
      <c r="I2299" s="340"/>
      <c r="J2299" s="340"/>
      <c r="K2299" s="443"/>
      <c r="L2299" s="19"/>
      <c r="M2299" s="19"/>
      <c r="N2299" s="19"/>
      <c r="O2299" s="19"/>
      <c r="P2299" s="19"/>
    </row>
    <row r="2300" spans="1:16" ht="15" thickBot="1" x14ac:dyDescent="0.4">
      <c r="A2300" s="332"/>
      <c r="B2300" s="333"/>
      <c r="C2300" s="333"/>
      <c r="D2300" s="390" t="s">
        <v>521</v>
      </c>
      <c r="E2300" s="391" t="s">
        <v>855</v>
      </c>
      <c r="F2300" s="328">
        <v>55.75</v>
      </c>
      <c r="G2300" s="328" t="s">
        <v>73</v>
      </c>
      <c r="H2300" s="333"/>
      <c r="I2300" s="333"/>
      <c r="J2300" s="333"/>
      <c r="K2300" s="442"/>
      <c r="L2300" s="19"/>
      <c r="M2300" s="19"/>
      <c r="N2300" s="19"/>
      <c r="O2300" s="19"/>
      <c r="P2300" s="19"/>
    </row>
    <row r="2301" spans="1:16" ht="15" thickTop="1" x14ac:dyDescent="0.35">
      <c r="A2301" s="348"/>
      <c r="B2301" s="349"/>
      <c r="C2301" s="349"/>
      <c r="D2301" s="350"/>
      <c r="E2301" s="349"/>
      <c r="F2301" s="349"/>
      <c r="G2301" s="349"/>
      <c r="H2301" s="349"/>
      <c r="I2301" s="349"/>
      <c r="J2301" s="349"/>
      <c r="K2301" s="434"/>
      <c r="L2301" s="19"/>
      <c r="M2301" s="19"/>
      <c r="N2301" s="19"/>
      <c r="O2301" s="19"/>
      <c r="P2301" s="19"/>
    </row>
    <row r="2302" spans="1:16" x14ac:dyDescent="0.35">
      <c r="A2302" s="477">
        <f>IFERROR(INDEX($Q$17:$Q$201,MATCH(B2302,$R$17:$R$201, 0)), "")</f>
        <v>15</v>
      </c>
      <c r="B2302" s="408" t="s">
        <v>1526</v>
      </c>
      <c r="C2302" s="325" t="s">
        <v>1527</v>
      </c>
      <c r="D2302" s="390" t="s">
        <v>49</v>
      </c>
      <c r="E2302" s="412" t="s">
        <v>1905</v>
      </c>
      <c r="F2302" s="18">
        <v>0</v>
      </c>
      <c r="G2302" s="18" t="s">
        <v>73</v>
      </c>
      <c r="H2302" s="18">
        <v>5</v>
      </c>
      <c r="I2302" s="335" t="s">
        <v>73</v>
      </c>
      <c r="J2302" s="333"/>
      <c r="K2302" s="442"/>
      <c r="L2302" s="19"/>
      <c r="M2302" s="19"/>
      <c r="N2302" s="19"/>
      <c r="O2302" s="19"/>
      <c r="P2302" s="19"/>
    </row>
    <row r="2303" spans="1:16" x14ac:dyDescent="0.35">
      <c r="A2303" s="339"/>
      <c r="B2303" s="340"/>
      <c r="C2303" s="340"/>
      <c r="D2303" s="326" t="s">
        <v>1070</v>
      </c>
      <c r="E2303" s="327" t="s">
        <v>1906</v>
      </c>
      <c r="F2303" s="22">
        <v>100</v>
      </c>
      <c r="G2303" s="22" t="s">
        <v>73</v>
      </c>
      <c r="H2303" s="22">
        <v>100</v>
      </c>
      <c r="I2303" s="328" t="s">
        <v>73</v>
      </c>
      <c r="J2303" s="340"/>
      <c r="K2303" s="443"/>
      <c r="L2303" s="19"/>
      <c r="M2303" s="19"/>
      <c r="N2303" s="19"/>
      <c r="O2303" s="19"/>
      <c r="P2303" s="19"/>
    </row>
    <row r="2304" spans="1:16" x14ac:dyDescent="0.35">
      <c r="A2304" s="332"/>
      <c r="B2304" s="333"/>
      <c r="C2304" s="333"/>
      <c r="D2304" s="390" t="s">
        <v>207</v>
      </c>
      <c r="E2304" s="412" t="s">
        <v>208</v>
      </c>
      <c r="F2304" s="18">
        <v>35</v>
      </c>
      <c r="G2304" s="18" t="s">
        <v>73</v>
      </c>
      <c r="H2304" s="18">
        <v>35</v>
      </c>
      <c r="I2304" s="335" t="s">
        <v>73</v>
      </c>
      <c r="J2304" s="333"/>
      <c r="K2304" s="442"/>
      <c r="L2304" s="19"/>
      <c r="M2304" s="19"/>
      <c r="N2304" s="19"/>
      <c r="O2304" s="19"/>
      <c r="P2304" s="19"/>
    </row>
    <row r="2305" spans="1:16" x14ac:dyDescent="0.35">
      <c r="A2305" s="339"/>
      <c r="B2305" s="340"/>
      <c r="C2305" s="340"/>
      <c r="D2305" s="326" t="s">
        <v>48</v>
      </c>
      <c r="E2305" s="327" t="s">
        <v>1126</v>
      </c>
      <c r="F2305" s="22">
        <v>2</v>
      </c>
      <c r="G2305" s="22" t="s">
        <v>73</v>
      </c>
      <c r="H2305" s="22">
        <v>1</v>
      </c>
      <c r="I2305" s="328" t="s">
        <v>73</v>
      </c>
      <c r="J2305" s="340"/>
      <c r="K2305" s="443"/>
      <c r="L2305" s="19"/>
      <c r="M2305" s="19"/>
      <c r="N2305" s="19"/>
      <c r="O2305" s="19"/>
      <c r="P2305" s="19"/>
    </row>
    <row r="2306" spans="1:16" x14ac:dyDescent="0.35">
      <c r="A2306" s="332"/>
      <c r="B2306" s="333"/>
      <c r="C2306" s="333"/>
      <c r="D2306" s="444" t="s">
        <v>505</v>
      </c>
      <c r="E2306" s="473" t="s">
        <v>1908</v>
      </c>
      <c r="F2306" s="18">
        <v>0</v>
      </c>
      <c r="G2306" s="18" t="s">
        <v>73</v>
      </c>
      <c r="H2306" s="18">
        <v>0.2</v>
      </c>
      <c r="I2306" s="335" t="s">
        <v>73</v>
      </c>
      <c r="J2306" s="333"/>
      <c r="K2306" s="442"/>
      <c r="L2306" s="19"/>
      <c r="M2306" s="19"/>
      <c r="N2306" s="19"/>
      <c r="O2306" s="19"/>
      <c r="P2306" s="19"/>
    </row>
    <row r="2307" spans="1:16" x14ac:dyDescent="0.35">
      <c r="A2307" s="339"/>
      <c r="B2307" s="340"/>
      <c r="C2307" s="340"/>
      <c r="D2307" s="446"/>
      <c r="E2307" s="447" t="s">
        <v>1909</v>
      </c>
      <c r="F2307" s="378">
        <v>180</v>
      </c>
      <c r="G2307" s="378" t="s">
        <v>73</v>
      </c>
      <c r="H2307" s="358"/>
      <c r="I2307" s="358"/>
      <c r="J2307" s="358"/>
      <c r="K2307" s="448"/>
      <c r="L2307" s="19"/>
      <c r="M2307" s="19"/>
      <c r="N2307" s="19"/>
      <c r="O2307" s="19"/>
      <c r="P2307" s="19"/>
    </row>
    <row r="2308" spans="1:16" x14ac:dyDescent="0.35">
      <c r="A2308" s="332"/>
      <c r="B2308" s="333"/>
      <c r="C2308" s="333"/>
      <c r="D2308" s="449" t="s">
        <v>1660</v>
      </c>
      <c r="E2308" s="451" t="s">
        <v>1897</v>
      </c>
      <c r="F2308" s="18">
        <v>1000</v>
      </c>
      <c r="G2308" s="18" t="s">
        <v>73</v>
      </c>
      <c r="H2308" s="333"/>
      <c r="I2308" s="335" t="s">
        <v>73</v>
      </c>
      <c r="J2308" s="333"/>
      <c r="K2308" s="442"/>
      <c r="L2308" s="19"/>
      <c r="M2308" s="19"/>
      <c r="N2308" s="19"/>
      <c r="O2308" s="19"/>
      <c r="P2308" s="19"/>
    </row>
    <row r="2309" spans="1:16" x14ac:dyDescent="0.35">
      <c r="A2309" s="339"/>
      <c r="B2309" s="340"/>
      <c r="C2309" s="340"/>
      <c r="D2309" s="449" t="s">
        <v>1871</v>
      </c>
      <c r="E2309" s="450" t="s">
        <v>1910</v>
      </c>
      <c r="F2309" s="22">
        <v>60</v>
      </c>
      <c r="G2309" s="22" t="s">
        <v>73</v>
      </c>
      <c r="H2309" s="340"/>
      <c r="I2309" s="328" t="s">
        <v>73</v>
      </c>
      <c r="J2309" s="340"/>
      <c r="K2309" s="443"/>
      <c r="L2309" s="19"/>
      <c r="M2309" s="19"/>
      <c r="N2309" s="19"/>
      <c r="O2309" s="19"/>
      <c r="P2309" s="19"/>
    </row>
    <row r="2310" spans="1:16" x14ac:dyDescent="0.35">
      <c r="A2310" s="332"/>
      <c r="B2310" s="333"/>
      <c r="C2310" s="333"/>
      <c r="D2310" s="449"/>
      <c r="E2310" s="451" t="s">
        <v>81</v>
      </c>
      <c r="F2310" s="18">
        <v>1300</v>
      </c>
      <c r="G2310" s="18" t="s">
        <v>73</v>
      </c>
      <c r="H2310" s="333"/>
      <c r="I2310" s="335" t="s">
        <v>73</v>
      </c>
      <c r="J2310" s="333"/>
      <c r="K2310" s="442"/>
      <c r="L2310" s="19"/>
      <c r="M2310" s="19"/>
      <c r="N2310" s="19"/>
      <c r="O2310" s="19"/>
      <c r="P2310" s="19"/>
    </row>
    <row r="2311" spans="1:16" x14ac:dyDescent="0.35">
      <c r="A2311" s="339"/>
      <c r="B2311" s="340"/>
      <c r="C2311" s="340"/>
      <c r="D2311" s="447"/>
      <c r="E2311" s="452" t="s">
        <v>1916</v>
      </c>
      <c r="F2311" s="378">
        <v>150</v>
      </c>
      <c r="G2311" s="358"/>
      <c r="H2311" s="358"/>
      <c r="I2311" s="358"/>
      <c r="J2311" s="358"/>
      <c r="K2311" s="448"/>
      <c r="L2311" s="19"/>
      <c r="M2311" s="19"/>
      <c r="N2311" s="19"/>
      <c r="O2311" s="19"/>
      <c r="P2311" s="19"/>
    </row>
    <row r="2312" spans="1:16" x14ac:dyDescent="0.35">
      <c r="A2312" s="332"/>
      <c r="B2312" s="333"/>
      <c r="C2312" s="333"/>
      <c r="D2312" s="449"/>
      <c r="E2312" s="451" t="s">
        <v>81</v>
      </c>
      <c r="F2312" s="18">
        <v>1000</v>
      </c>
      <c r="G2312" s="335" t="s">
        <v>73</v>
      </c>
      <c r="H2312" s="333"/>
      <c r="I2312" s="335" t="s">
        <v>73</v>
      </c>
      <c r="J2312" s="333"/>
      <c r="K2312" s="442"/>
      <c r="L2312" s="19"/>
      <c r="M2312" s="19"/>
      <c r="N2312" s="19"/>
      <c r="O2312" s="19"/>
      <c r="P2312" s="19"/>
    </row>
    <row r="2313" spans="1:16" x14ac:dyDescent="0.35">
      <c r="A2313" s="339"/>
      <c r="B2313" s="340"/>
      <c r="C2313" s="340"/>
      <c r="D2313" s="390" t="s">
        <v>45</v>
      </c>
      <c r="E2313" s="454" t="s">
        <v>101</v>
      </c>
      <c r="F2313" s="22">
        <v>15</v>
      </c>
      <c r="G2313" s="328" t="s">
        <v>73</v>
      </c>
      <c r="H2313" s="340"/>
      <c r="I2313" s="328" t="s">
        <v>73</v>
      </c>
      <c r="J2313" s="340"/>
      <c r="K2313" s="443"/>
      <c r="L2313" s="19"/>
      <c r="M2313" s="19"/>
      <c r="N2313" s="19"/>
      <c r="O2313" s="19"/>
      <c r="P2313" s="19"/>
    </row>
    <row r="2314" spans="1:16" x14ac:dyDescent="0.35">
      <c r="A2314" s="332"/>
      <c r="B2314" s="333"/>
      <c r="C2314" s="333"/>
      <c r="D2314" s="390" t="s">
        <v>43</v>
      </c>
      <c r="E2314" s="453" t="s">
        <v>105</v>
      </c>
      <c r="F2314" s="18">
        <v>4</v>
      </c>
      <c r="G2314" s="335" t="s">
        <v>73</v>
      </c>
      <c r="H2314" s="333"/>
      <c r="I2314" s="335" t="s">
        <v>73</v>
      </c>
      <c r="J2314" s="333"/>
      <c r="K2314" s="442"/>
      <c r="L2314" s="19"/>
      <c r="M2314" s="19"/>
      <c r="N2314" s="19"/>
      <c r="O2314" s="19"/>
      <c r="P2314" s="19"/>
    </row>
    <row r="2315" spans="1:16" x14ac:dyDescent="0.35">
      <c r="A2315" s="339"/>
      <c r="B2315" s="340"/>
      <c r="C2315" s="340"/>
      <c r="D2315" s="390" t="s">
        <v>46</v>
      </c>
      <c r="E2315" s="454" t="s">
        <v>1911</v>
      </c>
      <c r="F2315" s="22">
        <v>2</v>
      </c>
      <c r="G2315" s="328" t="s">
        <v>73</v>
      </c>
      <c r="H2315" s="340"/>
      <c r="I2315" s="328" t="s">
        <v>73</v>
      </c>
      <c r="J2315" s="340"/>
      <c r="K2315" s="443"/>
      <c r="L2315" s="19"/>
      <c r="M2315" s="19"/>
      <c r="N2315" s="19"/>
      <c r="O2315" s="19"/>
      <c r="P2315" s="19"/>
    </row>
    <row r="2316" spans="1:16" x14ac:dyDescent="0.35">
      <c r="A2316" s="332"/>
      <c r="B2316" s="333"/>
      <c r="C2316" s="333"/>
      <c r="D2316" s="390" t="s">
        <v>42</v>
      </c>
      <c r="E2316" s="453" t="s">
        <v>66</v>
      </c>
      <c r="F2316" s="18">
        <v>5</v>
      </c>
      <c r="G2316" s="335" t="s">
        <v>73</v>
      </c>
      <c r="H2316" s="333"/>
      <c r="I2316" s="335" t="s">
        <v>73</v>
      </c>
      <c r="J2316" s="333"/>
      <c r="K2316" s="442"/>
      <c r="L2316" s="19"/>
      <c r="M2316" s="19"/>
      <c r="N2316" s="19"/>
      <c r="O2316" s="19"/>
      <c r="P2316" s="19"/>
    </row>
    <row r="2317" spans="1:16" x14ac:dyDescent="0.35">
      <c r="A2317" s="339"/>
      <c r="B2317" s="340"/>
      <c r="C2317" s="340"/>
      <c r="D2317" s="326" t="s">
        <v>41</v>
      </c>
      <c r="E2317" s="380" t="s">
        <v>1912</v>
      </c>
      <c r="F2317" s="22">
        <v>3</v>
      </c>
      <c r="G2317" s="328" t="s">
        <v>73</v>
      </c>
      <c r="H2317" s="340"/>
      <c r="I2317" s="328" t="s">
        <v>73</v>
      </c>
      <c r="J2317" s="340"/>
      <c r="K2317" s="443"/>
      <c r="L2317" s="19"/>
      <c r="M2317" s="19"/>
      <c r="N2317" s="19"/>
      <c r="O2317" s="19"/>
      <c r="P2317" s="19"/>
    </row>
    <row r="2318" spans="1:16" x14ac:dyDescent="0.35">
      <c r="A2318" s="332"/>
      <c r="B2318" s="333"/>
      <c r="C2318" s="333"/>
      <c r="D2318" s="326" t="s">
        <v>521</v>
      </c>
      <c r="E2318" s="379" t="s">
        <v>1913</v>
      </c>
      <c r="F2318" s="18">
        <v>59</v>
      </c>
      <c r="G2318" s="335" t="s">
        <v>73</v>
      </c>
      <c r="H2318" s="333"/>
      <c r="I2318" s="335" t="s">
        <v>73</v>
      </c>
      <c r="J2318" s="333"/>
      <c r="K2318" s="442"/>
      <c r="L2318" s="19"/>
      <c r="M2318" s="19"/>
      <c r="N2318" s="19"/>
      <c r="O2318" s="19"/>
      <c r="P2318" s="19"/>
    </row>
    <row r="2319" spans="1:16" x14ac:dyDescent="0.35">
      <c r="A2319" s="339"/>
      <c r="B2319" s="340"/>
      <c r="C2319" s="340"/>
      <c r="D2319" s="449" t="s">
        <v>1915</v>
      </c>
      <c r="E2319" s="450" t="s">
        <v>1941</v>
      </c>
      <c r="F2319" s="22">
        <v>0.5</v>
      </c>
      <c r="G2319" s="328" t="s">
        <v>73</v>
      </c>
      <c r="H2319" s="340"/>
      <c r="I2319" s="328" t="s">
        <v>73</v>
      </c>
      <c r="J2319" s="340"/>
      <c r="K2319" s="443"/>
      <c r="L2319" s="19"/>
      <c r="M2319" s="19"/>
      <c r="N2319" s="19"/>
      <c r="O2319" s="19"/>
      <c r="P2319" s="19"/>
    </row>
    <row r="2320" spans="1:16" x14ac:dyDescent="0.35">
      <c r="A2320" s="332"/>
      <c r="B2320" s="333"/>
      <c r="C2320" s="333"/>
      <c r="D2320" s="390" t="s">
        <v>48</v>
      </c>
      <c r="E2320" s="453" t="s">
        <v>1914</v>
      </c>
      <c r="F2320" s="18">
        <v>3</v>
      </c>
      <c r="G2320" s="335" t="s">
        <v>73</v>
      </c>
      <c r="H2320" s="333"/>
      <c r="I2320" s="335" t="s">
        <v>73</v>
      </c>
      <c r="J2320" s="333"/>
      <c r="K2320" s="442"/>
      <c r="L2320" s="19"/>
      <c r="M2320" s="19"/>
      <c r="N2320" s="19"/>
      <c r="O2320" s="19"/>
      <c r="P2320" s="19"/>
    </row>
    <row r="2321" spans="1:16" x14ac:dyDescent="0.35">
      <c r="A2321" s="339"/>
      <c r="B2321" s="340"/>
      <c r="C2321" s="340"/>
      <c r="D2321" s="447"/>
      <c r="E2321" s="452" t="s">
        <v>1917</v>
      </c>
      <c r="F2321" s="356">
        <v>30</v>
      </c>
      <c r="G2321" s="358"/>
      <c r="H2321" s="358"/>
      <c r="I2321" s="358"/>
      <c r="J2321" s="358"/>
      <c r="K2321" s="448"/>
      <c r="L2321" s="19"/>
      <c r="M2321" s="19"/>
      <c r="N2321" s="19"/>
      <c r="O2321" s="19"/>
      <c r="P2321" s="19"/>
    </row>
    <row r="2322" spans="1:16" x14ac:dyDescent="0.35">
      <c r="A2322" s="332"/>
      <c r="B2322" s="333"/>
      <c r="C2322" s="333"/>
      <c r="D2322" s="449" t="s">
        <v>1604</v>
      </c>
      <c r="E2322" s="451" t="s">
        <v>1940</v>
      </c>
      <c r="F2322" s="335">
        <v>60</v>
      </c>
      <c r="G2322" s="335" t="s">
        <v>73</v>
      </c>
      <c r="H2322" s="333"/>
      <c r="I2322" s="335" t="s">
        <v>73</v>
      </c>
      <c r="J2322" s="333"/>
      <c r="K2322" s="442"/>
      <c r="L2322" s="19"/>
      <c r="M2322" s="19"/>
      <c r="N2322" s="19"/>
      <c r="O2322" s="19"/>
      <c r="P2322" s="19"/>
    </row>
    <row r="2323" spans="1:16" x14ac:dyDescent="0.35">
      <c r="A2323" s="339"/>
      <c r="B2323" s="340"/>
      <c r="C2323" s="340"/>
      <c r="D2323" s="449" t="s">
        <v>1626</v>
      </c>
      <c r="E2323" s="450" t="s">
        <v>1918</v>
      </c>
      <c r="F2323" s="328">
        <v>70</v>
      </c>
      <c r="G2323" s="328" t="s">
        <v>73</v>
      </c>
      <c r="H2323" s="340"/>
      <c r="I2323" s="328" t="s">
        <v>73</v>
      </c>
      <c r="J2323" s="340"/>
      <c r="K2323" s="443"/>
      <c r="L2323" s="19"/>
      <c r="M2323" s="19"/>
      <c r="N2323" s="19"/>
      <c r="O2323" s="19"/>
      <c r="P2323" s="19"/>
    </row>
    <row r="2324" spans="1:16" x14ac:dyDescent="0.35">
      <c r="A2324" s="332"/>
      <c r="B2324" s="333"/>
      <c r="C2324" s="333"/>
      <c r="D2324" s="390" t="s">
        <v>50</v>
      </c>
      <c r="E2324" s="453" t="s">
        <v>1919</v>
      </c>
      <c r="F2324" s="335">
        <v>20</v>
      </c>
      <c r="G2324" s="335" t="s">
        <v>73</v>
      </c>
      <c r="H2324" s="333"/>
      <c r="I2324" s="335" t="s">
        <v>73</v>
      </c>
      <c r="J2324" s="333"/>
      <c r="K2324" s="442"/>
      <c r="L2324" s="19"/>
      <c r="M2324" s="19"/>
      <c r="N2324" s="19"/>
      <c r="O2324" s="19"/>
      <c r="P2324" s="19"/>
    </row>
    <row r="2325" spans="1:16" x14ac:dyDescent="0.35">
      <c r="A2325" s="339"/>
      <c r="B2325" s="340"/>
      <c r="C2325" s="340"/>
      <c r="D2325" s="449" t="s">
        <v>1647</v>
      </c>
      <c r="E2325" s="450" t="s">
        <v>1920</v>
      </c>
      <c r="F2325" s="328">
        <v>80</v>
      </c>
      <c r="G2325" s="328" t="s">
        <v>73</v>
      </c>
      <c r="H2325" s="340"/>
      <c r="I2325" s="328" t="s">
        <v>73</v>
      </c>
      <c r="J2325" s="340"/>
      <c r="K2325" s="443"/>
      <c r="L2325" s="19"/>
      <c r="M2325" s="19"/>
      <c r="N2325" s="19"/>
      <c r="O2325" s="19"/>
      <c r="P2325" s="19"/>
    </row>
    <row r="2326" spans="1:16" x14ac:dyDescent="0.35">
      <c r="A2326" s="332"/>
      <c r="B2326" s="333"/>
      <c r="C2326" s="333"/>
      <c r="D2326" s="447"/>
      <c r="E2326" s="455" t="s">
        <v>1921</v>
      </c>
      <c r="F2326" s="356">
        <v>1.5</v>
      </c>
      <c r="G2326" s="356" t="s">
        <v>73</v>
      </c>
      <c r="H2326" s="358"/>
      <c r="I2326" s="358"/>
      <c r="J2326" s="358"/>
      <c r="K2326" s="448"/>
      <c r="L2326" s="19"/>
      <c r="M2326" s="19"/>
      <c r="N2326" s="19"/>
      <c r="O2326" s="19"/>
      <c r="P2326" s="19"/>
    </row>
    <row r="2327" spans="1:16" x14ac:dyDescent="0.35">
      <c r="A2327" s="339"/>
      <c r="B2327" s="340"/>
      <c r="C2327" s="340"/>
      <c r="D2327" s="417" t="s">
        <v>43</v>
      </c>
      <c r="E2327" s="456" t="s">
        <v>94</v>
      </c>
      <c r="F2327" s="22">
        <v>85</v>
      </c>
      <c r="G2327" s="457" t="s">
        <v>73</v>
      </c>
      <c r="H2327" s="340"/>
      <c r="I2327" s="328" t="s">
        <v>73</v>
      </c>
      <c r="J2327" s="340"/>
      <c r="K2327" s="443"/>
      <c r="L2327" s="19"/>
      <c r="M2327" s="19"/>
      <c r="N2327" s="19"/>
      <c r="O2327" s="19"/>
      <c r="P2327" s="19"/>
    </row>
    <row r="2328" spans="1:16" x14ac:dyDescent="0.35">
      <c r="A2328" s="332"/>
      <c r="B2328" s="333"/>
      <c r="C2328" s="333"/>
      <c r="D2328" s="417" t="s">
        <v>42</v>
      </c>
      <c r="E2328" s="474" t="s">
        <v>95</v>
      </c>
      <c r="F2328" s="18">
        <v>15</v>
      </c>
      <c r="G2328" s="458" t="s">
        <v>73</v>
      </c>
      <c r="H2328" s="333"/>
      <c r="I2328" s="335" t="s">
        <v>73</v>
      </c>
      <c r="J2328" s="333"/>
      <c r="K2328" s="442"/>
      <c r="L2328" s="19"/>
      <c r="M2328" s="19"/>
      <c r="N2328" s="19"/>
      <c r="O2328" s="19"/>
      <c r="P2328" s="19"/>
    </row>
    <row r="2329" spans="1:16" ht="15" thickBot="1" x14ac:dyDescent="0.4">
      <c r="A2329" s="339"/>
      <c r="B2329" s="340"/>
      <c r="C2329" s="340"/>
      <c r="D2329" s="398"/>
      <c r="E2329" s="388" t="s">
        <v>1191</v>
      </c>
      <c r="F2329" s="459">
        <v>30</v>
      </c>
      <c r="G2329" s="460" t="s">
        <v>73</v>
      </c>
      <c r="H2329" s="358"/>
      <c r="I2329" s="356" t="s">
        <v>73</v>
      </c>
      <c r="J2329" s="358"/>
      <c r="K2329" s="448"/>
      <c r="L2329" s="19"/>
      <c r="M2329" s="19"/>
      <c r="N2329" s="19"/>
      <c r="O2329" s="19"/>
      <c r="P2329" s="19"/>
    </row>
    <row r="2330" spans="1:16" ht="15" thickTop="1" x14ac:dyDescent="0.35">
      <c r="A2330" s="332"/>
      <c r="B2330" s="333"/>
      <c r="C2330" s="333"/>
      <c r="D2330" s="385" t="s">
        <v>47</v>
      </c>
      <c r="E2330" s="395" t="s">
        <v>1192</v>
      </c>
      <c r="F2330" s="335">
        <v>10</v>
      </c>
      <c r="G2330" s="462" t="s">
        <v>73</v>
      </c>
      <c r="H2330" s="333"/>
      <c r="I2330" s="335" t="s">
        <v>73</v>
      </c>
      <c r="J2330" s="333"/>
      <c r="K2330" s="442"/>
      <c r="L2330" s="19"/>
      <c r="M2330" s="19"/>
      <c r="N2330" s="19"/>
      <c r="O2330" s="19"/>
      <c r="P2330" s="19"/>
    </row>
    <row r="2331" spans="1:16" x14ac:dyDescent="0.35">
      <c r="A2331" s="339"/>
      <c r="B2331" s="340"/>
      <c r="C2331" s="340"/>
      <c r="D2331" s="390" t="s">
        <v>50</v>
      </c>
      <c r="E2331" s="391" t="s">
        <v>394</v>
      </c>
      <c r="F2331" s="328">
        <v>40</v>
      </c>
      <c r="G2331" s="461" t="s">
        <v>73</v>
      </c>
      <c r="H2331" s="340"/>
      <c r="I2331" s="328" t="s">
        <v>73</v>
      </c>
      <c r="J2331" s="340"/>
      <c r="K2331" s="443"/>
      <c r="L2331" s="19"/>
      <c r="M2331" s="19"/>
      <c r="N2331" s="19"/>
      <c r="O2331" s="19"/>
      <c r="P2331" s="19"/>
    </row>
    <row r="2332" spans="1:16" x14ac:dyDescent="0.35">
      <c r="A2332" s="332"/>
      <c r="B2332" s="333"/>
      <c r="C2332" s="333"/>
      <c r="D2332" s="390" t="s">
        <v>371</v>
      </c>
      <c r="E2332" s="395" t="s">
        <v>372</v>
      </c>
      <c r="F2332" s="335">
        <v>40</v>
      </c>
      <c r="G2332" s="462" t="s">
        <v>73</v>
      </c>
      <c r="H2332" s="333"/>
      <c r="I2332" s="335" t="s">
        <v>73</v>
      </c>
      <c r="J2332" s="333"/>
      <c r="K2332" s="442"/>
      <c r="L2332" s="19"/>
      <c r="M2332" s="19"/>
      <c r="N2332" s="19"/>
      <c r="O2332" s="19"/>
      <c r="P2332" s="19"/>
    </row>
    <row r="2333" spans="1:16" x14ac:dyDescent="0.35">
      <c r="A2333" s="339"/>
      <c r="B2333" s="340"/>
      <c r="C2333" s="340"/>
      <c r="D2333" s="390" t="s">
        <v>260</v>
      </c>
      <c r="E2333" s="391" t="s">
        <v>1193</v>
      </c>
      <c r="F2333" s="328">
        <v>120</v>
      </c>
      <c r="G2333" s="461" t="s">
        <v>73</v>
      </c>
      <c r="H2333" s="340"/>
      <c r="I2333" s="328" t="s">
        <v>73</v>
      </c>
      <c r="J2333" s="340"/>
      <c r="K2333" s="443"/>
      <c r="L2333" s="19"/>
      <c r="M2333" s="19"/>
      <c r="N2333" s="19"/>
      <c r="O2333" s="19"/>
      <c r="P2333" s="19"/>
    </row>
    <row r="2334" spans="1:16" ht="15" thickBot="1" x14ac:dyDescent="0.4">
      <c r="A2334" s="332"/>
      <c r="B2334" s="333"/>
      <c r="C2334" s="333"/>
      <c r="D2334" s="396"/>
      <c r="E2334" s="463" t="s">
        <v>950</v>
      </c>
      <c r="F2334" s="343">
        <v>40</v>
      </c>
      <c r="G2334" s="464" t="s">
        <v>73</v>
      </c>
      <c r="H2334" s="465"/>
      <c r="I2334" s="466" t="s">
        <v>73</v>
      </c>
      <c r="J2334" s="465"/>
      <c r="K2334" s="467"/>
      <c r="L2334" s="19"/>
      <c r="M2334" s="19"/>
      <c r="N2334" s="19"/>
      <c r="O2334" s="19"/>
      <c r="P2334" s="19"/>
    </row>
    <row r="2335" spans="1:16" ht="15" thickTop="1" x14ac:dyDescent="0.35">
      <c r="A2335" s="339"/>
      <c r="B2335" s="340"/>
      <c r="C2335" s="340"/>
      <c r="D2335" s="385" t="s">
        <v>141</v>
      </c>
      <c r="E2335" s="391" t="s">
        <v>1194</v>
      </c>
      <c r="F2335" s="328">
        <v>40</v>
      </c>
      <c r="G2335" s="461" t="s">
        <v>73</v>
      </c>
      <c r="H2335" s="340"/>
      <c r="I2335" s="328" t="s">
        <v>73</v>
      </c>
      <c r="J2335" s="340"/>
      <c r="K2335" s="443"/>
      <c r="L2335" s="19"/>
      <c r="M2335" s="19"/>
      <c r="N2335" s="19"/>
      <c r="O2335" s="19"/>
      <c r="P2335" s="19"/>
    </row>
    <row r="2336" spans="1:16" x14ac:dyDescent="0.35">
      <c r="A2336" s="332"/>
      <c r="B2336" s="333"/>
      <c r="C2336" s="333"/>
      <c r="D2336" s="390" t="s">
        <v>46</v>
      </c>
      <c r="E2336" s="395" t="s">
        <v>1195</v>
      </c>
      <c r="F2336" s="335">
        <v>20</v>
      </c>
      <c r="G2336" s="462" t="s">
        <v>73</v>
      </c>
      <c r="H2336" s="333"/>
      <c r="I2336" s="335" t="s">
        <v>73</v>
      </c>
      <c r="J2336" s="333"/>
      <c r="K2336" s="442"/>
      <c r="L2336" s="19"/>
      <c r="M2336" s="19"/>
      <c r="N2336" s="19"/>
      <c r="O2336" s="19"/>
      <c r="P2336" s="19"/>
    </row>
    <row r="2337" spans="1:16" ht="15" thickBot="1" x14ac:dyDescent="0.4">
      <c r="A2337" s="339"/>
      <c r="B2337" s="340"/>
      <c r="C2337" s="340"/>
      <c r="D2337" s="390" t="s">
        <v>379</v>
      </c>
      <c r="E2337" s="391" t="s">
        <v>380</v>
      </c>
      <c r="F2337" s="328">
        <v>10</v>
      </c>
      <c r="G2337" s="461" t="s">
        <v>73</v>
      </c>
      <c r="H2337" s="340"/>
      <c r="I2337" s="328" t="s">
        <v>73</v>
      </c>
      <c r="J2337" s="340"/>
      <c r="K2337" s="443"/>
      <c r="L2337" s="19"/>
      <c r="M2337" s="19"/>
      <c r="N2337" s="19"/>
      <c r="O2337" s="19"/>
      <c r="P2337" s="19"/>
    </row>
    <row r="2338" spans="1:16" ht="15" thickTop="1" x14ac:dyDescent="0.35">
      <c r="A2338" s="332"/>
      <c r="B2338" s="333"/>
      <c r="C2338" s="333"/>
      <c r="D2338" s="468"/>
      <c r="E2338" s="355" t="s">
        <v>973</v>
      </c>
      <c r="F2338" s="356">
        <v>40</v>
      </c>
      <c r="G2338" s="460" t="s">
        <v>73</v>
      </c>
      <c r="H2338" s="358"/>
      <c r="I2338" s="356" t="s">
        <v>73</v>
      </c>
      <c r="J2338" s="358"/>
      <c r="K2338" s="448"/>
      <c r="L2338" s="19"/>
      <c r="M2338" s="19"/>
      <c r="N2338" s="19"/>
      <c r="O2338" s="19"/>
      <c r="P2338" s="19"/>
    </row>
    <row r="2339" spans="1:16" x14ac:dyDescent="0.35">
      <c r="A2339" s="339"/>
      <c r="B2339" s="340"/>
      <c r="C2339" s="340"/>
      <c r="D2339" s="326" t="s">
        <v>47</v>
      </c>
      <c r="E2339" s="426" t="s">
        <v>740</v>
      </c>
      <c r="F2339" s="22">
        <v>3</v>
      </c>
      <c r="G2339" s="461" t="s">
        <v>73</v>
      </c>
      <c r="H2339" s="340"/>
      <c r="I2339" s="328" t="s">
        <v>73</v>
      </c>
      <c r="J2339" s="340"/>
      <c r="K2339" s="443"/>
      <c r="L2339" s="19"/>
      <c r="M2339" s="19"/>
      <c r="N2339" s="19"/>
      <c r="O2339" s="19"/>
      <c r="P2339" s="19"/>
    </row>
    <row r="2340" spans="1:16" x14ac:dyDescent="0.35">
      <c r="A2340" s="332"/>
      <c r="B2340" s="333"/>
      <c r="C2340" s="333"/>
      <c r="D2340" s="326" t="s">
        <v>49</v>
      </c>
      <c r="E2340" s="425" t="s">
        <v>916</v>
      </c>
      <c r="F2340" s="18">
        <v>8</v>
      </c>
      <c r="G2340" s="462" t="s">
        <v>73</v>
      </c>
      <c r="H2340" s="333"/>
      <c r="I2340" s="335" t="s">
        <v>73</v>
      </c>
      <c r="J2340" s="333"/>
      <c r="K2340" s="442"/>
      <c r="L2340" s="19"/>
      <c r="M2340" s="19"/>
      <c r="N2340" s="19"/>
      <c r="O2340" s="19"/>
      <c r="P2340" s="19"/>
    </row>
    <row r="2341" spans="1:16" x14ac:dyDescent="0.35">
      <c r="A2341" s="339"/>
      <c r="B2341" s="340"/>
      <c r="C2341" s="340"/>
      <c r="D2341" s="326" t="s">
        <v>50</v>
      </c>
      <c r="E2341" s="426" t="s">
        <v>917</v>
      </c>
      <c r="F2341" s="22">
        <v>40</v>
      </c>
      <c r="G2341" s="461" t="s">
        <v>73</v>
      </c>
      <c r="H2341" s="340"/>
      <c r="I2341" s="328" t="s">
        <v>73</v>
      </c>
      <c r="J2341" s="340"/>
      <c r="K2341" s="443"/>
      <c r="L2341" s="19"/>
      <c r="M2341" s="19"/>
      <c r="N2341" s="19"/>
      <c r="O2341" s="19"/>
      <c r="P2341" s="19"/>
    </row>
    <row r="2342" spans="1:16" x14ac:dyDescent="0.35">
      <c r="A2342" s="332"/>
      <c r="B2342" s="333"/>
      <c r="C2342" s="333"/>
      <c r="D2342" s="326" t="s">
        <v>371</v>
      </c>
      <c r="E2342" s="425" t="s">
        <v>918</v>
      </c>
      <c r="F2342" s="18">
        <v>20</v>
      </c>
      <c r="G2342" s="462" t="s">
        <v>73</v>
      </c>
      <c r="H2342" s="333"/>
      <c r="I2342" s="335" t="s">
        <v>73</v>
      </c>
      <c r="J2342" s="333"/>
      <c r="K2342" s="442"/>
      <c r="L2342" s="19"/>
      <c r="M2342" s="19"/>
      <c r="N2342" s="19"/>
      <c r="O2342" s="19"/>
      <c r="P2342" s="19"/>
    </row>
    <row r="2343" spans="1:16" x14ac:dyDescent="0.35">
      <c r="A2343" s="339"/>
      <c r="B2343" s="340"/>
      <c r="C2343" s="340"/>
      <c r="D2343" s="326" t="s">
        <v>379</v>
      </c>
      <c r="E2343" s="426" t="s">
        <v>919</v>
      </c>
      <c r="F2343" s="22">
        <v>10</v>
      </c>
      <c r="G2343" s="461" t="s">
        <v>73</v>
      </c>
      <c r="H2343" s="340"/>
      <c r="I2343" s="328" t="s">
        <v>73</v>
      </c>
      <c r="J2343" s="340"/>
      <c r="K2343" s="443"/>
      <c r="L2343" s="19"/>
      <c r="M2343" s="19"/>
      <c r="N2343" s="19"/>
      <c r="O2343" s="19"/>
      <c r="P2343" s="19"/>
    </row>
    <row r="2344" spans="1:16" x14ac:dyDescent="0.35">
      <c r="A2344" s="332"/>
      <c r="B2344" s="333"/>
      <c r="C2344" s="333"/>
      <c r="D2344" s="326" t="s">
        <v>505</v>
      </c>
      <c r="E2344" s="425" t="s">
        <v>722</v>
      </c>
      <c r="F2344" s="18">
        <v>0.5</v>
      </c>
      <c r="G2344" s="462" t="s">
        <v>73</v>
      </c>
      <c r="H2344" s="333"/>
      <c r="I2344" s="335" t="s">
        <v>73</v>
      </c>
      <c r="J2344" s="333"/>
      <c r="K2344" s="442"/>
      <c r="L2344" s="19"/>
      <c r="M2344" s="19"/>
      <c r="N2344" s="19"/>
      <c r="O2344" s="19"/>
      <c r="P2344" s="19"/>
    </row>
    <row r="2345" spans="1:16" x14ac:dyDescent="0.35">
      <c r="A2345" s="339"/>
      <c r="B2345" s="340"/>
      <c r="C2345" s="340"/>
      <c r="D2345" s="326" t="s">
        <v>41</v>
      </c>
      <c r="E2345" s="426" t="s">
        <v>911</v>
      </c>
      <c r="F2345" s="22">
        <v>2</v>
      </c>
      <c r="G2345" s="461" t="s">
        <v>73</v>
      </c>
      <c r="H2345" s="340"/>
      <c r="I2345" s="328" t="s">
        <v>73</v>
      </c>
      <c r="J2345" s="340"/>
      <c r="K2345" s="443"/>
      <c r="L2345" s="19"/>
      <c r="M2345" s="19"/>
      <c r="N2345" s="19"/>
      <c r="O2345" s="19"/>
      <c r="P2345" s="19"/>
    </row>
    <row r="2346" spans="1:16" x14ac:dyDescent="0.35">
      <c r="A2346" s="332"/>
      <c r="B2346" s="333"/>
      <c r="C2346" s="333"/>
      <c r="D2346" s="326" t="s">
        <v>127</v>
      </c>
      <c r="E2346" s="425" t="s">
        <v>912</v>
      </c>
      <c r="F2346" s="18">
        <v>28</v>
      </c>
      <c r="G2346" s="462" t="s">
        <v>73</v>
      </c>
      <c r="H2346" s="333"/>
      <c r="I2346" s="335" t="s">
        <v>73</v>
      </c>
      <c r="J2346" s="333"/>
      <c r="K2346" s="442"/>
      <c r="L2346" s="19"/>
      <c r="M2346" s="19"/>
      <c r="N2346" s="19"/>
      <c r="O2346" s="19"/>
      <c r="P2346" s="19"/>
    </row>
    <row r="2347" spans="1:16" x14ac:dyDescent="0.35">
      <c r="A2347" s="339"/>
      <c r="B2347" s="340"/>
      <c r="C2347" s="340"/>
      <c r="D2347" s="326" t="s">
        <v>549</v>
      </c>
      <c r="E2347" s="426" t="s">
        <v>915</v>
      </c>
      <c r="F2347" s="22">
        <v>165</v>
      </c>
      <c r="G2347" s="461" t="s">
        <v>73</v>
      </c>
      <c r="H2347" s="340"/>
      <c r="I2347" s="328" t="s">
        <v>73</v>
      </c>
      <c r="J2347" s="340"/>
      <c r="K2347" s="443"/>
      <c r="L2347" s="19"/>
      <c r="M2347" s="19"/>
      <c r="N2347" s="19"/>
      <c r="O2347" s="19"/>
      <c r="P2347" s="19"/>
    </row>
    <row r="2348" spans="1:16" ht="15" thickBot="1" x14ac:dyDescent="0.4">
      <c r="A2348" s="332"/>
      <c r="B2348" s="333"/>
      <c r="C2348" s="333"/>
      <c r="D2348" s="413"/>
      <c r="E2348" s="388" t="s">
        <v>84</v>
      </c>
      <c r="F2348" s="378">
        <v>30</v>
      </c>
      <c r="G2348" s="378" t="s">
        <v>73</v>
      </c>
      <c r="H2348" s="357"/>
      <c r="I2348" s="358"/>
      <c r="J2348" s="358"/>
      <c r="K2348" s="414"/>
      <c r="L2348" s="19"/>
      <c r="M2348" s="19"/>
      <c r="N2348" s="19"/>
      <c r="O2348" s="19"/>
      <c r="P2348" s="19"/>
    </row>
    <row r="2349" spans="1:16" ht="15" thickTop="1" x14ac:dyDescent="0.35">
      <c r="A2349" s="339"/>
      <c r="B2349" s="340"/>
      <c r="C2349" s="340"/>
      <c r="D2349" s="415"/>
      <c r="E2349" s="416" t="s">
        <v>26</v>
      </c>
      <c r="F2349" s="378">
        <v>1000</v>
      </c>
      <c r="G2349" s="378" t="s">
        <v>73</v>
      </c>
      <c r="H2349" s="357"/>
      <c r="I2349" s="358"/>
      <c r="J2349" s="358"/>
      <c r="K2349" s="414"/>
      <c r="L2349" s="19"/>
      <c r="M2349" s="19"/>
      <c r="N2349" s="19"/>
      <c r="O2349" s="19"/>
      <c r="P2349" s="19"/>
    </row>
    <row r="2350" spans="1:16" x14ac:dyDescent="0.35">
      <c r="A2350" s="332"/>
      <c r="B2350" s="333"/>
      <c r="C2350" s="333"/>
      <c r="D2350" s="417" t="s">
        <v>60</v>
      </c>
      <c r="E2350" s="737" t="s">
        <v>121</v>
      </c>
      <c r="F2350" s="114">
        <v>1000</v>
      </c>
      <c r="G2350" s="114" t="s">
        <v>73</v>
      </c>
      <c r="H2350" s="501"/>
      <c r="I2350" s="18" t="s">
        <v>73</v>
      </c>
      <c r="J2350" s="333"/>
      <c r="K2350" s="411">
        <f t="shared" ref="K2350:K2351" si="283">$A$2023*H2350</f>
        <v>0</v>
      </c>
      <c r="L2350" s="19"/>
      <c r="M2350" s="19"/>
      <c r="N2350" s="19"/>
      <c r="O2350" s="19"/>
      <c r="P2350" s="19"/>
    </row>
    <row r="2351" spans="1:16" x14ac:dyDescent="0.35">
      <c r="A2351" s="339"/>
      <c r="B2351" s="340"/>
      <c r="C2351" s="340"/>
      <c r="D2351" s="417" t="s">
        <v>43</v>
      </c>
      <c r="E2351" s="738" t="s">
        <v>94</v>
      </c>
      <c r="F2351" s="114">
        <v>30</v>
      </c>
      <c r="G2351" s="114" t="s">
        <v>73</v>
      </c>
      <c r="H2351" s="501"/>
      <c r="I2351" s="22" t="s">
        <v>73</v>
      </c>
      <c r="J2351" s="340"/>
      <c r="K2351" s="410">
        <f t="shared" si="283"/>
        <v>0</v>
      </c>
      <c r="L2351" s="19"/>
      <c r="M2351" s="19"/>
      <c r="N2351" s="19"/>
      <c r="O2351" s="19"/>
      <c r="P2351" s="19"/>
    </row>
    <row r="2352" spans="1:16" x14ac:dyDescent="0.35">
      <c r="A2352" s="332"/>
      <c r="B2352" s="333"/>
      <c r="C2352" s="333"/>
      <c r="D2352" s="420"/>
      <c r="E2352" s="421" t="s">
        <v>81</v>
      </c>
      <c r="F2352" s="404">
        <v>400</v>
      </c>
      <c r="G2352" s="404" t="s">
        <v>73</v>
      </c>
      <c r="H2352" s="363"/>
      <c r="I2352" s="422"/>
      <c r="J2352" s="423"/>
      <c r="K2352" s="424"/>
      <c r="L2352" s="19"/>
      <c r="M2352" s="19"/>
      <c r="N2352" s="19"/>
      <c r="O2352" s="19"/>
      <c r="P2352" s="19"/>
    </row>
    <row r="2353" spans="1:16" x14ac:dyDescent="0.35">
      <c r="A2353" s="339"/>
      <c r="B2353" s="340"/>
      <c r="C2353" s="340"/>
      <c r="D2353" s="417" t="s">
        <v>59</v>
      </c>
      <c r="E2353" s="720" t="s">
        <v>27</v>
      </c>
      <c r="F2353" s="114">
        <v>350</v>
      </c>
      <c r="G2353" s="114" t="s">
        <v>73</v>
      </c>
      <c r="H2353" s="367"/>
      <c r="I2353" s="328" t="s">
        <v>73</v>
      </c>
      <c r="J2353" s="340"/>
      <c r="K2353" s="410">
        <f t="shared" ref="K2353:K2354" si="284">$A$2023*H2353</f>
        <v>0</v>
      </c>
      <c r="L2353" s="19"/>
      <c r="M2353" s="19"/>
      <c r="N2353" s="19"/>
      <c r="O2353" s="19"/>
      <c r="P2353" s="19"/>
    </row>
    <row r="2354" spans="1:16" x14ac:dyDescent="0.35">
      <c r="A2354" s="332"/>
      <c r="B2354" s="333"/>
      <c r="C2354" s="333"/>
      <c r="D2354" s="417" t="s">
        <v>48</v>
      </c>
      <c r="E2354" s="720" t="s">
        <v>91</v>
      </c>
      <c r="F2354" s="114">
        <v>100</v>
      </c>
      <c r="G2354" s="114" t="s">
        <v>73</v>
      </c>
      <c r="H2354" s="361"/>
      <c r="I2354" s="335" t="s">
        <v>73</v>
      </c>
      <c r="J2354" s="333"/>
      <c r="K2354" s="411">
        <f t="shared" si="284"/>
        <v>0</v>
      </c>
      <c r="L2354" s="19"/>
      <c r="M2354" s="19"/>
      <c r="N2354" s="19"/>
      <c r="O2354" s="19"/>
      <c r="P2354" s="19"/>
    </row>
    <row r="2355" spans="1:16" x14ac:dyDescent="0.35">
      <c r="A2355" s="339"/>
      <c r="B2355" s="340"/>
      <c r="C2355" s="340"/>
      <c r="D2355" s="388"/>
      <c r="E2355" s="384" t="s">
        <v>769</v>
      </c>
      <c r="F2355" s="378">
        <v>2</v>
      </c>
      <c r="G2355" s="378" t="s">
        <v>73</v>
      </c>
      <c r="H2355" s="358"/>
      <c r="I2355" s="358"/>
      <c r="J2355" s="358"/>
      <c r="K2355" s="448"/>
      <c r="L2355" s="19"/>
      <c r="M2355" s="19"/>
      <c r="N2355" s="19"/>
      <c r="O2355" s="19"/>
      <c r="P2355" s="19"/>
    </row>
    <row r="2356" spans="1:16" x14ac:dyDescent="0.35">
      <c r="A2356" s="332"/>
      <c r="B2356" s="333"/>
      <c r="C2356" s="333"/>
      <c r="D2356" s="390" t="s">
        <v>521</v>
      </c>
      <c r="E2356" s="402" t="s">
        <v>906</v>
      </c>
      <c r="F2356" s="22">
        <v>200</v>
      </c>
      <c r="G2356" s="22" t="s">
        <v>73</v>
      </c>
      <c r="H2356" s="333"/>
      <c r="I2356" s="333"/>
      <c r="J2356" s="333"/>
      <c r="K2356" s="442"/>
      <c r="L2356" s="19"/>
      <c r="M2356" s="19"/>
      <c r="N2356" s="19"/>
      <c r="O2356" s="19"/>
      <c r="P2356" s="19"/>
    </row>
    <row r="2357" spans="1:16" x14ac:dyDescent="0.35">
      <c r="A2357" s="339"/>
      <c r="B2357" s="340"/>
      <c r="C2357" s="340"/>
      <c r="D2357" s="388"/>
      <c r="E2357" s="403" t="s">
        <v>770</v>
      </c>
      <c r="F2357" s="378">
        <v>30</v>
      </c>
      <c r="G2357" s="378" t="s">
        <v>73</v>
      </c>
      <c r="H2357" s="358"/>
      <c r="I2357" s="358"/>
      <c r="J2357" s="358"/>
      <c r="K2357" s="448"/>
      <c r="L2357" s="19"/>
      <c r="M2357" s="19"/>
      <c r="N2357" s="19"/>
      <c r="O2357" s="19"/>
      <c r="P2357" s="19"/>
    </row>
    <row r="2358" spans="1:16" x14ac:dyDescent="0.35">
      <c r="A2358" s="332"/>
      <c r="B2358" s="333"/>
      <c r="C2358" s="333"/>
      <c r="D2358" s="390" t="s">
        <v>537</v>
      </c>
      <c r="E2358" s="391" t="s">
        <v>771</v>
      </c>
      <c r="F2358" s="22">
        <v>1</v>
      </c>
      <c r="G2358" s="22" t="s">
        <v>73</v>
      </c>
      <c r="H2358" s="333"/>
      <c r="I2358" s="333"/>
      <c r="J2358" s="333"/>
      <c r="K2358" s="442"/>
      <c r="L2358" s="19"/>
      <c r="M2358" s="19"/>
      <c r="N2358" s="19"/>
      <c r="O2358" s="19"/>
      <c r="P2358" s="19"/>
    </row>
    <row r="2359" spans="1:16" x14ac:dyDescent="0.35">
      <c r="A2359" s="339"/>
      <c r="B2359" s="340"/>
      <c r="C2359" s="340"/>
      <c r="D2359" s="392"/>
      <c r="E2359" s="393" t="s">
        <v>81</v>
      </c>
      <c r="F2359" s="404">
        <v>100</v>
      </c>
      <c r="G2359" s="404" t="s">
        <v>73</v>
      </c>
      <c r="H2359" s="364"/>
      <c r="I2359" s="364"/>
      <c r="J2359" s="364"/>
      <c r="K2359" s="469"/>
      <c r="L2359" s="19"/>
      <c r="M2359" s="19"/>
      <c r="N2359" s="19"/>
      <c r="O2359" s="19"/>
      <c r="P2359" s="19"/>
    </row>
    <row r="2360" spans="1:16" x14ac:dyDescent="0.35">
      <c r="A2360" s="332"/>
      <c r="B2360" s="333"/>
      <c r="C2360" s="333"/>
      <c r="D2360" s="388"/>
      <c r="E2360" s="403" t="s">
        <v>726</v>
      </c>
      <c r="F2360" s="378">
        <v>2</v>
      </c>
      <c r="G2360" s="378" t="s">
        <v>73</v>
      </c>
      <c r="H2360" s="358"/>
      <c r="I2360" s="358"/>
      <c r="J2360" s="358"/>
      <c r="K2360" s="448"/>
      <c r="L2360" s="19"/>
      <c r="M2360" s="19"/>
      <c r="N2360" s="19"/>
      <c r="O2360" s="19"/>
      <c r="P2360" s="19"/>
    </row>
    <row r="2361" spans="1:16" x14ac:dyDescent="0.35">
      <c r="A2361" s="339"/>
      <c r="B2361" s="340"/>
      <c r="C2361" s="340"/>
      <c r="D2361" s="390" t="s">
        <v>43</v>
      </c>
      <c r="E2361" s="500" t="s">
        <v>105</v>
      </c>
      <c r="F2361" s="114">
        <v>15</v>
      </c>
      <c r="G2361" s="114" t="s">
        <v>73</v>
      </c>
      <c r="H2361" s="340"/>
      <c r="I2361" s="340"/>
      <c r="J2361" s="340"/>
      <c r="K2361" s="443"/>
      <c r="L2361" s="19"/>
      <c r="M2361" s="19"/>
      <c r="N2361" s="19"/>
      <c r="O2361" s="19"/>
      <c r="P2361" s="19"/>
    </row>
    <row r="2362" spans="1:16" x14ac:dyDescent="0.35">
      <c r="A2362" s="332"/>
      <c r="B2362" s="333"/>
      <c r="C2362" s="333"/>
      <c r="D2362" s="390" t="s">
        <v>42</v>
      </c>
      <c r="E2362" s="500" t="s">
        <v>95</v>
      </c>
      <c r="F2362" s="114">
        <v>85</v>
      </c>
      <c r="G2362" s="114" t="s">
        <v>73</v>
      </c>
      <c r="H2362" s="333"/>
      <c r="I2362" s="333"/>
      <c r="J2362" s="333"/>
      <c r="K2362" s="442"/>
      <c r="L2362" s="19"/>
      <c r="M2362" s="19"/>
      <c r="N2362" s="19"/>
      <c r="O2362" s="19"/>
      <c r="P2362" s="19"/>
    </row>
    <row r="2363" spans="1:16" x14ac:dyDescent="0.35">
      <c r="A2363" s="339"/>
      <c r="B2363" s="340"/>
      <c r="C2363" s="340"/>
      <c r="D2363" s="390" t="s">
        <v>517</v>
      </c>
      <c r="E2363" s="504" t="s">
        <v>724</v>
      </c>
      <c r="F2363" s="114">
        <v>8</v>
      </c>
      <c r="G2363" s="114" t="s">
        <v>73</v>
      </c>
      <c r="H2363" s="340"/>
      <c r="I2363" s="340"/>
      <c r="J2363" s="340"/>
      <c r="K2363" s="443"/>
      <c r="L2363" s="19"/>
      <c r="M2363" s="19"/>
      <c r="N2363" s="19"/>
      <c r="O2363" s="19"/>
      <c r="P2363" s="19"/>
    </row>
    <row r="2364" spans="1:16" ht="15" thickBot="1" x14ac:dyDescent="0.4">
      <c r="A2364" s="332"/>
      <c r="B2364" s="333"/>
      <c r="C2364" s="333"/>
      <c r="D2364" s="390" t="s">
        <v>45</v>
      </c>
      <c r="E2364" s="504" t="s">
        <v>101</v>
      </c>
      <c r="F2364" s="114">
        <v>1</v>
      </c>
      <c r="G2364" s="114" t="s">
        <v>73</v>
      </c>
      <c r="H2364" s="333"/>
      <c r="I2364" s="333"/>
      <c r="J2364" s="333"/>
      <c r="K2364" s="442"/>
      <c r="L2364" s="19"/>
      <c r="M2364" s="19"/>
      <c r="N2364" s="19"/>
      <c r="O2364" s="19"/>
      <c r="P2364" s="19"/>
    </row>
    <row r="2365" spans="1:16" ht="15.5" thickTop="1" thickBot="1" x14ac:dyDescent="0.4">
      <c r="A2365" s="339"/>
      <c r="B2365" s="340"/>
      <c r="C2365" s="340"/>
      <c r="D2365" s="383"/>
      <c r="E2365" s="384" t="s">
        <v>1206</v>
      </c>
      <c r="F2365" s="378">
        <v>3</v>
      </c>
      <c r="G2365" s="378" t="s">
        <v>74</v>
      </c>
      <c r="H2365" s="358"/>
      <c r="I2365" s="358"/>
      <c r="J2365" s="358"/>
      <c r="K2365" s="448"/>
      <c r="L2365" s="19"/>
      <c r="M2365" s="19"/>
      <c r="N2365" s="19"/>
      <c r="O2365" s="19"/>
      <c r="P2365" s="19"/>
    </row>
    <row r="2366" spans="1:16" ht="15" thickTop="1" x14ac:dyDescent="0.35">
      <c r="A2366" s="332"/>
      <c r="B2366" s="333"/>
      <c r="C2366" s="333"/>
      <c r="D2366" s="385" t="s">
        <v>491</v>
      </c>
      <c r="E2366" s="397" t="s">
        <v>1197</v>
      </c>
      <c r="F2366" s="335">
        <v>6.3E-2</v>
      </c>
      <c r="G2366" s="335" t="s">
        <v>1072</v>
      </c>
      <c r="H2366" s="333"/>
      <c r="I2366" s="333"/>
      <c r="J2366" s="333"/>
      <c r="K2366" s="442"/>
      <c r="L2366" s="19"/>
      <c r="M2366" s="19"/>
      <c r="N2366" s="19"/>
      <c r="O2366" s="19"/>
      <c r="P2366" s="19"/>
    </row>
    <row r="2367" spans="1:16" x14ac:dyDescent="0.35">
      <c r="A2367" s="339"/>
      <c r="B2367" s="340"/>
      <c r="C2367" s="340"/>
      <c r="D2367" s="388"/>
      <c r="E2367" s="389" t="s">
        <v>853</v>
      </c>
      <c r="F2367" s="356">
        <v>42.5</v>
      </c>
      <c r="G2367" s="356" t="s">
        <v>73</v>
      </c>
      <c r="H2367" s="358"/>
      <c r="I2367" s="358"/>
      <c r="J2367" s="358"/>
      <c r="K2367" s="448"/>
      <c r="L2367" s="19"/>
      <c r="M2367" s="19"/>
      <c r="N2367" s="19"/>
      <c r="O2367" s="19"/>
      <c r="P2367" s="19"/>
    </row>
    <row r="2368" spans="1:16" x14ac:dyDescent="0.35">
      <c r="A2368" s="332"/>
      <c r="B2368" s="333"/>
      <c r="C2368" s="333"/>
      <c r="D2368" s="390" t="s">
        <v>1068</v>
      </c>
      <c r="E2368" s="395" t="s">
        <v>1069</v>
      </c>
      <c r="F2368" s="335">
        <v>60</v>
      </c>
      <c r="G2368" s="335" t="s">
        <v>73</v>
      </c>
      <c r="H2368" s="333"/>
      <c r="I2368" s="333"/>
      <c r="J2368" s="333"/>
      <c r="K2368" s="442"/>
      <c r="L2368" s="19"/>
      <c r="M2368" s="19"/>
      <c r="N2368" s="19"/>
      <c r="O2368" s="19"/>
      <c r="P2368" s="19"/>
    </row>
    <row r="2369" spans="1:16" x14ac:dyDescent="0.35">
      <c r="A2369" s="339"/>
      <c r="B2369" s="340"/>
      <c r="C2369" s="340"/>
      <c r="D2369" s="392"/>
      <c r="E2369" s="393" t="s">
        <v>854</v>
      </c>
      <c r="F2369" s="343">
        <v>90</v>
      </c>
      <c r="G2369" s="343" t="s">
        <v>73</v>
      </c>
      <c r="H2369" s="364"/>
      <c r="I2369" s="364"/>
      <c r="J2369" s="364"/>
      <c r="K2369" s="469"/>
      <c r="L2369" s="19"/>
      <c r="M2369" s="19"/>
      <c r="N2369" s="19"/>
      <c r="O2369" s="19"/>
      <c r="P2369" s="19"/>
    </row>
    <row r="2370" spans="1:16" x14ac:dyDescent="0.35">
      <c r="A2370" s="332"/>
      <c r="B2370" s="333"/>
      <c r="C2370" s="333"/>
      <c r="D2370" s="390" t="s">
        <v>45</v>
      </c>
      <c r="E2370" s="395" t="s">
        <v>101</v>
      </c>
      <c r="F2370" s="335">
        <v>1.5</v>
      </c>
      <c r="G2370" s="335" t="s">
        <v>73</v>
      </c>
      <c r="H2370" s="333"/>
      <c r="I2370" s="333"/>
      <c r="J2370" s="333"/>
      <c r="K2370" s="442"/>
      <c r="L2370" s="19"/>
      <c r="M2370" s="19"/>
      <c r="N2370" s="19"/>
      <c r="O2370" s="19"/>
      <c r="P2370" s="19"/>
    </row>
    <row r="2371" spans="1:16" ht="15" thickBot="1" x14ac:dyDescent="0.4">
      <c r="A2371" s="339"/>
      <c r="B2371" s="340"/>
      <c r="C2371" s="340"/>
      <c r="D2371" s="390" t="s">
        <v>521</v>
      </c>
      <c r="E2371" s="391" t="s">
        <v>855</v>
      </c>
      <c r="F2371" s="328">
        <v>55.75</v>
      </c>
      <c r="G2371" s="328" t="s">
        <v>73</v>
      </c>
      <c r="H2371" s="340"/>
      <c r="I2371" s="340"/>
      <c r="J2371" s="340"/>
      <c r="K2371" s="443"/>
      <c r="L2371" s="19"/>
      <c r="M2371" s="19"/>
      <c r="N2371" s="19"/>
      <c r="O2371" s="19"/>
      <c r="P2371" s="19"/>
    </row>
    <row r="2372" spans="1:16" ht="15" thickTop="1" x14ac:dyDescent="0.35">
      <c r="A2372" s="478"/>
      <c r="B2372" s="479"/>
      <c r="C2372" s="479"/>
      <c r="D2372" s="480"/>
      <c r="E2372" s="479"/>
      <c r="F2372" s="479"/>
      <c r="G2372" s="479"/>
      <c r="H2372" s="479"/>
      <c r="I2372" s="479"/>
      <c r="J2372" s="479"/>
      <c r="K2372" s="481"/>
      <c r="L2372" s="19"/>
      <c r="M2372" s="19"/>
      <c r="N2372" s="19"/>
      <c r="O2372" s="19"/>
      <c r="P2372" s="19"/>
    </row>
    <row r="2373" spans="1:16" x14ac:dyDescent="0.35">
      <c r="A2373" s="477">
        <f>IFERROR(INDEX($Q$17:$Q$201,MATCH(B2373,$R$17:$R$201, 0)), "")</f>
        <v>41</v>
      </c>
      <c r="B2373" s="408" t="s">
        <v>1515</v>
      </c>
      <c r="C2373" s="482" t="s">
        <v>1516</v>
      </c>
      <c r="D2373" s="390" t="s">
        <v>49</v>
      </c>
      <c r="E2373" s="409" t="s">
        <v>1905</v>
      </c>
      <c r="F2373" s="22">
        <v>0</v>
      </c>
      <c r="G2373" s="22" t="s">
        <v>73</v>
      </c>
      <c r="H2373" s="22">
        <v>0</v>
      </c>
      <c r="I2373" s="328" t="s">
        <v>73</v>
      </c>
      <c r="J2373" s="340"/>
      <c r="K2373" s="443"/>
      <c r="L2373" s="19"/>
      <c r="M2373" s="19"/>
      <c r="N2373" s="19"/>
      <c r="O2373" s="19"/>
      <c r="P2373" s="19"/>
    </row>
    <row r="2374" spans="1:16" x14ac:dyDescent="0.35">
      <c r="A2374" s="332"/>
      <c r="B2374" s="333"/>
      <c r="C2374" s="333"/>
      <c r="D2374" s="326" t="s">
        <v>1070</v>
      </c>
      <c r="E2374" s="334" t="s">
        <v>1906</v>
      </c>
      <c r="F2374" s="18">
        <v>0</v>
      </c>
      <c r="G2374" s="18" t="s">
        <v>73</v>
      </c>
      <c r="H2374" s="18">
        <v>0</v>
      </c>
      <c r="I2374" s="335" t="s">
        <v>73</v>
      </c>
      <c r="J2374" s="333"/>
      <c r="K2374" s="442"/>
      <c r="L2374" s="19"/>
      <c r="M2374" s="19"/>
      <c r="N2374" s="19"/>
      <c r="O2374" s="19"/>
      <c r="P2374" s="19"/>
    </row>
    <row r="2375" spans="1:16" x14ac:dyDescent="0.35">
      <c r="A2375" s="339"/>
      <c r="B2375" s="340"/>
      <c r="C2375" s="340"/>
      <c r="D2375" s="390" t="s">
        <v>207</v>
      </c>
      <c r="E2375" s="409" t="s">
        <v>208</v>
      </c>
      <c r="F2375" s="22">
        <v>0</v>
      </c>
      <c r="G2375" s="22" t="s">
        <v>73</v>
      </c>
      <c r="H2375" s="22">
        <v>0</v>
      </c>
      <c r="I2375" s="328" t="s">
        <v>73</v>
      </c>
      <c r="J2375" s="340"/>
      <c r="K2375" s="443"/>
      <c r="L2375" s="19"/>
      <c r="M2375" s="19"/>
      <c r="N2375" s="19"/>
      <c r="O2375" s="19"/>
      <c r="P2375" s="19"/>
    </row>
    <row r="2376" spans="1:16" x14ac:dyDescent="0.35">
      <c r="A2376" s="332"/>
      <c r="B2376" s="333"/>
      <c r="C2376" s="333"/>
      <c r="D2376" s="326" t="s">
        <v>392</v>
      </c>
      <c r="E2376" s="334" t="s">
        <v>844</v>
      </c>
      <c r="F2376" s="18">
        <v>0</v>
      </c>
      <c r="G2376" s="18" t="s">
        <v>73</v>
      </c>
      <c r="H2376" s="18">
        <v>0</v>
      </c>
      <c r="I2376" s="335" t="s">
        <v>73</v>
      </c>
      <c r="J2376" s="333"/>
      <c r="K2376" s="442"/>
      <c r="L2376" s="19"/>
      <c r="M2376" s="19"/>
      <c r="N2376" s="19"/>
      <c r="O2376" s="19"/>
      <c r="P2376" s="19"/>
    </row>
    <row r="2377" spans="1:16" x14ac:dyDescent="0.35">
      <c r="A2377" s="339"/>
      <c r="B2377" s="340"/>
      <c r="C2377" s="340"/>
      <c r="D2377" s="444" t="s">
        <v>505</v>
      </c>
      <c r="E2377" s="445" t="s">
        <v>1908</v>
      </c>
      <c r="F2377" s="22">
        <v>0.2</v>
      </c>
      <c r="G2377" s="22" t="s">
        <v>73</v>
      </c>
      <c r="H2377" s="22">
        <v>0.2</v>
      </c>
      <c r="I2377" s="328" t="s">
        <v>73</v>
      </c>
      <c r="J2377" s="340"/>
      <c r="K2377" s="443"/>
      <c r="L2377" s="19"/>
      <c r="M2377" s="19"/>
      <c r="N2377" s="19"/>
      <c r="O2377" s="19"/>
      <c r="P2377" s="19"/>
    </row>
    <row r="2378" spans="1:16" x14ac:dyDescent="0.35">
      <c r="A2378" s="332"/>
      <c r="B2378" s="333"/>
      <c r="C2378" s="333"/>
      <c r="D2378" s="446"/>
      <c r="E2378" s="447" t="s">
        <v>1909</v>
      </c>
      <c r="F2378" s="378">
        <v>180</v>
      </c>
      <c r="G2378" s="378" t="s">
        <v>73</v>
      </c>
      <c r="H2378" s="358"/>
      <c r="I2378" s="358"/>
      <c r="J2378" s="358"/>
      <c r="K2378" s="448"/>
      <c r="L2378" s="19"/>
      <c r="M2378" s="19"/>
      <c r="N2378" s="19"/>
      <c r="O2378" s="19"/>
      <c r="P2378" s="19"/>
    </row>
    <row r="2379" spans="1:16" x14ac:dyDescent="0.35">
      <c r="A2379" s="339"/>
      <c r="B2379" s="340"/>
      <c r="C2379" s="340"/>
      <c r="D2379" s="449" t="s">
        <v>1660</v>
      </c>
      <c r="E2379" s="450" t="s">
        <v>1897</v>
      </c>
      <c r="F2379" s="22">
        <v>1000</v>
      </c>
      <c r="G2379" s="22" t="s">
        <v>73</v>
      </c>
      <c r="H2379" s="340"/>
      <c r="I2379" s="328" t="s">
        <v>73</v>
      </c>
      <c r="J2379" s="340"/>
      <c r="K2379" s="443"/>
      <c r="L2379" s="19"/>
      <c r="M2379" s="19"/>
      <c r="N2379" s="19"/>
      <c r="O2379" s="19"/>
      <c r="P2379" s="19"/>
    </row>
    <row r="2380" spans="1:16" x14ac:dyDescent="0.35">
      <c r="A2380" s="332"/>
      <c r="B2380" s="333"/>
      <c r="C2380" s="333"/>
      <c r="D2380" s="449" t="s">
        <v>1871</v>
      </c>
      <c r="E2380" s="451" t="s">
        <v>1910</v>
      </c>
      <c r="F2380" s="18">
        <v>60</v>
      </c>
      <c r="G2380" s="18" t="s">
        <v>73</v>
      </c>
      <c r="H2380" s="333"/>
      <c r="I2380" s="335" t="s">
        <v>73</v>
      </c>
      <c r="J2380" s="333"/>
      <c r="K2380" s="442"/>
      <c r="L2380" s="19"/>
      <c r="M2380" s="19"/>
      <c r="N2380" s="19"/>
      <c r="O2380" s="19"/>
      <c r="P2380" s="19"/>
    </row>
    <row r="2381" spans="1:16" x14ac:dyDescent="0.35">
      <c r="A2381" s="339"/>
      <c r="B2381" s="340"/>
      <c r="C2381" s="340"/>
      <c r="D2381" s="449"/>
      <c r="E2381" s="450" t="s">
        <v>81</v>
      </c>
      <c r="F2381" s="22">
        <v>1300</v>
      </c>
      <c r="G2381" s="22" t="s">
        <v>73</v>
      </c>
      <c r="H2381" s="340"/>
      <c r="I2381" s="328" t="s">
        <v>73</v>
      </c>
      <c r="J2381" s="340"/>
      <c r="K2381" s="443"/>
      <c r="L2381" s="19"/>
      <c r="M2381" s="19"/>
      <c r="N2381" s="19"/>
      <c r="O2381" s="19"/>
      <c r="P2381" s="19"/>
    </row>
    <row r="2382" spans="1:16" x14ac:dyDescent="0.35">
      <c r="A2382" s="332"/>
      <c r="B2382" s="333"/>
      <c r="C2382" s="333"/>
      <c r="D2382" s="447"/>
      <c r="E2382" s="452" t="s">
        <v>1916</v>
      </c>
      <c r="F2382" s="378">
        <v>150</v>
      </c>
      <c r="G2382" s="358"/>
      <c r="H2382" s="358"/>
      <c r="I2382" s="358"/>
      <c r="J2382" s="358"/>
      <c r="K2382" s="448"/>
      <c r="L2382" s="19"/>
      <c r="M2382" s="19"/>
      <c r="N2382" s="19"/>
      <c r="O2382" s="19"/>
      <c r="P2382" s="19"/>
    </row>
    <row r="2383" spans="1:16" x14ac:dyDescent="0.35">
      <c r="A2383" s="339"/>
      <c r="B2383" s="340"/>
      <c r="C2383" s="340"/>
      <c r="D2383" s="449"/>
      <c r="E2383" s="450" t="s">
        <v>81</v>
      </c>
      <c r="F2383" s="22">
        <v>1000</v>
      </c>
      <c r="G2383" s="328" t="s">
        <v>73</v>
      </c>
      <c r="H2383" s="340"/>
      <c r="I2383" s="328" t="s">
        <v>73</v>
      </c>
      <c r="J2383" s="340"/>
      <c r="K2383" s="443"/>
      <c r="L2383" s="19"/>
      <c r="M2383" s="19"/>
      <c r="N2383" s="19"/>
      <c r="O2383" s="19"/>
      <c r="P2383" s="19"/>
    </row>
    <row r="2384" spans="1:16" x14ac:dyDescent="0.35">
      <c r="A2384" s="332"/>
      <c r="B2384" s="333"/>
      <c r="C2384" s="333"/>
      <c r="D2384" s="390" t="s">
        <v>45</v>
      </c>
      <c r="E2384" s="453" t="s">
        <v>101</v>
      </c>
      <c r="F2384" s="18">
        <v>15</v>
      </c>
      <c r="G2384" s="335" t="s">
        <v>73</v>
      </c>
      <c r="H2384" s="333"/>
      <c r="I2384" s="335" t="s">
        <v>73</v>
      </c>
      <c r="J2384" s="333"/>
      <c r="K2384" s="442"/>
      <c r="L2384" s="19"/>
      <c r="M2384" s="19"/>
      <c r="N2384" s="19"/>
      <c r="O2384" s="19"/>
      <c r="P2384" s="19"/>
    </row>
    <row r="2385" spans="1:16" x14ac:dyDescent="0.35">
      <c r="A2385" s="339"/>
      <c r="B2385" s="340"/>
      <c r="C2385" s="340"/>
      <c r="D2385" s="390" t="s">
        <v>43</v>
      </c>
      <c r="E2385" s="454" t="s">
        <v>105</v>
      </c>
      <c r="F2385" s="22">
        <v>4</v>
      </c>
      <c r="G2385" s="328" t="s">
        <v>73</v>
      </c>
      <c r="H2385" s="340"/>
      <c r="I2385" s="328" t="s">
        <v>73</v>
      </c>
      <c r="J2385" s="340"/>
      <c r="K2385" s="443"/>
      <c r="L2385" s="19"/>
      <c r="M2385" s="19"/>
      <c r="N2385" s="19"/>
      <c r="O2385" s="19"/>
      <c r="P2385" s="19"/>
    </row>
    <row r="2386" spans="1:16" x14ac:dyDescent="0.35">
      <c r="A2386" s="332"/>
      <c r="B2386" s="333"/>
      <c r="C2386" s="333"/>
      <c r="D2386" s="390" t="s">
        <v>46</v>
      </c>
      <c r="E2386" s="453" t="s">
        <v>1911</v>
      </c>
      <c r="F2386" s="18">
        <v>2</v>
      </c>
      <c r="G2386" s="335" t="s">
        <v>73</v>
      </c>
      <c r="H2386" s="333"/>
      <c r="I2386" s="335" t="s">
        <v>73</v>
      </c>
      <c r="J2386" s="333"/>
      <c r="K2386" s="442"/>
      <c r="L2386" s="19"/>
      <c r="M2386" s="19"/>
      <c r="N2386" s="19"/>
      <c r="O2386" s="19"/>
      <c r="P2386" s="19"/>
    </row>
    <row r="2387" spans="1:16" x14ac:dyDescent="0.35">
      <c r="A2387" s="339"/>
      <c r="B2387" s="340"/>
      <c r="C2387" s="340"/>
      <c r="D2387" s="390" t="s">
        <v>42</v>
      </c>
      <c r="E2387" s="454" t="s">
        <v>66</v>
      </c>
      <c r="F2387" s="22">
        <v>5</v>
      </c>
      <c r="G2387" s="328" t="s">
        <v>73</v>
      </c>
      <c r="H2387" s="340"/>
      <c r="I2387" s="328" t="s">
        <v>73</v>
      </c>
      <c r="J2387" s="340"/>
      <c r="K2387" s="443"/>
      <c r="L2387" s="19"/>
      <c r="M2387" s="19"/>
      <c r="N2387" s="19"/>
      <c r="O2387" s="19"/>
      <c r="P2387" s="19"/>
    </row>
    <row r="2388" spans="1:16" x14ac:dyDescent="0.35">
      <c r="A2388" s="332"/>
      <c r="B2388" s="333"/>
      <c r="C2388" s="333"/>
      <c r="D2388" s="326" t="s">
        <v>41</v>
      </c>
      <c r="E2388" s="379" t="s">
        <v>1912</v>
      </c>
      <c r="F2388" s="18">
        <v>3</v>
      </c>
      <c r="G2388" s="335" t="s">
        <v>73</v>
      </c>
      <c r="H2388" s="333"/>
      <c r="I2388" s="335" t="s">
        <v>73</v>
      </c>
      <c r="J2388" s="333"/>
      <c r="K2388" s="442"/>
      <c r="L2388" s="19"/>
      <c r="M2388" s="19"/>
      <c r="N2388" s="19"/>
      <c r="O2388" s="19"/>
      <c r="P2388" s="19"/>
    </row>
    <row r="2389" spans="1:16" x14ac:dyDescent="0.35">
      <c r="A2389" s="339"/>
      <c r="B2389" s="340"/>
      <c r="C2389" s="340"/>
      <c r="D2389" s="326" t="s">
        <v>521</v>
      </c>
      <c r="E2389" s="380" t="s">
        <v>1913</v>
      </c>
      <c r="F2389" s="22">
        <v>59</v>
      </c>
      <c r="G2389" s="328" t="s">
        <v>73</v>
      </c>
      <c r="H2389" s="340"/>
      <c r="I2389" s="328" t="s">
        <v>73</v>
      </c>
      <c r="J2389" s="340"/>
      <c r="K2389" s="443"/>
      <c r="L2389" s="19"/>
      <c r="M2389" s="19"/>
      <c r="N2389" s="19"/>
      <c r="O2389" s="19"/>
      <c r="P2389" s="19"/>
    </row>
    <row r="2390" spans="1:16" x14ac:dyDescent="0.35">
      <c r="A2390" s="332"/>
      <c r="B2390" s="333"/>
      <c r="C2390" s="333"/>
      <c r="D2390" s="449" t="s">
        <v>1915</v>
      </c>
      <c r="E2390" s="451" t="s">
        <v>1941</v>
      </c>
      <c r="F2390" s="18">
        <v>0.5</v>
      </c>
      <c r="G2390" s="335" t="s">
        <v>73</v>
      </c>
      <c r="H2390" s="333"/>
      <c r="I2390" s="335" t="s">
        <v>73</v>
      </c>
      <c r="J2390" s="333"/>
      <c r="K2390" s="442"/>
      <c r="L2390" s="19"/>
      <c r="M2390" s="19"/>
      <c r="N2390" s="19"/>
      <c r="O2390" s="19"/>
      <c r="P2390" s="19"/>
    </row>
    <row r="2391" spans="1:16" x14ac:dyDescent="0.35">
      <c r="A2391" s="339"/>
      <c r="B2391" s="340"/>
      <c r="C2391" s="340"/>
      <c r="D2391" s="390" t="s">
        <v>48</v>
      </c>
      <c r="E2391" s="454" t="s">
        <v>1914</v>
      </c>
      <c r="F2391" s="22">
        <v>3</v>
      </c>
      <c r="G2391" s="328" t="s">
        <v>73</v>
      </c>
      <c r="H2391" s="340"/>
      <c r="I2391" s="328" t="s">
        <v>73</v>
      </c>
      <c r="J2391" s="340"/>
      <c r="K2391" s="443"/>
      <c r="L2391" s="19"/>
      <c r="M2391" s="19"/>
      <c r="N2391" s="19"/>
      <c r="O2391" s="19"/>
      <c r="P2391" s="19"/>
    </row>
    <row r="2392" spans="1:16" x14ac:dyDescent="0.35">
      <c r="A2392" s="332"/>
      <c r="B2392" s="333"/>
      <c r="C2392" s="333"/>
      <c r="D2392" s="447"/>
      <c r="E2392" s="452" t="s">
        <v>1917</v>
      </c>
      <c r="F2392" s="356">
        <v>30</v>
      </c>
      <c r="G2392" s="358"/>
      <c r="H2392" s="358"/>
      <c r="I2392" s="358"/>
      <c r="J2392" s="358"/>
      <c r="K2392" s="448"/>
      <c r="L2392" s="19"/>
      <c r="M2392" s="19"/>
      <c r="N2392" s="19"/>
      <c r="O2392" s="19"/>
      <c r="P2392" s="19"/>
    </row>
    <row r="2393" spans="1:16" x14ac:dyDescent="0.35">
      <c r="A2393" s="339"/>
      <c r="B2393" s="340"/>
      <c r="C2393" s="340"/>
      <c r="D2393" s="449" t="s">
        <v>1604</v>
      </c>
      <c r="E2393" s="450" t="s">
        <v>1940</v>
      </c>
      <c r="F2393" s="328">
        <v>60</v>
      </c>
      <c r="G2393" s="328" t="s">
        <v>73</v>
      </c>
      <c r="H2393" s="340"/>
      <c r="I2393" s="328" t="s">
        <v>73</v>
      </c>
      <c r="J2393" s="340"/>
      <c r="K2393" s="443"/>
      <c r="L2393" s="19"/>
      <c r="M2393" s="19"/>
      <c r="N2393" s="19"/>
      <c r="O2393" s="19"/>
      <c r="P2393" s="19"/>
    </row>
    <row r="2394" spans="1:16" x14ac:dyDescent="0.35">
      <c r="A2394" s="332"/>
      <c r="B2394" s="333"/>
      <c r="C2394" s="333"/>
      <c r="D2394" s="449" t="s">
        <v>1626</v>
      </c>
      <c r="E2394" s="451" t="s">
        <v>1918</v>
      </c>
      <c r="F2394" s="335">
        <v>70</v>
      </c>
      <c r="G2394" s="335" t="s">
        <v>73</v>
      </c>
      <c r="H2394" s="333"/>
      <c r="I2394" s="335" t="s">
        <v>73</v>
      </c>
      <c r="J2394" s="333"/>
      <c r="K2394" s="442"/>
      <c r="L2394" s="19"/>
      <c r="M2394" s="19"/>
      <c r="N2394" s="19"/>
      <c r="O2394" s="19"/>
      <c r="P2394" s="19"/>
    </row>
    <row r="2395" spans="1:16" x14ac:dyDescent="0.35">
      <c r="A2395" s="339"/>
      <c r="B2395" s="340"/>
      <c r="C2395" s="340"/>
      <c r="D2395" s="390" t="s">
        <v>50</v>
      </c>
      <c r="E2395" s="454" t="s">
        <v>1919</v>
      </c>
      <c r="F2395" s="328">
        <v>20</v>
      </c>
      <c r="G2395" s="328" t="s">
        <v>73</v>
      </c>
      <c r="H2395" s="340"/>
      <c r="I2395" s="328" t="s">
        <v>73</v>
      </c>
      <c r="J2395" s="340"/>
      <c r="K2395" s="443"/>
      <c r="L2395" s="19"/>
      <c r="M2395" s="19"/>
      <c r="N2395" s="19"/>
      <c r="O2395" s="19"/>
      <c r="P2395" s="19"/>
    </row>
    <row r="2396" spans="1:16" x14ac:dyDescent="0.35">
      <c r="A2396" s="332"/>
      <c r="B2396" s="333"/>
      <c r="C2396" s="333"/>
      <c r="D2396" s="449" t="s">
        <v>1647</v>
      </c>
      <c r="E2396" s="451" t="s">
        <v>1920</v>
      </c>
      <c r="F2396" s="335">
        <v>80</v>
      </c>
      <c r="G2396" s="335" t="s">
        <v>73</v>
      </c>
      <c r="H2396" s="333"/>
      <c r="I2396" s="335" t="s">
        <v>73</v>
      </c>
      <c r="J2396" s="333"/>
      <c r="K2396" s="442"/>
      <c r="L2396" s="19"/>
      <c r="M2396" s="19"/>
      <c r="N2396" s="19"/>
      <c r="O2396" s="19"/>
      <c r="P2396" s="19"/>
    </row>
    <row r="2397" spans="1:16" x14ac:dyDescent="0.35">
      <c r="A2397" s="339"/>
      <c r="B2397" s="340"/>
      <c r="C2397" s="340"/>
      <c r="D2397" s="447"/>
      <c r="E2397" s="455" t="s">
        <v>1921</v>
      </c>
      <c r="F2397" s="356">
        <v>1.5</v>
      </c>
      <c r="G2397" s="356" t="s">
        <v>73</v>
      </c>
      <c r="H2397" s="358"/>
      <c r="I2397" s="358"/>
      <c r="J2397" s="358"/>
      <c r="K2397" s="448"/>
      <c r="L2397" s="19"/>
      <c r="M2397" s="19"/>
      <c r="N2397" s="19"/>
      <c r="O2397" s="19"/>
      <c r="P2397" s="19"/>
    </row>
    <row r="2398" spans="1:16" x14ac:dyDescent="0.35">
      <c r="A2398" s="332"/>
      <c r="B2398" s="333"/>
      <c r="C2398" s="333"/>
      <c r="D2398" s="417" t="s">
        <v>43</v>
      </c>
      <c r="E2398" s="456" t="s">
        <v>94</v>
      </c>
      <c r="F2398" s="22">
        <v>85</v>
      </c>
      <c r="G2398" s="457" t="s">
        <v>73</v>
      </c>
      <c r="H2398" s="333"/>
      <c r="I2398" s="335" t="s">
        <v>73</v>
      </c>
      <c r="J2398" s="333"/>
      <c r="K2398" s="442"/>
      <c r="L2398" s="19"/>
      <c r="M2398" s="19"/>
      <c r="N2398" s="19"/>
      <c r="O2398" s="19"/>
      <c r="P2398" s="19"/>
    </row>
    <row r="2399" spans="1:16" x14ac:dyDescent="0.35">
      <c r="A2399" s="339"/>
      <c r="B2399" s="340"/>
      <c r="C2399" s="340"/>
      <c r="D2399" s="417" t="s">
        <v>42</v>
      </c>
      <c r="E2399" s="456" t="s">
        <v>95</v>
      </c>
      <c r="F2399" s="22">
        <v>15</v>
      </c>
      <c r="G2399" s="458" t="s">
        <v>73</v>
      </c>
      <c r="H2399" s="340"/>
      <c r="I2399" s="328" t="s">
        <v>73</v>
      </c>
      <c r="J2399" s="340"/>
      <c r="K2399" s="443"/>
      <c r="L2399" s="19"/>
      <c r="M2399" s="19"/>
      <c r="N2399" s="19"/>
      <c r="O2399" s="19"/>
      <c r="P2399" s="19"/>
    </row>
    <row r="2400" spans="1:16" ht="15" thickBot="1" x14ac:dyDescent="0.4">
      <c r="A2400" s="332"/>
      <c r="B2400" s="333"/>
      <c r="C2400" s="333"/>
      <c r="D2400" s="398"/>
      <c r="E2400" s="388" t="s">
        <v>1191</v>
      </c>
      <c r="F2400" s="459">
        <v>30</v>
      </c>
      <c r="G2400" s="460" t="s">
        <v>73</v>
      </c>
      <c r="H2400" s="358"/>
      <c r="I2400" s="356" t="s">
        <v>73</v>
      </c>
      <c r="J2400" s="358"/>
      <c r="K2400" s="448"/>
      <c r="L2400" s="19"/>
      <c r="M2400" s="19"/>
      <c r="N2400" s="19"/>
      <c r="O2400" s="19"/>
      <c r="P2400" s="19"/>
    </row>
    <row r="2401" spans="1:16" ht="15" thickTop="1" x14ac:dyDescent="0.35">
      <c r="A2401" s="339"/>
      <c r="B2401" s="340"/>
      <c r="C2401" s="340"/>
      <c r="D2401" s="385" t="s">
        <v>47</v>
      </c>
      <c r="E2401" s="391" t="s">
        <v>1192</v>
      </c>
      <c r="F2401" s="328">
        <v>10</v>
      </c>
      <c r="G2401" s="461" t="s">
        <v>73</v>
      </c>
      <c r="H2401" s="340"/>
      <c r="I2401" s="328" t="s">
        <v>73</v>
      </c>
      <c r="J2401" s="340"/>
      <c r="K2401" s="443"/>
      <c r="L2401" s="19"/>
      <c r="M2401" s="19"/>
      <c r="N2401" s="19"/>
      <c r="O2401" s="19"/>
      <c r="P2401" s="19"/>
    </row>
    <row r="2402" spans="1:16" x14ac:dyDescent="0.35">
      <c r="A2402" s="332"/>
      <c r="B2402" s="333"/>
      <c r="C2402" s="333"/>
      <c r="D2402" s="390" t="s">
        <v>50</v>
      </c>
      <c r="E2402" s="395" t="s">
        <v>394</v>
      </c>
      <c r="F2402" s="335">
        <v>40</v>
      </c>
      <c r="G2402" s="462" t="s">
        <v>73</v>
      </c>
      <c r="H2402" s="333"/>
      <c r="I2402" s="335" t="s">
        <v>73</v>
      </c>
      <c r="J2402" s="333"/>
      <c r="K2402" s="442"/>
      <c r="L2402" s="19"/>
      <c r="M2402" s="19"/>
      <c r="N2402" s="19"/>
      <c r="O2402" s="19"/>
      <c r="P2402" s="19"/>
    </row>
    <row r="2403" spans="1:16" x14ac:dyDescent="0.35">
      <c r="A2403" s="339"/>
      <c r="B2403" s="340"/>
      <c r="C2403" s="340"/>
      <c r="D2403" s="390" t="s">
        <v>371</v>
      </c>
      <c r="E2403" s="391" t="s">
        <v>372</v>
      </c>
      <c r="F2403" s="328">
        <v>40</v>
      </c>
      <c r="G2403" s="461" t="s">
        <v>73</v>
      </c>
      <c r="H2403" s="340"/>
      <c r="I2403" s="328" t="s">
        <v>73</v>
      </c>
      <c r="J2403" s="340"/>
      <c r="K2403" s="443"/>
      <c r="L2403" s="19"/>
      <c r="M2403" s="19"/>
      <c r="N2403" s="19"/>
      <c r="O2403" s="19"/>
      <c r="P2403" s="19"/>
    </row>
    <row r="2404" spans="1:16" x14ac:dyDescent="0.35">
      <c r="A2404" s="332"/>
      <c r="B2404" s="333"/>
      <c r="C2404" s="333"/>
      <c r="D2404" s="390" t="s">
        <v>260</v>
      </c>
      <c r="E2404" s="395" t="s">
        <v>1193</v>
      </c>
      <c r="F2404" s="335">
        <v>120</v>
      </c>
      <c r="G2404" s="462" t="s">
        <v>73</v>
      </c>
      <c r="H2404" s="333"/>
      <c r="I2404" s="335" t="s">
        <v>73</v>
      </c>
      <c r="J2404" s="333"/>
      <c r="K2404" s="442"/>
      <c r="L2404" s="19"/>
      <c r="M2404" s="19"/>
      <c r="N2404" s="19"/>
      <c r="O2404" s="19"/>
      <c r="P2404" s="19"/>
    </row>
    <row r="2405" spans="1:16" ht="15" thickBot="1" x14ac:dyDescent="0.4">
      <c r="A2405" s="339"/>
      <c r="B2405" s="340"/>
      <c r="C2405" s="340"/>
      <c r="D2405" s="396"/>
      <c r="E2405" s="463" t="s">
        <v>950</v>
      </c>
      <c r="F2405" s="343">
        <v>40</v>
      </c>
      <c r="G2405" s="464" t="s">
        <v>73</v>
      </c>
      <c r="H2405" s="465"/>
      <c r="I2405" s="466" t="s">
        <v>73</v>
      </c>
      <c r="J2405" s="465"/>
      <c r="K2405" s="467"/>
      <c r="L2405" s="19"/>
      <c r="M2405" s="19"/>
      <c r="N2405" s="19"/>
      <c r="O2405" s="19"/>
      <c r="P2405" s="19"/>
    </row>
    <row r="2406" spans="1:16" ht="15" thickTop="1" x14ac:dyDescent="0.35">
      <c r="A2406" s="332"/>
      <c r="B2406" s="333"/>
      <c r="C2406" s="333"/>
      <c r="D2406" s="385" t="s">
        <v>141</v>
      </c>
      <c r="E2406" s="395" t="s">
        <v>1194</v>
      </c>
      <c r="F2406" s="335">
        <v>40</v>
      </c>
      <c r="G2406" s="462" t="s">
        <v>73</v>
      </c>
      <c r="H2406" s="333"/>
      <c r="I2406" s="335" t="s">
        <v>73</v>
      </c>
      <c r="J2406" s="333"/>
      <c r="K2406" s="442"/>
      <c r="L2406" s="19"/>
      <c r="M2406" s="19"/>
      <c r="N2406" s="19"/>
      <c r="O2406" s="19"/>
      <c r="P2406" s="19"/>
    </row>
    <row r="2407" spans="1:16" x14ac:dyDescent="0.35">
      <c r="A2407" s="339"/>
      <c r="B2407" s="340"/>
      <c r="C2407" s="340"/>
      <c r="D2407" s="390" t="s">
        <v>46</v>
      </c>
      <c r="E2407" s="391" t="s">
        <v>1195</v>
      </c>
      <c r="F2407" s="328">
        <v>20</v>
      </c>
      <c r="G2407" s="461" t="s">
        <v>73</v>
      </c>
      <c r="H2407" s="340"/>
      <c r="I2407" s="328" t="s">
        <v>73</v>
      </c>
      <c r="J2407" s="340"/>
      <c r="K2407" s="443"/>
      <c r="L2407" s="19"/>
      <c r="M2407" s="19"/>
      <c r="N2407" s="19"/>
      <c r="O2407" s="19"/>
      <c r="P2407" s="19"/>
    </row>
    <row r="2408" spans="1:16" ht="15" thickBot="1" x14ac:dyDescent="0.4">
      <c r="A2408" s="332"/>
      <c r="B2408" s="333"/>
      <c r="C2408" s="333"/>
      <c r="D2408" s="390" t="s">
        <v>379</v>
      </c>
      <c r="E2408" s="395" t="s">
        <v>380</v>
      </c>
      <c r="F2408" s="335">
        <v>10</v>
      </c>
      <c r="G2408" s="462" t="s">
        <v>73</v>
      </c>
      <c r="H2408" s="333"/>
      <c r="I2408" s="335" t="s">
        <v>73</v>
      </c>
      <c r="J2408" s="333"/>
      <c r="K2408" s="442"/>
      <c r="L2408" s="19"/>
      <c r="M2408" s="19"/>
      <c r="N2408" s="19"/>
      <c r="O2408" s="19"/>
      <c r="P2408" s="19"/>
    </row>
    <row r="2409" spans="1:16" ht="15" thickTop="1" x14ac:dyDescent="0.35">
      <c r="A2409" s="339"/>
      <c r="B2409" s="340"/>
      <c r="C2409" s="340"/>
      <c r="D2409" s="468"/>
      <c r="E2409" s="355" t="s">
        <v>973</v>
      </c>
      <c r="F2409" s="356">
        <v>40</v>
      </c>
      <c r="G2409" s="460" t="s">
        <v>73</v>
      </c>
      <c r="H2409" s="358"/>
      <c r="I2409" s="356" t="s">
        <v>73</v>
      </c>
      <c r="J2409" s="358"/>
      <c r="K2409" s="448"/>
      <c r="L2409" s="19"/>
      <c r="M2409" s="19"/>
      <c r="N2409" s="19"/>
      <c r="O2409" s="19"/>
      <c r="P2409" s="19"/>
    </row>
    <row r="2410" spans="1:16" x14ac:dyDescent="0.35">
      <c r="A2410" s="332"/>
      <c r="B2410" s="333"/>
      <c r="C2410" s="333"/>
      <c r="D2410" s="326" t="s">
        <v>47</v>
      </c>
      <c r="E2410" s="720" t="s">
        <v>740</v>
      </c>
      <c r="F2410" s="114">
        <v>3</v>
      </c>
      <c r="G2410" s="462" t="s">
        <v>73</v>
      </c>
      <c r="H2410" s="333"/>
      <c r="I2410" s="335" t="s">
        <v>73</v>
      </c>
      <c r="J2410" s="333"/>
      <c r="K2410" s="442"/>
      <c r="L2410" s="19"/>
      <c r="M2410" s="19"/>
      <c r="N2410" s="19"/>
      <c r="O2410" s="19"/>
      <c r="P2410" s="19"/>
    </row>
    <row r="2411" spans="1:16" x14ac:dyDescent="0.35">
      <c r="A2411" s="339"/>
      <c r="B2411" s="340"/>
      <c r="C2411" s="340"/>
      <c r="D2411" s="326" t="s">
        <v>49</v>
      </c>
      <c r="E2411" s="720" t="s">
        <v>916</v>
      </c>
      <c r="F2411" s="114">
        <v>8</v>
      </c>
      <c r="G2411" s="461" t="s">
        <v>73</v>
      </c>
      <c r="H2411" s="340"/>
      <c r="I2411" s="328" t="s">
        <v>73</v>
      </c>
      <c r="J2411" s="340"/>
      <c r="K2411" s="443"/>
      <c r="L2411" s="19"/>
      <c r="M2411" s="19"/>
      <c r="N2411" s="19"/>
      <c r="O2411" s="19"/>
      <c r="P2411" s="19"/>
    </row>
    <row r="2412" spans="1:16" x14ac:dyDescent="0.35">
      <c r="A2412" s="332"/>
      <c r="B2412" s="333"/>
      <c r="C2412" s="333"/>
      <c r="D2412" s="326" t="s">
        <v>50</v>
      </c>
      <c r="E2412" s="720" t="s">
        <v>917</v>
      </c>
      <c r="F2412" s="114">
        <v>40</v>
      </c>
      <c r="G2412" s="462" t="s">
        <v>73</v>
      </c>
      <c r="H2412" s="333"/>
      <c r="I2412" s="335" t="s">
        <v>73</v>
      </c>
      <c r="J2412" s="333"/>
      <c r="K2412" s="442"/>
      <c r="L2412" s="19"/>
      <c r="M2412" s="19"/>
      <c r="N2412" s="19"/>
      <c r="O2412" s="19"/>
      <c r="P2412" s="19"/>
    </row>
    <row r="2413" spans="1:16" x14ac:dyDescent="0.35">
      <c r="A2413" s="339"/>
      <c r="B2413" s="340"/>
      <c r="C2413" s="340"/>
      <c r="D2413" s="326" t="s">
        <v>371</v>
      </c>
      <c r="E2413" s="720" t="s">
        <v>918</v>
      </c>
      <c r="F2413" s="114">
        <v>20</v>
      </c>
      <c r="G2413" s="461" t="s">
        <v>73</v>
      </c>
      <c r="H2413" s="340"/>
      <c r="I2413" s="328" t="s">
        <v>73</v>
      </c>
      <c r="J2413" s="340"/>
      <c r="K2413" s="443"/>
      <c r="L2413" s="19"/>
      <c r="M2413" s="19"/>
      <c r="N2413" s="19"/>
      <c r="O2413" s="19"/>
      <c r="P2413" s="19"/>
    </row>
    <row r="2414" spans="1:16" x14ac:dyDescent="0.35">
      <c r="A2414" s="332"/>
      <c r="B2414" s="333"/>
      <c r="C2414" s="333"/>
      <c r="D2414" s="326" t="s">
        <v>379</v>
      </c>
      <c r="E2414" s="720" t="s">
        <v>919</v>
      </c>
      <c r="F2414" s="114">
        <v>10</v>
      </c>
      <c r="G2414" s="462" t="s">
        <v>73</v>
      </c>
      <c r="H2414" s="333"/>
      <c r="I2414" s="335" t="s">
        <v>73</v>
      </c>
      <c r="J2414" s="333"/>
      <c r="K2414" s="442"/>
      <c r="L2414" s="19"/>
      <c r="M2414" s="19"/>
      <c r="N2414" s="19"/>
      <c r="O2414" s="19"/>
      <c r="P2414" s="19"/>
    </row>
    <row r="2415" spans="1:16" x14ac:dyDescent="0.35">
      <c r="A2415" s="339"/>
      <c r="B2415" s="340"/>
      <c r="C2415" s="340"/>
      <c r="D2415" s="326" t="s">
        <v>505</v>
      </c>
      <c r="E2415" s="720" t="s">
        <v>722</v>
      </c>
      <c r="F2415" s="114">
        <v>0.5</v>
      </c>
      <c r="G2415" s="461" t="s">
        <v>73</v>
      </c>
      <c r="H2415" s="340"/>
      <c r="I2415" s="328" t="s">
        <v>73</v>
      </c>
      <c r="J2415" s="340"/>
      <c r="K2415" s="443"/>
      <c r="L2415" s="19"/>
      <c r="M2415" s="19"/>
      <c r="N2415" s="19"/>
      <c r="O2415" s="19"/>
      <c r="P2415" s="19"/>
    </row>
    <row r="2416" spans="1:16" x14ac:dyDescent="0.35">
      <c r="A2416" s="332"/>
      <c r="B2416" s="333"/>
      <c r="C2416" s="333"/>
      <c r="D2416" s="326" t="s">
        <v>41</v>
      </c>
      <c r="E2416" s="720" t="s">
        <v>911</v>
      </c>
      <c r="F2416" s="114">
        <v>2</v>
      </c>
      <c r="G2416" s="462" t="s">
        <v>73</v>
      </c>
      <c r="H2416" s="333"/>
      <c r="I2416" s="335" t="s">
        <v>73</v>
      </c>
      <c r="J2416" s="333"/>
      <c r="K2416" s="442"/>
      <c r="L2416" s="19"/>
      <c r="M2416" s="19"/>
      <c r="N2416" s="19"/>
      <c r="O2416" s="19"/>
      <c r="P2416" s="19"/>
    </row>
    <row r="2417" spans="1:16" x14ac:dyDescent="0.35">
      <c r="A2417" s="339"/>
      <c r="B2417" s="340"/>
      <c r="C2417" s="340"/>
      <c r="D2417" s="326" t="s">
        <v>127</v>
      </c>
      <c r="E2417" s="720" t="s">
        <v>912</v>
      </c>
      <c r="F2417" s="114">
        <v>28</v>
      </c>
      <c r="G2417" s="461" t="s">
        <v>73</v>
      </c>
      <c r="H2417" s="340"/>
      <c r="I2417" s="328" t="s">
        <v>73</v>
      </c>
      <c r="J2417" s="340"/>
      <c r="K2417" s="443"/>
      <c r="L2417" s="19"/>
      <c r="M2417" s="19"/>
      <c r="N2417" s="19"/>
      <c r="O2417" s="19"/>
      <c r="P2417" s="19"/>
    </row>
    <row r="2418" spans="1:16" x14ac:dyDescent="0.35">
      <c r="A2418" s="332"/>
      <c r="B2418" s="333"/>
      <c r="C2418" s="333"/>
      <c r="D2418" s="326" t="s">
        <v>549</v>
      </c>
      <c r="E2418" s="720" t="s">
        <v>915</v>
      </c>
      <c r="F2418" s="114">
        <v>165</v>
      </c>
      <c r="G2418" s="462" t="s">
        <v>73</v>
      </c>
      <c r="H2418" s="333"/>
      <c r="I2418" s="335" t="s">
        <v>73</v>
      </c>
      <c r="J2418" s="333"/>
      <c r="K2418" s="442"/>
      <c r="L2418" s="19"/>
      <c r="M2418" s="19"/>
      <c r="N2418" s="19"/>
      <c r="O2418" s="19"/>
      <c r="P2418" s="19"/>
    </row>
    <row r="2419" spans="1:16" ht="15" thickBot="1" x14ac:dyDescent="0.4">
      <c r="A2419" s="339"/>
      <c r="B2419" s="340"/>
      <c r="C2419" s="340"/>
      <c r="D2419" s="413"/>
      <c r="E2419" s="388" t="s">
        <v>84</v>
      </c>
      <c r="F2419" s="378">
        <v>30</v>
      </c>
      <c r="G2419" s="378" t="s">
        <v>73</v>
      </c>
      <c r="H2419" s="357"/>
      <c r="I2419" s="358"/>
      <c r="J2419" s="358"/>
      <c r="K2419" s="414"/>
      <c r="L2419" s="19"/>
      <c r="M2419" s="19"/>
      <c r="N2419" s="19"/>
      <c r="O2419" s="19"/>
      <c r="P2419" s="19"/>
    </row>
    <row r="2420" spans="1:16" ht="15" thickTop="1" x14ac:dyDescent="0.35">
      <c r="A2420" s="332"/>
      <c r="B2420" s="333"/>
      <c r="C2420" s="333"/>
      <c r="D2420" s="415"/>
      <c r="E2420" s="416" t="s">
        <v>26</v>
      </c>
      <c r="F2420" s="378">
        <v>1000</v>
      </c>
      <c r="G2420" s="378" t="s">
        <v>73</v>
      </c>
      <c r="H2420" s="357"/>
      <c r="I2420" s="358"/>
      <c r="J2420" s="358"/>
      <c r="K2420" s="414"/>
      <c r="L2420" s="19"/>
      <c r="M2420" s="19"/>
      <c r="N2420" s="19"/>
      <c r="O2420" s="19"/>
      <c r="P2420" s="19"/>
    </row>
    <row r="2421" spans="1:16" x14ac:dyDescent="0.35">
      <c r="A2421" s="339"/>
      <c r="B2421" s="340"/>
      <c r="C2421" s="340"/>
      <c r="D2421" s="417" t="s">
        <v>60</v>
      </c>
      <c r="E2421" s="418" t="s">
        <v>121</v>
      </c>
      <c r="F2421" s="22">
        <v>1000</v>
      </c>
      <c r="G2421" s="22" t="s">
        <v>73</v>
      </c>
      <c r="H2421" s="367"/>
      <c r="I2421" s="22" t="s">
        <v>73</v>
      </c>
      <c r="J2421" s="340"/>
      <c r="K2421" s="410">
        <f t="shared" ref="K2421:K2422" si="285">$A$2023*H2421</f>
        <v>0</v>
      </c>
      <c r="L2421" s="19"/>
      <c r="M2421" s="19"/>
      <c r="N2421" s="19"/>
      <c r="O2421" s="19"/>
      <c r="P2421" s="19"/>
    </row>
    <row r="2422" spans="1:16" x14ac:dyDescent="0.35">
      <c r="A2422" s="332"/>
      <c r="B2422" s="333"/>
      <c r="C2422" s="333"/>
      <c r="D2422" s="417" t="s">
        <v>43</v>
      </c>
      <c r="E2422" s="419" t="s">
        <v>94</v>
      </c>
      <c r="F2422" s="18">
        <v>30</v>
      </c>
      <c r="G2422" s="18" t="s">
        <v>73</v>
      </c>
      <c r="H2422" s="361"/>
      <c r="I2422" s="18" t="s">
        <v>73</v>
      </c>
      <c r="J2422" s="333"/>
      <c r="K2422" s="411">
        <f t="shared" si="285"/>
        <v>0</v>
      </c>
      <c r="L2422" s="19"/>
      <c r="M2422" s="19"/>
      <c r="N2422" s="19"/>
      <c r="O2422" s="19"/>
      <c r="P2422" s="19"/>
    </row>
    <row r="2423" spans="1:16" x14ac:dyDescent="0.35">
      <c r="A2423" s="339"/>
      <c r="B2423" s="340"/>
      <c r="C2423" s="340"/>
      <c r="D2423" s="420"/>
      <c r="E2423" s="421" t="s">
        <v>81</v>
      </c>
      <c r="F2423" s="404">
        <v>400</v>
      </c>
      <c r="G2423" s="404" t="s">
        <v>73</v>
      </c>
      <c r="H2423" s="363"/>
      <c r="I2423" s="422"/>
      <c r="J2423" s="423"/>
      <c r="K2423" s="424"/>
      <c r="L2423" s="19"/>
      <c r="M2423" s="19"/>
      <c r="N2423" s="19"/>
      <c r="O2423" s="19"/>
      <c r="P2423" s="19"/>
    </row>
    <row r="2424" spans="1:16" x14ac:dyDescent="0.35">
      <c r="A2424" s="332"/>
      <c r="B2424" s="333"/>
      <c r="C2424" s="333"/>
      <c r="D2424" s="417" t="s">
        <v>59</v>
      </c>
      <c r="E2424" s="425" t="s">
        <v>27</v>
      </c>
      <c r="F2424" s="18">
        <v>350</v>
      </c>
      <c r="G2424" s="18" t="s">
        <v>73</v>
      </c>
      <c r="H2424" s="361"/>
      <c r="I2424" s="335" t="s">
        <v>73</v>
      </c>
      <c r="J2424" s="333"/>
      <c r="K2424" s="411">
        <f t="shared" ref="K2424:K2425" si="286">$A$2023*H2424</f>
        <v>0</v>
      </c>
      <c r="L2424" s="19"/>
      <c r="M2424" s="19"/>
      <c r="N2424" s="19"/>
      <c r="O2424" s="19"/>
      <c r="P2424" s="19"/>
    </row>
    <row r="2425" spans="1:16" x14ac:dyDescent="0.35">
      <c r="A2425" s="339"/>
      <c r="B2425" s="340"/>
      <c r="C2425" s="340"/>
      <c r="D2425" s="417" t="s">
        <v>48</v>
      </c>
      <c r="E2425" s="426" t="s">
        <v>91</v>
      </c>
      <c r="F2425" s="22">
        <v>100</v>
      </c>
      <c r="G2425" s="22" t="s">
        <v>73</v>
      </c>
      <c r="H2425" s="367"/>
      <c r="I2425" s="328" t="s">
        <v>73</v>
      </c>
      <c r="J2425" s="340"/>
      <c r="K2425" s="410">
        <f t="shared" si="286"/>
        <v>0</v>
      </c>
      <c r="L2425" s="19"/>
      <c r="M2425" s="19"/>
      <c r="N2425" s="19"/>
      <c r="O2425" s="19"/>
      <c r="P2425" s="19"/>
    </row>
    <row r="2426" spans="1:16" x14ac:dyDescent="0.35">
      <c r="A2426" s="332"/>
      <c r="B2426" s="333"/>
      <c r="C2426" s="333"/>
      <c r="D2426" s="388"/>
      <c r="E2426" s="384" t="s">
        <v>769</v>
      </c>
      <c r="F2426" s="378">
        <v>2</v>
      </c>
      <c r="G2426" s="378" t="s">
        <v>73</v>
      </c>
      <c r="H2426" s="358"/>
      <c r="I2426" s="358"/>
      <c r="J2426" s="358"/>
      <c r="K2426" s="448"/>
      <c r="L2426" s="19"/>
      <c r="M2426" s="19"/>
      <c r="N2426" s="19"/>
      <c r="O2426" s="19"/>
      <c r="P2426" s="19"/>
    </row>
    <row r="2427" spans="1:16" x14ac:dyDescent="0.35">
      <c r="A2427" s="339"/>
      <c r="B2427" s="340"/>
      <c r="C2427" s="340"/>
      <c r="D2427" s="390" t="s">
        <v>521</v>
      </c>
      <c r="E2427" s="402" t="s">
        <v>906</v>
      </c>
      <c r="F2427" s="22">
        <v>200</v>
      </c>
      <c r="G2427" s="22" t="s">
        <v>73</v>
      </c>
      <c r="H2427" s="340"/>
      <c r="I2427" s="340"/>
      <c r="J2427" s="340"/>
      <c r="K2427" s="443"/>
      <c r="L2427" s="19"/>
      <c r="M2427" s="19"/>
      <c r="N2427" s="19"/>
      <c r="O2427" s="19"/>
      <c r="P2427" s="19"/>
    </row>
    <row r="2428" spans="1:16" x14ac:dyDescent="0.35">
      <c r="A2428" s="332"/>
      <c r="B2428" s="333"/>
      <c r="C2428" s="333"/>
      <c r="D2428" s="388"/>
      <c r="E2428" s="403" t="s">
        <v>770</v>
      </c>
      <c r="F2428" s="378">
        <v>30</v>
      </c>
      <c r="G2428" s="378" t="s">
        <v>73</v>
      </c>
      <c r="H2428" s="358"/>
      <c r="I2428" s="358"/>
      <c r="J2428" s="358"/>
      <c r="K2428" s="448"/>
      <c r="L2428" s="19"/>
      <c r="M2428" s="19"/>
      <c r="N2428" s="19"/>
      <c r="O2428" s="19"/>
      <c r="P2428" s="19"/>
    </row>
    <row r="2429" spans="1:16" x14ac:dyDescent="0.35">
      <c r="A2429" s="339"/>
      <c r="B2429" s="340"/>
      <c r="C2429" s="340"/>
      <c r="D2429" s="390" t="s">
        <v>537</v>
      </c>
      <c r="E2429" s="391" t="s">
        <v>771</v>
      </c>
      <c r="F2429" s="22">
        <v>1</v>
      </c>
      <c r="G2429" s="22" t="s">
        <v>73</v>
      </c>
      <c r="H2429" s="340"/>
      <c r="I2429" s="340"/>
      <c r="J2429" s="340"/>
      <c r="K2429" s="443"/>
      <c r="L2429" s="19"/>
      <c r="M2429" s="19"/>
      <c r="N2429" s="19"/>
      <c r="O2429" s="19"/>
      <c r="P2429" s="19"/>
    </row>
    <row r="2430" spans="1:16" x14ac:dyDescent="0.35">
      <c r="A2430" s="332"/>
      <c r="B2430" s="333"/>
      <c r="C2430" s="333"/>
      <c r="D2430" s="392"/>
      <c r="E2430" s="393" t="s">
        <v>81</v>
      </c>
      <c r="F2430" s="404">
        <v>100</v>
      </c>
      <c r="G2430" s="404" t="s">
        <v>73</v>
      </c>
      <c r="H2430" s="364"/>
      <c r="I2430" s="364"/>
      <c r="J2430" s="364"/>
      <c r="K2430" s="469"/>
      <c r="P2430" s="19"/>
    </row>
    <row r="2431" spans="1:16" x14ac:dyDescent="0.35">
      <c r="A2431" s="339"/>
      <c r="B2431" s="340"/>
      <c r="C2431" s="340"/>
      <c r="D2431" s="388"/>
      <c r="E2431" s="403" t="s">
        <v>726</v>
      </c>
      <c r="F2431" s="378">
        <v>2</v>
      </c>
      <c r="G2431" s="378" t="s">
        <v>73</v>
      </c>
      <c r="H2431" s="358"/>
      <c r="I2431" s="358"/>
      <c r="J2431" s="358"/>
      <c r="K2431" s="448"/>
      <c r="P2431" s="19"/>
    </row>
    <row r="2432" spans="1:16" x14ac:dyDescent="0.35">
      <c r="A2432" s="332"/>
      <c r="B2432" s="333"/>
      <c r="C2432" s="333"/>
      <c r="D2432" s="390" t="s">
        <v>43</v>
      </c>
      <c r="E2432" s="395" t="s">
        <v>105</v>
      </c>
      <c r="F2432" s="18">
        <v>15</v>
      </c>
      <c r="G2432" s="18" t="s">
        <v>73</v>
      </c>
      <c r="H2432" s="333"/>
      <c r="I2432" s="333"/>
      <c r="J2432" s="333"/>
      <c r="K2432" s="442"/>
      <c r="P2432" s="19"/>
    </row>
    <row r="2433" spans="1:16" x14ac:dyDescent="0.35">
      <c r="A2433" s="339"/>
      <c r="B2433" s="340"/>
      <c r="C2433" s="340"/>
      <c r="D2433" s="390" t="s">
        <v>42</v>
      </c>
      <c r="E2433" s="391" t="s">
        <v>95</v>
      </c>
      <c r="F2433" s="22">
        <v>85</v>
      </c>
      <c r="G2433" s="22" t="s">
        <v>73</v>
      </c>
      <c r="H2433" s="340"/>
      <c r="I2433" s="340"/>
      <c r="J2433" s="340"/>
      <c r="K2433" s="443"/>
      <c r="P2433" s="19"/>
    </row>
    <row r="2434" spans="1:16" x14ac:dyDescent="0.35">
      <c r="A2434" s="332"/>
      <c r="B2434" s="333"/>
      <c r="C2434" s="333"/>
      <c r="D2434" s="390" t="s">
        <v>517</v>
      </c>
      <c r="E2434" s="432" t="s">
        <v>724</v>
      </c>
      <c r="F2434" s="18">
        <v>8</v>
      </c>
      <c r="G2434" s="18" t="s">
        <v>73</v>
      </c>
      <c r="H2434" s="333"/>
      <c r="I2434" s="333"/>
      <c r="J2434" s="333"/>
      <c r="K2434" s="442"/>
      <c r="P2434" s="19"/>
    </row>
    <row r="2435" spans="1:16" ht="15" thickBot="1" x14ac:dyDescent="0.4">
      <c r="A2435" s="339"/>
      <c r="B2435" s="340"/>
      <c r="C2435" s="340"/>
      <c r="D2435" s="390" t="s">
        <v>45</v>
      </c>
      <c r="E2435" s="402" t="s">
        <v>101</v>
      </c>
      <c r="F2435" s="22">
        <v>1</v>
      </c>
      <c r="G2435" s="22" t="s">
        <v>73</v>
      </c>
      <c r="H2435" s="340"/>
      <c r="I2435" s="340"/>
      <c r="J2435" s="340"/>
      <c r="K2435" s="443"/>
    </row>
    <row r="2436" spans="1:16" ht="15.5" thickTop="1" thickBot="1" x14ac:dyDescent="0.4">
      <c r="A2436" s="332"/>
      <c r="B2436" s="333"/>
      <c r="C2436" s="333"/>
      <c r="D2436" s="383"/>
      <c r="E2436" s="384" t="s">
        <v>1206</v>
      </c>
      <c r="F2436" s="378">
        <v>3</v>
      </c>
      <c r="G2436" s="378" t="s">
        <v>74</v>
      </c>
      <c r="H2436" s="358"/>
      <c r="I2436" s="358"/>
      <c r="J2436" s="358"/>
      <c r="K2436" s="448"/>
    </row>
    <row r="2437" spans="1:16" ht="15" thickTop="1" x14ac:dyDescent="0.35">
      <c r="A2437" s="339"/>
      <c r="B2437" s="340"/>
      <c r="C2437" s="340"/>
      <c r="D2437" s="385" t="s">
        <v>491</v>
      </c>
      <c r="E2437" s="386" t="s">
        <v>1197</v>
      </c>
      <c r="F2437" s="328">
        <v>6.3E-2</v>
      </c>
      <c r="G2437" s="328" t="s">
        <v>1072</v>
      </c>
      <c r="H2437" s="340"/>
      <c r="I2437" s="340"/>
      <c r="J2437" s="340"/>
      <c r="K2437" s="443"/>
    </row>
    <row r="2438" spans="1:16" x14ac:dyDescent="0.35">
      <c r="A2438" s="332"/>
      <c r="B2438" s="333"/>
      <c r="C2438" s="333"/>
      <c r="D2438" s="388"/>
      <c r="E2438" s="389" t="s">
        <v>853</v>
      </c>
      <c r="F2438" s="356">
        <v>42.5</v>
      </c>
      <c r="G2438" s="356" t="s">
        <v>73</v>
      </c>
      <c r="H2438" s="358"/>
      <c r="I2438" s="358"/>
      <c r="J2438" s="358"/>
      <c r="K2438" s="448"/>
    </row>
    <row r="2439" spans="1:16" x14ac:dyDescent="0.35">
      <c r="A2439" s="339"/>
      <c r="B2439" s="340"/>
      <c r="C2439" s="340"/>
      <c r="D2439" s="390" t="s">
        <v>1068</v>
      </c>
      <c r="E2439" s="391" t="s">
        <v>1069</v>
      </c>
      <c r="F2439" s="328">
        <v>60</v>
      </c>
      <c r="G2439" s="328" t="s">
        <v>73</v>
      </c>
      <c r="H2439" s="340"/>
      <c r="I2439" s="340"/>
      <c r="J2439" s="340"/>
      <c r="K2439" s="443"/>
    </row>
    <row r="2440" spans="1:16" x14ac:dyDescent="0.35">
      <c r="A2440" s="332"/>
      <c r="B2440" s="333"/>
      <c r="C2440" s="333"/>
      <c r="D2440" s="392"/>
      <c r="E2440" s="393" t="s">
        <v>854</v>
      </c>
      <c r="F2440" s="343">
        <v>90</v>
      </c>
      <c r="G2440" s="343" t="s">
        <v>73</v>
      </c>
      <c r="H2440" s="364"/>
      <c r="I2440" s="364"/>
      <c r="J2440" s="364"/>
      <c r="K2440" s="469"/>
    </row>
    <row r="2441" spans="1:16" ht="15" thickBot="1" x14ac:dyDescent="0.4">
      <c r="A2441" s="339"/>
      <c r="B2441" s="340"/>
      <c r="C2441" s="340"/>
      <c r="D2441" s="390" t="s">
        <v>45</v>
      </c>
      <c r="E2441" s="391" t="s">
        <v>101</v>
      </c>
      <c r="F2441" s="328">
        <v>1.5</v>
      </c>
      <c r="G2441" s="328" t="s">
        <v>73</v>
      </c>
      <c r="H2441" s="340"/>
      <c r="I2441" s="340"/>
      <c r="J2441" s="340"/>
      <c r="K2441" s="443"/>
    </row>
    <row r="2442" spans="1:16" ht="15.5" thickTop="1" thickBot="1" x14ac:dyDescent="0.4">
      <c r="A2442" s="332"/>
      <c r="B2442" s="333"/>
      <c r="C2442" s="333"/>
      <c r="D2442" s="406" t="s">
        <v>521</v>
      </c>
      <c r="E2442" s="391" t="s">
        <v>855</v>
      </c>
      <c r="F2442" s="328">
        <v>55.75</v>
      </c>
      <c r="G2442" s="502" t="s">
        <v>73</v>
      </c>
      <c r="H2442" s="333"/>
      <c r="I2442" s="333"/>
      <c r="J2442" s="333"/>
      <c r="K2442" s="442"/>
    </row>
    <row r="2443" spans="1:16" ht="15" thickTop="1" x14ac:dyDescent="0.35">
      <c r="A2443" s="339"/>
      <c r="B2443" s="340"/>
      <c r="C2443" s="340"/>
      <c r="D2443" s="394"/>
      <c r="E2443" s="388" t="s">
        <v>1942</v>
      </c>
      <c r="F2443" s="358"/>
      <c r="G2443" s="502" t="s">
        <v>73</v>
      </c>
      <c r="H2443" s="358"/>
      <c r="I2443" s="358"/>
      <c r="J2443" s="358"/>
      <c r="K2443" s="448"/>
    </row>
    <row r="2444" spans="1:16" x14ac:dyDescent="0.35">
      <c r="A2444" s="332"/>
      <c r="B2444" s="333"/>
      <c r="C2444" s="333"/>
      <c r="D2444" s="390" t="s">
        <v>47</v>
      </c>
      <c r="E2444" s="453" t="s">
        <v>1943</v>
      </c>
      <c r="F2444" s="335">
        <v>15</v>
      </c>
      <c r="G2444" s="502" t="s">
        <v>73</v>
      </c>
      <c r="H2444" s="333"/>
      <c r="I2444" s="333"/>
      <c r="J2444" s="333"/>
      <c r="K2444" s="442"/>
    </row>
    <row r="2445" spans="1:16" x14ac:dyDescent="0.35">
      <c r="A2445" s="339"/>
      <c r="B2445" s="340"/>
      <c r="C2445" s="340"/>
      <c r="D2445" s="390" t="s">
        <v>49</v>
      </c>
      <c r="E2445" s="454" t="s">
        <v>1905</v>
      </c>
      <c r="F2445" s="328">
        <v>5</v>
      </c>
      <c r="G2445" s="502" t="s">
        <v>73</v>
      </c>
      <c r="H2445" s="340"/>
      <c r="I2445" s="340"/>
      <c r="J2445" s="340"/>
      <c r="K2445" s="443"/>
    </row>
    <row r="2446" spans="1:16" x14ac:dyDescent="0.35">
      <c r="A2446" s="332"/>
      <c r="B2446" s="333"/>
      <c r="C2446" s="333"/>
      <c r="D2446" s="390" t="s">
        <v>50</v>
      </c>
      <c r="E2446" s="453" t="s">
        <v>930</v>
      </c>
      <c r="F2446" s="335">
        <v>20</v>
      </c>
      <c r="G2446" s="502" t="s">
        <v>73</v>
      </c>
      <c r="H2446" s="333"/>
      <c r="I2446" s="333"/>
      <c r="J2446" s="333"/>
      <c r="K2446" s="442"/>
    </row>
    <row r="2447" spans="1:16" x14ac:dyDescent="0.35">
      <c r="A2447" s="339"/>
      <c r="B2447" s="340"/>
      <c r="C2447" s="340"/>
      <c r="D2447" s="390" t="s">
        <v>371</v>
      </c>
      <c r="E2447" s="454" t="s">
        <v>808</v>
      </c>
      <c r="F2447" s="328">
        <v>8</v>
      </c>
      <c r="G2447" s="502" t="s">
        <v>73</v>
      </c>
      <c r="H2447" s="340"/>
      <c r="I2447" s="340"/>
      <c r="J2447" s="340"/>
      <c r="K2447" s="443"/>
    </row>
    <row r="2448" spans="1:16" x14ac:dyDescent="0.35">
      <c r="A2448" s="332"/>
      <c r="B2448" s="333"/>
      <c r="C2448" s="333"/>
      <c r="D2448" s="390" t="s">
        <v>63</v>
      </c>
      <c r="E2448" s="453" t="s">
        <v>978</v>
      </c>
      <c r="F2448" s="335">
        <v>70</v>
      </c>
      <c r="G2448" s="502" t="s">
        <v>73</v>
      </c>
      <c r="H2448" s="333"/>
      <c r="I2448" s="333"/>
      <c r="J2448" s="333"/>
      <c r="K2448" s="442"/>
    </row>
    <row r="2449" spans="1:11" x14ac:dyDescent="0.35">
      <c r="A2449" s="339"/>
      <c r="B2449" s="340"/>
      <c r="C2449" s="340"/>
      <c r="D2449" s="390" t="s">
        <v>379</v>
      </c>
      <c r="E2449" s="454" t="s">
        <v>919</v>
      </c>
      <c r="F2449" s="328">
        <v>3</v>
      </c>
      <c r="G2449" s="502" t="s">
        <v>73</v>
      </c>
      <c r="H2449" s="340"/>
      <c r="I2449" s="340"/>
      <c r="J2449" s="340"/>
      <c r="K2449" s="443"/>
    </row>
    <row r="2450" spans="1:11" x14ac:dyDescent="0.35">
      <c r="A2450" s="332"/>
      <c r="B2450" s="333"/>
      <c r="C2450" s="333"/>
      <c r="D2450" s="390" t="s">
        <v>505</v>
      </c>
      <c r="E2450" s="453" t="s">
        <v>722</v>
      </c>
      <c r="F2450" s="335">
        <v>0.2</v>
      </c>
      <c r="G2450" s="502" t="s">
        <v>73</v>
      </c>
      <c r="H2450" s="333"/>
      <c r="I2450" s="333"/>
      <c r="J2450" s="333"/>
      <c r="K2450" s="442"/>
    </row>
    <row r="2451" spans="1:11" ht="15" thickBot="1" x14ac:dyDescent="0.4">
      <c r="A2451" s="339"/>
      <c r="B2451" s="340"/>
      <c r="C2451" s="340"/>
      <c r="D2451" s="413"/>
      <c r="E2451" s="483" t="s">
        <v>84</v>
      </c>
      <c r="F2451" s="378">
        <v>40</v>
      </c>
      <c r="G2451" s="378" t="s">
        <v>73</v>
      </c>
      <c r="H2451" s="357"/>
      <c r="I2451" s="358"/>
      <c r="J2451" s="358"/>
      <c r="K2451" s="414"/>
    </row>
    <row r="2452" spans="1:11" ht="15" thickTop="1" x14ac:dyDescent="0.35">
      <c r="A2452" s="332"/>
      <c r="B2452" s="333"/>
      <c r="C2452" s="333"/>
      <c r="D2452" s="484"/>
      <c r="E2452" s="485" t="s">
        <v>26</v>
      </c>
      <c r="F2452" s="378">
        <v>1000</v>
      </c>
      <c r="G2452" s="378" t="s">
        <v>73</v>
      </c>
      <c r="H2452" s="357"/>
      <c r="I2452" s="358"/>
      <c r="J2452" s="358"/>
      <c r="K2452" s="414"/>
    </row>
    <row r="2453" spans="1:11" x14ac:dyDescent="0.35">
      <c r="A2453" s="339"/>
      <c r="B2453" s="340"/>
      <c r="C2453" s="340"/>
      <c r="D2453" s="486" t="s">
        <v>60</v>
      </c>
      <c r="E2453" s="487" t="s">
        <v>121</v>
      </c>
      <c r="F2453" s="22">
        <v>1000</v>
      </c>
      <c r="G2453" s="22" t="s">
        <v>73</v>
      </c>
      <c r="H2453" s="367"/>
      <c r="I2453" s="22" t="s">
        <v>73</v>
      </c>
      <c r="J2453" s="340"/>
      <c r="K2453" s="410">
        <f t="shared" ref="K2453:K2454" si="287">$A$2023*H2453</f>
        <v>0</v>
      </c>
    </row>
    <row r="2454" spans="1:11" x14ac:dyDescent="0.35">
      <c r="A2454" s="332"/>
      <c r="B2454" s="333"/>
      <c r="C2454" s="333"/>
      <c r="D2454" s="486" t="s">
        <v>43</v>
      </c>
      <c r="E2454" s="488" t="s">
        <v>94</v>
      </c>
      <c r="F2454" s="18">
        <v>30</v>
      </c>
      <c r="G2454" s="18" t="s">
        <v>73</v>
      </c>
      <c r="H2454" s="361"/>
      <c r="I2454" s="18" t="s">
        <v>73</v>
      </c>
      <c r="J2454" s="333"/>
      <c r="K2454" s="411">
        <f t="shared" si="287"/>
        <v>0</v>
      </c>
    </row>
    <row r="2455" spans="1:11" x14ac:dyDescent="0.35">
      <c r="A2455" s="339"/>
      <c r="B2455" s="340"/>
      <c r="C2455" s="340"/>
      <c r="D2455" s="489"/>
      <c r="E2455" s="490" t="s">
        <v>81</v>
      </c>
      <c r="F2455" s="404">
        <v>400</v>
      </c>
      <c r="G2455" s="404" t="s">
        <v>73</v>
      </c>
      <c r="H2455" s="363"/>
      <c r="I2455" s="422"/>
      <c r="J2455" s="423"/>
      <c r="K2455" s="424"/>
    </row>
    <row r="2456" spans="1:11" x14ac:dyDescent="0.35">
      <c r="A2456" s="332"/>
      <c r="B2456" s="333"/>
      <c r="C2456" s="333"/>
      <c r="D2456" s="486" t="s">
        <v>59</v>
      </c>
      <c r="E2456" s="400" t="s">
        <v>27</v>
      </c>
      <c r="F2456" s="18">
        <v>350</v>
      </c>
      <c r="G2456" s="18" t="s">
        <v>73</v>
      </c>
      <c r="H2456" s="361"/>
      <c r="I2456" s="335" t="s">
        <v>73</v>
      </c>
      <c r="J2456" s="333"/>
      <c r="K2456" s="411">
        <f t="shared" ref="K2456:K2457" si="288">$A$2023*H2456</f>
        <v>0</v>
      </c>
    </row>
    <row r="2457" spans="1:11" x14ac:dyDescent="0.35">
      <c r="A2457" s="339"/>
      <c r="B2457" s="340"/>
      <c r="C2457" s="340"/>
      <c r="D2457" s="486" t="s">
        <v>48</v>
      </c>
      <c r="E2457" s="401" t="s">
        <v>91</v>
      </c>
      <c r="F2457" s="22">
        <v>100</v>
      </c>
      <c r="G2457" s="22" t="s">
        <v>73</v>
      </c>
      <c r="H2457" s="367"/>
      <c r="I2457" s="328" t="s">
        <v>73</v>
      </c>
      <c r="J2457" s="340"/>
      <c r="K2457" s="410">
        <f t="shared" si="288"/>
        <v>0</v>
      </c>
    </row>
    <row r="2458" spans="1:11" x14ac:dyDescent="0.35">
      <c r="A2458" s="332"/>
      <c r="B2458" s="333"/>
      <c r="C2458" s="333"/>
      <c r="D2458" s="388"/>
      <c r="E2458" s="483" t="s">
        <v>1944</v>
      </c>
      <c r="F2458" s="356">
        <v>30</v>
      </c>
      <c r="G2458" s="491" t="s">
        <v>73</v>
      </c>
      <c r="H2458" s="358"/>
      <c r="I2458" s="358"/>
      <c r="J2458" s="358"/>
      <c r="K2458" s="448"/>
    </row>
    <row r="2459" spans="1:11" x14ac:dyDescent="0.35">
      <c r="A2459" s="339"/>
      <c r="B2459" s="340"/>
      <c r="C2459" s="340"/>
      <c r="D2459" s="390"/>
      <c r="E2459" s="401" t="s">
        <v>81</v>
      </c>
      <c r="F2459" s="328">
        <v>120</v>
      </c>
      <c r="G2459" s="114" t="s">
        <v>73</v>
      </c>
      <c r="H2459" s="340"/>
      <c r="I2459" s="340"/>
      <c r="J2459" s="340"/>
      <c r="K2459" s="443"/>
    </row>
    <row r="2460" spans="1:11" x14ac:dyDescent="0.35">
      <c r="A2460" s="332"/>
      <c r="B2460" s="333"/>
      <c r="C2460" s="333"/>
      <c r="D2460" s="390" t="s">
        <v>45</v>
      </c>
      <c r="E2460" s="400" t="s">
        <v>101</v>
      </c>
      <c r="F2460" s="335">
        <v>150</v>
      </c>
      <c r="G2460" s="114" t="s">
        <v>73</v>
      </c>
      <c r="H2460" s="333"/>
      <c r="I2460" s="333"/>
      <c r="J2460" s="333"/>
      <c r="K2460" s="442"/>
    </row>
    <row r="2461" spans="1:11" x14ac:dyDescent="0.35">
      <c r="A2461" s="339"/>
      <c r="B2461" s="340"/>
      <c r="C2461" s="340"/>
      <c r="D2461" s="390" t="s">
        <v>333</v>
      </c>
      <c r="E2461" s="401" t="s">
        <v>756</v>
      </c>
      <c r="F2461" s="328">
        <v>20</v>
      </c>
      <c r="G2461" s="114" t="s">
        <v>73</v>
      </c>
      <c r="H2461" s="340"/>
      <c r="I2461" s="340"/>
      <c r="J2461" s="340"/>
      <c r="K2461" s="443"/>
    </row>
    <row r="2462" spans="1:11" ht="15" thickBot="1" x14ac:dyDescent="0.4">
      <c r="A2462" s="332"/>
      <c r="B2462" s="333"/>
      <c r="C2462" s="333"/>
      <c r="D2462" s="390" t="s">
        <v>131</v>
      </c>
      <c r="E2462" s="400" t="s">
        <v>132</v>
      </c>
      <c r="F2462" s="335">
        <v>150</v>
      </c>
      <c r="G2462" s="114" t="s">
        <v>73</v>
      </c>
      <c r="H2462" s="333"/>
      <c r="I2462" s="333"/>
      <c r="J2462" s="333"/>
      <c r="K2462" s="442"/>
    </row>
    <row r="2463" spans="1:11" ht="15" thickTop="1" x14ac:dyDescent="0.35">
      <c r="A2463" s="348"/>
      <c r="B2463" s="349"/>
      <c r="C2463" s="349"/>
      <c r="D2463" s="433"/>
      <c r="E2463" s="349"/>
      <c r="F2463" s="349"/>
      <c r="G2463" s="349"/>
      <c r="H2463" s="349"/>
      <c r="I2463" s="349"/>
      <c r="J2463" s="349"/>
      <c r="K2463" s="492"/>
    </row>
    <row r="2464" spans="1:11" x14ac:dyDescent="0.35">
      <c r="A2464" s="353">
        <f>IFERROR(INDEX($Q$17:$Q$201,MATCH(B2464,$R$17:$R$201, 0)), "")</f>
        <v>60</v>
      </c>
      <c r="B2464" s="408" t="s">
        <v>1508</v>
      </c>
      <c r="C2464" s="325" t="s">
        <v>1509</v>
      </c>
      <c r="D2464" s="390" t="s">
        <v>49</v>
      </c>
      <c r="E2464" s="412" t="s">
        <v>1905</v>
      </c>
      <c r="F2464" s="18">
        <v>0</v>
      </c>
      <c r="G2464" s="18" t="s">
        <v>73</v>
      </c>
      <c r="H2464" s="18">
        <v>0</v>
      </c>
      <c r="I2464" s="335" t="s">
        <v>73</v>
      </c>
      <c r="J2464" s="333"/>
      <c r="K2464" s="442"/>
    </row>
    <row r="2465" spans="1:11" x14ac:dyDescent="0.35">
      <c r="A2465" s="339"/>
      <c r="B2465" s="340"/>
      <c r="C2465" s="340"/>
      <c r="D2465" s="326" t="s">
        <v>1070</v>
      </c>
      <c r="E2465" s="327" t="s">
        <v>1906</v>
      </c>
      <c r="F2465" s="22">
        <v>0</v>
      </c>
      <c r="G2465" s="22" t="s">
        <v>73</v>
      </c>
      <c r="H2465" s="22">
        <v>0</v>
      </c>
      <c r="I2465" s="328" t="s">
        <v>73</v>
      </c>
      <c r="J2465" s="340"/>
      <c r="K2465" s="443"/>
    </row>
    <row r="2466" spans="1:11" x14ac:dyDescent="0.35">
      <c r="A2466" s="332"/>
      <c r="B2466" s="333"/>
      <c r="C2466" s="333"/>
      <c r="D2466" s="390" t="s">
        <v>207</v>
      </c>
      <c r="E2466" s="412" t="s">
        <v>208</v>
      </c>
      <c r="F2466" s="18">
        <v>0</v>
      </c>
      <c r="G2466" s="18" t="s">
        <v>73</v>
      </c>
      <c r="H2466" s="18">
        <v>0</v>
      </c>
      <c r="I2466" s="335" t="s">
        <v>73</v>
      </c>
      <c r="J2466" s="333"/>
      <c r="K2466" s="442"/>
    </row>
    <row r="2467" spans="1:11" x14ac:dyDescent="0.35">
      <c r="A2467" s="339"/>
      <c r="B2467" s="340"/>
      <c r="C2467" s="340"/>
      <c r="D2467" s="326" t="s">
        <v>392</v>
      </c>
      <c r="E2467" s="327" t="s">
        <v>844</v>
      </c>
      <c r="F2467" s="22">
        <v>0</v>
      </c>
      <c r="G2467" s="22" t="s">
        <v>73</v>
      </c>
      <c r="H2467" s="22">
        <v>0</v>
      </c>
      <c r="I2467" s="328" t="s">
        <v>73</v>
      </c>
      <c r="J2467" s="340"/>
      <c r="K2467" s="443"/>
    </row>
    <row r="2468" spans="1:11" x14ac:dyDescent="0.35">
      <c r="A2468" s="332"/>
      <c r="B2468" s="333"/>
      <c r="C2468" s="333"/>
      <c r="D2468" s="444" t="s">
        <v>505</v>
      </c>
      <c r="E2468" s="473" t="s">
        <v>1908</v>
      </c>
      <c r="F2468" s="18">
        <v>0.2</v>
      </c>
      <c r="G2468" s="18" t="s">
        <v>73</v>
      </c>
      <c r="H2468" s="18">
        <v>0.2</v>
      </c>
      <c r="I2468" s="335" t="s">
        <v>73</v>
      </c>
      <c r="J2468" s="333"/>
      <c r="K2468" s="442"/>
    </row>
    <row r="2469" spans="1:11" x14ac:dyDescent="0.35">
      <c r="A2469" s="339"/>
      <c r="B2469" s="340"/>
      <c r="C2469" s="340"/>
      <c r="D2469" s="446"/>
      <c r="E2469" s="447" t="s">
        <v>1909</v>
      </c>
      <c r="F2469" s="378">
        <v>180</v>
      </c>
      <c r="G2469" s="378" t="s">
        <v>73</v>
      </c>
      <c r="H2469" s="358"/>
      <c r="I2469" s="358"/>
      <c r="J2469" s="358"/>
      <c r="K2469" s="448"/>
    </row>
    <row r="2470" spans="1:11" x14ac:dyDescent="0.35">
      <c r="A2470" s="332"/>
      <c r="B2470" s="333"/>
      <c r="C2470" s="333"/>
      <c r="D2470" s="449" t="s">
        <v>1660</v>
      </c>
      <c r="E2470" s="451" t="s">
        <v>1897</v>
      </c>
      <c r="F2470" s="18">
        <v>1000</v>
      </c>
      <c r="G2470" s="18" t="s">
        <v>73</v>
      </c>
      <c r="H2470" s="333"/>
      <c r="I2470" s="335" t="s">
        <v>73</v>
      </c>
      <c r="J2470" s="333"/>
      <c r="K2470" s="442"/>
    </row>
    <row r="2471" spans="1:11" x14ac:dyDescent="0.35">
      <c r="A2471" s="339"/>
      <c r="B2471" s="340"/>
      <c r="C2471" s="340"/>
      <c r="D2471" s="449" t="s">
        <v>1871</v>
      </c>
      <c r="E2471" s="450" t="s">
        <v>1910</v>
      </c>
      <c r="F2471" s="22">
        <v>60</v>
      </c>
      <c r="G2471" s="22" t="s">
        <v>73</v>
      </c>
      <c r="H2471" s="340"/>
      <c r="I2471" s="328" t="s">
        <v>73</v>
      </c>
      <c r="J2471" s="340"/>
      <c r="K2471" s="443"/>
    </row>
    <row r="2472" spans="1:11" x14ac:dyDescent="0.35">
      <c r="A2472" s="332"/>
      <c r="B2472" s="333"/>
      <c r="C2472" s="333"/>
      <c r="D2472" s="449"/>
      <c r="E2472" s="451" t="s">
        <v>81</v>
      </c>
      <c r="F2472" s="18">
        <v>1300</v>
      </c>
      <c r="G2472" s="18" t="s">
        <v>73</v>
      </c>
      <c r="H2472" s="333"/>
      <c r="I2472" s="335" t="s">
        <v>73</v>
      </c>
      <c r="J2472" s="333"/>
      <c r="K2472" s="442"/>
    </row>
    <row r="2473" spans="1:11" x14ac:dyDescent="0.35">
      <c r="A2473" s="339"/>
      <c r="B2473" s="340"/>
      <c r="C2473" s="340"/>
      <c r="D2473" s="447"/>
      <c r="E2473" s="452" t="s">
        <v>1916</v>
      </c>
      <c r="F2473" s="378">
        <v>150</v>
      </c>
      <c r="G2473" s="358"/>
      <c r="H2473" s="358"/>
      <c r="I2473" s="358"/>
      <c r="J2473" s="358"/>
      <c r="K2473" s="448"/>
    </row>
    <row r="2474" spans="1:11" x14ac:dyDescent="0.35">
      <c r="A2474" s="332"/>
      <c r="B2474" s="333"/>
      <c r="C2474" s="333"/>
      <c r="D2474" s="449"/>
      <c r="E2474" s="451" t="s">
        <v>81</v>
      </c>
      <c r="F2474" s="18">
        <v>1000</v>
      </c>
      <c r="G2474" s="335" t="s">
        <v>73</v>
      </c>
      <c r="H2474" s="333"/>
      <c r="I2474" s="335" t="s">
        <v>73</v>
      </c>
      <c r="J2474" s="333"/>
      <c r="K2474" s="442"/>
    </row>
    <row r="2475" spans="1:11" x14ac:dyDescent="0.35">
      <c r="A2475" s="339"/>
      <c r="B2475" s="340"/>
      <c r="C2475" s="340"/>
      <c r="D2475" s="390" t="s">
        <v>45</v>
      </c>
      <c r="E2475" s="454" t="s">
        <v>101</v>
      </c>
      <c r="F2475" s="22">
        <v>15</v>
      </c>
      <c r="G2475" s="328" t="s">
        <v>73</v>
      </c>
      <c r="H2475" s="340"/>
      <c r="I2475" s="328" t="s">
        <v>73</v>
      </c>
      <c r="J2475" s="340"/>
      <c r="K2475" s="443"/>
    </row>
    <row r="2476" spans="1:11" x14ac:dyDescent="0.35">
      <c r="A2476" s="332"/>
      <c r="B2476" s="333"/>
      <c r="C2476" s="333"/>
      <c r="D2476" s="390" t="s">
        <v>43</v>
      </c>
      <c r="E2476" s="453" t="s">
        <v>105</v>
      </c>
      <c r="F2476" s="18">
        <v>4</v>
      </c>
      <c r="G2476" s="335" t="s">
        <v>73</v>
      </c>
      <c r="H2476" s="333"/>
      <c r="I2476" s="335" t="s">
        <v>73</v>
      </c>
      <c r="J2476" s="333"/>
      <c r="K2476" s="442"/>
    </row>
    <row r="2477" spans="1:11" x14ac:dyDescent="0.35">
      <c r="A2477" s="339"/>
      <c r="B2477" s="340"/>
      <c r="C2477" s="340"/>
      <c r="D2477" s="390" t="s">
        <v>46</v>
      </c>
      <c r="E2477" s="454" t="s">
        <v>1911</v>
      </c>
      <c r="F2477" s="22">
        <v>2</v>
      </c>
      <c r="G2477" s="328" t="s">
        <v>73</v>
      </c>
      <c r="H2477" s="340"/>
      <c r="I2477" s="328" t="s">
        <v>73</v>
      </c>
      <c r="J2477" s="340"/>
      <c r="K2477" s="443"/>
    </row>
    <row r="2478" spans="1:11" x14ac:dyDescent="0.35">
      <c r="A2478" s="332"/>
      <c r="B2478" s="333"/>
      <c r="C2478" s="333"/>
      <c r="D2478" s="390" t="s">
        <v>42</v>
      </c>
      <c r="E2478" s="453" t="s">
        <v>66</v>
      </c>
      <c r="F2478" s="18">
        <v>5</v>
      </c>
      <c r="G2478" s="335" t="s">
        <v>73</v>
      </c>
      <c r="H2478" s="333"/>
      <c r="I2478" s="335" t="s">
        <v>73</v>
      </c>
      <c r="J2478" s="333"/>
      <c r="K2478" s="442"/>
    </row>
    <row r="2479" spans="1:11" x14ac:dyDescent="0.35">
      <c r="A2479" s="339"/>
      <c r="B2479" s="340"/>
      <c r="C2479" s="340"/>
      <c r="D2479" s="326" t="s">
        <v>41</v>
      </c>
      <c r="E2479" s="380" t="s">
        <v>1912</v>
      </c>
      <c r="F2479" s="22">
        <v>3</v>
      </c>
      <c r="G2479" s="328" t="s">
        <v>73</v>
      </c>
      <c r="H2479" s="340"/>
      <c r="I2479" s="328" t="s">
        <v>73</v>
      </c>
      <c r="J2479" s="340"/>
      <c r="K2479" s="443"/>
    </row>
    <row r="2480" spans="1:11" x14ac:dyDescent="0.35">
      <c r="A2480" s="332"/>
      <c r="B2480" s="333"/>
      <c r="C2480" s="333"/>
      <c r="D2480" s="326" t="s">
        <v>521</v>
      </c>
      <c r="E2480" s="379" t="s">
        <v>1913</v>
      </c>
      <c r="F2480" s="18">
        <v>59</v>
      </c>
      <c r="G2480" s="335" t="s">
        <v>73</v>
      </c>
      <c r="H2480" s="333"/>
      <c r="I2480" s="335" t="s">
        <v>73</v>
      </c>
      <c r="J2480" s="333"/>
      <c r="K2480" s="442"/>
    </row>
    <row r="2481" spans="1:11" x14ac:dyDescent="0.35">
      <c r="A2481" s="339"/>
      <c r="B2481" s="340"/>
      <c r="C2481" s="340"/>
      <c r="D2481" s="449" t="s">
        <v>1915</v>
      </c>
      <c r="E2481" s="450" t="s">
        <v>1941</v>
      </c>
      <c r="F2481" s="22">
        <v>0.5</v>
      </c>
      <c r="G2481" s="328" t="s">
        <v>73</v>
      </c>
      <c r="H2481" s="340"/>
      <c r="I2481" s="328" t="s">
        <v>73</v>
      </c>
      <c r="J2481" s="340"/>
      <c r="K2481" s="443"/>
    </row>
    <row r="2482" spans="1:11" x14ac:dyDescent="0.35">
      <c r="A2482" s="332"/>
      <c r="B2482" s="333"/>
      <c r="C2482" s="333"/>
      <c r="D2482" s="390" t="s">
        <v>48</v>
      </c>
      <c r="E2482" s="453" t="s">
        <v>1914</v>
      </c>
      <c r="F2482" s="18">
        <v>3</v>
      </c>
      <c r="G2482" s="335" t="s">
        <v>73</v>
      </c>
      <c r="H2482" s="333"/>
      <c r="I2482" s="335" t="s">
        <v>73</v>
      </c>
      <c r="J2482" s="333"/>
      <c r="K2482" s="442"/>
    </row>
    <row r="2483" spans="1:11" x14ac:dyDescent="0.35">
      <c r="A2483" s="339"/>
      <c r="B2483" s="340"/>
      <c r="C2483" s="340"/>
      <c r="D2483" s="447"/>
      <c r="E2483" s="452" t="s">
        <v>1917</v>
      </c>
      <c r="F2483" s="356">
        <v>30</v>
      </c>
      <c r="G2483" s="358"/>
      <c r="H2483" s="358"/>
      <c r="I2483" s="358"/>
      <c r="J2483" s="358"/>
      <c r="K2483" s="448"/>
    </row>
    <row r="2484" spans="1:11" x14ac:dyDescent="0.35">
      <c r="A2484" s="332"/>
      <c r="B2484" s="333"/>
      <c r="C2484" s="333"/>
      <c r="D2484" s="449" t="s">
        <v>1604</v>
      </c>
      <c r="E2484" s="451" t="s">
        <v>1940</v>
      </c>
      <c r="F2484" s="335">
        <v>60</v>
      </c>
      <c r="G2484" s="335" t="s">
        <v>73</v>
      </c>
      <c r="H2484" s="333"/>
      <c r="I2484" s="335" t="s">
        <v>73</v>
      </c>
      <c r="J2484" s="333"/>
      <c r="K2484" s="442"/>
    </row>
    <row r="2485" spans="1:11" x14ac:dyDescent="0.35">
      <c r="A2485" s="339"/>
      <c r="B2485" s="340"/>
      <c r="C2485" s="340"/>
      <c r="D2485" s="449" t="s">
        <v>1626</v>
      </c>
      <c r="E2485" s="450" t="s">
        <v>1918</v>
      </c>
      <c r="F2485" s="328">
        <v>70</v>
      </c>
      <c r="G2485" s="328" t="s">
        <v>73</v>
      </c>
      <c r="H2485" s="340"/>
      <c r="I2485" s="328" t="s">
        <v>73</v>
      </c>
      <c r="J2485" s="340"/>
      <c r="K2485" s="443"/>
    </row>
    <row r="2486" spans="1:11" x14ac:dyDescent="0.35">
      <c r="A2486" s="332"/>
      <c r="B2486" s="333"/>
      <c r="C2486" s="333"/>
      <c r="D2486" s="390" t="s">
        <v>50</v>
      </c>
      <c r="E2486" s="453" t="s">
        <v>1919</v>
      </c>
      <c r="F2486" s="335">
        <v>20</v>
      </c>
      <c r="G2486" s="335" t="s">
        <v>73</v>
      </c>
      <c r="H2486" s="333"/>
      <c r="I2486" s="335" t="s">
        <v>73</v>
      </c>
      <c r="J2486" s="333"/>
      <c r="K2486" s="442"/>
    </row>
    <row r="2487" spans="1:11" x14ac:dyDescent="0.35">
      <c r="A2487" s="339"/>
      <c r="B2487" s="340"/>
      <c r="C2487" s="340"/>
      <c r="D2487" s="449" t="s">
        <v>1647</v>
      </c>
      <c r="E2487" s="450" t="s">
        <v>1920</v>
      </c>
      <c r="F2487" s="328">
        <v>80</v>
      </c>
      <c r="G2487" s="328" t="s">
        <v>73</v>
      </c>
      <c r="H2487" s="340"/>
      <c r="I2487" s="328" t="s">
        <v>73</v>
      </c>
      <c r="J2487" s="340"/>
      <c r="K2487" s="443"/>
    </row>
    <row r="2488" spans="1:11" x14ac:dyDescent="0.35">
      <c r="A2488" s="332"/>
      <c r="B2488" s="333"/>
      <c r="C2488" s="333"/>
      <c r="D2488" s="447"/>
      <c r="E2488" s="455" t="s">
        <v>1921</v>
      </c>
      <c r="F2488" s="356">
        <v>1.5</v>
      </c>
      <c r="G2488" s="356" t="s">
        <v>73</v>
      </c>
      <c r="H2488" s="358"/>
      <c r="I2488" s="358"/>
      <c r="J2488" s="358"/>
      <c r="K2488" s="448"/>
    </row>
    <row r="2489" spans="1:11" x14ac:dyDescent="0.35">
      <c r="A2489" s="339"/>
      <c r="B2489" s="340"/>
      <c r="C2489" s="340"/>
      <c r="D2489" s="417" t="s">
        <v>43</v>
      </c>
      <c r="E2489" s="456" t="s">
        <v>94</v>
      </c>
      <c r="F2489" s="22">
        <v>85</v>
      </c>
      <c r="G2489" s="457" t="s">
        <v>73</v>
      </c>
      <c r="H2489" s="340"/>
      <c r="I2489" s="328" t="s">
        <v>73</v>
      </c>
      <c r="J2489" s="340"/>
      <c r="K2489" s="443"/>
    </row>
    <row r="2490" spans="1:11" x14ac:dyDescent="0.35">
      <c r="A2490" s="332"/>
      <c r="B2490" s="333"/>
      <c r="C2490" s="333"/>
      <c r="D2490" s="417" t="s">
        <v>42</v>
      </c>
      <c r="E2490" s="474" t="s">
        <v>95</v>
      </c>
      <c r="F2490" s="18">
        <v>15</v>
      </c>
      <c r="G2490" s="458" t="s">
        <v>73</v>
      </c>
      <c r="H2490" s="333"/>
      <c r="I2490" s="335" t="s">
        <v>73</v>
      </c>
      <c r="J2490" s="333"/>
      <c r="K2490" s="442"/>
    </row>
    <row r="2491" spans="1:11" ht="15" thickBot="1" x14ac:dyDescent="0.4">
      <c r="A2491" s="339"/>
      <c r="B2491" s="340"/>
      <c r="C2491" s="340"/>
      <c r="D2491" s="398"/>
      <c r="E2491" s="388" t="s">
        <v>1191</v>
      </c>
      <c r="F2491" s="459">
        <v>30</v>
      </c>
      <c r="G2491" s="378" t="s">
        <v>73</v>
      </c>
      <c r="H2491" s="358"/>
      <c r="I2491" s="356" t="s">
        <v>73</v>
      </c>
      <c r="J2491" s="358"/>
      <c r="K2491" s="448"/>
    </row>
    <row r="2492" spans="1:11" ht="15" thickTop="1" x14ac:dyDescent="0.35">
      <c r="A2492" s="332"/>
      <c r="B2492" s="333"/>
      <c r="C2492" s="333"/>
      <c r="D2492" s="385" t="s">
        <v>47</v>
      </c>
      <c r="E2492" s="395" t="s">
        <v>1192</v>
      </c>
      <c r="F2492" s="335">
        <v>10</v>
      </c>
      <c r="G2492" s="18" t="s">
        <v>73</v>
      </c>
      <c r="H2492" s="333"/>
      <c r="I2492" s="335" t="s">
        <v>73</v>
      </c>
      <c r="J2492" s="333"/>
      <c r="K2492" s="442"/>
    </row>
    <row r="2493" spans="1:11" x14ac:dyDescent="0.35">
      <c r="A2493" s="339"/>
      <c r="B2493" s="340"/>
      <c r="C2493" s="340"/>
      <c r="D2493" s="390" t="s">
        <v>50</v>
      </c>
      <c r="E2493" s="391" t="s">
        <v>394</v>
      </c>
      <c r="F2493" s="328">
        <v>40</v>
      </c>
      <c r="G2493" s="22" t="s">
        <v>73</v>
      </c>
      <c r="H2493" s="340"/>
      <c r="I2493" s="328" t="s">
        <v>73</v>
      </c>
      <c r="J2493" s="340"/>
      <c r="K2493" s="443"/>
    </row>
    <row r="2494" spans="1:11" x14ac:dyDescent="0.35">
      <c r="A2494" s="332"/>
      <c r="B2494" s="333"/>
      <c r="C2494" s="333"/>
      <c r="D2494" s="390" t="s">
        <v>371</v>
      </c>
      <c r="E2494" s="395" t="s">
        <v>372</v>
      </c>
      <c r="F2494" s="335">
        <v>40</v>
      </c>
      <c r="G2494" s="18" t="s">
        <v>73</v>
      </c>
      <c r="H2494" s="333"/>
      <c r="I2494" s="335" t="s">
        <v>73</v>
      </c>
      <c r="J2494" s="333"/>
      <c r="K2494" s="442"/>
    </row>
    <row r="2495" spans="1:11" x14ac:dyDescent="0.35">
      <c r="A2495" s="339"/>
      <c r="B2495" s="340"/>
      <c r="C2495" s="340"/>
      <c r="D2495" s="390" t="s">
        <v>260</v>
      </c>
      <c r="E2495" s="391" t="s">
        <v>1193</v>
      </c>
      <c r="F2495" s="328">
        <v>120</v>
      </c>
      <c r="G2495" s="22" t="s">
        <v>73</v>
      </c>
      <c r="H2495" s="340"/>
      <c r="I2495" s="328" t="s">
        <v>73</v>
      </c>
      <c r="J2495" s="340"/>
      <c r="K2495" s="443"/>
    </row>
    <row r="2496" spans="1:11" ht="15" thickBot="1" x14ac:dyDescent="0.4">
      <c r="A2496" s="332"/>
      <c r="B2496" s="333"/>
      <c r="C2496" s="333"/>
      <c r="D2496" s="396"/>
      <c r="E2496" s="463" t="s">
        <v>950</v>
      </c>
      <c r="F2496" s="343">
        <v>40</v>
      </c>
      <c r="G2496" s="493" t="s">
        <v>73</v>
      </c>
      <c r="H2496" s="465"/>
      <c r="I2496" s="466" t="s">
        <v>73</v>
      </c>
      <c r="J2496" s="465"/>
      <c r="K2496" s="467"/>
    </row>
    <row r="2497" spans="1:11" ht="15" thickTop="1" x14ac:dyDescent="0.35">
      <c r="A2497" s="339"/>
      <c r="B2497" s="340"/>
      <c r="C2497" s="340"/>
      <c r="D2497" s="385" t="s">
        <v>141</v>
      </c>
      <c r="E2497" s="391" t="s">
        <v>1194</v>
      </c>
      <c r="F2497" s="328">
        <v>40</v>
      </c>
      <c r="G2497" s="22" t="s">
        <v>73</v>
      </c>
      <c r="H2497" s="340"/>
      <c r="I2497" s="328" t="s">
        <v>73</v>
      </c>
      <c r="J2497" s="340"/>
      <c r="K2497" s="443"/>
    </row>
    <row r="2498" spans="1:11" x14ac:dyDescent="0.35">
      <c r="A2498" s="332"/>
      <c r="B2498" s="333"/>
      <c r="C2498" s="333"/>
      <c r="D2498" s="390" t="s">
        <v>46</v>
      </c>
      <c r="E2498" s="395" t="s">
        <v>1195</v>
      </c>
      <c r="F2498" s="335">
        <v>20</v>
      </c>
      <c r="G2498" s="18" t="s">
        <v>73</v>
      </c>
      <c r="H2498" s="333"/>
      <c r="I2498" s="335" t="s">
        <v>73</v>
      </c>
      <c r="J2498" s="333"/>
      <c r="K2498" s="442"/>
    </row>
    <row r="2499" spans="1:11" ht="15" thickBot="1" x14ac:dyDescent="0.4">
      <c r="A2499" s="339"/>
      <c r="B2499" s="340"/>
      <c r="C2499" s="340"/>
      <c r="D2499" s="390" t="s">
        <v>379</v>
      </c>
      <c r="E2499" s="391" t="s">
        <v>380</v>
      </c>
      <c r="F2499" s="328">
        <v>10</v>
      </c>
      <c r="G2499" s="22" t="s">
        <v>73</v>
      </c>
      <c r="H2499" s="340"/>
      <c r="I2499" s="328" t="s">
        <v>73</v>
      </c>
      <c r="J2499" s="340"/>
      <c r="K2499" s="443"/>
    </row>
    <row r="2500" spans="1:11" ht="15" thickTop="1" x14ac:dyDescent="0.35">
      <c r="A2500" s="332"/>
      <c r="B2500" s="333"/>
      <c r="C2500" s="333"/>
      <c r="D2500" s="468"/>
      <c r="E2500" s="355" t="s">
        <v>973</v>
      </c>
      <c r="F2500" s="356">
        <v>40</v>
      </c>
      <c r="G2500" s="378" t="s">
        <v>73</v>
      </c>
      <c r="H2500" s="358"/>
      <c r="I2500" s="356" t="s">
        <v>73</v>
      </c>
      <c r="J2500" s="358"/>
      <c r="K2500" s="448"/>
    </row>
    <row r="2501" spans="1:11" x14ac:dyDescent="0.35">
      <c r="A2501" s="339"/>
      <c r="B2501" s="340"/>
      <c r="C2501" s="340"/>
      <c r="D2501" s="326" t="s">
        <v>47</v>
      </c>
      <c r="E2501" s="426" t="s">
        <v>740</v>
      </c>
      <c r="F2501" s="22">
        <v>3</v>
      </c>
      <c r="G2501" s="22" t="s">
        <v>73</v>
      </c>
      <c r="H2501" s="340"/>
      <c r="I2501" s="328" t="s">
        <v>73</v>
      </c>
      <c r="J2501" s="340"/>
      <c r="K2501" s="443"/>
    </row>
    <row r="2502" spans="1:11" x14ac:dyDescent="0.35">
      <c r="A2502" s="332"/>
      <c r="B2502" s="333"/>
      <c r="C2502" s="333"/>
      <c r="D2502" s="326" t="s">
        <v>49</v>
      </c>
      <c r="E2502" s="425" t="s">
        <v>916</v>
      </c>
      <c r="F2502" s="18">
        <v>8</v>
      </c>
      <c r="G2502" s="18" t="s">
        <v>73</v>
      </c>
      <c r="H2502" s="333"/>
      <c r="I2502" s="335" t="s">
        <v>73</v>
      </c>
      <c r="J2502" s="333"/>
      <c r="K2502" s="442"/>
    </row>
    <row r="2503" spans="1:11" x14ac:dyDescent="0.35">
      <c r="A2503" s="339"/>
      <c r="B2503" s="340"/>
      <c r="C2503" s="340"/>
      <c r="D2503" s="326" t="s">
        <v>50</v>
      </c>
      <c r="E2503" s="426" t="s">
        <v>917</v>
      </c>
      <c r="F2503" s="22">
        <v>40</v>
      </c>
      <c r="G2503" s="22" t="s">
        <v>73</v>
      </c>
      <c r="H2503" s="340"/>
      <c r="I2503" s="328" t="s">
        <v>73</v>
      </c>
      <c r="J2503" s="340"/>
      <c r="K2503" s="443"/>
    </row>
    <row r="2504" spans="1:11" x14ac:dyDescent="0.35">
      <c r="A2504" s="332"/>
      <c r="B2504" s="333"/>
      <c r="C2504" s="333"/>
      <c r="D2504" s="326" t="s">
        <v>371</v>
      </c>
      <c r="E2504" s="425" t="s">
        <v>918</v>
      </c>
      <c r="F2504" s="18">
        <v>20</v>
      </c>
      <c r="G2504" s="18" t="s">
        <v>73</v>
      </c>
      <c r="H2504" s="333"/>
      <c r="I2504" s="335" t="s">
        <v>73</v>
      </c>
      <c r="J2504" s="333"/>
      <c r="K2504" s="442"/>
    </row>
    <row r="2505" spans="1:11" x14ac:dyDescent="0.35">
      <c r="A2505" s="339"/>
      <c r="B2505" s="340"/>
      <c r="C2505" s="340"/>
      <c r="D2505" s="326" t="s">
        <v>379</v>
      </c>
      <c r="E2505" s="426" t="s">
        <v>919</v>
      </c>
      <c r="F2505" s="22">
        <v>10</v>
      </c>
      <c r="G2505" s="22" t="s">
        <v>73</v>
      </c>
      <c r="H2505" s="340"/>
      <c r="I2505" s="328" t="s">
        <v>73</v>
      </c>
      <c r="J2505" s="340"/>
      <c r="K2505" s="443"/>
    </row>
    <row r="2506" spans="1:11" x14ac:dyDescent="0.35">
      <c r="A2506" s="332"/>
      <c r="B2506" s="333"/>
      <c r="C2506" s="333"/>
      <c r="D2506" s="326" t="s">
        <v>505</v>
      </c>
      <c r="E2506" s="425" t="s">
        <v>722</v>
      </c>
      <c r="F2506" s="18">
        <v>0.5</v>
      </c>
      <c r="G2506" s="18" t="s">
        <v>73</v>
      </c>
      <c r="H2506" s="333"/>
      <c r="I2506" s="335" t="s">
        <v>73</v>
      </c>
      <c r="J2506" s="333"/>
      <c r="K2506" s="442"/>
    </row>
    <row r="2507" spans="1:11" x14ac:dyDescent="0.35">
      <c r="A2507" s="339"/>
      <c r="B2507" s="340"/>
      <c r="C2507" s="340"/>
      <c r="D2507" s="326" t="s">
        <v>41</v>
      </c>
      <c r="E2507" s="426" t="s">
        <v>911</v>
      </c>
      <c r="F2507" s="22">
        <v>2</v>
      </c>
      <c r="G2507" s="22" t="s">
        <v>73</v>
      </c>
      <c r="H2507" s="340"/>
      <c r="I2507" s="328" t="s">
        <v>73</v>
      </c>
      <c r="J2507" s="340"/>
      <c r="K2507" s="443"/>
    </row>
    <row r="2508" spans="1:11" x14ac:dyDescent="0.35">
      <c r="A2508" s="332"/>
      <c r="B2508" s="333"/>
      <c r="C2508" s="333"/>
      <c r="D2508" s="326" t="s">
        <v>127</v>
      </c>
      <c r="E2508" s="425" t="s">
        <v>912</v>
      </c>
      <c r="F2508" s="18">
        <v>28</v>
      </c>
      <c r="G2508" s="18" t="s">
        <v>73</v>
      </c>
      <c r="H2508" s="333"/>
      <c r="I2508" s="335" t="s">
        <v>73</v>
      </c>
      <c r="J2508" s="333"/>
      <c r="K2508" s="442"/>
    </row>
    <row r="2509" spans="1:11" x14ac:dyDescent="0.35">
      <c r="A2509" s="339"/>
      <c r="B2509" s="340"/>
      <c r="C2509" s="340"/>
      <c r="D2509" s="326" t="s">
        <v>549</v>
      </c>
      <c r="E2509" s="426" t="s">
        <v>915</v>
      </c>
      <c r="F2509" s="22">
        <v>165</v>
      </c>
      <c r="G2509" s="22" t="s">
        <v>73</v>
      </c>
      <c r="H2509" s="340"/>
      <c r="I2509" s="328" t="s">
        <v>73</v>
      </c>
      <c r="J2509" s="340"/>
      <c r="K2509" s="443"/>
    </row>
    <row r="2510" spans="1:11" ht="15" thickBot="1" x14ac:dyDescent="0.4">
      <c r="A2510" s="332"/>
      <c r="B2510" s="333"/>
      <c r="C2510" s="333"/>
      <c r="D2510" s="413"/>
      <c r="E2510" s="388" t="s">
        <v>84</v>
      </c>
      <c r="F2510" s="378">
        <v>30</v>
      </c>
      <c r="G2510" s="378" t="s">
        <v>73</v>
      </c>
      <c r="H2510" s="357"/>
      <c r="I2510" s="358"/>
      <c r="J2510" s="358"/>
      <c r="K2510" s="414"/>
    </row>
    <row r="2511" spans="1:11" ht="15" thickTop="1" x14ac:dyDescent="0.35">
      <c r="A2511" s="339"/>
      <c r="B2511" s="340"/>
      <c r="C2511" s="340"/>
      <c r="D2511" s="415"/>
      <c r="E2511" s="416" t="s">
        <v>26</v>
      </c>
      <c r="F2511" s="378">
        <v>1000</v>
      </c>
      <c r="G2511" s="378" t="s">
        <v>73</v>
      </c>
      <c r="H2511" s="357"/>
      <c r="I2511" s="358"/>
      <c r="J2511" s="358"/>
      <c r="K2511" s="414"/>
    </row>
    <row r="2512" spans="1:11" x14ac:dyDescent="0.35">
      <c r="A2512" s="332"/>
      <c r="B2512" s="333"/>
      <c r="C2512" s="333"/>
      <c r="D2512" s="417" t="s">
        <v>60</v>
      </c>
      <c r="E2512" s="737" t="s">
        <v>121</v>
      </c>
      <c r="F2512" s="114">
        <v>1000</v>
      </c>
      <c r="G2512" s="114" t="s">
        <v>73</v>
      </c>
      <c r="H2512" s="501"/>
      <c r="I2512" s="114" t="s">
        <v>73</v>
      </c>
      <c r="J2512" s="503"/>
      <c r="K2512" s="721">
        <f t="shared" ref="K2512:K2513" si="289">$A$2023*H2512</f>
        <v>0</v>
      </c>
    </row>
    <row r="2513" spans="1:11" x14ac:dyDescent="0.35">
      <c r="A2513" s="339"/>
      <c r="B2513" s="340"/>
      <c r="C2513" s="340"/>
      <c r="D2513" s="417" t="s">
        <v>43</v>
      </c>
      <c r="E2513" s="738" t="s">
        <v>94</v>
      </c>
      <c r="F2513" s="114">
        <v>30</v>
      </c>
      <c r="G2513" s="114" t="s">
        <v>73</v>
      </c>
      <c r="H2513" s="501"/>
      <c r="I2513" s="114" t="s">
        <v>73</v>
      </c>
      <c r="J2513" s="503"/>
      <c r="K2513" s="721">
        <f t="shared" si="289"/>
        <v>0</v>
      </c>
    </row>
    <row r="2514" spans="1:11" x14ac:dyDescent="0.35">
      <c r="A2514" s="332"/>
      <c r="B2514" s="333"/>
      <c r="C2514" s="333"/>
      <c r="D2514" s="420"/>
      <c r="E2514" s="421" t="s">
        <v>81</v>
      </c>
      <c r="F2514" s="404">
        <v>400</v>
      </c>
      <c r="G2514" s="404" t="s">
        <v>73</v>
      </c>
      <c r="H2514" s="363"/>
      <c r="I2514" s="422"/>
      <c r="J2514" s="423"/>
      <c r="K2514" s="424"/>
    </row>
    <row r="2515" spans="1:11" x14ac:dyDescent="0.35">
      <c r="A2515" s="339"/>
      <c r="B2515" s="340"/>
      <c r="C2515" s="340"/>
      <c r="D2515" s="417" t="s">
        <v>59</v>
      </c>
      <c r="E2515" s="720" t="s">
        <v>27</v>
      </c>
      <c r="F2515" s="114">
        <v>350</v>
      </c>
      <c r="G2515" s="114" t="s">
        <v>73</v>
      </c>
      <c r="H2515" s="501"/>
      <c r="I2515" s="502" t="s">
        <v>73</v>
      </c>
      <c r="J2515" s="503"/>
      <c r="K2515" s="721">
        <f t="shared" ref="K2515:K2516" si="290">$A$2023*H2515</f>
        <v>0</v>
      </c>
    </row>
    <row r="2516" spans="1:11" x14ac:dyDescent="0.35">
      <c r="A2516" s="332"/>
      <c r="B2516" s="333"/>
      <c r="C2516" s="333"/>
      <c r="D2516" s="417" t="s">
        <v>48</v>
      </c>
      <c r="E2516" s="720" t="s">
        <v>91</v>
      </c>
      <c r="F2516" s="114">
        <v>100</v>
      </c>
      <c r="G2516" s="114" t="s">
        <v>73</v>
      </c>
      <c r="H2516" s="501"/>
      <c r="I2516" s="502" t="s">
        <v>73</v>
      </c>
      <c r="J2516" s="503"/>
      <c r="K2516" s="721">
        <f t="shared" si="290"/>
        <v>0</v>
      </c>
    </row>
    <row r="2517" spans="1:11" x14ac:dyDescent="0.35">
      <c r="A2517" s="339"/>
      <c r="B2517" s="340"/>
      <c r="C2517" s="340"/>
      <c r="D2517" s="388"/>
      <c r="E2517" s="384" t="s">
        <v>769</v>
      </c>
      <c r="F2517" s="378">
        <v>2</v>
      </c>
      <c r="G2517" s="378" t="s">
        <v>73</v>
      </c>
      <c r="H2517" s="358"/>
      <c r="I2517" s="358"/>
      <c r="J2517" s="358"/>
      <c r="K2517" s="448"/>
    </row>
    <row r="2518" spans="1:11" x14ac:dyDescent="0.35">
      <c r="A2518" s="332"/>
      <c r="B2518" s="333"/>
      <c r="C2518" s="333"/>
      <c r="D2518" s="390" t="s">
        <v>521</v>
      </c>
      <c r="E2518" s="402" t="s">
        <v>906</v>
      </c>
      <c r="F2518" s="22">
        <v>200</v>
      </c>
      <c r="G2518" s="22" t="s">
        <v>73</v>
      </c>
      <c r="H2518" s="333"/>
      <c r="I2518" s="333"/>
      <c r="J2518" s="333"/>
      <c r="K2518" s="442"/>
    </row>
    <row r="2519" spans="1:11" x14ac:dyDescent="0.35">
      <c r="A2519" s="339"/>
      <c r="B2519" s="340"/>
      <c r="C2519" s="340"/>
      <c r="D2519" s="388"/>
      <c r="E2519" s="403" t="s">
        <v>770</v>
      </c>
      <c r="F2519" s="378">
        <v>30</v>
      </c>
      <c r="G2519" s="378" t="s">
        <v>73</v>
      </c>
      <c r="H2519" s="358"/>
      <c r="I2519" s="358"/>
      <c r="J2519" s="358"/>
      <c r="K2519" s="448"/>
    </row>
    <row r="2520" spans="1:11" x14ac:dyDescent="0.35">
      <c r="A2520" s="332"/>
      <c r="B2520" s="333"/>
      <c r="C2520" s="333"/>
      <c r="D2520" s="390" t="s">
        <v>537</v>
      </c>
      <c r="E2520" s="391" t="s">
        <v>771</v>
      </c>
      <c r="F2520" s="22">
        <v>1</v>
      </c>
      <c r="G2520" s="22" t="s">
        <v>73</v>
      </c>
      <c r="H2520" s="333"/>
      <c r="I2520" s="333"/>
      <c r="J2520" s="333"/>
      <c r="K2520" s="442"/>
    </row>
    <row r="2521" spans="1:11" x14ac:dyDescent="0.35">
      <c r="A2521" s="339"/>
      <c r="B2521" s="340"/>
      <c r="C2521" s="340"/>
      <c r="D2521" s="392"/>
      <c r="E2521" s="393" t="s">
        <v>81</v>
      </c>
      <c r="F2521" s="404">
        <v>100</v>
      </c>
      <c r="G2521" s="404" t="s">
        <v>73</v>
      </c>
      <c r="H2521" s="364"/>
      <c r="I2521" s="364"/>
      <c r="J2521" s="364"/>
      <c r="K2521" s="469"/>
    </row>
    <row r="2522" spans="1:11" x14ac:dyDescent="0.35">
      <c r="A2522" s="332"/>
      <c r="B2522" s="333"/>
      <c r="C2522" s="333"/>
      <c r="D2522" s="388"/>
      <c r="E2522" s="403" t="s">
        <v>726</v>
      </c>
      <c r="F2522" s="378">
        <v>2</v>
      </c>
      <c r="G2522" s="378" t="s">
        <v>73</v>
      </c>
      <c r="H2522" s="358"/>
      <c r="I2522" s="358"/>
      <c r="J2522" s="358"/>
      <c r="K2522" s="448"/>
    </row>
    <row r="2523" spans="1:11" x14ac:dyDescent="0.35">
      <c r="A2523" s="339"/>
      <c r="B2523" s="340"/>
      <c r="C2523" s="340"/>
      <c r="D2523" s="390" t="s">
        <v>43</v>
      </c>
      <c r="E2523" s="739" t="s">
        <v>105</v>
      </c>
      <c r="F2523" s="114">
        <v>15</v>
      </c>
      <c r="G2523" s="114" t="s">
        <v>73</v>
      </c>
      <c r="H2523" s="503"/>
      <c r="I2523" s="340"/>
      <c r="J2523" s="340"/>
      <c r="K2523" s="443"/>
    </row>
    <row r="2524" spans="1:11" x14ac:dyDescent="0.35">
      <c r="A2524" s="332"/>
      <c r="B2524" s="333"/>
      <c r="C2524" s="333"/>
      <c r="D2524" s="390" t="s">
        <v>42</v>
      </c>
      <c r="E2524" s="739" t="s">
        <v>95</v>
      </c>
      <c r="F2524" s="114">
        <v>85</v>
      </c>
      <c r="G2524" s="114" t="s">
        <v>73</v>
      </c>
      <c r="H2524" s="503"/>
      <c r="I2524" s="333"/>
      <c r="J2524" s="333"/>
      <c r="K2524" s="442"/>
    </row>
    <row r="2525" spans="1:11" x14ac:dyDescent="0.35">
      <c r="A2525" s="339"/>
      <c r="B2525" s="340"/>
      <c r="C2525" s="340"/>
      <c r="D2525" s="390" t="s">
        <v>517</v>
      </c>
      <c r="E2525" s="504" t="s">
        <v>724</v>
      </c>
      <c r="F2525" s="114">
        <v>8</v>
      </c>
      <c r="G2525" s="114" t="s">
        <v>73</v>
      </c>
      <c r="H2525" s="503"/>
      <c r="I2525" s="340"/>
      <c r="J2525" s="340"/>
      <c r="K2525" s="443"/>
    </row>
    <row r="2526" spans="1:11" ht="15" thickBot="1" x14ac:dyDescent="0.4">
      <c r="A2526" s="332"/>
      <c r="B2526" s="333"/>
      <c r="C2526" s="333"/>
      <c r="D2526" s="390" t="s">
        <v>45</v>
      </c>
      <c r="E2526" s="504" t="s">
        <v>101</v>
      </c>
      <c r="F2526" s="114">
        <v>1</v>
      </c>
      <c r="G2526" s="114" t="s">
        <v>73</v>
      </c>
      <c r="H2526" s="503"/>
      <c r="I2526" s="333"/>
      <c r="J2526" s="333"/>
      <c r="K2526" s="442"/>
    </row>
    <row r="2527" spans="1:11" ht="15.5" thickTop="1" thickBot="1" x14ac:dyDescent="0.4">
      <c r="A2527" s="339"/>
      <c r="B2527" s="340"/>
      <c r="C2527" s="340"/>
      <c r="D2527" s="383"/>
      <c r="E2527" s="384" t="s">
        <v>1206</v>
      </c>
      <c r="F2527" s="378">
        <v>3</v>
      </c>
      <c r="G2527" s="378" t="s">
        <v>74</v>
      </c>
      <c r="H2527" s="358"/>
      <c r="I2527" s="358"/>
      <c r="J2527" s="358"/>
      <c r="K2527" s="448"/>
    </row>
    <row r="2528" spans="1:11" ht="15" thickTop="1" x14ac:dyDescent="0.35">
      <c r="A2528" s="332"/>
      <c r="B2528" s="333"/>
      <c r="C2528" s="333"/>
      <c r="D2528" s="385" t="s">
        <v>491</v>
      </c>
      <c r="E2528" s="397" t="s">
        <v>1197</v>
      </c>
      <c r="F2528" s="335">
        <v>6.3E-2</v>
      </c>
      <c r="G2528" s="335" t="s">
        <v>1072</v>
      </c>
      <c r="H2528" s="333"/>
      <c r="I2528" s="333"/>
      <c r="J2528" s="333"/>
      <c r="K2528" s="442"/>
    </row>
    <row r="2529" spans="1:11" x14ac:dyDescent="0.35">
      <c r="A2529" s="339"/>
      <c r="B2529" s="340"/>
      <c r="C2529" s="340"/>
      <c r="D2529" s="388"/>
      <c r="E2529" s="389" t="s">
        <v>853</v>
      </c>
      <c r="F2529" s="356">
        <v>42.5</v>
      </c>
      <c r="G2529" s="356" t="s">
        <v>73</v>
      </c>
      <c r="H2529" s="358"/>
      <c r="I2529" s="358"/>
      <c r="J2529" s="358"/>
      <c r="K2529" s="448"/>
    </row>
    <row r="2530" spans="1:11" x14ac:dyDescent="0.35">
      <c r="A2530" s="332"/>
      <c r="B2530" s="333"/>
      <c r="C2530" s="333"/>
      <c r="D2530" s="390" t="s">
        <v>1068</v>
      </c>
      <c r="E2530" s="395" t="s">
        <v>1069</v>
      </c>
      <c r="F2530" s="335">
        <v>60</v>
      </c>
      <c r="G2530" s="335" t="s">
        <v>73</v>
      </c>
      <c r="H2530" s="333"/>
      <c r="I2530" s="333"/>
      <c r="J2530" s="333"/>
      <c r="K2530" s="442"/>
    </row>
    <row r="2531" spans="1:11" x14ac:dyDescent="0.35">
      <c r="A2531" s="339"/>
      <c r="B2531" s="340"/>
      <c r="C2531" s="340"/>
      <c r="D2531" s="392"/>
      <c r="E2531" s="393" t="s">
        <v>854</v>
      </c>
      <c r="F2531" s="343">
        <v>90</v>
      </c>
      <c r="G2531" s="343" t="s">
        <v>73</v>
      </c>
      <c r="H2531" s="364"/>
      <c r="I2531" s="364"/>
      <c r="J2531" s="364"/>
      <c r="K2531" s="469"/>
    </row>
    <row r="2532" spans="1:11" ht="15" thickBot="1" x14ac:dyDescent="0.4">
      <c r="A2532" s="332"/>
      <c r="B2532" s="333"/>
      <c r="C2532" s="333"/>
      <c r="D2532" s="390" t="s">
        <v>45</v>
      </c>
      <c r="E2532" s="395" t="s">
        <v>101</v>
      </c>
      <c r="F2532" s="335">
        <v>1.5</v>
      </c>
      <c r="G2532" s="335" t="s">
        <v>73</v>
      </c>
      <c r="H2532" s="333"/>
      <c r="I2532" s="333"/>
      <c r="J2532" s="333"/>
      <c r="K2532" s="442"/>
    </row>
    <row r="2533" spans="1:11" ht="15.5" thickTop="1" thickBot="1" x14ac:dyDescent="0.4">
      <c r="A2533" s="339"/>
      <c r="B2533" s="340"/>
      <c r="C2533" s="340"/>
      <c r="D2533" s="406" t="s">
        <v>521</v>
      </c>
      <c r="E2533" s="391" t="s">
        <v>855</v>
      </c>
      <c r="F2533" s="328">
        <v>55.75</v>
      </c>
      <c r="G2533" s="328" t="s">
        <v>73</v>
      </c>
      <c r="H2533" s="340"/>
      <c r="I2533" s="340"/>
      <c r="J2533" s="340"/>
      <c r="K2533" s="443"/>
    </row>
    <row r="2534" spans="1:11" ht="15" thickTop="1" x14ac:dyDescent="0.35">
      <c r="A2534" s="332"/>
      <c r="B2534" s="333"/>
      <c r="C2534" s="333"/>
      <c r="D2534" s="394"/>
      <c r="E2534" s="388" t="s">
        <v>1945</v>
      </c>
      <c r="F2534" s="459">
        <v>1</v>
      </c>
      <c r="G2534" s="328" t="s">
        <v>1946</v>
      </c>
      <c r="H2534" s="358"/>
      <c r="I2534" s="356" t="s">
        <v>1946</v>
      </c>
      <c r="J2534" s="358"/>
      <c r="K2534" s="448"/>
    </row>
    <row r="2535" spans="1:11" x14ac:dyDescent="0.35">
      <c r="A2535" s="339"/>
      <c r="B2535" s="340"/>
      <c r="C2535" s="340"/>
      <c r="D2535" s="390" t="s">
        <v>47</v>
      </c>
      <c r="E2535" s="454" t="s">
        <v>1943</v>
      </c>
      <c r="F2535" s="328">
        <v>5</v>
      </c>
      <c r="G2535" s="328" t="s">
        <v>73</v>
      </c>
      <c r="H2535" s="340"/>
      <c r="I2535" s="340"/>
      <c r="J2535" s="340"/>
      <c r="K2535" s="443"/>
    </row>
    <row r="2536" spans="1:11" x14ac:dyDescent="0.35">
      <c r="A2536" s="332"/>
      <c r="B2536" s="333"/>
      <c r="C2536" s="333"/>
      <c r="D2536" s="390" t="s">
        <v>50</v>
      </c>
      <c r="E2536" s="453" t="s">
        <v>930</v>
      </c>
      <c r="F2536" s="335">
        <v>40</v>
      </c>
      <c r="G2536" s="328" t="s">
        <v>73</v>
      </c>
      <c r="H2536" s="333"/>
      <c r="I2536" s="333"/>
      <c r="J2536" s="333"/>
      <c r="K2536" s="442"/>
    </row>
    <row r="2537" spans="1:11" x14ac:dyDescent="0.35">
      <c r="A2537" s="339"/>
      <c r="B2537" s="340"/>
      <c r="C2537" s="340"/>
      <c r="D2537" s="390" t="s">
        <v>129</v>
      </c>
      <c r="E2537" s="454" t="s">
        <v>130</v>
      </c>
      <c r="F2537" s="328">
        <v>50</v>
      </c>
      <c r="G2537" s="328" t="s">
        <v>73</v>
      </c>
      <c r="H2537" s="340"/>
      <c r="I2537" s="340"/>
      <c r="J2537" s="340"/>
      <c r="K2537" s="443"/>
    </row>
    <row r="2538" spans="1:11" x14ac:dyDescent="0.35">
      <c r="A2538" s="332"/>
      <c r="B2538" s="333"/>
      <c r="C2538" s="333"/>
      <c r="D2538" s="390" t="s">
        <v>63</v>
      </c>
      <c r="E2538" s="453" t="s">
        <v>978</v>
      </c>
      <c r="F2538" s="335">
        <v>90</v>
      </c>
      <c r="G2538" s="328" t="s">
        <v>73</v>
      </c>
      <c r="H2538" s="333"/>
      <c r="I2538" s="333"/>
      <c r="J2538" s="333"/>
      <c r="K2538" s="442"/>
    </row>
    <row r="2539" spans="1:11" x14ac:dyDescent="0.35">
      <c r="A2539" s="339"/>
      <c r="B2539" s="340"/>
      <c r="C2539" s="340"/>
      <c r="D2539" s="326" t="s">
        <v>392</v>
      </c>
      <c r="E2539" s="380" t="s">
        <v>844</v>
      </c>
      <c r="F2539" s="328">
        <v>1</v>
      </c>
      <c r="G2539" s="328" t="s">
        <v>73</v>
      </c>
      <c r="H2539" s="340"/>
      <c r="I2539" s="340"/>
      <c r="J2539" s="340"/>
      <c r="K2539" s="443"/>
    </row>
    <row r="2540" spans="1:11" ht="13.5" customHeight="1" x14ac:dyDescent="0.35">
      <c r="A2540" s="332"/>
      <c r="B2540" s="333"/>
      <c r="C2540" s="333"/>
      <c r="D2540" s="390" t="s">
        <v>505</v>
      </c>
      <c r="E2540" s="453" t="s">
        <v>722</v>
      </c>
      <c r="F2540" s="335">
        <v>0.2</v>
      </c>
      <c r="G2540" s="328" t="s">
        <v>73</v>
      </c>
      <c r="H2540" s="333"/>
      <c r="I2540" s="333"/>
      <c r="J2540" s="333"/>
      <c r="K2540" s="442"/>
    </row>
    <row r="2541" spans="1:11" x14ac:dyDescent="0.35">
      <c r="A2541" s="348"/>
      <c r="B2541" s="349"/>
      <c r="C2541" s="349"/>
      <c r="D2541" s="349"/>
      <c r="E2541" s="349"/>
      <c r="F2541" s="349"/>
      <c r="G2541" s="349"/>
      <c r="H2541" s="349"/>
      <c r="I2541" s="349"/>
      <c r="J2541" s="349"/>
      <c r="K2541" s="492"/>
    </row>
    <row r="2542" spans="1:11" x14ac:dyDescent="0.35">
      <c r="A2542" s="477">
        <f>IFERROR(INDEX($Q$17:$Q$201,MATCH(B2542,$R$17:$R$201, 0)), "")</f>
        <v>49</v>
      </c>
      <c r="B2542" s="408" t="s">
        <v>1517</v>
      </c>
      <c r="C2542" s="482" t="s">
        <v>1518</v>
      </c>
      <c r="D2542" s="390" t="s">
        <v>49</v>
      </c>
      <c r="E2542" s="412" t="s">
        <v>1905</v>
      </c>
      <c r="F2542" s="18">
        <v>0</v>
      </c>
      <c r="G2542" s="18" t="s">
        <v>73</v>
      </c>
      <c r="H2542" s="18">
        <v>0</v>
      </c>
      <c r="I2542" s="335" t="s">
        <v>73</v>
      </c>
      <c r="J2542" s="333"/>
      <c r="K2542" s="442"/>
    </row>
    <row r="2543" spans="1:11" x14ac:dyDescent="0.35">
      <c r="A2543" s="339"/>
      <c r="B2543" s="340"/>
      <c r="C2543" s="340"/>
      <c r="D2543" s="326" t="s">
        <v>61</v>
      </c>
      <c r="E2543" s="327" t="s">
        <v>706</v>
      </c>
      <c r="F2543" s="22">
        <v>100</v>
      </c>
      <c r="G2543" s="22" t="s">
        <v>73</v>
      </c>
      <c r="H2543" s="22">
        <v>0</v>
      </c>
      <c r="I2543" s="328" t="s">
        <v>73</v>
      </c>
      <c r="J2543" s="340"/>
      <c r="K2543" s="443"/>
    </row>
    <row r="2544" spans="1:11" x14ac:dyDescent="0.35">
      <c r="A2544" s="332"/>
      <c r="B2544" s="333"/>
      <c r="C2544" s="333"/>
      <c r="D2544" s="390" t="s">
        <v>207</v>
      </c>
      <c r="E2544" s="412" t="s">
        <v>208</v>
      </c>
      <c r="F2544" s="18">
        <v>0</v>
      </c>
      <c r="G2544" s="18" t="s">
        <v>73</v>
      </c>
      <c r="H2544" s="18">
        <v>0</v>
      </c>
      <c r="I2544" s="335" t="s">
        <v>73</v>
      </c>
      <c r="J2544" s="333"/>
      <c r="K2544" s="442"/>
    </row>
    <row r="2545" spans="1:11" x14ac:dyDescent="0.35">
      <c r="A2545" s="339"/>
      <c r="B2545" s="340"/>
      <c r="C2545" s="340"/>
      <c r="D2545" s="326" t="s">
        <v>392</v>
      </c>
      <c r="E2545" s="327" t="s">
        <v>844</v>
      </c>
      <c r="F2545" s="22">
        <v>0</v>
      </c>
      <c r="G2545" s="22" t="s">
        <v>73</v>
      </c>
      <c r="H2545" s="22">
        <v>0</v>
      </c>
      <c r="I2545" s="328" t="s">
        <v>73</v>
      </c>
      <c r="J2545" s="340"/>
      <c r="K2545" s="443"/>
    </row>
    <row r="2546" spans="1:11" x14ac:dyDescent="0.35">
      <c r="A2546" s="332"/>
      <c r="B2546" s="333"/>
      <c r="C2546" s="333"/>
      <c r="D2546" s="444" t="s">
        <v>505</v>
      </c>
      <c r="E2546" s="473" t="s">
        <v>1908</v>
      </c>
      <c r="F2546" s="18">
        <v>0.2</v>
      </c>
      <c r="G2546" s="18" t="s">
        <v>73</v>
      </c>
      <c r="H2546" s="18">
        <v>0.2</v>
      </c>
      <c r="I2546" s="335" t="s">
        <v>73</v>
      </c>
      <c r="J2546" s="333"/>
      <c r="K2546" s="442"/>
    </row>
    <row r="2547" spans="1:11" x14ac:dyDescent="0.35">
      <c r="A2547" s="339"/>
      <c r="B2547" s="340"/>
      <c r="C2547" s="340"/>
      <c r="D2547" s="446"/>
      <c r="E2547" s="447" t="s">
        <v>1909</v>
      </c>
      <c r="F2547" s="378">
        <v>180</v>
      </c>
      <c r="G2547" s="378" t="s">
        <v>73</v>
      </c>
      <c r="H2547" s="358"/>
      <c r="I2547" s="358"/>
      <c r="J2547" s="358"/>
      <c r="K2547" s="448"/>
    </row>
    <row r="2548" spans="1:11" x14ac:dyDescent="0.35">
      <c r="A2548" s="332"/>
      <c r="B2548" s="333"/>
      <c r="C2548" s="333"/>
      <c r="D2548" s="449" t="s">
        <v>1660</v>
      </c>
      <c r="E2548" s="451" t="s">
        <v>1897</v>
      </c>
      <c r="F2548" s="18">
        <v>1000</v>
      </c>
      <c r="G2548" s="18" t="s">
        <v>73</v>
      </c>
      <c r="H2548" s="333"/>
      <c r="I2548" s="335" t="s">
        <v>73</v>
      </c>
      <c r="J2548" s="333"/>
      <c r="K2548" s="442"/>
    </row>
    <row r="2549" spans="1:11" x14ac:dyDescent="0.35">
      <c r="A2549" s="339"/>
      <c r="B2549" s="340"/>
      <c r="C2549" s="340"/>
      <c r="D2549" s="449" t="s">
        <v>1871</v>
      </c>
      <c r="E2549" s="450" t="s">
        <v>1910</v>
      </c>
      <c r="F2549" s="22">
        <v>60</v>
      </c>
      <c r="G2549" s="22" t="s">
        <v>73</v>
      </c>
      <c r="H2549" s="340"/>
      <c r="I2549" s="328" t="s">
        <v>73</v>
      </c>
      <c r="J2549" s="340"/>
      <c r="K2549" s="443"/>
    </row>
    <row r="2550" spans="1:11" x14ac:dyDescent="0.35">
      <c r="A2550" s="332"/>
      <c r="B2550" s="333"/>
      <c r="C2550" s="333"/>
      <c r="D2550" s="449"/>
      <c r="E2550" s="451" t="s">
        <v>81</v>
      </c>
      <c r="F2550" s="18">
        <v>1300</v>
      </c>
      <c r="G2550" s="18" t="s">
        <v>73</v>
      </c>
      <c r="H2550" s="333"/>
      <c r="I2550" s="335" t="s">
        <v>73</v>
      </c>
      <c r="J2550" s="333"/>
      <c r="K2550" s="442"/>
    </row>
    <row r="2551" spans="1:11" x14ac:dyDescent="0.35">
      <c r="A2551" s="339"/>
      <c r="B2551" s="340"/>
      <c r="C2551" s="340"/>
      <c r="D2551" s="447"/>
      <c r="E2551" s="452" t="s">
        <v>1916</v>
      </c>
      <c r="F2551" s="378">
        <v>150</v>
      </c>
      <c r="G2551" s="358"/>
      <c r="H2551" s="358"/>
      <c r="I2551" s="358"/>
      <c r="J2551" s="358"/>
      <c r="K2551" s="448"/>
    </row>
    <row r="2552" spans="1:11" x14ac:dyDescent="0.35">
      <c r="A2552" s="332"/>
      <c r="B2552" s="333"/>
      <c r="C2552" s="333"/>
      <c r="D2552" s="449"/>
      <c r="E2552" s="451" t="s">
        <v>81</v>
      </c>
      <c r="F2552" s="18">
        <v>1000</v>
      </c>
      <c r="G2552" s="335" t="s">
        <v>73</v>
      </c>
      <c r="H2552" s="333"/>
      <c r="I2552" s="335" t="s">
        <v>73</v>
      </c>
      <c r="J2552" s="333"/>
      <c r="K2552" s="442"/>
    </row>
    <row r="2553" spans="1:11" x14ac:dyDescent="0.35">
      <c r="A2553" s="339"/>
      <c r="B2553" s="340"/>
      <c r="C2553" s="340"/>
      <c r="D2553" s="390" t="s">
        <v>45</v>
      </c>
      <c r="E2553" s="454" t="s">
        <v>101</v>
      </c>
      <c r="F2553" s="22">
        <v>15</v>
      </c>
      <c r="G2553" s="328" t="s">
        <v>73</v>
      </c>
      <c r="H2553" s="340"/>
      <c r="I2553" s="328" t="s">
        <v>73</v>
      </c>
      <c r="J2553" s="340"/>
      <c r="K2553" s="443"/>
    </row>
    <row r="2554" spans="1:11" x14ac:dyDescent="0.35">
      <c r="A2554" s="332"/>
      <c r="B2554" s="333"/>
      <c r="C2554" s="333"/>
      <c r="D2554" s="390" t="s">
        <v>43</v>
      </c>
      <c r="E2554" s="453" t="s">
        <v>105</v>
      </c>
      <c r="F2554" s="18">
        <v>4</v>
      </c>
      <c r="G2554" s="335" t="s">
        <v>73</v>
      </c>
      <c r="H2554" s="333"/>
      <c r="I2554" s="335" t="s">
        <v>73</v>
      </c>
      <c r="J2554" s="333"/>
      <c r="K2554" s="442"/>
    </row>
    <row r="2555" spans="1:11" x14ac:dyDescent="0.35">
      <c r="A2555" s="339"/>
      <c r="B2555" s="340"/>
      <c r="C2555" s="340"/>
      <c r="D2555" s="390" t="s">
        <v>46</v>
      </c>
      <c r="E2555" s="454" t="s">
        <v>1911</v>
      </c>
      <c r="F2555" s="22">
        <v>2</v>
      </c>
      <c r="G2555" s="328" t="s">
        <v>73</v>
      </c>
      <c r="H2555" s="340"/>
      <c r="I2555" s="328" t="s">
        <v>73</v>
      </c>
      <c r="J2555" s="340"/>
      <c r="K2555" s="443"/>
    </row>
    <row r="2556" spans="1:11" x14ac:dyDescent="0.35">
      <c r="A2556" s="332"/>
      <c r="B2556" s="333"/>
      <c r="C2556" s="333"/>
      <c r="D2556" s="390" t="s">
        <v>42</v>
      </c>
      <c r="E2556" s="453" t="s">
        <v>66</v>
      </c>
      <c r="F2556" s="18">
        <v>5</v>
      </c>
      <c r="G2556" s="335" t="s">
        <v>73</v>
      </c>
      <c r="H2556" s="333"/>
      <c r="I2556" s="335" t="s">
        <v>73</v>
      </c>
      <c r="J2556" s="333"/>
      <c r="K2556" s="442"/>
    </row>
    <row r="2557" spans="1:11" x14ac:dyDescent="0.35">
      <c r="A2557" s="339"/>
      <c r="B2557" s="340"/>
      <c r="C2557" s="340"/>
      <c r="D2557" s="326" t="s">
        <v>41</v>
      </c>
      <c r="E2557" s="380" t="s">
        <v>1912</v>
      </c>
      <c r="F2557" s="22">
        <v>3</v>
      </c>
      <c r="G2557" s="328" t="s">
        <v>73</v>
      </c>
      <c r="H2557" s="340"/>
      <c r="I2557" s="328" t="s">
        <v>73</v>
      </c>
      <c r="J2557" s="340"/>
      <c r="K2557" s="443"/>
    </row>
    <row r="2558" spans="1:11" x14ac:dyDescent="0.35">
      <c r="A2558" s="332"/>
      <c r="B2558" s="333"/>
      <c r="C2558" s="333"/>
      <c r="D2558" s="326" t="s">
        <v>521</v>
      </c>
      <c r="E2558" s="379" t="s">
        <v>1913</v>
      </c>
      <c r="F2558" s="18">
        <v>59</v>
      </c>
      <c r="G2558" s="335" t="s">
        <v>73</v>
      </c>
      <c r="H2558" s="333"/>
      <c r="I2558" s="335" t="s">
        <v>73</v>
      </c>
      <c r="J2558" s="333"/>
      <c r="K2558" s="442"/>
    </row>
    <row r="2559" spans="1:11" x14ac:dyDescent="0.35">
      <c r="A2559" s="339"/>
      <c r="B2559" s="340"/>
      <c r="C2559" s="340"/>
      <c r="D2559" s="449" t="s">
        <v>1915</v>
      </c>
      <c r="E2559" s="450" t="s">
        <v>1941</v>
      </c>
      <c r="F2559" s="22">
        <v>0.5</v>
      </c>
      <c r="G2559" s="328" t="s">
        <v>73</v>
      </c>
      <c r="H2559" s="340"/>
      <c r="I2559" s="328" t="s">
        <v>73</v>
      </c>
      <c r="J2559" s="340"/>
      <c r="K2559" s="443"/>
    </row>
    <row r="2560" spans="1:11" x14ac:dyDescent="0.35">
      <c r="A2560" s="332"/>
      <c r="B2560" s="333"/>
      <c r="C2560" s="333"/>
      <c r="D2560" s="390" t="s">
        <v>48</v>
      </c>
      <c r="E2560" s="453" t="s">
        <v>1914</v>
      </c>
      <c r="F2560" s="18">
        <v>3</v>
      </c>
      <c r="G2560" s="335" t="s">
        <v>73</v>
      </c>
      <c r="H2560" s="333"/>
      <c r="I2560" s="335" t="s">
        <v>73</v>
      </c>
      <c r="J2560" s="333"/>
      <c r="K2560" s="442"/>
    </row>
    <row r="2561" spans="1:11" x14ac:dyDescent="0.35">
      <c r="A2561" s="339"/>
      <c r="B2561" s="340"/>
      <c r="C2561" s="340"/>
      <c r="D2561" s="447"/>
      <c r="E2561" s="452" t="s">
        <v>1917</v>
      </c>
      <c r="F2561" s="356">
        <v>30</v>
      </c>
      <c r="G2561" s="358"/>
      <c r="H2561" s="358"/>
      <c r="I2561" s="358"/>
      <c r="J2561" s="358"/>
      <c r="K2561" s="448"/>
    </row>
    <row r="2562" spans="1:11" x14ac:dyDescent="0.35">
      <c r="A2562" s="332"/>
      <c r="B2562" s="333"/>
      <c r="C2562" s="333"/>
      <c r="D2562" s="449" t="s">
        <v>1604</v>
      </c>
      <c r="E2562" s="451" t="s">
        <v>1940</v>
      </c>
      <c r="F2562" s="335">
        <v>60</v>
      </c>
      <c r="G2562" s="335" t="s">
        <v>73</v>
      </c>
      <c r="H2562" s="333"/>
      <c r="I2562" s="335" t="s">
        <v>73</v>
      </c>
      <c r="J2562" s="333"/>
      <c r="K2562" s="442"/>
    </row>
    <row r="2563" spans="1:11" x14ac:dyDescent="0.35">
      <c r="A2563" s="339"/>
      <c r="B2563" s="340"/>
      <c r="C2563" s="340"/>
      <c r="D2563" s="449" t="s">
        <v>1626</v>
      </c>
      <c r="E2563" s="450" t="s">
        <v>1918</v>
      </c>
      <c r="F2563" s="328">
        <v>70</v>
      </c>
      <c r="G2563" s="328" t="s">
        <v>73</v>
      </c>
      <c r="H2563" s="340"/>
      <c r="I2563" s="328" t="s">
        <v>73</v>
      </c>
      <c r="J2563" s="340"/>
      <c r="K2563" s="443"/>
    </row>
    <row r="2564" spans="1:11" x14ac:dyDescent="0.35">
      <c r="A2564" s="332"/>
      <c r="B2564" s="333"/>
      <c r="C2564" s="333"/>
      <c r="D2564" s="390" t="s">
        <v>50</v>
      </c>
      <c r="E2564" s="453" t="s">
        <v>1919</v>
      </c>
      <c r="F2564" s="335">
        <v>20</v>
      </c>
      <c r="G2564" s="335" t="s">
        <v>73</v>
      </c>
      <c r="H2564" s="333"/>
      <c r="I2564" s="335" t="s">
        <v>73</v>
      </c>
      <c r="J2564" s="333"/>
      <c r="K2564" s="442"/>
    </row>
    <row r="2565" spans="1:11" x14ac:dyDescent="0.35">
      <c r="A2565" s="339"/>
      <c r="B2565" s="340"/>
      <c r="C2565" s="340"/>
      <c r="D2565" s="449" t="s">
        <v>1647</v>
      </c>
      <c r="E2565" s="450" t="s">
        <v>1920</v>
      </c>
      <c r="F2565" s="328">
        <v>80</v>
      </c>
      <c r="G2565" s="328" t="s">
        <v>73</v>
      </c>
      <c r="H2565" s="340"/>
      <c r="I2565" s="328" t="s">
        <v>73</v>
      </c>
      <c r="J2565" s="340"/>
      <c r="K2565" s="443"/>
    </row>
    <row r="2566" spans="1:11" x14ac:dyDescent="0.35">
      <c r="A2566" s="332"/>
      <c r="B2566" s="333"/>
      <c r="C2566" s="333"/>
      <c r="D2566" s="447"/>
      <c r="E2566" s="455" t="s">
        <v>1921</v>
      </c>
      <c r="F2566" s="356">
        <v>1.5</v>
      </c>
      <c r="G2566" s="356" t="s">
        <v>73</v>
      </c>
      <c r="H2566" s="358"/>
      <c r="I2566" s="358"/>
      <c r="J2566" s="358"/>
      <c r="K2566" s="448"/>
    </row>
    <row r="2567" spans="1:11" x14ac:dyDescent="0.35">
      <c r="A2567" s="339"/>
      <c r="B2567" s="340"/>
      <c r="C2567" s="340"/>
      <c r="D2567" s="417" t="s">
        <v>43</v>
      </c>
      <c r="E2567" s="456" t="s">
        <v>94</v>
      </c>
      <c r="F2567" s="22">
        <v>85</v>
      </c>
      <c r="G2567" s="457" t="s">
        <v>73</v>
      </c>
      <c r="H2567" s="340"/>
      <c r="I2567" s="328" t="s">
        <v>73</v>
      </c>
      <c r="J2567" s="340"/>
      <c r="K2567" s="443"/>
    </row>
    <row r="2568" spans="1:11" x14ac:dyDescent="0.35">
      <c r="A2568" s="332"/>
      <c r="B2568" s="333"/>
      <c r="C2568" s="333"/>
      <c r="D2568" s="417" t="s">
        <v>42</v>
      </c>
      <c r="E2568" s="474" t="s">
        <v>95</v>
      </c>
      <c r="F2568" s="18">
        <v>15</v>
      </c>
      <c r="G2568" s="458" t="s">
        <v>73</v>
      </c>
      <c r="H2568" s="333"/>
      <c r="I2568" s="335" t="s">
        <v>73</v>
      </c>
      <c r="J2568" s="333"/>
      <c r="K2568" s="442"/>
    </row>
    <row r="2569" spans="1:11" ht="15" thickBot="1" x14ac:dyDescent="0.4">
      <c r="A2569" s="339"/>
      <c r="B2569" s="340"/>
      <c r="C2569" s="340"/>
      <c r="D2569" s="398"/>
      <c r="E2569" s="388" t="s">
        <v>1191</v>
      </c>
      <c r="F2569" s="459">
        <v>30</v>
      </c>
      <c r="G2569" s="378" t="s">
        <v>73</v>
      </c>
      <c r="H2569" s="358"/>
      <c r="I2569" s="356" t="s">
        <v>73</v>
      </c>
      <c r="J2569" s="358"/>
      <c r="K2569" s="448"/>
    </row>
    <row r="2570" spans="1:11" ht="15" thickTop="1" x14ac:dyDescent="0.35">
      <c r="A2570" s="332"/>
      <c r="B2570" s="333"/>
      <c r="C2570" s="333"/>
      <c r="D2570" s="385" t="s">
        <v>47</v>
      </c>
      <c r="E2570" s="395" t="s">
        <v>1192</v>
      </c>
      <c r="F2570" s="335">
        <v>10</v>
      </c>
      <c r="G2570" s="18" t="s">
        <v>73</v>
      </c>
      <c r="H2570" s="333"/>
      <c r="I2570" s="335" t="s">
        <v>73</v>
      </c>
      <c r="J2570" s="333"/>
      <c r="K2570" s="442"/>
    </row>
    <row r="2571" spans="1:11" x14ac:dyDescent="0.35">
      <c r="A2571" s="339"/>
      <c r="B2571" s="340"/>
      <c r="C2571" s="340"/>
      <c r="D2571" s="390" t="s">
        <v>50</v>
      </c>
      <c r="E2571" s="391" t="s">
        <v>394</v>
      </c>
      <c r="F2571" s="328">
        <v>40</v>
      </c>
      <c r="G2571" s="22" t="s">
        <v>73</v>
      </c>
      <c r="H2571" s="340"/>
      <c r="I2571" s="328" t="s">
        <v>73</v>
      </c>
      <c r="J2571" s="340"/>
      <c r="K2571" s="443"/>
    </row>
    <row r="2572" spans="1:11" x14ac:dyDescent="0.35">
      <c r="A2572" s="332"/>
      <c r="B2572" s="333"/>
      <c r="C2572" s="333"/>
      <c r="D2572" s="390" t="s">
        <v>371</v>
      </c>
      <c r="E2572" s="395" t="s">
        <v>372</v>
      </c>
      <c r="F2572" s="335">
        <v>40</v>
      </c>
      <c r="G2572" s="18" t="s">
        <v>73</v>
      </c>
      <c r="H2572" s="333"/>
      <c r="I2572" s="335" t="s">
        <v>73</v>
      </c>
      <c r="J2572" s="333"/>
      <c r="K2572" s="442"/>
    </row>
    <row r="2573" spans="1:11" x14ac:dyDescent="0.35">
      <c r="A2573" s="339"/>
      <c r="B2573" s="340"/>
      <c r="C2573" s="340"/>
      <c r="D2573" s="390" t="s">
        <v>260</v>
      </c>
      <c r="E2573" s="391" t="s">
        <v>1193</v>
      </c>
      <c r="F2573" s="328">
        <v>120</v>
      </c>
      <c r="G2573" s="22" t="s">
        <v>73</v>
      </c>
      <c r="H2573" s="340"/>
      <c r="I2573" s="328" t="s">
        <v>73</v>
      </c>
      <c r="J2573" s="340"/>
      <c r="K2573" s="443"/>
    </row>
    <row r="2574" spans="1:11" ht="15" thickBot="1" x14ac:dyDescent="0.4">
      <c r="A2574" s="332"/>
      <c r="B2574" s="333"/>
      <c r="C2574" s="333"/>
      <c r="D2574" s="396"/>
      <c r="E2574" s="463" t="s">
        <v>950</v>
      </c>
      <c r="F2574" s="343">
        <v>40</v>
      </c>
      <c r="G2574" s="493" t="s">
        <v>73</v>
      </c>
      <c r="H2574" s="465"/>
      <c r="I2574" s="466" t="s">
        <v>73</v>
      </c>
      <c r="J2574" s="465"/>
      <c r="K2574" s="467"/>
    </row>
    <row r="2575" spans="1:11" ht="15" thickTop="1" x14ac:dyDescent="0.35">
      <c r="A2575" s="339"/>
      <c r="B2575" s="340"/>
      <c r="C2575" s="340"/>
      <c r="D2575" s="385" t="s">
        <v>141</v>
      </c>
      <c r="E2575" s="391" t="s">
        <v>1194</v>
      </c>
      <c r="F2575" s="328">
        <v>40</v>
      </c>
      <c r="G2575" s="22" t="s">
        <v>73</v>
      </c>
      <c r="H2575" s="340"/>
      <c r="I2575" s="328" t="s">
        <v>73</v>
      </c>
      <c r="J2575" s="340"/>
      <c r="K2575" s="443"/>
    </row>
    <row r="2576" spans="1:11" x14ac:dyDescent="0.35">
      <c r="A2576" s="332"/>
      <c r="B2576" s="333"/>
      <c r="C2576" s="333"/>
      <c r="D2576" s="390" t="s">
        <v>46</v>
      </c>
      <c r="E2576" s="395" t="s">
        <v>1195</v>
      </c>
      <c r="F2576" s="335">
        <v>20</v>
      </c>
      <c r="G2576" s="18" t="s">
        <v>73</v>
      </c>
      <c r="H2576" s="333"/>
      <c r="I2576" s="335" t="s">
        <v>73</v>
      </c>
      <c r="J2576" s="333"/>
      <c r="K2576" s="442"/>
    </row>
    <row r="2577" spans="1:11" ht="15" thickBot="1" x14ac:dyDescent="0.4">
      <c r="A2577" s="339"/>
      <c r="B2577" s="340"/>
      <c r="C2577" s="340"/>
      <c r="D2577" s="390" t="s">
        <v>379</v>
      </c>
      <c r="E2577" s="391" t="s">
        <v>380</v>
      </c>
      <c r="F2577" s="328">
        <v>10</v>
      </c>
      <c r="G2577" s="22" t="s">
        <v>73</v>
      </c>
      <c r="H2577" s="340"/>
      <c r="I2577" s="328" t="s">
        <v>73</v>
      </c>
      <c r="J2577" s="340"/>
      <c r="K2577" s="443"/>
    </row>
    <row r="2578" spans="1:11" ht="15" thickTop="1" x14ac:dyDescent="0.35">
      <c r="A2578" s="332"/>
      <c r="B2578" s="333"/>
      <c r="C2578" s="333"/>
      <c r="D2578" s="468"/>
      <c r="E2578" s="355" t="s">
        <v>973</v>
      </c>
      <c r="F2578" s="356">
        <v>40</v>
      </c>
      <c r="G2578" s="378" t="s">
        <v>73</v>
      </c>
      <c r="H2578" s="358"/>
      <c r="I2578" s="356" t="s">
        <v>73</v>
      </c>
      <c r="J2578" s="358"/>
      <c r="K2578" s="448"/>
    </row>
    <row r="2579" spans="1:11" x14ac:dyDescent="0.35">
      <c r="A2579" s="339"/>
      <c r="B2579" s="340"/>
      <c r="C2579" s="340"/>
      <c r="D2579" s="326" t="s">
        <v>47</v>
      </c>
      <c r="E2579" s="426" t="s">
        <v>740</v>
      </c>
      <c r="F2579" s="22">
        <v>3</v>
      </c>
      <c r="G2579" s="22" t="s">
        <v>73</v>
      </c>
      <c r="H2579" s="340"/>
      <c r="I2579" s="328" t="s">
        <v>73</v>
      </c>
      <c r="J2579" s="340"/>
      <c r="K2579" s="443"/>
    </row>
    <row r="2580" spans="1:11" x14ac:dyDescent="0.35">
      <c r="A2580" s="332"/>
      <c r="B2580" s="333"/>
      <c r="C2580" s="333"/>
      <c r="D2580" s="326" t="s">
        <v>49</v>
      </c>
      <c r="E2580" s="425" t="s">
        <v>916</v>
      </c>
      <c r="F2580" s="18">
        <v>8</v>
      </c>
      <c r="G2580" s="18" t="s">
        <v>73</v>
      </c>
      <c r="H2580" s="333"/>
      <c r="I2580" s="335" t="s">
        <v>73</v>
      </c>
      <c r="J2580" s="333"/>
      <c r="K2580" s="442"/>
    </row>
    <row r="2581" spans="1:11" x14ac:dyDescent="0.35">
      <c r="A2581" s="339"/>
      <c r="B2581" s="340"/>
      <c r="C2581" s="340"/>
      <c r="D2581" s="326" t="s">
        <v>50</v>
      </c>
      <c r="E2581" s="426" t="s">
        <v>917</v>
      </c>
      <c r="F2581" s="22">
        <v>40</v>
      </c>
      <c r="G2581" s="22" t="s">
        <v>73</v>
      </c>
      <c r="H2581" s="340"/>
      <c r="I2581" s="328" t="s">
        <v>73</v>
      </c>
      <c r="J2581" s="340"/>
      <c r="K2581" s="443"/>
    </row>
    <row r="2582" spans="1:11" x14ac:dyDescent="0.35">
      <c r="A2582" s="332"/>
      <c r="B2582" s="333"/>
      <c r="C2582" s="333"/>
      <c r="D2582" s="326" t="s">
        <v>371</v>
      </c>
      <c r="E2582" s="425" t="s">
        <v>918</v>
      </c>
      <c r="F2582" s="18">
        <v>20</v>
      </c>
      <c r="G2582" s="18" t="s">
        <v>73</v>
      </c>
      <c r="H2582" s="333"/>
      <c r="I2582" s="335" t="s">
        <v>73</v>
      </c>
      <c r="J2582" s="333"/>
      <c r="K2582" s="442"/>
    </row>
    <row r="2583" spans="1:11" x14ac:dyDescent="0.35">
      <c r="A2583" s="339"/>
      <c r="B2583" s="340"/>
      <c r="C2583" s="340"/>
      <c r="D2583" s="326" t="s">
        <v>379</v>
      </c>
      <c r="E2583" s="426" t="s">
        <v>919</v>
      </c>
      <c r="F2583" s="22">
        <v>10</v>
      </c>
      <c r="G2583" s="22" t="s">
        <v>73</v>
      </c>
      <c r="H2583" s="340"/>
      <c r="I2583" s="328" t="s">
        <v>73</v>
      </c>
      <c r="J2583" s="340"/>
      <c r="K2583" s="443"/>
    </row>
    <row r="2584" spans="1:11" x14ac:dyDescent="0.35">
      <c r="A2584" s="332"/>
      <c r="B2584" s="333"/>
      <c r="C2584" s="333"/>
      <c r="D2584" s="326" t="s">
        <v>505</v>
      </c>
      <c r="E2584" s="425" t="s">
        <v>722</v>
      </c>
      <c r="F2584" s="18">
        <v>0.5</v>
      </c>
      <c r="G2584" s="18" t="s">
        <v>73</v>
      </c>
      <c r="H2584" s="333"/>
      <c r="I2584" s="335" t="s">
        <v>73</v>
      </c>
      <c r="J2584" s="333"/>
      <c r="K2584" s="442"/>
    </row>
    <row r="2585" spans="1:11" x14ac:dyDescent="0.35">
      <c r="A2585" s="339"/>
      <c r="B2585" s="340"/>
      <c r="C2585" s="340"/>
      <c r="D2585" s="326" t="s">
        <v>41</v>
      </c>
      <c r="E2585" s="426" t="s">
        <v>1948</v>
      </c>
      <c r="F2585" s="22">
        <v>2</v>
      </c>
      <c r="G2585" s="22" t="s">
        <v>73</v>
      </c>
      <c r="H2585" s="340"/>
      <c r="I2585" s="328" t="s">
        <v>73</v>
      </c>
      <c r="J2585" s="340"/>
      <c r="K2585" s="443"/>
    </row>
    <row r="2586" spans="1:11" x14ac:dyDescent="0.35">
      <c r="A2586" s="332"/>
      <c r="B2586" s="333"/>
      <c r="C2586" s="333"/>
      <c r="D2586" s="326" t="s">
        <v>127</v>
      </c>
      <c r="E2586" s="425" t="s">
        <v>912</v>
      </c>
      <c r="F2586" s="18">
        <v>28</v>
      </c>
      <c r="G2586" s="18" t="s">
        <v>73</v>
      </c>
      <c r="H2586" s="333"/>
      <c r="I2586" s="335" t="s">
        <v>73</v>
      </c>
      <c r="J2586" s="333"/>
      <c r="K2586" s="442"/>
    </row>
    <row r="2587" spans="1:11" x14ac:dyDescent="0.35">
      <c r="A2587" s="339"/>
      <c r="B2587" s="340"/>
      <c r="C2587" s="340"/>
      <c r="D2587" s="326" t="s">
        <v>549</v>
      </c>
      <c r="E2587" s="426" t="s">
        <v>915</v>
      </c>
      <c r="F2587" s="22">
        <v>165</v>
      </c>
      <c r="G2587" s="22" t="s">
        <v>73</v>
      </c>
      <c r="H2587" s="340"/>
      <c r="I2587" s="328" t="s">
        <v>73</v>
      </c>
      <c r="J2587" s="340"/>
      <c r="K2587" s="443"/>
    </row>
    <row r="2588" spans="1:11" ht="15" thickBot="1" x14ac:dyDescent="0.4">
      <c r="A2588" s="332"/>
      <c r="B2588" s="333"/>
      <c r="C2588" s="333"/>
      <c r="D2588" s="413"/>
      <c r="E2588" s="388" t="s">
        <v>84</v>
      </c>
      <c r="F2588" s="378">
        <v>30</v>
      </c>
      <c r="G2588" s="378" t="s">
        <v>73</v>
      </c>
      <c r="H2588" s="357"/>
      <c r="I2588" s="358"/>
      <c r="J2588" s="358"/>
      <c r="K2588" s="414"/>
    </row>
    <row r="2589" spans="1:11" ht="15" thickTop="1" x14ac:dyDescent="0.35">
      <c r="A2589" s="339"/>
      <c r="B2589" s="340"/>
      <c r="C2589" s="340"/>
      <c r="D2589" s="415"/>
      <c r="E2589" s="416" t="s">
        <v>26</v>
      </c>
      <c r="F2589" s="378">
        <v>1000</v>
      </c>
      <c r="G2589" s="378" t="s">
        <v>73</v>
      </c>
      <c r="H2589" s="357"/>
      <c r="I2589" s="358"/>
      <c r="J2589" s="358"/>
      <c r="K2589" s="414"/>
    </row>
    <row r="2590" spans="1:11" x14ac:dyDescent="0.35">
      <c r="A2590" s="332"/>
      <c r="B2590" s="333"/>
      <c r="C2590" s="333"/>
      <c r="D2590" s="417" t="s">
        <v>60</v>
      </c>
      <c r="E2590" s="418" t="s">
        <v>121</v>
      </c>
      <c r="F2590" s="22">
        <v>1000</v>
      </c>
      <c r="G2590" s="22" t="s">
        <v>73</v>
      </c>
      <c r="H2590" s="361"/>
      <c r="I2590" s="18" t="s">
        <v>73</v>
      </c>
      <c r="J2590" s="333"/>
      <c r="K2590" s="411">
        <f t="shared" ref="K2590:K2591" si="291">$A$2023*H2590</f>
        <v>0</v>
      </c>
    </row>
    <row r="2591" spans="1:11" x14ac:dyDescent="0.35">
      <c r="A2591" s="339"/>
      <c r="B2591" s="340"/>
      <c r="C2591" s="340"/>
      <c r="D2591" s="417" t="s">
        <v>43</v>
      </c>
      <c r="E2591" s="475" t="s">
        <v>94</v>
      </c>
      <c r="F2591" s="22">
        <v>30</v>
      </c>
      <c r="G2591" s="22" t="s">
        <v>73</v>
      </c>
      <c r="H2591" s="367"/>
      <c r="I2591" s="22" t="s">
        <v>73</v>
      </c>
      <c r="J2591" s="340"/>
      <c r="K2591" s="410">
        <f t="shared" si="291"/>
        <v>0</v>
      </c>
    </row>
    <row r="2592" spans="1:11" x14ac:dyDescent="0.35">
      <c r="A2592" s="332"/>
      <c r="B2592" s="333"/>
      <c r="C2592" s="333"/>
      <c r="D2592" s="420"/>
      <c r="E2592" s="421" t="s">
        <v>81</v>
      </c>
      <c r="F2592" s="404">
        <v>400</v>
      </c>
      <c r="G2592" s="404" t="s">
        <v>73</v>
      </c>
      <c r="H2592" s="363"/>
      <c r="I2592" s="422"/>
      <c r="J2592" s="423"/>
      <c r="K2592" s="424"/>
    </row>
    <row r="2593" spans="1:11" x14ac:dyDescent="0.35">
      <c r="A2593" s="339"/>
      <c r="B2593" s="340"/>
      <c r="C2593" s="340"/>
      <c r="D2593" s="417" t="s">
        <v>59</v>
      </c>
      <c r="E2593" s="720" t="s">
        <v>27</v>
      </c>
      <c r="F2593" s="114">
        <v>350</v>
      </c>
      <c r="G2593" s="114" t="s">
        <v>73</v>
      </c>
      <c r="H2593" s="501"/>
      <c r="I2593" s="502" t="s">
        <v>73</v>
      </c>
      <c r="J2593" s="503"/>
      <c r="K2593" s="721">
        <f t="shared" ref="K2593:K2594" si="292">$A$2023*H2593</f>
        <v>0</v>
      </c>
    </row>
    <row r="2594" spans="1:11" x14ac:dyDescent="0.35">
      <c r="A2594" s="332"/>
      <c r="B2594" s="333"/>
      <c r="C2594" s="333"/>
      <c r="D2594" s="417" t="s">
        <v>48</v>
      </c>
      <c r="E2594" s="720" t="s">
        <v>91</v>
      </c>
      <c r="F2594" s="114">
        <v>100</v>
      </c>
      <c r="G2594" s="114" t="s">
        <v>73</v>
      </c>
      <c r="H2594" s="501"/>
      <c r="I2594" s="502" t="s">
        <v>73</v>
      </c>
      <c r="J2594" s="503"/>
      <c r="K2594" s="721">
        <f t="shared" si="292"/>
        <v>0</v>
      </c>
    </row>
    <row r="2595" spans="1:11" x14ac:dyDescent="0.35">
      <c r="A2595" s="339"/>
      <c r="B2595" s="340"/>
      <c r="C2595" s="340"/>
      <c r="D2595" s="388"/>
      <c r="E2595" s="384" t="s">
        <v>769</v>
      </c>
      <c r="F2595" s="378">
        <v>2</v>
      </c>
      <c r="G2595" s="378" t="s">
        <v>73</v>
      </c>
      <c r="H2595" s="358"/>
      <c r="I2595" s="358"/>
      <c r="J2595" s="358"/>
      <c r="K2595" s="448"/>
    </row>
    <row r="2596" spans="1:11" x14ac:dyDescent="0.35">
      <c r="A2596" s="332"/>
      <c r="B2596" s="333"/>
      <c r="C2596" s="333"/>
      <c r="D2596" s="390" t="s">
        <v>521</v>
      </c>
      <c r="E2596" s="504" t="s">
        <v>906</v>
      </c>
      <c r="F2596" s="114">
        <v>200</v>
      </c>
      <c r="G2596" s="114" t="s">
        <v>73</v>
      </c>
      <c r="H2596" s="503"/>
      <c r="I2596" s="503"/>
      <c r="J2596" s="503"/>
      <c r="K2596" s="719"/>
    </row>
    <row r="2597" spans="1:11" x14ac:dyDescent="0.35">
      <c r="A2597" s="339"/>
      <c r="B2597" s="340"/>
      <c r="C2597" s="340"/>
      <c r="D2597" s="388"/>
      <c r="E2597" s="403" t="s">
        <v>770</v>
      </c>
      <c r="F2597" s="378">
        <v>30</v>
      </c>
      <c r="G2597" s="378" t="s">
        <v>73</v>
      </c>
      <c r="H2597" s="358"/>
      <c r="I2597" s="358"/>
      <c r="J2597" s="358"/>
      <c r="K2597" s="448"/>
    </row>
    <row r="2598" spans="1:11" x14ac:dyDescent="0.35">
      <c r="A2598" s="332"/>
      <c r="B2598" s="333"/>
      <c r="C2598" s="333"/>
      <c r="D2598" s="390" t="s">
        <v>537</v>
      </c>
      <c r="E2598" s="500" t="s">
        <v>771</v>
      </c>
      <c r="F2598" s="114">
        <v>1</v>
      </c>
      <c r="G2598" s="114" t="s">
        <v>73</v>
      </c>
      <c r="H2598" s="503"/>
      <c r="I2598" s="503"/>
      <c r="J2598" s="503"/>
      <c r="K2598" s="719"/>
    </row>
    <row r="2599" spans="1:11" x14ac:dyDescent="0.35">
      <c r="A2599" s="339"/>
      <c r="B2599" s="340"/>
      <c r="C2599" s="340"/>
      <c r="D2599" s="392"/>
      <c r="E2599" s="393" t="s">
        <v>81</v>
      </c>
      <c r="F2599" s="404">
        <v>100</v>
      </c>
      <c r="G2599" s="404" t="s">
        <v>73</v>
      </c>
      <c r="H2599" s="364"/>
      <c r="I2599" s="364"/>
      <c r="J2599" s="364"/>
      <c r="K2599" s="469"/>
    </row>
    <row r="2600" spans="1:11" x14ac:dyDescent="0.35">
      <c r="A2600" s="332"/>
      <c r="B2600" s="333"/>
      <c r="C2600" s="333"/>
      <c r="D2600" s="388"/>
      <c r="E2600" s="403" t="s">
        <v>726</v>
      </c>
      <c r="F2600" s="378">
        <v>2</v>
      </c>
      <c r="G2600" s="378" t="s">
        <v>73</v>
      </c>
      <c r="H2600" s="358"/>
      <c r="I2600" s="358"/>
      <c r="J2600" s="358"/>
      <c r="K2600" s="448"/>
    </row>
    <row r="2601" spans="1:11" x14ac:dyDescent="0.35">
      <c r="A2601" s="339"/>
      <c r="B2601" s="340"/>
      <c r="C2601" s="340"/>
      <c r="D2601" s="390" t="s">
        <v>43</v>
      </c>
      <c r="E2601" s="500" t="s">
        <v>105</v>
      </c>
      <c r="F2601" s="114">
        <v>15</v>
      </c>
      <c r="G2601" s="114" t="s">
        <v>73</v>
      </c>
      <c r="H2601" s="503"/>
      <c r="I2601" s="503"/>
      <c r="J2601" s="503"/>
      <c r="K2601" s="719"/>
    </row>
    <row r="2602" spans="1:11" x14ac:dyDescent="0.35">
      <c r="A2602" s="332"/>
      <c r="B2602" s="333"/>
      <c r="C2602" s="333"/>
      <c r="D2602" s="390" t="s">
        <v>42</v>
      </c>
      <c r="E2602" s="500" t="s">
        <v>95</v>
      </c>
      <c r="F2602" s="114">
        <v>85</v>
      </c>
      <c r="G2602" s="114" t="s">
        <v>73</v>
      </c>
      <c r="H2602" s="503"/>
      <c r="I2602" s="503"/>
      <c r="J2602" s="503"/>
      <c r="K2602" s="719"/>
    </row>
    <row r="2603" spans="1:11" x14ac:dyDescent="0.35">
      <c r="A2603" s="339"/>
      <c r="B2603" s="340"/>
      <c r="C2603" s="340"/>
      <c r="D2603" s="390" t="s">
        <v>517</v>
      </c>
      <c r="E2603" s="504" t="s">
        <v>724</v>
      </c>
      <c r="F2603" s="114">
        <v>8</v>
      </c>
      <c r="G2603" s="114" t="s">
        <v>73</v>
      </c>
      <c r="H2603" s="503"/>
      <c r="I2603" s="503"/>
      <c r="J2603" s="503"/>
      <c r="K2603" s="719"/>
    </row>
    <row r="2604" spans="1:11" ht="15" thickBot="1" x14ac:dyDescent="0.4">
      <c r="A2604" s="332"/>
      <c r="B2604" s="333"/>
      <c r="C2604" s="333"/>
      <c r="D2604" s="390" t="s">
        <v>45</v>
      </c>
      <c r="E2604" s="504" t="s">
        <v>101</v>
      </c>
      <c r="F2604" s="114">
        <v>1</v>
      </c>
      <c r="G2604" s="114" t="s">
        <v>73</v>
      </c>
      <c r="H2604" s="503"/>
      <c r="I2604" s="503"/>
      <c r="J2604" s="503"/>
      <c r="K2604" s="719"/>
    </row>
    <row r="2605" spans="1:11" ht="15.5" thickTop="1" thickBot="1" x14ac:dyDescent="0.4">
      <c r="A2605" s="339"/>
      <c r="B2605" s="340"/>
      <c r="C2605" s="340"/>
      <c r="D2605" s="383"/>
      <c r="E2605" s="384" t="s">
        <v>1206</v>
      </c>
      <c r="F2605" s="378">
        <v>3</v>
      </c>
      <c r="G2605" s="378" t="s">
        <v>74</v>
      </c>
      <c r="H2605" s="358"/>
      <c r="I2605" s="358"/>
      <c r="J2605" s="358"/>
      <c r="K2605" s="448"/>
    </row>
    <row r="2606" spans="1:11" ht="15" thickTop="1" x14ac:dyDescent="0.35">
      <c r="A2606" s="332"/>
      <c r="B2606" s="333"/>
      <c r="C2606" s="333"/>
      <c r="D2606" s="385" t="s">
        <v>491</v>
      </c>
      <c r="E2606" s="397" t="s">
        <v>1197</v>
      </c>
      <c r="F2606" s="335">
        <v>6.3E-2</v>
      </c>
      <c r="G2606" s="335" t="s">
        <v>1072</v>
      </c>
      <c r="H2606" s="333"/>
      <c r="I2606" s="333"/>
      <c r="J2606" s="333"/>
      <c r="K2606" s="442"/>
    </row>
    <row r="2607" spans="1:11" x14ac:dyDescent="0.35">
      <c r="A2607" s="339"/>
      <c r="B2607" s="340"/>
      <c r="C2607" s="340"/>
      <c r="D2607" s="388"/>
      <c r="E2607" s="389" t="s">
        <v>853</v>
      </c>
      <c r="F2607" s="356">
        <v>42.5</v>
      </c>
      <c r="G2607" s="356" t="s">
        <v>73</v>
      </c>
      <c r="H2607" s="358"/>
      <c r="I2607" s="358"/>
      <c r="J2607" s="358"/>
      <c r="K2607" s="448"/>
    </row>
    <row r="2608" spans="1:11" x14ac:dyDescent="0.35">
      <c r="A2608" s="332"/>
      <c r="B2608" s="333"/>
      <c r="C2608" s="333"/>
      <c r="D2608" s="390" t="s">
        <v>1068</v>
      </c>
      <c r="E2608" s="395" t="s">
        <v>1069</v>
      </c>
      <c r="F2608" s="335">
        <v>60</v>
      </c>
      <c r="G2608" s="335" t="s">
        <v>73</v>
      </c>
      <c r="H2608" s="333"/>
      <c r="I2608" s="333"/>
      <c r="J2608" s="333"/>
      <c r="K2608" s="442"/>
    </row>
    <row r="2609" spans="1:11" x14ac:dyDescent="0.35">
      <c r="A2609" s="339"/>
      <c r="B2609" s="340"/>
      <c r="C2609" s="340"/>
      <c r="D2609" s="392"/>
      <c r="E2609" s="393" t="s">
        <v>854</v>
      </c>
      <c r="F2609" s="343">
        <v>90</v>
      </c>
      <c r="G2609" s="343" t="s">
        <v>73</v>
      </c>
      <c r="H2609" s="364"/>
      <c r="I2609" s="364"/>
      <c r="J2609" s="364"/>
      <c r="K2609" s="469"/>
    </row>
    <row r="2610" spans="1:11" ht="15" thickBot="1" x14ac:dyDescent="0.4">
      <c r="A2610" s="332"/>
      <c r="B2610" s="333"/>
      <c r="C2610" s="333"/>
      <c r="D2610" s="390" t="s">
        <v>45</v>
      </c>
      <c r="E2610" s="395" t="s">
        <v>101</v>
      </c>
      <c r="F2610" s="335">
        <v>1.5</v>
      </c>
      <c r="G2610" s="335" t="s">
        <v>73</v>
      </c>
      <c r="H2610" s="333"/>
      <c r="I2610" s="333"/>
      <c r="J2610" s="333"/>
      <c r="K2610" s="442"/>
    </row>
    <row r="2611" spans="1:11" ht="15.5" thickTop="1" thickBot="1" x14ac:dyDescent="0.4">
      <c r="A2611" s="339"/>
      <c r="B2611" s="340"/>
      <c r="C2611" s="340"/>
      <c r="D2611" s="406" t="s">
        <v>521</v>
      </c>
      <c r="E2611" s="391" t="s">
        <v>855</v>
      </c>
      <c r="F2611" s="328">
        <v>55.75</v>
      </c>
      <c r="G2611" s="502" t="s">
        <v>73</v>
      </c>
      <c r="H2611" s="340"/>
      <c r="I2611" s="340"/>
      <c r="J2611" s="340"/>
      <c r="K2611" s="443"/>
    </row>
    <row r="2612" spans="1:11" ht="15" thickTop="1" x14ac:dyDescent="0.35">
      <c r="A2612" s="332"/>
      <c r="B2612" s="333"/>
      <c r="C2612" s="333"/>
      <c r="D2612" s="394"/>
      <c r="E2612" s="388" t="s">
        <v>1947</v>
      </c>
      <c r="F2612" s="459">
        <v>40</v>
      </c>
      <c r="G2612" s="502" t="s">
        <v>73</v>
      </c>
      <c r="H2612" s="358"/>
      <c r="I2612" s="356" t="s">
        <v>1946</v>
      </c>
      <c r="J2612" s="358"/>
      <c r="K2612" s="448"/>
    </row>
    <row r="2613" spans="1:11" x14ac:dyDescent="0.35">
      <c r="A2613" s="339"/>
      <c r="B2613" s="340"/>
      <c r="C2613" s="340"/>
      <c r="D2613" s="326" t="s">
        <v>696</v>
      </c>
      <c r="E2613" s="380" t="s">
        <v>1949</v>
      </c>
      <c r="F2613" s="328"/>
      <c r="G2613" s="502" t="s">
        <v>73</v>
      </c>
      <c r="H2613" s="340"/>
      <c r="I2613" s="340"/>
      <c r="J2613" s="340"/>
      <c r="K2613" s="443"/>
    </row>
    <row r="2614" spans="1:11" ht="15" thickBot="1" x14ac:dyDescent="0.4">
      <c r="A2614" s="332"/>
      <c r="B2614" s="333"/>
      <c r="C2614" s="333"/>
      <c r="D2614" s="326" t="s">
        <v>129</v>
      </c>
      <c r="E2614" s="379" t="s">
        <v>1950</v>
      </c>
      <c r="F2614" s="335"/>
      <c r="G2614" s="502" t="s">
        <v>73</v>
      </c>
      <c r="H2614" s="333"/>
      <c r="I2614" s="333"/>
      <c r="J2614" s="333"/>
      <c r="K2614" s="442"/>
    </row>
    <row r="2615" spans="1:11" ht="15" thickTop="1" x14ac:dyDescent="0.35">
      <c r="A2615" s="339"/>
      <c r="B2615" s="340"/>
      <c r="C2615" s="340"/>
      <c r="D2615" s="385" t="s">
        <v>49</v>
      </c>
      <c r="E2615" s="454" t="s">
        <v>1951</v>
      </c>
      <c r="F2615" s="328"/>
      <c r="G2615" s="502" t="s">
        <v>73</v>
      </c>
      <c r="H2615" s="340"/>
      <c r="I2615" s="340"/>
      <c r="J2615" s="340"/>
      <c r="K2615" s="443"/>
    </row>
    <row r="2616" spans="1:11" x14ac:dyDescent="0.35">
      <c r="A2616" s="332"/>
      <c r="B2616" s="333"/>
      <c r="C2616" s="333"/>
      <c r="D2616" s="388"/>
      <c r="E2616" s="483" t="s">
        <v>1952</v>
      </c>
      <c r="F2616" s="356"/>
      <c r="G2616" s="502" t="s">
        <v>73</v>
      </c>
      <c r="H2616" s="358"/>
      <c r="I2616" s="358"/>
      <c r="J2616" s="358"/>
      <c r="K2616" s="448"/>
    </row>
    <row r="2617" spans="1:11" x14ac:dyDescent="0.35">
      <c r="A2617" s="339"/>
      <c r="B2617" s="340"/>
      <c r="C2617" s="503"/>
      <c r="D2617" s="326" t="s">
        <v>333</v>
      </c>
      <c r="E2617" s="495" t="s">
        <v>1956</v>
      </c>
      <c r="F2617" s="328"/>
      <c r="G2617" s="502" t="s">
        <v>73</v>
      </c>
      <c r="H2617" s="340"/>
      <c r="I2617" s="340"/>
      <c r="J2617" s="340"/>
      <c r="K2617" s="443"/>
    </row>
    <row r="2618" spans="1:11" x14ac:dyDescent="0.35">
      <c r="A2618" s="332"/>
      <c r="B2618" s="333"/>
      <c r="C2618" s="333"/>
      <c r="D2618" s="390"/>
      <c r="E2618" s="395" t="s">
        <v>950</v>
      </c>
      <c r="F2618" s="335"/>
      <c r="G2618" s="502" t="s">
        <v>73</v>
      </c>
      <c r="H2618" s="333"/>
      <c r="I2618" s="333"/>
      <c r="J2618" s="333"/>
      <c r="K2618" s="442"/>
    </row>
    <row r="2619" spans="1:11" ht="15" thickBot="1" x14ac:dyDescent="0.4">
      <c r="A2619" s="348"/>
      <c r="B2619" s="349"/>
      <c r="C2619" s="349"/>
      <c r="D2619" s="349"/>
      <c r="E2619" s="349"/>
      <c r="F2619" s="349"/>
      <c r="G2619" s="349"/>
      <c r="H2619" s="349"/>
      <c r="I2619" s="349"/>
      <c r="J2619" s="349"/>
      <c r="K2619" s="492"/>
    </row>
    <row r="2620" spans="1:11" ht="15" thickTop="1" x14ac:dyDescent="0.35">
      <c r="A2620" s="565">
        <f>IFERROR(INDEX($Q$17:$Q$150,MATCH(B2620,$R$17:$R$150, 0)), "")</f>
        <v>13</v>
      </c>
      <c r="B2620" s="382" t="s">
        <v>1322</v>
      </c>
      <c r="C2620" s="325" t="s">
        <v>1430</v>
      </c>
      <c r="D2620" s="347" t="s">
        <v>748</v>
      </c>
      <c r="E2620" s="722" t="s">
        <v>749</v>
      </c>
      <c r="F2620" s="114">
        <v>1</v>
      </c>
      <c r="G2620" s="114" t="s">
        <v>1072</v>
      </c>
      <c r="H2620" s="502">
        <v>1</v>
      </c>
      <c r="I2620" s="502" t="s">
        <v>1072</v>
      </c>
      <c r="J2620" s="723"/>
      <c r="K2620" s="724">
        <f>A2620*H2620</f>
        <v>13</v>
      </c>
    </row>
    <row r="2621" spans="1:11" x14ac:dyDescent="0.35">
      <c r="A2621" s="718" t="str">
        <f t="shared" ref="A2621:A2677" si="293">IFERROR(INDEX($Q$17:$Q$41,MATCH(B2621,$R$17:$R$41, 0)), "")</f>
        <v/>
      </c>
      <c r="B2621" s="113"/>
      <c r="C2621" s="113"/>
      <c r="D2621" s="326" t="s">
        <v>373</v>
      </c>
      <c r="E2621" s="725" t="s">
        <v>772</v>
      </c>
      <c r="F2621" s="114">
        <v>10</v>
      </c>
      <c r="G2621" s="114" t="s">
        <v>73</v>
      </c>
      <c r="H2621" s="502">
        <v>10</v>
      </c>
      <c r="I2621" s="502" t="s">
        <v>73</v>
      </c>
      <c r="J2621" s="113"/>
      <c r="K2621" s="721">
        <f>A2620*H2621</f>
        <v>130</v>
      </c>
    </row>
    <row r="2622" spans="1:11" x14ac:dyDescent="0.35">
      <c r="A2622" s="718" t="str">
        <f t="shared" si="293"/>
        <v/>
      </c>
      <c r="B2622" s="113"/>
      <c r="C2622" s="113"/>
      <c r="D2622" s="326" t="s">
        <v>41</v>
      </c>
      <c r="E2622" s="725" t="s">
        <v>779</v>
      </c>
      <c r="F2622" s="114">
        <v>2</v>
      </c>
      <c r="G2622" s="114" t="s">
        <v>73</v>
      </c>
      <c r="H2622" s="502">
        <v>2</v>
      </c>
      <c r="I2622" s="502" t="s">
        <v>73</v>
      </c>
      <c r="J2622" s="113"/>
      <c r="K2622" s="721">
        <f>A2620*H2622</f>
        <v>26</v>
      </c>
    </row>
    <row r="2623" spans="1:11" x14ac:dyDescent="0.35">
      <c r="A2623" s="718" t="str">
        <f t="shared" si="293"/>
        <v/>
      </c>
      <c r="B2623" s="113"/>
      <c r="C2623" s="113"/>
      <c r="D2623" s="326" t="s">
        <v>491</v>
      </c>
      <c r="E2623" s="718" t="s">
        <v>750</v>
      </c>
      <c r="F2623" s="114">
        <v>1.25</v>
      </c>
      <c r="G2623" s="114" t="s">
        <v>773</v>
      </c>
      <c r="H2623" s="502">
        <v>1.25</v>
      </c>
      <c r="I2623" s="502" t="s">
        <v>773</v>
      </c>
      <c r="J2623" s="113"/>
      <c r="K2623" s="721">
        <f>A2620*H2623</f>
        <v>16.25</v>
      </c>
    </row>
    <row r="2624" spans="1:11" x14ac:dyDescent="0.35">
      <c r="A2624" s="718" t="str">
        <f t="shared" si="293"/>
        <v/>
      </c>
      <c r="B2624" s="113"/>
      <c r="C2624" s="113"/>
      <c r="D2624" s="355"/>
      <c r="E2624" s="549" t="s">
        <v>751</v>
      </c>
      <c r="F2624" s="378">
        <v>100</v>
      </c>
      <c r="G2624" s="378" t="s">
        <v>73</v>
      </c>
      <c r="H2624" s="515"/>
      <c r="I2624" s="515"/>
      <c r="J2624" s="515"/>
      <c r="K2624" s="414"/>
    </row>
    <row r="2625" spans="1:11" x14ac:dyDescent="0.35">
      <c r="A2625" s="718" t="str">
        <f t="shared" si="293"/>
        <v/>
      </c>
      <c r="B2625" s="113"/>
      <c r="C2625" s="113"/>
      <c r="D2625" s="355"/>
      <c r="E2625" s="567" t="s">
        <v>754</v>
      </c>
      <c r="F2625" s="356">
        <v>2100</v>
      </c>
      <c r="G2625" s="378" t="s">
        <v>73</v>
      </c>
      <c r="H2625" s="515"/>
      <c r="I2625" s="515"/>
      <c r="J2625" s="515"/>
      <c r="K2625" s="414"/>
    </row>
    <row r="2626" spans="1:11" x14ac:dyDescent="0.35">
      <c r="A2626" s="718" t="str">
        <f t="shared" si="293"/>
        <v/>
      </c>
      <c r="B2626" s="113"/>
      <c r="C2626" s="113"/>
      <c r="D2626" s="342"/>
      <c r="E2626" s="568" t="s">
        <v>81</v>
      </c>
      <c r="F2626" s="404">
        <v>1300</v>
      </c>
      <c r="G2626" s="404" t="s">
        <v>73</v>
      </c>
      <c r="H2626" s="343">
        <f>ROUND(($F$305)*((($F$306)*(($F$307)/($F$307+$F$308+$F$309)))
/((($F$306)*(($F$307)/($F$307+$F$308+$F$309)))+
(($F$306)*(($F$308)/($F$307+$F$308+$F$309)))+
(($F$306)*(($F$309)/($F$307+$F$308+$F$309)))+
(($F$310)*(($F$311)/($F$311+$F$312+$F$313+$F$314)))+
(($F$310)*(($F$312)/($F$311+$F$312+$F$313+$F$314)))+
(($F$310)*(($F$313)/($F$311+$F$312+$F$313+$F$314)))+
(($F$310)*(($F$314)/($F$311+$F$312+$F$313+$F$314)))+
($F$315)+($F$316))),2)</f>
        <v>53.47</v>
      </c>
      <c r="I2626" s="345"/>
      <c r="J2626" s="345"/>
      <c r="K2626" s="428"/>
    </row>
    <row r="2627" spans="1:11" x14ac:dyDescent="0.35">
      <c r="A2627" s="718" t="str">
        <f t="shared" si="293"/>
        <v/>
      </c>
      <c r="B2627" s="113"/>
      <c r="C2627" s="113"/>
      <c r="D2627" s="326" t="s">
        <v>1660</v>
      </c>
      <c r="E2627" s="726" t="s">
        <v>1897</v>
      </c>
      <c r="F2627" s="114">
        <v>1000</v>
      </c>
      <c r="G2627" s="114" t="s">
        <v>73</v>
      </c>
      <c r="H2627" s="502">
        <f>ROUND(($F$305)*((($F$306)*(($F$308)/($F$307+$F$308+$F$309)))
/((($F$306)*(($F$307)/($F$307+$F$308+$F$309)))+
(($F$306)*(($F$308)/($F$307+$F$308+$F$309)))+
(($F$306)*(($F$309)/($F$307+$F$308+$F$309)))+
(($F$310)*(($F$311)/($F$311+$F$312+$F$313+$F$314)))+
(($F$310)*(($F$312)/($F$311+$F$312+$F$313+$F$314)))+
(($F$310)*(($F$313)/($F$311+$F$312+$F$313+$F$314)))+
(($F$310)*(($F$314)/($F$311+$F$312+$F$313+$F$314)))+
($F$315)+($F$316))),2)</f>
        <v>41.13</v>
      </c>
      <c r="I2627" s="502" t="s">
        <v>73</v>
      </c>
      <c r="J2627" s="113"/>
      <c r="K2627" s="721">
        <f>A2620*H2627</f>
        <v>534.69000000000005</v>
      </c>
    </row>
    <row r="2628" spans="1:11" x14ac:dyDescent="0.35">
      <c r="A2628" s="718" t="str">
        <f t="shared" si="293"/>
        <v/>
      </c>
      <c r="B2628" s="113"/>
      <c r="C2628" s="113"/>
      <c r="D2628" s="326"/>
      <c r="E2628" s="726" t="s">
        <v>753</v>
      </c>
      <c r="F2628" s="114">
        <v>0</v>
      </c>
      <c r="G2628" s="114" t="s">
        <v>73</v>
      </c>
      <c r="H2628" s="502">
        <f>ROUND(($F$305)*((($F$306)*(($F$309)/($F$307+$F$308+$F$309)))
/((($F$306)*(($F$307)/($F$307+$F$308+$F$309)))+
(($F$306)*(($F$308)/($F$307+$F$308+$F$309)))+
(($F$306)*(($F$309)/($F$307+$F$308+$F$309)))+
(($F$310)*(($F$311)/($F$311+$F$312+$F$313+$F$314)))+
(($F$310)*(($F$312)/($F$311+$F$312+$F$313+$F$314)))+
(($F$310)*(($F$313)/($F$311+$F$312+$F$313+$F$314)))+
(($F$310)*(($F$314)/($F$311+$F$312+$F$313+$F$314)))+
($F$315)+($F$316))),2)</f>
        <v>0</v>
      </c>
      <c r="I2628" s="502" t="s">
        <v>73</v>
      </c>
      <c r="J2628" s="113"/>
      <c r="K2628" s="721">
        <f>A2620*H2628</f>
        <v>0</v>
      </c>
    </row>
    <row r="2629" spans="1:11" x14ac:dyDescent="0.35">
      <c r="A2629" s="718" t="str">
        <f t="shared" si="293"/>
        <v/>
      </c>
      <c r="B2629" s="113"/>
      <c r="C2629" s="113"/>
      <c r="D2629" s="355"/>
      <c r="E2629" s="567" t="s">
        <v>755</v>
      </c>
      <c r="F2629" s="378">
        <v>55</v>
      </c>
      <c r="G2629" s="378" t="s">
        <v>73</v>
      </c>
      <c r="H2629" s="356"/>
      <c r="I2629" s="356" t="s">
        <v>73</v>
      </c>
      <c r="J2629" s="515"/>
      <c r="K2629" s="414"/>
    </row>
    <row r="2630" spans="1:11" x14ac:dyDescent="0.35">
      <c r="A2630" s="718" t="str">
        <f t="shared" si="293"/>
        <v/>
      </c>
      <c r="B2630" s="113"/>
      <c r="C2630" s="113"/>
      <c r="D2630" s="326" t="s">
        <v>333</v>
      </c>
      <c r="E2630" s="726" t="s">
        <v>756</v>
      </c>
      <c r="F2630" s="114">
        <v>20</v>
      </c>
      <c r="G2630" s="114" t="s">
        <v>73</v>
      </c>
      <c r="H2630" s="502">
        <f>ROUND(($F$305)*((($F$310)*(($F$311)/($F$311+$F$312+$F$313+$F$314)))
/((($F$306)*(($F$307)/($F$307+$F$308+$F$309)))+
(($F$306)*(($F$308)/($F$307+$F$308+$F$309)))+
(($F$306)*(($F$309)/($F$307+$F$308+$F$309)))+
(($F$310)*(($F$311)/($F$311+$F$312+$F$313+$F$314)))+
(($F$310)*(($F$312)/($F$311+$F$312+$F$313+$F$314)))+
(($F$310)*(($F$313)/($F$311+$F$312+$F$313+$F$314)))+
(($F$310)*(($F$314)/($F$311+$F$312+$F$313+$F$314)))+
($F$315)+($F$316))),2)</f>
        <v>0.2</v>
      </c>
      <c r="I2630" s="502" t="s">
        <v>73</v>
      </c>
      <c r="J2630" s="113"/>
      <c r="K2630" s="721">
        <f>A2620*H2630</f>
        <v>2.6</v>
      </c>
    </row>
    <row r="2631" spans="1:11" x14ac:dyDescent="0.35">
      <c r="A2631" s="718" t="str">
        <f t="shared" si="293"/>
        <v/>
      </c>
      <c r="B2631" s="113"/>
      <c r="C2631" s="113"/>
      <c r="D2631" s="326" t="s">
        <v>43</v>
      </c>
      <c r="E2631" s="726" t="s">
        <v>105</v>
      </c>
      <c r="F2631" s="114">
        <v>20</v>
      </c>
      <c r="G2631" s="114" t="s">
        <v>73</v>
      </c>
      <c r="H2631" s="502">
        <f>ROUND(($F$305)*((($F$310)*(($F$312)/($F$311+$F$312+$F$313+$F$314)))
/((($F$306)*(($F$307)/($F$307+$F$308+$F$309)))+
(($F$306)*(($F$308)/($F$307+$F$308+$F$309)))+
(($F$306)*(($F$309)/($F$307+$F$308+$F$309)))+
(($F$310)*(($F$311)/($F$311+$F$312+$F$313+$F$314)))+
(($F$310)*(($F$312)/($F$311+$F$312+$F$313+$F$314)))+
(($F$310)*(($F$313)/($F$311+$F$312+$F$313+$F$314)))+
(($F$310)*(($F$314)/($F$311+$F$312+$F$313+$F$314)))+
($F$315)+($F$316))),2)</f>
        <v>0.2</v>
      </c>
      <c r="I2631" s="502" t="s">
        <v>73</v>
      </c>
      <c r="J2631" s="113"/>
      <c r="K2631" s="721">
        <f>A2620*H2631</f>
        <v>2.6</v>
      </c>
    </row>
    <row r="2632" spans="1:11" x14ac:dyDescent="0.35">
      <c r="A2632" s="718" t="str">
        <f t="shared" si="293"/>
        <v/>
      </c>
      <c r="B2632" s="113"/>
      <c r="C2632" s="113"/>
      <c r="D2632" s="326" t="s">
        <v>42</v>
      </c>
      <c r="E2632" s="726" t="s">
        <v>66</v>
      </c>
      <c r="F2632" s="114">
        <v>2</v>
      </c>
      <c r="G2632" s="114" t="s">
        <v>73</v>
      </c>
      <c r="H2632" s="502">
        <f>ROUND(($F$305)*((($F$310)*(($F$313)/($F$311+$F$312+$F$313+$F$314)))
/((($F$306)*(($F$307)/($F$307+$F$308+$F$309)))+
(($F$306)*(($F$308)/($F$307+$F$308+$F$309)))+
(($F$306)*(($F$309)/($F$307+$F$308+$F$309)))+
(($F$310)*(($F$311)/($F$311+$F$312+$F$313+$F$314)))+
(($F$310)*(($F$312)/($F$311+$F$312+$F$313+$F$314)))+
(($F$310)*(($F$313)/($F$311+$F$312+$F$313+$F$314)))+
(($F$310)*(($F$314)/($F$311+$F$312+$F$313+$F$314)))+
($F$315)+($F$316))),2)</f>
        <v>0.02</v>
      </c>
      <c r="I2632" s="502" t="s">
        <v>73</v>
      </c>
      <c r="J2632" s="113"/>
      <c r="K2632" s="721">
        <f>A2620*H2632</f>
        <v>0.26</v>
      </c>
    </row>
    <row r="2633" spans="1:11" x14ac:dyDescent="0.35">
      <c r="A2633" s="718" t="str">
        <f t="shared" si="293"/>
        <v/>
      </c>
      <c r="B2633" s="113"/>
      <c r="C2633" s="113"/>
      <c r="D2633" s="342"/>
      <c r="E2633" s="568" t="s">
        <v>81</v>
      </c>
      <c r="F2633" s="404">
        <v>200</v>
      </c>
      <c r="G2633" s="404" t="s">
        <v>73</v>
      </c>
      <c r="H2633" s="343">
        <f>ROUND(($F$305)*((($F$310)*(($F$314)/($F$311+$F$312+$F$313+$F$314)))
/((($F$306)*(($F$307)/($F$307+$F$308+$F$309)))+
(($F$306)*(($F$308)/($F$307+$F$308+$F$309)))+
(($F$306)*(($F$309)/($F$307+$F$308+$F$309)))+
(($F$310)*(($F$311)/($F$311+$F$312+$F$313+$F$314)))+
(($F$310)*(($F$312)/($F$311+$F$312+$F$313+$F$314)))+
(($F$310)*(($F$313)/($F$311+$F$312+$F$313+$F$314)))+
(($F$310)*(($F$314)/($F$311+$F$312+$F$313+$F$314)))+
($F$315)+($F$316))),2)</f>
        <v>2.0499999999999998</v>
      </c>
      <c r="I2633" s="343"/>
      <c r="J2633" s="345"/>
      <c r="K2633" s="428"/>
    </row>
    <row r="2634" spans="1:11" x14ac:dyDescent="0.35">
      <c r="A2634" s="718" t="str">
        <f t="shared" si="293"/>
        <v/>
      </c>
      <c r="B2634" s="113"/>
      <c r="C2634" s="113"/>
      <c r="D2634" s="326" t="s">
        <v>41</v>
      </c>
      <c r="E2634" s="727" t="s">
        <v>757</v>
      </c>
      <c r="F2634" s="114">
        <v>55</v>
      </c>
      <c r="G2634" s="114" t="s">
        <v>73</v>
      </c>
      <c r="H2634" s="502">
        <f>ROUND(($F$305)*((F2634)/((($F$306)*(($F$307)/($F$307+$F$308+$F$309)))+
(($F$306)*(($F$308)/($F$307+$F$308+$F$309)))+
(($F$306)*(($F$309)/($F$307+$F$308+$F$309)))+
(($F$310)*(($F$311)/($F$311+$F$312+$F$313+$F$314)))+
(($F$310)*(($F$312)/($F$311+$F$312+$F$313+$F$314)))+
(($F$310)*(($F$313)/($F$311+$F$312+$F$313+$F$314)))+
(($F$310)*(($F$314)/($F$311+$F$312+$F$313+$F$314)))+
($F$315)+($F$316))),2)</f>
        <v>2.48</v>
      </c>
      <c r="I2634" s="502" t="s">
        <v>73</v>
      </c>
      <c r="J2634" s="113"/>
      <c r="K2634" s="721">
        <f>A2620*H2634</f>
        <v>32.24</v>
      </c>
    </row>
    <row r="2635" spans="1:11" x14ac:dyDescent="0.35">
      <c r="A2635" s="718" t="str">
        <f t="shared" si="293"/>
        <v/>
      </c>
      <c r="B2635" s="113"/>
      <c r="C2635" s="113"/>
      <c r="D2635" s="326" t="s">
        <v>505</v>
      </c>
      <c r="E2635" s="727" t="s">
        <v>758</v>
      </c>
      <c r="F2635" s="114">
        <v>10</v>
      </c>
      <c r="G2635" s="114" t="s">
        <v>73</v>
      </c>
      <c r="H2635" s="502">
        <f>ROUND(($F$305)*((F2635)/((($F$306)*(($F$307)/($F$307+$F$308+$F$309)))+
(($F$306)*(($F$308)/($F$307+$F$308+$F$309)))+
(($F$306)*(($F$309)/($F$307+$F$308+$F$309)))+
(($F$310)*(($F$311)/($F$311+$F$312+$F$313+$F$314)))+
(($F$310)*(($F$312)/($F$311+$F$312+$F$313+$F$314)))+
(($F$310)*(($F$313)/($F$311+$F$312+$F$313+$F$314)))+
(($F$310)*(($F$314)/($F$311+$F$312+$F$313+$F$314)))+
($F$315)+($F$316))),2)</f>
        <v>0.45</v>
      </c>
      <c r="I2635" s="502" t="s">
        <v>73</v>
      </c>
      <c r="J2635" s="113"/>
      <c r="K2635" s="721">
        <f>A2620*H2635</f>
        <v>5.8500000000000005</v>
      </c>
    </row>
    <row r="2636" spans="1:11" x14ac:dyDescent="0.35">
      <c r="A2636" s="718" t="str">
        <f t="shared" si="293"/>
        <v/>
      </c>
      <c r="B2636" s="113"/>
      <c r="C2636" s="113"/>
      <c r="D2636" s="355"/>
      <c r="E2636" s="549" t="s">
        <v>759</v>
      </c>
      <c r="F2636" s="378">
        <v>30</v>
      </c>
      <c r="G2636" s="378" t="s">
        <v>73</v>
      </c>
      <c r="H2636" s="515"/>
      <c r="I2636" s="356" t="s">
        <v>73</v>
      </c>
      <c r="J2636" s="515"/>
      <c r="K2636" s="414"/>
    </row>
    <row r="2637" spans="1:11" x14ac:dyDescent="0.35">
      <c r="A2637" s="718" t="str">
        <f t="shared" si="293"/>
        <v/>
      </c>
      <c r="B2637" s="113"/>
      <c r="C2637" s="113"/>
      <c r="D2637" s="571"/>
      <c r="E2637" s="572" t="s">
        <v>81</v>
      </c>
      <c r="F2637" s="493">
        <v>1000</v>
      </c>
      <c r="G2637" s="493" t="s">
        <v>73</v>
      </c>
      <c r="H2637" s="573"/>
      <c r="I2637" s="466" t="s">
        <v>73</v>
      </c>
      <c r="J2637" s="573"/>
      <c r="K2637" s="695"/>
    </row>
    <row r="2638" spans="1:11" x14ac:dyDescent="0.35">
      <c r="A2638" s="718" t="str">
        <f t="shared" si="293"/>
        <v/>
      </c>
      <c r="B2638" s="113"/>
      <c r="C2638" s="113"/>
      <c r="D2638" s="326" t="s">
        <v>43</v>
      </c>
      <c r="E2638" s="727" t="s">
        <v>105</v>
      </c>
      <c r="F2638" s="114">
        <v>10</v>
      </c>
      <c r="G2638" s="114" t="s">
        <v>73</v>
      </c>
      <c r="H2638" s="502">
        <f>ROUND((($F$317)*((F2638)/($F$319+$F$320+$F$321))),2)</f>
        <v>0.28999999999999998</v>
      </c>
      <c r="I2638" s="502" t="s">
        <v>73</v>
      </c>
      <c r="J2638" s="113"/>
      <c r="K2638" s="721">
        <f>A2620*H2638</f>
        <v>3.7699999999999996</v>
      </c>
    </row>
    <row r="2639" spans="1:11" x14ac:dyDescent="0.35">
      <c r="A2639" s="718" t="str">
        <f t="shared" si="293"/>
        <v/>
      </c>
      <c r="B2639" s="113"/>
      <c r="C2639" s="113"/>
      <c r="D2639" s="326" t="s">
        <v>41</v>
      </c>
      <c r="E2639" s="727" t="s">
        <v>760</v>
      </c>
      <c r="F2639" s="114">
        <v>25</v>
      </c>
      <c r="G2639" s="114" t="s">
        <v>73</v>
      </c>
      <c r="H2639" s="502">
        <f t="shared" ref="H2639:H2640" si="294">ROUND((($F$317)*((F2639)/($F$319+$F$320+$F$321))),2)</f>
        <v>0.72</v>
      </c>
      <c r="I2639" s="502" t="s">
        <v>73</v>
      </c>
      <c r="J2639" s="113"/>
      <c r="K2639" s="721">
        <f>A2620*H2639</f>
        <v>9.36</v>
      </c>
    </row>
    <row r="2640" spans="1:11" x14ac:dyDescent="0.35">
      <c r="A2640" s="718" t="str">
        <f t="shared" si="293"/>
        <v/>
      </c>
      <c r="B2640" s="113"/>
      <c r="C2640" s="113"/>
      <c r="D2640" s="326" t="s">
        <v>371</v>
      </c>
      <c r="E2640" s="727" t="s">
        <v>761</v>
      </c>
      <c r="F2640" s="114">
        <v>1000</v>
      </c>
      <c r="G2640" s="114" t="s">
        <v>73</v>
      </c>
      <c r="H2640" s="502">
        <f t="shared" si="294"/>
        <v>28.99</v>
      </c>
      <c r="I2640" s="502" t="s">
        <v>73</v>
      </c>
      <c r="J2640" s="113"/>
      <c r="K2640" s="721">
        <f>A2620*H2640</f>
        <v>376.87</v>
      </c>
    </row>
    <row r="2641" spans="1:11" x14ac:dyDescent="0.35">
      <c r="A2641" s="718" t="str">
        <f t="shared" si="293"/>
        <v/>
      </c>
      <c r="B2641" s="113"/>
      <c r="C2641" s="113"/>
      <c r="D2641" s="355"/>
      <c r="E2641" s="549" t="s">
        <v>762</v>
      </c>
      <c r="F2641" s="378">
        <v>15</v>
      </c>
      <c r="G2641" s="378" t="s">
        <v>73</v>
      </c>
      <c r="H2641" s="515"/>
      <c r="I2641" s="356"/>
      <c r="J2641" s="515"/>
      <c r="K2641" s="414"/>
    </row>
    <row r="2642" spans="1:11" x14ac:dyDescent="0.35">
      <c r="A2642" s="718" t="str">
        <f t="shared" si="293"/>
        <v/>
      </c>
      <c r="B2642" s="113"/>
      <c r="C2642" s="113"/>
      <c r="D2642" s="342"/>
      <c r="E2642" s="362" t="s">
        <v>81</v>
      </c>
      <c r="F2642" s="404">
        <v>500</v>
      </c>
      <c r="G2642" s="404" t="s">
        <v>73</v>
      </c>
      <c r="H2642" s="345"/>
      <c r="I2642" s="343"/>
      <c r="J2642" s="345"/>
      <c r="K2642" s="428"/>
    </row>
    <row r="2643" spans="1:11" x14ac:dyDescent="0.35">
      <c r="A2643" s="718" t="str">
        <f t="shared" si="293"/>
        <v/>
      </c>
      <c r="B2643" s="113"/>
      <c r="C2643" s="113"/>
      <c r="D2643" s="326" t="s">
        <v>333</v>
      </c>
      <c r="E2643" s="727" t="s">
        <v>756</v>
      </c>
      <c r="F2643" s="114">
        <v>15</v>
      </c>
      <c r="G2643" s="114" t="s">
        <v>73</v>
      </c>
      <c r="H2643" s="502">
        <f>ROUND(($F$322)*((F2643)/((($F$326)*(($F$327)/($F$327+$F$328)))+
(($F$326)*(($F$328)/($F$327+$F$328)))+
($F$324)+($F$325)+($F$329)+($F$330)+($F$331)+($F$332)+($F$333))),2)</f>
        <v>0.76</v>
      </c>
      <c r="I2643" s="502" t="s">
        <v>73</v>
      </c>
      <c r="J2643" s="113"/>
      <c r="K2643" s="721">
        <f>A2620*H2643</f>
        <v>9.8800000000000008</v>
      </c>
    </row>
    <row r="2644" spans="1:11" x14ac:dyDescent="0.35">
      <c r="A2644" s="718" t="str">
        <f t="shared" si="293"/>
        <v/>
      </c>
      <c r="B2644" s="113"/>
      <c r="C2644" s="113"/>
      <c r="D2644" s="326" t="s">
        <v>46</v>
      </c>
      <c r="E2644" s="727" t="s">
        <v>763</v>
      </c>
      <c r="F2644" s="114">
        <v>20</v>
      </c>
      <c r="G2644" s="114" t="s">
        <v>73</v>
      </c>
      <c r="H2644" s="502">
        <f>ROUND(($F$322)*((F2644)/((($F$326)*(($F$327)/($F$327+$F$328)))+
(($F$326)*(($F$328)/($F$327+$F$328)))+
($F$324)+($F$325)+($F$329)+($F$330)+($F$331)+($F$332)+($F$333))),2)</f>
        <v>1.01</v>
      </c>
      <c r="I2644" s="502" t="s">
        <v>73</v>
      </c>
      <c r="J2644" s="113"/>
      <c r="K2644" s="721">
        <f>A2620*H2644</f>
        <v>13.13</v>
      </c>
    </row>
    <row r="2645" spans="1:11" x14ac:dyDescent="0.35">
      <c r="A2645" s="718" t="str">
        <f t="shared" si="293"/>
        <v/>
      </c>
      <c r="B2645" s="113"/>
      <c r="C2645" s="113"/>
      <c r="D2645" s="355"/>
      <c r="E2645" s="567" t="s">
        <v>114</v>
      </c>
      <c r="F2645" s="378">
        <v>3</v>
      </c>
      <c r="G2645" s="378" t="s">
        <v>73</v>
      </c>
      <c r="H2645" s="356"/>
      <c r="I2645" s="356" t="s">
        <v>73</v>
      </c>
      <c r="J2645" s="515"/>
      <c r="K2645" s="414"/>
    </row>
    <row r="2646" spans="1:11" x14ac:dyDescent="0.35">
      <c r="A2646" s="718" t="str">
        <f t="shared" si="293"/>
        <v/>
      </c>
      <c r="B2646" s="113"/>
      <c r="C2646" s="113"/>
      <c r="D2646" s="326" t="s">
        <v>43</v>
      </c>
      <c r="E2646" s="728" t="s">
        <v>768</v>
      </c>
      <c r="F2646" s="114">
        <v>15</v>
      </c>
      <c r="G2646" s="114" t="s">
        <v>73</v>
      </c>
      <c r="H2646" s="502">
        <f>ROUND(($F$322)*((($F$326)*(($F$327)/($F$327+$F$328)))
/((($F$326)*(($F$327)/($F$327+$F$328)))+
(($F$326)*(($F$328)/($F$327+$F$328)))+
($F$324)+($F$325)+($F$329)+($F$330)+($F$331)+($F$332)+($F$333))),2)</f>
        <v>0.02</v>
      </c>
      <c r="I2646" s="502" t="s">
        <v>73</v>
      </c>
      <c r="J2646" s="113"/>
      <c r="K2646" s="721">
        <f>A2620*H2646</f>
        <v>0.26</v>
      </c>
    </row>
    <row r="2647" spans="1:11" x14ac:dyDescent="0.35">
      <c r="A2647" s="718" t="str">
        <f t="shared" si="293"/>
        <v/>
      </c>
      <c r="B2647" s="113"/>
      <c r="C2647" s="113"/>
      <c r="D2647" s="326" t="s">
        <v>42</v>
      </c>
      <c r="E2647" s="728" t="s">
        <v>95</v>
      </c>
      <c r="F2647" s="114">
        <v>85</v>
      </c>
      <c r="G2647" s="114" t="s">
        <v>73</v>
      </c>
      <c r="H2647" s="502">
        <f>ROUND(($F$322)*((($F$326)*(($F$328)/($F$327+$F$328)))
/((($F$326)*(($F$327)/($F$327+$F$328)))+
(($F$326)*(($F$328)/($F$327+$F$328)))+
($F$324)+($F$325)+($F$329)+($F$330)+($F$331)+($F$332)+($F$333))),2)</f>
        <v>0.13</v>
      </c>
      <c r="I2647" s="502" t="s">
        <v>73</v>
      </c>
      <c r="J2647" s="113"/>
      <c r="K2647" s="721">
        <f>A2620*H2647</f>
        <v>1.69</v>
      </c>
    </row>
    <row r="2648" spans="1:11" x14ac:dyDescent="0.35">
      <c r="A2648" s="718" t="str">
        <f t="shared" si="293"/>
        <v/>
      </c>
      <c r="B2648" s="113"/>
      <c r="C2648" s="113"/>
      <c r="D2648" s="326" t="s">
        <v>341</v>
      </c>
      <c r="E2648" s="727" t="s">
        <v>764</v>
      </c>
      <c r="F2648" s="114">
        <v>3</v>
      </c>
      <c r="G2648" s="114" t="s">
        <v>73</v>
      </c>
      <c r="H2648" s="502">
        <f>ROUND(($F$322)*((F2648)/((($F$326)*(($F$327)/($F$327+$F$328)))+
(($F$326)*(($F$328)/($F$327+$F$328)))+
($F$324)+($F$325)+($F$329)+($F$330)+($F$331)+($F$332)+($F$333))),2)</f>
        <v>0.15</v>
      </c>
      <c r="I2648" s="502" t="s">
        <v>73</v>
      </c>
      <c r="J2648" s="113"/>
      <c r="K2648" s="721">
        <f>A2620*H2648</f>
        <v>1.95</v>
      </c>
    </row>
    <row r="2649" spans="1:11" x14ac:dyDescent="0.35">
      <c r="A2649" s="718" t="str">
        <f t="shared" si="293"/>
        <v/>
      </c>
      <c r="B2649" s="113"/>
      <c r="C2649" s="113"/>
      <c r="D2649" s="326" t="s">
        <v>41</v>
      </c>
      <c r="E2649" s="727" t="s">
        <v>779</v>
      </c>
      <c r="F2649" s="114">
        <v>5</v>
      </c>
      <c r="G2649" s="114" t="s">
        <v>73</v>
      </c>
      <c r="H2649" s="502">
        <f t="shared" ref="H2649:H2652" si="295">ROUND(($F$322)*((F2649)/((($F$326)*(($F$327)/($F$327+$F$328)))+
(($F$326)*(($F$328)/($F$327+$F$328)))+
($F$324)+($F$325)+($F$329)+($F$330)+($F$331)+($F$332)+($F$333))),2)</f>
        <v>0.25</v>
      </c>
      <c r="I2649" s="502" t="s">
        <v>73</v>
      </c>
      <c r="J2649" s="113"/>
      <c r="K2649" s="721">
        <f>A2620*H2649</f>
        <v>3.25</v>
      </c>
    </row>
    <row r="2650" spans="1:11" x14ac:dyDescent="0.35">
      <c r="A2650" s="718" t="str">
        <f t="shared" si="293"/>
        <v/>
      </c>
      <c r="B2650" s="113"/>
      <c r="C2650" s="113"/>
      <c r="D2650" s="326" t="s">
        <v>325</v>
      </c>
      <c r="E2650" s="727" t="s">
        <v>765</v>
      </c>
      <c r="F2650" s="114">
        <v>20</v>
      </c>
      <c r="G2650" s="114" t="s">
        <v>73</v>
      </c>
      <c r="H2650" s="502">
        <f t="shared" si="295"/>
        <v>1.01</v>
      </c>
      <c r="I2650" s="502" t="s">
        <v>73</v>
      </c>
      <c r="J2650" s="113"/>
      <c r="K2650" s="721">
        <f>A2620*H2650</f>
        <v>13.13</v>
      </c>
    </row>
    <row r="2651" spans="1:11" x14ac:dyDescent="0.35">
      <c r="A2651" s="718" t="str">
        <f t="shared" si="293"/>
        <v/>
      </c>
      <c r="B2651" s="113"/>
      <c r="C2651" s="113"/>
      <c r="D2651" s="326" t="s">
        <v>307</v>
      </c>
      <c r="E2651" s="727" t="s">
        <v>766</v>
      </c>
      <c r="F2651" s="114">
        <v>30</v>
      </c>
      <c r="G2651" s="114" t="s">
        <v>73</v>
      </c>
      <c r="H2651" s="502">
        <f t="shared" si="295"/>
        <v>1.52</v>
      </c>
      <c r="I2651" s="502" t="s">
        <v>73</v>
      </c>
      <c r="J2651" s="113"/>
      <c r="K2651" s="721">
        <f>A2620*H2651</f>
        <v>19.760000000000002</v>
      </c>
    </row>
    <row r="2652" spans="1:11" x14ac:dyDescent="0.35">
      <c r="A2652" s="718" t="str">
        <f t="shared" si="293"/>
        <v/>
      </c>
      <c r="B2652" s="113"/>
      <c r="C2652" s="113"/>
      <c r="D2652" s="326" t="s">
        <v>381</v>
      </c>
      <c r="E2652" s="727" t="s">
        <v>767</v>
      </c>
      <c r="F2652" s="114">
        <v>200</v>
      </c>
      <c r="G2652" s="114" t="s">
        <v>73</v>
      </c>
      <c r="H2652" s="502">
        <f t="shared" si="295"/>
        <v>10.14</v>
      </c>
      <c r="I2652" s="502" t="s">
        <v>73</v>
      </c>
      <c r="J2652" s="113"/>
      <c r="K2652" s="721">
        <f>A2620*H2652</f>
        <v>131.82</v>
      </c>
    </row>
    <row r="2653" spans="1:11" x14ac:dyDescent="0.35">
      <c r="A2653" s="718" t="str">
        <f t="shared" si="293"/>
        <v/>
      </c>
      <c r="B2653" s="113"/>
      <c r="C2653" s="113"/>
      <c r="D2653" s="355"/>
      <c r="E2653" s="549" t="s">
        <v>769</v>
      </c>
      <c r="F2653" s="378">
        <v>40</v>
      </c>
      <c r="G2653" s="378" t="s">
        <v>73</v>
      </c>
      <c r="H2653" s="356"/>
      <c r="I2653" s="356"/>
      <c r="J2653" s="515"/>
      <c r="K2653" s="414"/>
    </row>
    <row r="2654" spans="1:11" x14ac:dyDescent="0.35">
      <c r="A2654" s="718" t="str">
        <f t="shared" si="293"/>
        <v/>
      </c>
      <c r="B2654" s="113"/>
      <c r="C2654" s="113"/>
      <c r="D2654" s="326" t="s">
        <v>521</v>
      </c>
      <c r="E2654" s="727" t="s">
        <v>906</v>
      </c>
      <c r="F2654" s="114">
        <v>200</v>
      </c>
      <c r="G2654" s="114" t="s">
        <v>73</v>
      </c>
      <c r="H2654" s="502">
        <f>ROUND(($F$334)*(($F$335)/((($F$336)*(($F$337)/($F$337+$F$338)))+
(($F$336)*(($F$338)/($F$337+$F$338)))+
(($F$339)*(($F$340)/($F$340+$F$341)))+
(($F$339)*(($F$341)/($F$340+$F$341)))+
($F$335)+($F$342)+($F$343))),2)</f>
        <v>33.200000000000003</v>
      </c>
      <c r="I2654" s="502" t="s">
        <v>73</v>
      </c>
      <c r="J2654" s="113"/>
      <c r="K2654" s="721">
        <f>A2620*H2654</f>
        <v>431.6</v>
      </c>
    </row>
    <row r="2655" spans="1:11" x14ac:dyDescent="0.35">
      <c r="A2655" s="718" t="str">
        <f t="shared" si="293"/>
        <v/>
      </c>
      <c r="B2655" s="113"/>
      <c r="C2655" s="113"/>
      <c r="D2655" s="355"/>
      <c r="E2655" s="567" t="s">
        <v>770</v>
      </c>
      <c r="F2655" s="378">
        <v>30</v>
      </c>
      <c r="G2655" s="378" t="s">
        <v>73</v>
      </c>
      <c r="H2655" s="356"/>
      <c r="I2655" s="356"/>
      <c r="J2655" s="515"/>
      <c r="K2655" s="414"/>
    </row>
    <row r="2656" spans="1:11" x14ac:dyDescent="0.35">
      <c r="A2656" s="718" t="str">
        <f t="shared" si="293"/>
        <v/>
      </c>
      <c r="B2656" s="113"/>
      <c r="C2656" s="113"/>
      <c r="D2656" s="326" t="s">
        <v>537</v>
      </c>
      <c r="E2656" s="729" t="s">
        <v>771</v>
      </c>
      <c r="F2656" s="114">
        <v>1</v>
      </c>
      <c r="G2656" s="114" t="s">
        <v>73</v>
      </c>
      <c r="H2656" s="502">
        <f>ROUND(($F$334)*((($F$336)*(($F$337)/($F$337+$F$338)))
/((($F$336)*(($F$337)/($F$337+$F$338)))+
(($F$336)*(($F$338)/($F$337+$F$338)))+
(($F$339)*(($F$340)/($F$340+$F$341)))+
(($F$339)*(($F$341)/($F$340+$F$341)))+
($F$335)+($F$342)+($F$343))),2)</f>
        <v>0.05</v>
      </c>
      <c r="I2656" s="502" t="s">
        <v>73</v>
      </c>
      <c r="J2656" s="113"/>
      <c r="K2656" s="721">
        <f>A2620*H2656</f>
        <v>0.65</v>
      </c>
    </row>
    <row r="2657" spans="1:11" x14ac:dyDescent="0.35">
      <c r="A2657" s="718" t="str">
        <f t="shared" si="293"/>
        <v/>
      </c>
      <c r="B2657" s="113"/>
      <c r="C2657" s="113"/>
      <c r="D2657" s="342"/>
      <c r="E2657" s="561" t="s">
        <v>81</v>
      </c>
      <c r="F2657" s="404">
        <v>100</v>
      </c>
      <c r="G2657" s="404" t="s">
        <v>73</v>
      </c>
      <c r="H2657" s="343">
        <f>ROUND(($F$334)*((($F$336)*(($F$338)/($F$337+$F$338)))
/((($F$336)*(($F$337)/($F$337+$F$338)))+
(($F$336)*(($F$338)/($F$337+$F$338)))+
(($F$339)*(($F$340)/($F$340+$F$341)))+
(($F$339)*(($F$341)/($F$340+$F$341)))+
($F$335)+($F$342)+($F$343))),2)</f>
        <v>4.93</v>
      </c>
      <c r="I2657" s="343"/>
      <c r="J2657" s="345"/>
      <c r="K2657" s="428"/>
    </row>
    <row r="2658" spans="1:11" x14ac:dyDescent="0.35">
      <c r="A2658" s="718" t="str">
        <f t="shared" si="293"/>
        <v/>
      </c>
      <c r="B2658" s="113"/>
      <c r="C2658" s="113"/>
      <c r="D2658" s="355"/>
      <c r="E2658" s="567" t="s">
        <v>726</v>
      </c>
      <c r="F2658" s="378">
        <v>2</v>
      </c>
      <c r="G2658" s="378" t="s">
        <v>73</v>
      </c>
      <c r="H2658" s="356"/>
      <c r="I2658" s="356"/>
      <c r="J2658" s="515"/>
      <c r="K2658" s="414"/>
    </row>
    <row r="2659" spans="1:11" x14ac:dyDescent="0.35">
      <c r="A2659" s="718" t="str">
        <f t="shared" si="293"/>
        <v/>
      </c>
      <c r="B2659" s="113"/>
      <c r="C2659" s="113"/>
      <c r="D2659" s="326" t="s">
        <v>43</v>
      </c>
      <c r="E2659" s="729" t="s">
        <v>105</v>
      </c>
      <c r="F2659" s="114">
        <v>15</v>
      </c>
      <c r="G2659" s="114" t="s">
        <v>73</v>
      </c>
      <c r="H2659" s="502">
        <f>ROUND(($F$334)*((($F$339)*(($F$340)/($F$340+$F$341)))
/((($F$336)*(($F$337)/($F$337+$F$338)))+
(($F$336)*(($F$338)/($F$337+$F$338)))+
(($F$339)*(($F$340)/($F$340+$F$341)))+
(($F$339)*(($F$341)/($F$340+$F$341)))+
($F$335)+($F$342)+($F$343))),2)</f>
        <v>0.05</v>
      </c>
      <c r="I2659" s="502" t="s">
        <v>73</v>
      </c>
      <c r="J2659" s="113"/>
      <c r="K2659" s="721">
        <f>A2620*H2659</f>
        <v>0.65</v>
      </c>
    </row>
    <row r="2660" spans="1:11" x14ac:dyDescent="0.35">
      <c r="A2660" s="718" t="str">
        <f t="shared" si="293"/>
        <v/>
      </c>
      <c r="B2660" s="113"/>
      <c r="C2660" s="113"/>
      <c r="D2660" s="326" t="s">
        <v>42</v>
      </c>
      <c r="E2660" s="729" t="s">
        <v>95</v>
      </c>
      <c r="F2660" s="114">
        <v>85</v>
      </c>
      <c r="G2660" s="114" t="s">
        <v>73</v>
      </c>
      <c r="H2660" s="502">
        <f>ROUND(($F$334)*((($F$339)*(($F$341)/($F$340+$F$341)))
/((($F$336)*(($F$337)/($F$337+$F$338)))+
(($F$336)*(($F$338)/($F$337+$F$338)))+
(($F$339)*(($F$340)/($F$340+$F$341)))+
(($F$339)*(($F$341)/($F$340+$F$341)))+
($F$335)+($F$342)+($F$343))),2)</f>
        <v>0.28000000000000003</v>
      </c>
      <c r="I2660" s="502" t="s">
        <v>73</v>
      </c>
      <c r="J2660" s="113"/>
      <c r="K2660" s="721">
        <f>A2620*H2660</f>
        <v>3.6400000000000006</v>
      </c>
    </row>
    <row r="2661" spans="1:11" x14ac:dyDescent="0.35">
      <c r="A2661" s="718" t="str">
        <f t="shared" si="293"/>
        <v/>
      </c>
      <c r="B2661" s="113"/>
      <c r="C2661" s="113"/>
      <c r="D2661" s="326" t="s">
        <v>517</v>
      </c>
      <c r="E2661" s="727" t="s">
        <v>724</v>
      </c>
      <c r="F2661" s="114">
        <v>8</v>
      </c>
      <c r="G2661" s="114" t="s">
        <v>73</v>
      </c>
      <c r="H2661" s="502">
        <f>ROUND(($F$334)*((F2661)/((($F$336)*(($F$337)/($F$337+$F$338)))+
(($F$336)*(($F$338)/($F$337+$F$338)))+
(($F$339)*(($F$340)/($F$340+$F$341)))+
(($F$339)*(($F$341)/($F$340+$F$341)))+
($F$335)+($F$342)+($F$343))),2)</f>
        <v>1.33</v>
      </c>
      <c r="I2661" s="502" t="s">
        <v>73</v>
      </c>
      <c r="J2661" s="113"/>
      <c r="K2661" s="721">
        <f>A2620*H2661</f>
        <v>17.29</v>
      </c>
    </row>
    <row r="2662" spans="1:11" x14ac:dyDescent="0.35">
      <c r="A2662" s="718" t="str">
        <f t="shared" si="293"/>
        <v/>
      </c>
      <c r="B2662" s="113"/>
      <c r="C2662" s="113"/>
      <c r="D2662" s="326" t="s">
        <v>45</v>
      </c>
      <c r="E2662" s="727" t="s">
        <v>101</v>
      </c>
      <c r="F2662" s="114">
        <v>1</v>
      </c>
      <c r="G2662" s="114" t="s">
        <v>73</v>
      </c>
      <c r="H2662" s="502">
        <f>ROUND(($F$334)*((F2662)/((($F$336)*(($F$337)/($F$337+$F$338)))+
(($F$336)*(($F$338)/($F$337+$F$338)))+
(($F$339)*(($F$340)/($F$340+$F$341)))+
(($F$339)*(($F$341)/($F$340+$F$341)))+
($F$335)+($F$342)+($F$343))),2)</f>
        <v>0.17</v>
      </c>
      <c r="I2662" s="502" t="s">
        <v>73</v>
      </c>
      <c r="J2662" s="113"/>
      <c r="K2662" s="721">
        <f>A2620*H2662</f>
        <v>2.21</v>
      </c>
    </row>
    <row r="2663" spans="1:11" x14ac:dyDescent="0.35">
      <c r="A2663" s="718" t="str">
        <f t="shared" si="293"/>
        <v/>
      </c>
      <c r="B2663" s="113"/>
      <c r="C2663" s="113"/>
      <c r="D2663" s="355"/>
      <c r="E2663" s="549" t="s">
        <v>774</v>
      </c>
      <c r="F2663" s="378">
        <v>10</v>
      </c>
      <c r="G2663" s="378" t="s">
        <v>73</v>
      </c>
      <c r="H2663" s="515"/>
      <c r="I2663" s="356"/>
      <c r="J2663" s="515"/>
      <c r="K2663" s="414"/>
    </row>
    <row r="2664" spans="1:11" x14ac:dyDescent="0.35">
      <c r="A2664" s="718" t="str">
        <f t="shared" si="293"/>
        <v/>
      </c>
      <c r="B2664" s="113"/>
      <c r="C2664" s="113"/>
      <c r="D2664" s="342"/>
      <c r="E2664" s="362" t="s">
        <v>81</v>
      </c>
      <c r="F2664" s="404">
        <v>600</v>
      </c>
      <c r="G2664" s="404" t="s">
        <v>73</v>
      </c>
      <c r="H2664" s="345"/>
      <c r="I2664" s="343"/>
      <c r="J2664" s="345"/>
      <c r="K2664" s="428"/>
    </row>
    <row r="2665" spans="1:11" x14ac:dyDescent="0.35">
      <c r="A2665" s="718" t="str">
        <f t="shared" si="293"/>
        <v/>
      </c>
      <c r="B2665" s="113"/>
      <c r="C2665" s="113"/>
      <c r="D2665" s="326" t="s">
        <v>529</v>
      </c>
      <c r="E2665" s="366" t="s">
        <v>775</v>
      </c>
      <c r="F2665" s="22">
        <v>16</v>
      </c>
      <c r="G2665" s="22" t="s">
        <v>73</v>
      </c>
      <c r="H2665" s="328">
        <f>ROUND(($F$344)*((F2665)/(($F$348)*(($F$349)/($F$349+$F$350))+
($F$348)*(($F$350)/($F$349+$F$350))+
($F$346)+($F$347)+($F$351))),2)</f>
        <v>0.51</v>
      </c>
      <c r="I2665" s="328" t="s">
        <v>73</v>
      </c>
      <c r="J2665" s="330"/>
      <c r="K2665" s="410">
        <f>A2620*H2665</f>
        <v>6.63</v>
      </c>
    </row>
    <row r="2666" spans="1:11" x14ac:dyDescent="0.35">
      <c r="A2666" s="718" t="str">
        <f t="shared" si="293"/>
        <v/>
      </c>
      <c r="B2666" s="113"/>
      <c r="C2666" s="113"/>
      <c r="D2666" s="326" t="s">
        <v>333</v>
      </c>
      <c r="E2666" s="366" t="s">
        <v>756</v>
      </c>
      <c r="F2666" s="22">
        <v>70</v>
      </c>
      <c r="G2666" s="22" t="s">
        <v>73</v>
      </c>
      <c r="H2666" s="328">
        <f>ROUND(($F$344)*((F2666)/(($F$348)*(($F$349)/($F$349+$F$350))+
($F$348)*(($F$350)/($F$349+$F$350))+
($F$346)+($F$347)+($F$351))),2)</f>
        <v>2.2200000000000002</v>
      </c>
      <c r="I2666" s="328" t="s">
        <v>73</v>
      </c>
      <c r="J2666" s="330"/>
      <c r="K2666" s="410">
        <f>A2620*H2666</f>
        <v>28.860000000000003</v>
      </c>
    </row>
    <row r="2667" spans="1:11" x14ac:dyDescent="0.35">
      <c r="A2667" s="718" t="str">
        <f t="shared" si="293"/>
        <v/>
      </c>
      <c r="B2667" s="113"/>
      <c r="C2667" s="113"/>
      <c r="D2667" s="355"/>
      <c r="E2667" s="567" t="s">
        <v>776</v>
      </c>
      <c r="F2667" s="378">
        <v>200</v>
      </c>
      <c r="G2667" s="378" t="s">
        <v>73</v>
      </c>
      <c r="H2667" s="356"/>
      <c r="I2667" s="356"/>
      <c r="J2667" s="515"/>
      <c r="K2667" s="414"/>
    </row>
    <row r="2668" spans="1:11" x14ac:dyDescent="0.35">
      <c r="A2668" s="718" t="str">
        <f t="shared" si="293"/>
        <v/>
      </c>
      <c r="B2668" s="113"/>
      <c r="C2668" s="113"/>
      <c r="D2668" s="326" t="s">
        <v>377</v>
      </c>
      <c r="E2668" s="495" t="s">
        <v>777</v>
      </c>
      <c r="F2668" s="22">
        <v>500</v>
      </c>
      <c r="G2668" s="22" t="s">
        <v>73</v>
      </c>
      <c r="H2668" s="328">
        <f>ROUND(($F$344)*(($F$348)*(($F$349)/($F$349+$F$350))
/(($F$348)*(($F$349)/($F$349+$F$350))+
($F$348)*(($F$350)/($F$349+$F$350))+
($F$346)+($F$347)+($F$351))),2)</f>
        <v>6.21</v>
      </c>
      <c r="I2668" s="328" t="s">
        <v>73</v>
      </c>
      <c r="J2668" s="330"/>
      <c r="K2668" s="410">
        <f>A2620*H2668</f>
        <v>80.73</v>
      </c>
    </row>
    <row r="2669" spans="1:11" x14ac:dyDescent="0.35">
      <c r="A2669" s="718" t="str">
        <f t="shared" si="293"/>
        <v/>
      </c>
      <c r="B2669" s="113"/>
      <c r="C2669" s="113"/>
      <c r="D2669" s="326" t="s">
        <v>43</v>
      </c>
      <c r="E2669" s="495" t="s">
        <v>105</v>
      </c>
      <c r="F2669" s="22">
        <v>10</v>
      </c>
      <c r="G2669" s="22" t="s">
        <v>73</v>
      </c>
      <c r="H2669" s="328">
        <f>ROUND(($F$344)*(($F$348)*(($F$350)/($F$349+$F$350))
/(($F$348)*(($F$349)/($F$349+$F$350))+
($F$348)*(($F$350)/($F$349+$F$350))+
($F$346)+($F$347)+($F$351))),2)</f>
        <v>0.12</v>
      </c>
      <c r="I2669" s="328" t="s">
        <v>73</v>
      </c>
      <c r="J2669" s="330"/>
      <c r="K2669" s="410">
        <f>A2620*H2669</f>
        <v>1.56</v>
      </c>
    </row>
    <row r="2670" spans="1:11" x14ac:dyDescent="0.35">
      <c r="A2670" s="718" t="str">
        <f t="shared" si="293"/>
        <v/>
      </c>
      <c r="B2670" s="113"/>
      <c r="C2670" s="113"/>
      <c r="D2670" s="326" t="s">
        <v>389</v>
      </c>
      <c r="E2670" s="366" t="s">
        <v>778</v>
      </c>
      <c r="F2670" s="22">
        <v>30</v>
      </c>
      <c r="G2670" s="22" t="s">
        <v>73</v>
      </c>
      <c r="H2670" s="328">
        <f>ROUND(($F$344)*(($F$351)/(($F$348)*(($F$349)/($F$349+$F$350))+
($F$348)*(($F$350)/($F$349+$F$350))+
($F$346)+($F$347)+($F$351))),2)</f>
        <v>0.95</v>
      </c>
      <c r="I2670" s="328" t="s">
        <v>73</v>
      </c>
      <c r="J2670" s="330"/>
      <c r="K2670" s="410">
        <f>A2620*H2670</f>
        <v>12.35</v>
      </c>
    </row>
    <row r="2671" spans="1:11" x14ac:dyDescent="0.35">
      <c r="A2671" s="718" t="str">
        <f t="shared" si="293"/>
        <v/>
      </c>
      <c r="B2671" s="113"/>
      <c r="C2671" s="113"/>
      <c r="D2671" s="355"/>
      <c r="E2671" s="549" t="s">
        <v>780</v>
      </c>
      <c r="F2671" s="378">
        <v>20</v>
      </c>
      <c r="G2671" s="378" t="s">
        <v>73</v>
      </c>
      <c r="H2671" s="515"/>
      <c r="I2671" s="356"/>
      <c r="J2671" s="515"/>
      <c r="K2671" s="414"/>
    </row>
    <row r="2672" spans="1:11" x14ac:dyDescent="0.35">
      <c r="A2672" s="718" t="str">
        <f t="shared" si="293"/>
        <v/>
      </c>
      <c r="B2672" s="113"/>
      <c r="C2672" s="113"/>
      <c r="D2672" s="326" t="s">
        <v>1068</v>
      </c>
      <c r="E2672" s="366" t="s">
        <v>1069</v>
      </c>
      <c r="F2672" s="22">
        <v>60</v>
      </c>
      <c r="G2672" s="22" t="s">
        <v>73</v>
      </c>
      <c r="H2672" s="328">
        <f>ROUND(($F$352)*((F2672)/($F$353+$F$354)),2)</f>
        <v>8</v>
      </c>
      <c r="I2672" s="328" t="s">
        <v>73</v>
      </c>
      <c r="J2672" s="330"/>
      <c r="K2672" s="410">
        <f>A2620*H2672</f>
        <v>104</v>
      </c>
    </row>
    <row r="2673" spans="1:11" x14ac:dyDescent="0.35">
      <c r="A2673" s="718" t="str">
        <f t="shared" si="293"/>
        <v/>
      </c>
      <c r="B2673" s="113"/>
      <c r="C2673" s="113"/>
      <c r="D2673" s="342"/>
      <c r="E2673" s="362" t="s">
        <v>81</v>
      </c>
      <c r="F2673" s="404">
        <v>90</v>
      </c>
      <c r="G2673" s="404" t="s">
        <v>73</v>
      </c>
      <c r="H2673" s="343">
        <f>ROUND(($F$352)*((F2673)/($F$353+$F$354)),2)</f>
        <v>12</v>
      </c>
      <c r="I2673" s="343"/>
      <c r="J2673" s="345"/>
      <c r="K2673" s="428"/>
    </row>
    <row r="2674" spans="1:11" x14ac:dyDescent="0.35">
      <c r="A2674" s="718"/>
      <c r="B2674" s="113"/>
      <c r="C2674" s="113"/>
      <c r="D2674" s="334"/>
      <c r="E2674" s="360"/>
      <c r="F2674" s="18"/>
      <c r="G2674" s="18"/>
      <c r="H2674" s="335"/>
      <c r="I2674" s="335"/>
      <c r="J2674" s="337"/>
      <c r="K2674" s="411"/>
    </row>
    <row r="2675" spans="1:11" x14ac:dyDescent="0.35">
      <c r="A2675" s="718" t="str">
        <f t="shared" si="293"/>
        <v/>
      </c>
      <c r="B2675" s="113"/>
      <c r="C2675" s="113"/>
      <c r="D2675" s="355"/>
      <c r="E2675" s="549" t="s">
        <v>781</v>
      </c>
      <c r="F2675" s="378">
        <v>35</v>
      </c>
      <c r="G2675" s="378" t="s">
        <v>73</v>
      </c>
      <c r="H2675" s="515"/>
      <c r="I2675" s="356"/>
      <c r="J2675" s="515"/>
      <c r="K2675" s="414"/>
    </row>
    <row r="2676" spans="1:11" x14ac:dyDescent="0.35">
      <c r="A2676" s="718" t="str">
        <f t="shared" si="293"/>
        <v/>
      </c>
      <c r="B2676" s="113"/>
      <c r="C2676" s="113"/>
      <c r="D2676" s="326" t="s">
        <v>262</v>
      </c>
      <c r="E2676" s="360" t="s">
        <v>782</v>
      </c>
      <c r="F2676" s="18">
        <v>100</v>
      </c>
      <c r="G2676" s="18" t="s">
        <v>73</v>
      </c>
      <c r="H2676" s="335">
        <f>ROUND(($F$355)*((F2676)/($F$356+$F$357)),2)</f>
        <v>17.5</v>
      </c>
      <c r="I2676" s="335" t="s">
        <v>73</v>
      </c>
      <c r="J2676" s="337"/>
      <c r="K2676" s="411">
        <f>A2620*H2676</f>
        <v>227.5</v>
      </c>
    </row>
    <row r="2677" spans="1:11" ht="15" thickBot="1" x14ac:dyDescent="0.4">
      <c r="A2677" s="718" t="str">
        <f t="shared" si="293"/>
        <v/>
      </c>
      <c r="B2677" s="113"/>
      <c r="C2677" s="113"/>
      <c r="D2677" s="326" t="s">
        <v>676</v>
      </c>
      <c r="E2677" s="366" t="s">
        <v>727</v>
      </c>
      <c r="F2677" s="22">
        <v>100</v>
      </c>
      <c r="G2677" s="22" t="s">
        <v>73</v>
      </c>
      <c r="H2677" s="328">
        <f>ROUND(($F$355)*((F2677)/($F$356+$F$357)),2)</f>
        <v>17.5</v>
      </c>
      <c r="I2677" s="328" t="s">
        <v>73</v>
      </c>
      <c r="J2677" s="330"/>
      <c r="K2677" s="410">
        <f>A2620*H2677</f>
        <v>227.5</v>
      </c>
    </row>
    <row r="2678" spans="1:11" ht="15" thickTop="1" x14ac:dyDescent="0.35">
      <c r="A2678" s="508"/>
      <c r="B2678" s="509"/>
      <c r="C2678" s="509"/>
      <c r="D2678" s="696"/>
      <c r="E2678" s="509"/>
      <c r="F2678" s="509"/>
      <c r="G2678" s="509"/>
      <c r="H2678" s="509"/>
      <c r="I2678" s="509"/>
      <c r="J2678" s="509"/>
      <c r="K2678" s="510"/>
    </row>
    <row r="2679" spans="1:11" x14ac:dyDescent="0.35">
      <c r="A2679" s="477">
        <f>IFERROR(INDEX($Q$17:$Q$201,MATCH(B2679,$R$17:$R$201, 0)), "")</f>
        <v>56</v>
      </c>
      <c r="B2679" s="408" t="s">
        <v>1511</v>
      </c>
      <c r="C2679" s="482" t="s">
        <v>1512</v>
      </c>
      <c r="D2679" s="390" t="s">
        <v>49</v>
      </c>
      <c r="E2679" s="505" t="s">
        <v>1905</v>
      </c>
      <c r="F2679" s="114">
        <v>0</v>
      </c>
      <c r="G2679" s="114" t="s">
        <v>73</v>
      </c>
      <c r="H2679" s="114">
        <v>0</v>
      </c>
      <c r="I2679" s="502" t="s">
        <v>73</v>
      </c>
      <c r="J2679" s="503"/>
      <c r="K2679" s="719"/>
    </row>
    <row r="2680" spans="1:11" x14ac:dyDescent="0.35">
      <c r="A2680" s="717"/>
      <c r="B2680" s="503"/>
      <c r="C2680" s="503"/>
      <c r="D2680" s="390" t="s">
        <v>63</v>
      </c>
      <c r="E2680" s="733" t="s">
        <v>978</v>
      </c>
      <c r="F2680" s="114">
        <v>100</v>
      </c>
      <c r="G2680" s="114" t="s">
        <v>73</v>
      </c>
      <c r="H2680" s="114">
        <v>0</v>
      </c>
      <c r="I2680" s="502" t="s">
        <v>73</v>
      </c>
      <c r="J2680" s="503"/>
      <c r="K2680" s="719"/>
    </row>
    <row r="2681" spans="1:11" x14ac:dyDescent="0.35">
      <c r="A2681" s="717"/>
      <c r="B2681" s="503"/>
      <c r="C2681" s="503"/>
      <c r="D2681" s="390" t="s">
        <v>207</v>
      </c>
      <c r="E2681" s="505" t="s">
        <v>208</v>
      </c>
      <c r="F2681" s="114">
        <v>0</v>
      </c>
      <c r="G2681" s="114" t="s">
        <v>73</v>
      </c>
      <c r="H2681" s="114">
        <v>0</v>
      </c>
      <c r="I2681" s="502" t="s">
        <v>73</v>
      </c>
      <c r="J2681" s="503"/>
      <c r="K2681" s="719"/>
    </row>
    <row r="2682" spans="1:11" x14ac:dyDescent="0.35">
      <c r="A2682" s="717"/>
      <c r="B2682" s="503"/>
      <c r="C2682" s="503"/>
      <c r="D2682" s="326" t="s">
        <v>392</v>
      </c>
      <c r="E2682" s="718" t="s">
        <v>844</v>
      </c>
      <c r="F2682" s="114">
        <v>0</v>
      </c>
      <c r="G2682" s="114" t="s">
        <v>73</v>
      </c>
      <c r="H2682" s="114">
        <v>0</v>
      </c>
      <c r="I2682" s="502" t="s">
        <v>73</v>
      </c>
      <c r="J2682" s="503"/>
      <c r="K2682" s="719"/>
    </row>
    <row r="2683" spans="1:11" x14ac:dyDescent="0.35">
      <c r="A2683" s="717"/>
      <c r="B2683" s="503"/>
      <c r="C2683" s="503"/>
      <c r="D2683" s="444" t="s">
        <v>505</v>
      </c>
      <c r="E2683" s="734" t="s">
        <v>1908</v>
      </c>
      <c r="F2683" s="114">
        <v>0.2</v>
      </c>
      <c r="G2683" s="114" t="s">
        <v>73</v>
      </c>
      <c r="H2683" s="114">
        <v>0.2</v>
      </c>
      <c r="I2683" s="502" t="s">
        <v>73</v>
      </c>
      <c r="J2683" s="503"/>
      <c r="K2683" s="719"/>
    </row>
    <row r="2684" spans="1:11" x14ac:dyDescent="0.35">
      <c r="A2684" s="717"/>
      <c r="B2684" s="503"/>
      <c r="C2684" s="503"/>
      <c r="D2684" s="446"/>
      <c r="E2684" s="447" t="s">
        <v>1909</v>
      </c>
      <c r="F2684" s="378">
        <v>180</v>
      </c>
      <c r="G2684" s="378" t="s">
        <v>73</v>
      </c>
      <c r="H2684" s="358"/>
      <c r="I2684" s="358"/>
      <c r="J2684" s="358"/>
      <c r="K2684" s="448"/>
    </row>
    <row r="2685" spans="1:11" x14ac:dyDescent="0.35">
      <c r="A2685" s="717"/>
      <c r="B2685" s="503"/>
      <c r="C2685" s="503"/>
      <c r="D2685" s="449" t="s">
        <v>1660</v>
      </c>
      <c r="E2685" s="450" t="s">
        <v>1897</v>
      </c>
      <c r="F2685" s="22">
        <v>1000</v>
      </c>
      <c r="G2685" s="22" t="s">
        <v>73</v>
      </c>
      <c r="H2685" s="340"/>
      <c r="I2685" s="328" t="s">
        <v>73</v>
      </c>
      <c r="J2685" s="340"/>
      <c r="K2685" s="443"/>
    </row>
    <row r="2686" spans="1:11" x14ac:dyDescent="0.35">
      <c r="A2686" s="717"/>
      <c r="B2686" s="503"/>
      <c r="C2686" s="503"/>
      <c r="D2686" s="449" t="s">
        <v>1871</v>
      </c>
      <c r="E2686" s="450" t="s">
        <v>1910</v>
      </c>
      <c r="F2686" s="22">
        <v>60</v>
      </c>
      <c r="G2686" s="22" t="s">
        <v>73</v>
      </c>
      <c r="H2686" s="340"/>
      <c r="I2686" s="328" t="s">
        <v>73</v>
      </c>
      <c r="J2686" s="340"/>
      <c r="K2686" s="443"/>
    </row>
    <row r="2687" spans="1:11" x14ac:dyDescent="0.35">
      <c r="A2687" s="717"/>
      <c r="B2687" s="503"/>
      <c r="C2687" s="503"/>
      <c r="D2687" s="449"/>
      <c r="E2687" s="450" t="s">
        <v>81</v>
      </c>
      <c r="F2687" s="22">
        <v>1300</v>
      </c>
      <c r="G2687" s="22" t="s">
        <v>73</v>
      </c>
      <c r="H2687" s="340"/>
      <c r="I2687" s="328" t="s">
        <v>73</v>
      </c>
      <c r="J2687" s="340"/>
      <c r="K2687" s="443"/>
    </row>
    <row r="2688" spans="1:11" x14ac:dyDescent="0.35">
      <c r="A2688" s="717"/>
      <c r="B2688" s="503"/>
      <c r="C2688" s="503"/>
      <c r="D2688" s="447"/>
      <c r="E2688" s="452" t="s">
        <v>1916</v>
      </c>
      <c r="F2688" s="378">
        <v>150</v>
      </c>
      <c r="G2688" s="358"/>
      <c r="H2688" s="358"/>
      <c r="I2688" s="358"/>
      <c r="J2688" s="358"/>
      <c r="K2688" s="448"/>
    </row>
    <row r="2689" spans="1:11" x14ac:dyDescent="0.35">
      <c r="A2689" s="717"/>
      <c r="B2689" s="503"/>
      <c r="C2689" s="503"/>
      <c r="D2689" s="449"/>
      <c r="E2689" s="730" t="s">
        <v>81</v>
      </c>
      <c r="F2689" s="114">
        <v>1000</v>
      </c>
      <c r="G2689" s="502" t="s">
        <v>73</v>
      </c>
      <c r="H2689" s="503"/>
      <c r="I2689" s="502" t="s">
        <v>73</v>
      </c>
      <c r="J2689" s="503"/>
      <c r="K2689" s="719"/>
    </row>
    <row r="2690" spans="1:11" x14ac:dyDescent="0.35">
      <c r="A2690" s="717"/>
      <c r="B2690" s="503"/>
      <c r="C2690" s="503"/>
      <c r="D2690" s="390" t="s">
        <v>45</v>
      </c>
      <c r="E2690" s="731" t="s">
        <v>101</v>
      </c>
      <c r="F2690" s="114">
        <v>15</v>
      </c>
      <c r="G2690" s="502" t="s">
        <v>73</v>
      </c>
      <c r="H2690" s="503"/>
      <c r="I2690" s="502" t="s">
        <v>73</v>
      </c>
      <c r="J2690" s="503"/>
      <c r="K2690" s="719"/>
    </row>
    <row r="2691" spans="1:11" x14ac:dyDescent="0.35">
      <c r="A2691" s="717"/>
      <c r="B2691" s="503"/>
      <c r="C2691" s="503"/>
      <c r="D2691" s="390" t="s">
        <v>43</v>
      </c>
      <c r="E2691" s="731" t="s">
        <v>105</v>
      </c>
      <c r="F2691" s="114">
        <v>4</v>
      </c>
      <c r="G2691" s="502" t="s">
        <v>73</v>
      </c>
      <c r="H2691" s="503"/>
      <c r="I2691" s="502" t="s">
        <v>73</v>
      </c>
      <c r="J2691" s="503"/>
      <c r="K2691" s="719"/>
    </row>
    <row r="2692" spans="1:11" x14ac:dyDescent="0.35">
      <c r="A2692" s="717"/>
      <c r="B2692" s="503"/>
      <c r="C2692" s="503"/>
      <c r="D2692" s="390" t="s">
        <v>46</v>
      </c>
      <c r="E2692" s="731" t="s">
        <v>1911</v>
      </c>
      <c r="F2692" s="114">
        <v>2</v>
      </c>
      <c r="G2692" s="502" t="s">
        <v>73</v>
      </c>
      <c r="H2692" s="503"/>
      <c r="I2692" s="502" t="s">
        <v>73</v>
      </c>
      <c r="J2692" s="503"/>
      <c r="K2692" s="719"/>
    </row>
    <row r="2693" spans="1:11" x14ac:dyDescent="0.35">
      <c r="A2693" s="717"/>
      <c r="B2693" s="503"/>
      <c r="C2693" s="503"/>
      <c r="D2693" s="390" t="s">
        <v>42</v>
      </c>
      <c r="E2693" s="731" t="s">
        <v>66</v>
      </c>
      <c r="F2693" s="114">
        <v>5</v>
      </c>
      <c r="G2693" s="502" t="s">
        <v>73</v>
      </c>
      <c r="H2693" s="503"/>
      <c r="I2693" s="502" t="s">
        <v>73</v>
      </c>
      <c r="J2693" s="503"/>
      <c r="K2693" s="719"/>
    </row>
    <row r="2694" spans="1:11" x14ac:dyDescent="0.35">
      <c r="A2694" s="717"/>
      <c r="B2694" s="503"/>
      <c r="C2694" s="503"/>
      <c r="D2694" s="326" t="s">
        <v>41</v>
      </c>
      <c r="E2694" s="732" t="s">
        <v>1912</v>
      </c>
      <c r="F2694" s="114">
        <v>3</v>
      </c>
      <c r="G2694" s="502" t="s">
        <v>73</v>
      </c>
      <c r="H2694" s="503"/>
      <c r="I2694" s="502" t="s">
        <v>73</v>
      </c>
      <c r="J2694" s="503"/>
      <c r="K2694" s="719"/>
    </row>
    <row r="2695" spans="1:11" x14ac:dyDescent="0.35">
      <c r="A2695" s="717"/>
      <c r="B2695" s="503"/>
      <c r="C2695" s="503"/>
      <c r="D2695" s="326" t="s">
        <v>521</v>
      </c>
      <c r="E2695" s="732" t="s">
        <v>1913</v>
      </c>
      <c r="F2695" s="114">
        <v>59</v>
      </c>
      <c r="G2695" s="502" t="s">
        <v>73</v>
      </c>
      <c r="H2695" s="503"/>
      <c r="I2695" s="502" t="s">
        <v>73</v>
      </c>
      <c r="J2695" s="503"/>
      <c r="K2695" s="719"/>
    </row>
    <row r="2696" spans="1:11" x14ac:dyDescent="0.35">
      <c r="A2696" s="717"/>
      <c r="B2696" s="503"/>
      <c r="C2696" s="503"/>
      <c r="D2696" s="449" t="s">
        <v>1915</v>
      </c>
      <c r="E2696" s="730" t="s">
        <v>1941</v>
      </c>
      <c r="F2696" s="114">
        <v>0.5</v>
      </c>
      <c r="G2696" s="502" t="s">
        <v>73</v>
      </c>
      <c r="H2696" s="503"/>
      <c r="I2696" s="502" t="s">
        <v>73</v>
      </c>
      <c r="J2696" s="503"/>
      <c r="K2696" s="719"/>
    </row>
    <row r="2697" spans="1:11" x14ac:dyDescent="0.35">
      <c r="A2697" s="717"/>
      <c r="B2697" s="503"/>
      <c r="C2697" s="503"/>
      <c r="D2697" s="390" t="s">
        <v>48</v>
      </c>
      <c r="E2697" s="731" t="s">
        <v>1914</v>
      </c>
      <c r="F2697" s="114">
        <v>3</v>
      </c>
      <c r="G2697" s="502" t="s">
        <v>73</v>
      </c>
      <c r="H2697" s="503"/>
      <c r="I2697" s="502" t="s">
        <v>73</v>
      </c>
      <c r="J2697" s="503"/>
      <c r="K2697" s="719"/>
    </row>
    <row r="2698" spans="1:11" x14ac:dyDescent="0.35">
      <c r="A2698" s="717"/>
      <c r="B2698" s="503"/>
      <c r="C2698" s="503"/>
      <c r="D2698" s="447"/>
      <c r="E2698" s="452" t="s">
        <v>1917</v>
      </c>
      <c r="F2698" s="356">
        <v>30</v>
      </c>
      <c r="G2698" s="358"/>
      <c r="H2698" s="358"/>
      <c r="I2698" s="358"/>
      <c r="J2698" s="358"/>
      <c r="K2698" s="448"/>
    </row>
    <row r="2699" spans="1:11" x14ac:dyDescent="0.35">
      <c r="A2699" s="717"/>
      <c r="B2699" s="503"/>
      <c r="C2699" s="503"/>
      <c r="D2699" s="449" t="s">
        <v>1604</v>
      </c>
      <c r="E2699" s="730" t="s">
        <v>1940</v>
      </c>
      <c r="F2699" s="502">
        <v>60</v>
      </c>
      <c r="G2699" s="502" t="s">
        <v>73</v>
      </c>
      <c r="H2699" s="503"/>
      <c r="I2699" s="502" t="s">
        <v>73</v>
      </c>
      <c r="J2699" s="503"/>
      <c r="K2699" s="719"/>
    </row>
    <row r="2700" spans="1:11" x14ac:dyDescent="0.35">
      <c r="A2700" s="717"/>
      <c r="B2700" s="503"/>
      <c r="C2700" s="503"/>
      <c r="D2700" s="449" t="s">
        <v>1626</v>
      </c>
      <c r="E2700" s="730" t="s">
        <v>1918</v>
      </c>
      <c r="F2700" s="502">
        <v>70</v>
      </c>
      <c r="G2700" s="502" t="s">
        <v>73</v>
      </c>
      <c r="H2700" s="503"/>
      <c r="I2700" s="502" t="s">
        <v>73</v>
      </c>
      <c r="J2700" s="503"/>
      <c r="K2700" s="719"/>
    </row>
    <row r="2701" spans="1:11" x14ac:dyDescent="0.35">
      <c r="A2701" s="717"/>
      <c r="B2701" s="503"/>
      <c r="C2701" s="503"/>
      <c r="D2701" s="390" t="s">
        <v>50</v>
      </c>
      <c r="E2701" s="731" t="s">
        <v>1919</v>
      </c>
      <c r="F2701" s="502">
        <v>20</v>
      </c>
      <c r="G2701" s="502" t="s">
        <v>73</v>
      </c>
      <c r="H2701" s="503"/>
      <c r="I2701" s="502" t="s">
        <v>73</v>
      </c>
      <c r="J2701" s="503"/>
      <c r="K2701" s="719"/>
    </row>
    <row r="2702" spans="1:11" x14ac:dyDescent="0.35">
      <c r="A2702" s="717"/>
      <c r="B2702" s="503"/>
      <c r="C2702" s="503"/>
      <c r="D2702" s="449" t="s">
        <v>1647</v>
      </c>
      <c r="E2702" s="730" t="s">
        <v>1920</v>
      </c>
      <c r="F2702" s="502">
        <v>80</v>
      </c>
      <c r="G2702" s="502" t="s">
        <v>73</v>
      </c>
      <c r="H2702" s="503"/>
      <c r="I2702" s="502" t="s">
        <v>73</v>
      </c>
      <c r="J2702" s="503"/>
      <c r="K2702" s="719"/>
    </row>
    <row r="2703" spans="1:11" x14ac:dyDescent="0.35">
      <c r="A2703" s="717"/>
      <c r="B2703" s="503"/>
      <c r="C2703" s="503"/>
      <c r="D2703" s="447"/>
      <c r="E2703" s="455" t="s">
        <v>1921</v>
      </c>
      <c r="F2703" s="356">
        <v>1.5</v>
      </c>
      <c r="G2703" s="356" t="s">
        <v>73</v>
      </c>
      <c r="H2703" s="358"/>
      <c r="I2703" s="358"/>
      <c r="J2703" s="358"/>
      <c r="K2703" s="448"/>
    </row>
    <row r="2704" spans="1:11" x14ac:dyDescent="0.35">
      <c r="A2704" s="717"/>
      <c r="B2704" s="503"/>
      <c r="C2704" s="503"/>
      <c r="D2704" s="417" t="s">
        <v>43</v>
      </c>
      <c r="E2704" s="728" t="s">
        <v>94</v>
      </c>
      <c r="F2704" s="114">
        <v>85</v>
      </c>
      <c r="G2704" s="114" t="s">
        <v>73</v>
      </c>
      <c r="H2704" s="503"/>
      <c r="I2704" s="502" t="s">
        <v>73</v>
      </c>
      <c r="J2704" s="503"/>
      <c r="K2704" s="719"/>
    </row>
    <row r="2705" spans="1:11" x14ac:dyDescent="0.35">
      <c r="A2705" s="717"/>
      <c r="B2705" s="503"/>
      <c r="C2705" s="503"/>
      <c r="D2705" s="417" t="s">
        <v>42</v>
      </c>
      <c r="E2705" s="728" t="s">
        <v>95</v>
      </c>
      <c r="F2705" s="114">
        <v>15</v>
      </c>
      <c r="G2705" s="114" t="s">
        <v>73</v>
      </c>
      <c r="H2705" s="503"/>
      <c r="I2705" s="502" t="s">
        <v>73</v>
      </c>
      <c r="J2705" s="503"/>
      <c r="K2705" s="719"/>
    </row>
    <row r="2706" spans="1:11" ht="15" thickBot="1" x14ac:dyDescent="0.4">
      <c r="A2706" s="717"/>
      <c r="B2706" s="503"/>
      <c r="C2706" s="503"/>
      <c r="D2706" s="398"/>
      <c r="E2706" s="388" t="s">
        <v>1191</v>
      </c>
      <c r="F2706" s="459">
        <v>30</v>
      </c>
      <c r="G2706" s="378" t="s">
        <v>73</v>
      </c>
      <c r="H2706" s="358"/>
      <c r="I2706" s="356" t="s">
        <v>73</v>
      </c>
      <c r="J2706" s="358"/>
      <c r="K2706" s="448"/>
    </row>
    <row r="2707" spans="1:11" ht="15" thickTop="1" x14ac:dyDescent="0.35">
      <c r="A2707" s="717"/>
      <c r="B2707" s="503"/>
      <c r="C2707" s="503"/>
      <c r="D2707" s="385" t="s">
        <v>47</v>
      </c>
      <c r="E2707" s="500" t="s">
        <v>1192</v>
      </c>
      <c r="F2707" s="502">
        <v>10</v>
      </c>
      <c r="G2707" s="114" t="s">
        <v>73</v>
      </c>
      <c r="H2707" s="503"/>
      <c r="I2707" s="502" t="s">
        <v>73</v>
      </c>
      <c r="J2707" s="503"/>
      <c r="K2707" s="719"/>
    </row>
    <row r="2708" spans="1:11" x14ac:dyDescent="0.35">
      <c r="A2708" s="717"/>
      <c r="B2708" s="503"/>
      <c r="C2708" s="503"/>
      <c r="D2708" s="390" t="s">
        <v>50</v>
      </c>
      <c r="E2708" s="500" t="s">
        <v>394</v>
      </c>
      <c r="F2708" s="502">
        <v>40</v>
      </c>
      <c r="G2708" s="114" t="s">
        <v>73</v>
      </c>
      <c r="H2708" s="503"/>
      <c r="I2708" s="502" t="s">
        <v>73</v>
      </c>
      <c r="J2708" s="503"/>
      <c r="K2708" s="719"/>
    </row>
    <row r="2709" spans="1:11" x14ac:dyDescent="0.35">
      <c r="A2709" s="717"/>
      <c r="B2709" s="503"/>
      <c r="C2709" s="503"/>
      <c r="D2709" s="390" t="s">
        <v>371</v>
      </c>
      <c r="E2709" s="500" t="s">
        <v>372</v>
      </c>
      <c r="F2709" s="502">
        <v>40</v>
      </c>
      <c r="G2709" s="114" t="s">
        <v>73</v>
      </c>
      <c r="H2709" s="503"/>
      <c r="I2709" s="502" t="s">
        <v>73</v>
      </c>
      <c r="J2709" s="503"/>
      <c r="K2709" s="719"/>
    </row>
    <row r="2710" spans="1:11" x14ac:dyDescent="0.35">
      <c r="A2710" s="717"/>
      <c r="B2710" s="503"/>
      <c r="C2710" s="503"/>
      <c r="D2710" s="390" t="s">
        <v>260</v>
      </c>
      <c r="E2710" s="500" t="s">
        <v>1193</v>
      </c>
      <c r="F2710" s="502">
        <v>120</v>
      </c>
      <c r="G2710" s="114" t="s">
        <v>73</v>
      </c>
      <c r="H2710" s="503"/>
      <c r="I2710" s="502" t="s">
        <v>73</v>
      </c>
      <c r="J2710" s="503"/>
      <c r="K2710" s="719"/>
    </row>
    <row r="2711" spans="1:11" ht="15" thickBot="1" x14ac:dyDescent="0.4">
      <c r="A2711" s="717"/>
      <c r="B2711" s="503"/>
      <c r="C2711" s="503"/>
      <c r="D2711" s="396"/>
      <c r="E2711" s="463" t="s">
        <v>950</v>
      </c>
      <c r="F2711" s="343">
        <v>40</v>
      </c>
      <c r="G2711" s="493" t="s">
        <v>73</v>
      </c>
      <c r="H2711" s="465"/>
      <c r="I2711" s="466" t="s">
        <v>73</v>
      </c>
      <c r="J2711" s="465"/>
      <c r="K2711" s="467"/>
    </row>
    <row r="2712" spans="1:11" ht="15" thickTop="1" x14ac:dyDescent="0.35">
      <c r="A2712" s="717"/>
      <c r="B2712" s="503"/>
      <c r="C2712" s="503"/>
      <c r="D2712" s="385" t="s">
        <v>141</v>
      </c>
      <c r="E2712" s="500" t="s">
        <v>1194</v>
      </c>
      <c r="F2712" s="502">
        <v>40</v>
      </c>
      <c r="G2712" s="114" t="s">
        <v>73</v>
      </c>
      <c r="H2712" s="503"/>
      <c r="I2712" s="502" t="s">
        <v>73</v>
      </c>
      <c r="J2712" s="503"/>
      <c r="K2712" s="719"/>
    </row>
    <row r="2713" spans="1:11" x14ac:dyDescent="0.35">
      <c r="A2713" s="717"/>
      <c r="B2713" s="503"/>
      <c r="C2713" s="503"/>
      <c r="D2713" s="390" t="s">
        <v>46</v>
      </c>
      <c r="E2713" s="500" t="s">
        <v>1195</v>
      </c>
      <c r="F2713" s="502">
        <v>20</v>
      </c>
      <c r="G2713" s="114" t="s">
        <v>73</v>
      </c>
      <c r="H2713" s="503"/>
      <c r="I2713" s="502" t="s">
        <v>73</v>
      </c>
      <c r="J2713" s="503"/>
      <c r="K2713" s="719"/>
    </row>
    <row r="2714" spans="1:11" ht="15" thickBot="1" x14ac:dyDescent="0.4">
      <c r="A2714" s="717"/>
      <c r="B2714" s="503"/>
      <c r="C2714" s="503"/>
      <c r="D2714" s="390" t="s">
        <v>379</v>
      </c>
      <c r="E2714" s="500" t="s">
        <v>380</v>
      </c>
      <c r="F2714" s="502">
        <v>10</v>
      </c>
      <c r="G2714" s="114" t="s">
        <v>73</v>
      </c>
      <c r="H2714" s="503"/>
      <c r="I2714" s="502" t="s">
        <v>73</v>
      </c>
      <c r="J2714" s="503"/>
      <c r="K2714" s="719"/>
    </row>
    <row r="2715" spans="1:11" ht="15" thickTop="1" x14ac:dyDescent="0.35">
      <c r="A2715" s="717"/>
      <c r="B2715" s="503"/>
      <c r="C2715" s="503"/>
      <c r="D2715" s="468"/>
      <c r="E2715" s="355" t="s">
        <v>973</v>
      </c>
      <c r="F2715" s="356">
        <v>40</v>
      </c>
      <c r="G2715" s="378" t="s">
        <v>73</v>
      </c>
      <c r="H2715" s="358"/>
      <c r="I2715" s="356" t="s">
        <v>73</v>
      </c>
      <c r="J2715" s="358"/>
      <c r="K2715" s="448"/>
    </row>
    <row r="2716" spans="1:11" x14ac:dyDescent="0.35">
      <c r="A2716" s="717"/>
      <c r="B2716" s="503"/>
      <c r="C2716" s="503"/>
      <c r="D2716" s="326" t="s">
        <v>47</v>
      </c>
      <c r="E2716" s="720" t="s">
        <v>740</v>
      </c>
      <c r="F2716" s="114">
        <v>3</v>
      </c>
      <c r="G2716" s="114" t="s">
        <v>73</v>
      </c>
      <c r="H2716" s="503"/>
      <c r="I2716" s="502" t="s">
        <v>73</v>
      </c>
      <c r="J2716" s="503"/>
      <c r="K2716" s="719"/>
    </row>
    <row r="2717" spans="1:11" x14ac:dyDescent="0.35">
      <c r="A2717" s="717"/>
      <c r="B2717" s="503"/>
      <c r="C2717" s="503"/>
      <c r="D2717" s="326" t="s">
        <v>49</v>
      </c>
      <c r="E2717" s="720" t="s">
        <v>916</v>
      </c>
      <c r="F2717" s="114">
        <v>8</v>
      </c>
      <c r="G2717" s="114" t="s">
        <v>73</v>
      </c>
      <c r="H2717" s="503"/>
      <c r="I2717" s="502" t="s">
        <v>73</v>
      </c>
      <c r="J2717" s="503"/>
      <c r="K2717" s="719"/>
    </row>
    <row r="2718" spans="1:11" x14ac:dyDescent="0.35">
      <c r="A2718" s="717"/>
      <c r="B2718" s="503"/>
      <c r="C2718" s="503"/>
      <c r="D2718" s="326" t="s">
        <v>50</v>
      </c>
      <c r="E2718" s="720" t="s">
        <v>917</v>
      </c>
      <c r="F2718" s="114">
        <v>40</v>
      </c>
      <c r="G2718" s="114" t="s">
        <v>73</v>
      </c>
      <c r="H2718" s="503"/>
      <c r="I2718" s="502" t="s">
        <v>73</v>
      </c>
      <c r="J2718" s="503"/>
      <c r="K2718" s="719"/>
    </row>
    <row r="2719" spans="1:11" x14ac:dyDescent="0.35">
      <c r="A2719" s="717"/>
      <c r="B2719" s="503"/>
      <c r="C2719" s="503"/>
      <c r="D2719" s="326" t="s">
        <v>371</v>
      </c>
      <c r="E2719" s="720" t="s">
        <v>918</v>
      </c>
      <c r="F2719" s="114">
        <v>20</v>
      </c>
      <c r="G2719" s="114" t="s">
        <v>73</v>
      </c>
      <c r="H2719" s="503"/>
      <c r="I2719" s="502" t="s">
        <v>73</v>
      </c>
      <c r="J2719" s="503"/>
      <c r="K2719" s="719"/>
    </row>
    <row r="2720" spans="1:11" x14ac:dyDescent="0.35">
      <c r="A2720" s="717"/>
      <c r="B2720" s="503"/>
      <c r="C2720" s="503"/>
      <c r="D2720" s="326" t="s">
        <v>379</v>
      </c>
      <c r="E2720" s="720" t="s">
        <v>919</v>
      </c>
      <c r="F2720" s="114">
        <v>10</v>
      </c>
      <c r="G2720" s="114" t="s">
        <v>73</v>
      </c>
      <c r="H2720" s="503"/>
      <c r="I2720" s="502" t="s">
        <v>73</v>
      </c>
      <c r="J2720" s="503"/>
      <c r="K2720" s="719"/>
    </row>
    <row r="2721" spans="1:11" x14ac:dyDescent="0.35">
      <c r="A2721" s="717"/>
      <c r="B2721" s="503"/>
      <c r="C2721" s="503"/>
      <c r="D2721" s="326" t="s">
        <v>505</v>
      </c>
      <c r="E2721" s="720" t="s">
        <v>722</v>
      </c>
      <c r="F2721" s="114">
        <v>0.5</v>
      </c>
      <c r="G2721" s="114" t="s">
        <v>73</v>
      </c>
      <c r="H2721" s="503"/>
      <c r="I2721" s="502" t="s">
        <v>73</v>
      </c>
      <c r="J2721" s="503"/>
      <c r="K2721" s="719"/>
    </row>
    <row r="2722" spans="1:11" x14ac:dyDescent="0.35">
      <c r="A2722" s="717"/>
      <c r="B2722" s="503"/>
      <c r="C2722" s="503"/>
      <c r="D2722" s="326" t="s">
        <v>41</v>
      </c>
      <c r="E2722" s="720" t="s">
        <v>1948</v>
      </c>
      <c r="F2722" s="114">
        <v>2</v>
      </c>
      <c r="G2722" s="114" t="s">
        <v>73</v>
      </c>
      <c r="H2722" s="503"/>
      <c r="I2722" s="502" t="s">
        <v>73</v>
      </c>
      <c r="J2722" s="503"/>
      <c r="K2722" s="719"/>
    </row>
    <row r="2723" spans="1:11" x14ac:dyDescent="0.35">
      <c r="A2723" s="717"/>
      <c r="B2723" s="503"/>
      <c r="C2723" s="503"/>
      <c r="D2723" s="326" t="s">
        <v>127</v>
      </c>
      <c r="E2723" s="720" t="s">
        <v>912</v>
      </c>
      <c r="F2723" s="114">
        <v>28</v>
      </c>
      <c r="G2723" s="114" t="s">
        <v>73</v>
      </c>
      <c r="H2723" s="503"/>
      <c r="I2723" s="502" t="s">
        <v>73</v>
      </c>
      <c r="J2723" s="503"/>
      <c r="K2723" s="719"/>
    </row>
    <row r="2724" spans="1:11" x14ac:dyDescent="0.35">
      <c r="A2724" s="717"/>
      <c r="B2724" s="503"/>
      <c r="C2724" s="503"/>
      <c r="D2724" s="326" t="s">
        <v>549</v>
      </c>
      <c r="E2724" s="720" t="s">
        <v>915</v>
      </c>
      <c r="F2724" s="114">
        <v>165</v>
      </c>
      <c r="G2724" s="114" t="s">
        <v>73</v>
      </c>
      <c r="H2724" s="503"/>
      <c r="I2724" s="502" t="s">
        <v>73</v>
      </c>
      <c r="J2724" s="503"/>
      <c r="K2724" s="719"/>
    </row>
    <row r="2725" spans="1:11" ht="15" thickBot="1" x14ac:dyDescent="0.4">
      <c r="A2725" s="717"/>
      <c r="B2725" s="503"/>
      <c r="C2725" s="503"/>
      <c r="D2725" s="413"/>
      <c r="E2725" s="388" t="s">
        <v>84</v>
      </c>
      <c r="F2725" s="378">
        <v>30</v>
      </c>
      <c r="G2725" s="378" t="s">
        <v>73</v>
      </c>
      <c r="H2725" s="357"/>
      <c r="I2725" s="358"/>
      <c r="J2725" s="358"/>
      <c r="K2725" s="414"/>
    </row>
    <row r="2726" spans="1:11" ht="15" thickTop="1" x14ac:dyDescent="0.35">
      <c r="A2726" s="717"/>
      <c r="B2726" s="503"/>
      <c r="C2726" s="503"/>
      <c r="D2726" s="415"/>
      <c r="E2726" s="416" t="s">
        <v>26</v>
      </c>
      <c r="F2726" s="378">
        <v>1000</v>
      </c>
      <c r="G2726" s="378" t="s">
        <v>73</v>
      </c>
      <c r="H2726" s="357"/>
      <c r="I2726" s="358"/>
      <c r="J2726" s="358"/>
      <c r="K2726" s="414"/>
    </row>
    <row r="2727" spans="1:11" x14ac:dyDescent="0.35">
      <c r="A2727" s="717"/>
      <c r="B2727" s="503"/>
      <c r="C2727" s="503"/>
      <c r="D2727" s="417" t="s">
        <v>60</v>
      </c>
      <c r="E2727" s="737" t="s">
        <v>121</v>
      </c>
      <c r="F2727" s="114">
        <v>1000</v>
      </c>
      <c r="G2727" s="114" t="s">
        <v>73</v>
      </c>
      <c r="H2727" s="501"/>
      <c r="I2727" s="114" t="s">
        <v>73</v>
      </c>
      <c r="J2727" s="503"/>
      <c r="K2727" s="721">
        <f t="shared" ref="K2727:K2728" si="296">$A$2023*H2727</f>
        <v>0</v>
      </c>
    </row>
    <row r="2728" spans="1:11" x14ac:dyDescent="0.35">
      <c r="A2728" s="717"/>
      <c r="B2728" s="503"/>
      <c r="C2728" s="503"/>
      <c r="D2728" s="417" t="s">
        <v>43</v>
      </c>
      <c r="E2728" s="738" t="s">
        <v>94</v>
      </c>
      <c r="F2728" s="114">
        <v>30</v>
      </c>
      <c r="G2728" s="114" t="s">
        <v>73</v>
      </c>
      <c r="H2728" s="501"/>
      <c r="I2728" s="114" t="s">
        <v>73</v>
      </c>
      <c r="J2728" s="503"/>
      <c r="K2728" s="721">
        <f t="shared" si="296"/>
        <v>0</v>
      </c>
    </row>
    <row r="2729" spans="1:11" x14ac:dyDescent="0.35">
      <c r="A2729" s="717"/>
      <c r="B2729" s="503"/>
      <c r="C2729" s="503"/>
      <c r="D2729" s="420"/>
      <c r="E2729" s="421" t="s">
        <v>81</v>
      </c>
      <c r="F2729" s="404">
        <v>400</v>
      </c>
      <c r="G2729" s="404" t="s">
        <v>73</v>
      </c>
      <c r="H2729" s="363"/>
      <c r="I2729" s="422"/>
      <c r="J2729" s="423"/>
      <c r="K2729" s="424"/>
    </row>
    <row r="2730" spans="1:11" x14ac:dyDescent="0.35">
      <c r="A2730" s="717"/>
      <c r="B2730" s="503"/>
      <c r="C2730" s="503"/>
      <c r="D2730" s="417" t="s">
        <v>59</v>
      </c>
      <c r="E2730" s="720" t="s">
        <v>27</v>
      </c>
      <c r="F2730" s="114">
        <v>350</v>
      </c>
      <c r="G2730" s="114" t="s">
        <v>73</v>
      </c>
      <c r="H2730" s="501"/>
      <c r="I2730" s="502" t="s">
        <v>73</v>
      </c>
      <c r="J2730" s="503"/>
      <c r="K2730" s="721">
        <f t="shared" ref="K2730:K2731" si="297">$A$2023*H2730</f>
        <v>0</v>
      </c>
    </row>
    <row r="2731" spans="1:11" x14ac:dyDescent="0.35">
      <c r="A2731" s="717"/>
      <c r="B2731" s="503"/>
      <c r="C2731" s="503"/>
      <c r="D2731" s="417" t="s">
        <v>48</v>
      </c>
      <c r="E2731" s="720" t="s">
        <v>91</v>
      </c>
      <c r="F2731" s="114">
        <v>100</v>
      </c>
      <c r="G2731" s="114" t="s">
        <v>73</v>
      </c>
      <c r="H2731" s="501"/>
      <c r="I2731" s="502" t="s">
        <v>73</v>
      </c>
      <c r="J2731" s="503"/>
      <c r="K2731" s="721">
        <f t="shared" si="297"/>
        <v>0</v>
      </c>
    </row>
    <row r="2732" spans="1:11" x14ac:dyDescent="0.35">
      <c r="A2732" s="717"/>
      <c r="B2732" s="503"/>
      <c r="C2732" s="503"/>
      <c r="D2732" s="388"/>
      <c r="E2732" s="384" t="s">
        <v>769</v>
      </c>
      <c r="F2732" s="378">
        <v>2</v>
      </c>
      <c r="G2732" s="378" t="s">
        <v>73</v>
      </c>
      <c r="H2732" s="358"/>
      <c r="I2732" s="358"/>
      <c r="J2732" s="358"/>
      <c r="K2732" s="448"/>
    </row>
    <row r="2733" spans="1:11" x14ac:dyDescent="0.35">
      <c r="A2733" s="717"/>
      <c r="B2733" s="503"/>
      <c r="C2733" s="503"/>
      <c r="D2733" s="390" t="s">
        <v>521</v>
      </c>
      <c r="E2733" s="504" t="s">
        <v>906</v>
      </c>
      <c r="F2733" s="114">
        <v>200</v>
      </c>
      <c r="G2733" s="114" t="s">
        <v>73</v>
      </c>
      <c r="H2733" s="503"/>
      <c r="I2733" s="503"/>
      <c r="J2733" s="503"/>
      <c r="K2733" s="719"/>
    </row>
    <row r="2734" spans="1:11" x14ac:dyDescent="0.35">
      <c r="A2734" s="717"/>
      <c r="B2734" s="503"/>
      <c r="C2734" s="503"/>
      <c r="D2734" s="388"/>
      <c r="E2734" s="403" t="s">
        <v>770</v>
      </c>
      <c r="F2734" s="378">
        <v>30</v>
      </c>
      <c r="G2734" s="378" t="s">
        <v>73</v>
      </c>
      <c r="H2734" s="358"/>
      <c r="I2734" s="358"/>
      <c r="J2734" s="358"/>
      <c r="K2734" s="448"/>
    </row>
    <row r="2735" spans="1:11" x14ac:dyDescent="0.35">
      <c r="A2735" s="717"/>
      <c r="B2735" s="503"/>
      <c r="C2735" s="503"/>
      <c r="D2735" s="390" t="s">
        <v>537</v>
      </c>
      <c r="E2735" s="391" t="s">
        <v>771</v>
      </c>
      <c r="F2735" s="22">
        <v>1</v>
      </c>
      <c r="G2735" s="22" t="s">
        <v>73</v>
      </c>
      <c r="H2735" s="340"/>
      <c r="I2735" s="340"/>
      <c r="J2735" s="340"/>
      <c r="K2735" s="443"/>
    </row>
    <row r="2736" spans="1:11" x14ac:dyDescent="0.35">
      <c r="A2736" s="717"/>
      <c r="B2736" s="503"/>
      <c r="C2736" s="503"/>
      <c r="D2736" s="392"/>
      <c r="E2736" s="393" t="s">
        <v>81</v>
      </c>
      <c r="F2736" s="404">
        <v>100</v>
      </c>
      <c r="G2736" s="404" t="s">
        <v>73</v>
      </c>
      <c r="H2736" s="364"/>
      <c r="I2736" s="364"/>
      <c r="J2736" s="364"/>
      <c r="K2736" s="469"/>
    </row>
    <row r="2737" spans="1:11" x14ac:dyDescent="0.35">
      <c r="A2737" s="717"/>
      <c r="B2737" s="503"/>
      <c r="C2737" s="503"/>
      <c r="D2737" s="388"/>
      <c r="E2737" s="403" t="s">
        <v>726</v>
      </c>
      <c r="F2737" s="378">
        <v>2</v>
      </c>
      <c r="G2737" s="378" t="s">
        <v>73</v>
      </c>
      <c r="H2737" s="358"/>
      <c r="I2737" s="358"/>
      <c r="J2737" s="358"/>
      <c r="K2737" s="448"/>
    </row>
    <row r="2738" spans="1:11" x14ac:dyDescent="0.35">
      <c r="A2738" s="717"/>
      <c r="B2738" s="503"/>
      <c r="C2738" s="503"/>
      <c r="D2738" s="390" t="s">
        <v>43</v>
      </c>
      <c r="E2738" s="500" t="s">
        <v>105</v>
      </c>
      <c r="F2738" s="114">
        <v>15</v>
      </c>
      <c r="G2738" s="114" t="s">
        <v>73</v>
      </c>
      <c r="H2738" s="503"/>
      <c r="I2738" s="503"/>
      <c r="J2738" s="503"/>
      <c r="K2738" s="719"/>
    </row>
    <row r="2739" spans="1:11" x14ac:dyDescent="0.35">
      <c r="A2739" s="717"/>
      <c r="B2739" s="503"/>
      <c r="C2739" s="503"/>
      <c r="D2739" s="390" t="s">
        <v>42</v>
      </c>
      <c r="E2739" s="500" t="s">
        <v>95</v>
      </c>
      <c r="F2739" s="114">
        <v>85</v>
      </c>
      <c r="G2739" s="114" t="s">
        <v>73</v>
      </c>
      <c r="H2739" s="503"/>
      <c r="I2739" s="503"/>
      <c r="J2739" s="503"/>
      <c r="K2739" s="719"/>
    </row>
    <row r="2740" spans="1:11" x14ac:dyDescent="0.35">
      <c r="A2740" s="717"/>
      <c r="B2740" s="503"/>
      <c r="C2740" s="503"/>
      <c r="D2740" s="390" t="s">
        <v>517</v>
      </c>
      <c r="E2740" s="504" t="s">
        <v>724</v>
      </c>
      <c r="F2740" s="114">
        <v>8</v>
      </c>
      <c r="G2740" s="114" t="s">
        <v>73</v>
      </c>
      <c r="H2740" s="503"/>
      <c r="I2740" s="503"/>
      <c r="J2740" s="503"/>
      <c r="K2740" s="719"/>
    </row>
    <row r="2741" spans="1:11" ht="15" thickBot="1" x14ac:dyDescent="0.4">
      <c r="A2741" s="717"/>
      <c r="B2741" s="503"/>
      <c r="C2741" s="503"/>
      <c r="D2741" s="390" t="s">
        <v>45</v>
      </c>
      <c r="E2741" s="504" t="s">
        <v>101</v>
      </c>
      <c r="F2741" s="114">
        <v>1</v>
      </c>
      <c r="G2741" s="114" t="s">
        <v>73</v>
      </c>
      <c r="H2741" s="503"/>
      <c r="I2741" s="503"/>
      <c r="J2741" s="503"/>
      <c r="K2741" s="719"/>
    </row>
    <row r="2742" spans="1:11" ht="15.5" thickTop="1" thickBot="1" x14ac:dyDescent="0.4">
      <c r="A2742" s="717"/>
      <c r="B2742" s="503"/>
      <c r="C2742" s="503"/>
      <c r="D2742" s="383"/>
      <c r="E2742" s="384" t="s">
        <v>1206</v>
      </c>
      <c r="F2742" s="378">
        <v>3</v>
      </c>
      <c r="G2742" s="378" t="s">
        <v>74</v>
      </c>
      <c r="H2742" s="358"/>
      <c r="I2742" s="358"/>
      <c r="J2742" s="358"/>
      <c r="K2742" s="448"/>
    </row>
    <row r="2743" spans="1:11" ht="15" thickTop="1" x14ac:dyDescent="0.35">
      <c r="A2743" s="717"/>
      <c r="B2743" s="503"/>
      <c r="C2743" s="503"/>
      <c r="D2743" s="385" t="s">
        <v>491</v>
      </c>
      <c r="E2743" s="386" t="s">
        <v>1197</v>
      </c>
      <c r="F2743" s="328">
        <v>6.3E-2</v>
      </c>
      <c r="G2743" s="328" t="s">
        <v>1072</v>
      </c>
      <c r="H2743" s="340"/>
      <c r="I2743" s="340"/>
      <c r="J2743" s="340"/>
      <c r="K2743" s="443"/>
    </row>
    <row r="2744" spans="1:11" x14ac:dyDescent="0.35">
      <c r="A2744" s="717"/>
      <c r="B2744" s="503"/>
      <c r="C2744" s="503"/>
      <c r="D2744" s="388"/>
      <c r="E2744" s="389" t="s">
        <v>853</v>
      </c>
      <c r="F2744" s="356">
        <v>42.5</v>
      </c>
      <c r="G2744" s="356" t="s">
        <v>73</v>
      </c>
      <c r="H2744" s="358"/>
      <c r="I2744" s="358"/>
      <c r="J2744" s="358"/>
      <c r="K2744" s="448"/>
    </row>
    <row r="2745" spans="1:11" x14ac:dyDescent="0.35">
      <c r="A2745" s="717"/>
      <c r="B2745" s="503"/>
      <c r="C2745" s="503"/>
      <c r="D2745" s="390" t="s">
        <v>1068</v>
      </c>
      <c r="E2745" s="391" t="s">
        <v>1069</v>
      </c>
      <c r="F2745" s="328">
        <v>60</v>
      </c>
      <c r="G2745" s="328" t="s">
        <v>73</v>
      </c>
      <c r="H2745" s="340"/>
      <c r="I2745" s="340"/>
      <c r="J2745" s="340"/>
      <c r="K2745" s="443"/>
    </row>
    <row r="2746" spans="1:11" x14ac:dyDescent="0.35">
      <c r="A2746" s="717"/>
      <c r="B2746" s="503"/>
      <c r="C2746" s="503"/>
      <c r="D2746" s="392"/>
      <c r="E2746" s="393" t="s">
        <v>854</v>
      </c>
      <c r="F2746" s="343">
        <v>90</v>
      </c>
      <c r="G2746" s="343" t="s">
        <v>73</v>
      </c>
      <c r="H2746" s="364"/>
      <c r="I2746" s="364"/>
      <c r="J2746" s="364"/>
      <c r="K2746" s="469"/>
    </row>
    <row r="2747" spans="1:11" ht="15" thickBot="1" x14ac:dyDescent="0.4">
      <c r="A2747" s="717"/>
      <c r="B2747" s="503"/>
      <c r="C2747" s="503"/>
      <c r="D2747" s="390" t="s">
        <v>45</v>
      </c>
      <c r="E2747" s="500" t="s">
        <v>101</v>
      </c>
      <c r="F2747" s="502">
        <v>1.5</v>
      </c>
      <c r="G2747" s="502" t="s">
        <v>73</v>
      </c>
      <c r="H2747" s="503"/>
      <c r="I2747" s="503"/>
      <c r="J2747" s="503"/>
      <c r="K2747" s="719"/>
    </row>
    <row r="2748" spans="1:11" ht="15.5" thickTop="1" thickBot="1" x14ac:dyDescent="0.4">
      <c r="A2748" s="717"/>
      <c r="B2748" s="503"/>
      <c r="C2748" s="503"/>
      <c r="D2748" s="406" t="s">
        <v>521</v>
      </c>
      <c r="E2748" s="500" t="s">
        <v>855</v>
      </c>
      <c r="F2748" s="502">
        <v>55.75</v>
      </c>
      <c r="G2748" s="502" t="s">
        <v>73</v>
      </c>
      <c r="H2748" s="503"/>
      <c r="I2748" s="503"/>
      <c r="J2748" s="503"/>
      <c r="K2748" s="719"/>
    </row>
    <row r="2749" spans="1:11" ht="15" thickTop="1" x14ac:dyDescent="0.35">
      <c r="A2749" s="717"/>
      <c r="B2749" s="503"/>
      <c r="C2749" s="503"/>
      <c r="D2749" s="394"/>
      <c r="E2749" s="388" t="s">
        <v>1947</v>
      </c>
      <c r="F2749" s="459">
        <v>40</v>
      </c>
      <c r="G2749" s="328" t="s">
        <v>73</v>
      </c>
      <c r="H2749" s="358"/>
      <c r="I2749" s="356" t="s">
        <v>1946</v>
      </c>
      <c r="J2749" s="358"/>
      <c r="K2749" s="448"/>
    </row>
    <row r="2750" spans="1:11" x14ac:dyDescent="0.35">
      <c r="A2750" s="717"/>
      <c r="B2750" s="503"/>
      <c r="C2750" s="503"/>
      <c r="D2750" s="326" t="s">
        <v>696</v>
      </c>
      <c r="E2750" s="732" t="s">
        <v>1949</v>
      </c>
      <c r="F2750" s="502"/>
      <c r="G2750" s="502" t="s">
        <v>73</v>
      </c>
      <c r="H2750" s="503"/>
      <c r="I2750" s="503"/>
      <c r="J2750" s="503"/>
      <c r="K2750" s="719"/>
    </row>
    <row r="2751" spans="1:11" ht="15" thickBot="1" x14ac:dyDescent="0.4">
      <c r="A2751" s="717"/>
      <c r="B2751" s="503"/>
      <c r="C2751" s="503"/>
      <c r="D2751" s="326" t="s">
        <v>129</v>
      </c>
      <c r="E2751" s="732" t="s">
        <v>1950</v>
      </c>
      <c r="F2751" s="502"/>
      <c r="G2751" s="502" t="s">
        <v>73</v>
      </c>
      <c r="H2751" s="503"/>
      <c r="I2751" s="503"/>
      <c r="J2751" s="503"/>
      <c r="K2751" s="719"/>
    </row>
    <row r="2752" spans="1:11" ht="15" thickTop="1" x14ac:dyDescent="0.35">
      <c r="A2752" s="717"/>
      <c r="B2752" s="503"/>
      <c r="C2752" s="503"/>
      <c r="D2752" s="385" t="s">
        <v>49</v>
      </c>
      <c r="E2752" s="731" t="s">
        <v>1951</v>
      </c>
      <c r="F2752" s="502"/>
      <c r="G2752" s="502" t="s">
        <v>73</v>
      </c>
      <c r="H2752" s="503"/>
      <c r="I2752" s="503"/>
      <c r="J2752" s="503"/>
      <c r="K2752" s="719"/>
    </row>
    <row r="2753" spans="1:11" x14ac:dyDescent="0.35">
      <c r="A2753" s="717"/>
      <c r="B2753" s="503"/>
      <c r="C2753" s="503"/>
      <c r="D2753" s="388"/>
      <c r="E2753" s="483" t="s">
        <v>1952</v>
      </c>
      <c r="F2753" s="356"/>
      <c r="G2753" s="494" t="s">
        <v>73</v>
      </c>
      <c r="H2753" s="358"/>
      <c r="I2753" s="358"/>
      <c r="J2753" s="358"/>
      <c r="K2753" s="448"/>
    </row>
    <row r="2754" spans="1:11" x14ac:dyDescent="0.35">
      <c r="A2754" s="717"/>
      <c r="B2754" s="503"/>
      <c r="C2754" s="503"/>
      <c r="D2754" s="326" t="s">
        <v>333</v>
      </c>
      <c r="E2754" s="729" t="s">
        <v>1956</v>
      </c>
      <c r="F2754" s="502"/>
      <c r="G2754" s="502" t="s">
        <v>73</v>
      </c>
      <c r="H2754" s="503"/>
      <c r="I2754" s="503"/>
      <c r="J2754" s="503"/>
      <c r="K2754" s="719"/>
    </row>
    <row r="2755" spans="1:11" x14ac:dyDescent="0.35">
      <c r="A2755" s="717"/>
      <c r="B2755" s="503"/>
      <c r="C2755" s="503"/>
      <c r="D2755" s="390"/>
      <c r="E2755" s="500" t="s">
        <v>950</v>
      </c>
      <c r="F2755" s="502"/>
      <c r="G2755" s="502" t="s">
        <v>73</v>
      </c>
      <c r="H2755" s="503"/>
      <c r="I2755" s="503"/>
      <c r="J2755" s="503"/>
      <c r="K2755" s="719"/>
    </row>
    <row r="2756" spans="1:11" ht="15" thickBot="1" x14ac:dyDescent="0.4">
      <c r="A2756" s="508"/>
      <c r="B2756" s="509"/>
      <c r="C2756" s="509"/>
      <c r="D2756" s="509"/>
      <c r="E2756" s="509"/>
      <c r="F2756" s="509"/>
      <c r="G2756" s="509"/>
      <c r="H2756" s="509"/>
      <c r="I2756" s="509"/>
      <c r="J2756" s="509"/>
      <c r="K2756" s="510"/>
    </row>
    <row r="2757" spans="1:11" ht="15.5" thickTop="1" thickBot="1" x14ac:dyDescent="0.4">
      <c r="A2757" s="477">
        <f>IFERROR(INDEX($Q$17:$Q$201,MATCH(B2757,$R$17:$R$201, 0)), "")</f>
        <v>0</v>
      </c>
      <c r="B2757" s="408" t="s">
        <v>1961</v>
      </c>
      <c r="C2757" s="325" t="s">
        <v>1962</v>
      </c>
      <c r="D2757" s="406" t="s">
        <v>1070</v>
      </c>
      <c r="E2757" s="505" t="s">
        <v>1963</v>
      </c>
      <c r="F2757" s="503"/>
      <c r="G2757" s="503"/>
      <c r="H2757" s="503"/>
      <c r="I2757" s="503"/>
      <c r="J2757" s="503"/>
      <c r="K2757" s="735"/>
    </row>
    <row r="2758" spans="1:11" ht="15" thickTop="1" x14ac:dyDescent="0.35">
      <c r="A2758" s="717"/>
      <c r="B2758" s="503"/>
      <c r="C2758" s="503"/>
      <c r="D2758" s="385" t="s">
        <v>141</v>
      </c>
      <c r="E2758" s="505" t="s">
        <v>142</v>
      </c>
      <c r="F2758" s="503"/>
      <c r="G2758" s="503"/>
      <c r="H2758" s="503"/>
      <c r="I2758" s="503"/>
      <c r="J2758" s="503"/>
      <c r="K2758" s="735"/>
    </row>
    <row r="2759" spans="1:11" x14ac:dyDescent="0.35">
      <c r="A2759" s="717"/>
      <c r="B2759" s="503"/>
      <c r="C2759" s="503"/>
      <c r="D2759" s="697" t="s">
        <v>505</v>
      </c>
      <c r="E2759" s="505" t="s">
        <v>722</v>
      </c>
      <c r="F2759" s="503"/>
      <c r="G2759" s="503"/>
      <c r="H2759" s="503"/>
      <c r="I2759" s="503"/>
      <c r="J2759" s="503"/>
      <c r="K2759" s="735"/>
    </row>
    <row r="2760" spans="1:11" x14ac:dyDescent="0.35">
      <c r="A2760" s="717"/>
      <c r="B2760" s="503"/>
      <c r="C2760" s="503"/>
      <c r="D2760" s="390" t="s">
        <v>47</v>
      </c>
      <c r="E2760" s="733" t="s">
        <v>93</v>
      </c>
      <c r="F2760" s="503"/>
      <c r="G2760" s="503"/>
      <c r="H2760" s="503"/>
      <c r="I2760" s="503"/>
      <c r="J2760" s="503"/>
      <c r="K2760" s="735"/>
    </row>
    <row r="2761" spans="1:11" x14ac:dyDescent="0.35">
      <c r="A2761" s="717"/>
      <c r="B2761" s="503"/>
      <c r="C2761" s="503"/>
      <c r="D2761" s="388"/>
      <c r="E2761" s="403" t="s">
        <v>754</v>
      </c>
      <c r="F2761" s="356">
        <v>2100</v>
      </c>
      <c r="G2761" s="378" t="s">
        <v>73</v>
      </c>
      <c r="H2761" s="358"/>
      <c r="I2761" s="358"/>
      <c r="J2761" s="358"/>
      <c r="K2761" s="511"/>
    </row>
    <row r="2762" spans="1:11" x14ac:dyDescent="0.35">
      <c r="A2762" s="717"/>
      <c r="B2762" s="503"/>
      <c r="C2762" s="503"/>
      <c r="D2762" s="392"/>
      <c r="E2762" s="698" t="s">
        <v>81</v>
      </c>
      <c r="F2762" s="404">
        <v>1300</v>
      </c>
      <c r="G2762" s="404" t="s">
        <v>73</v>
      </c>
      <c r="H2762" s="340"/>
      <c r="I2762" s="340"/>
      <c r="J2762" s="340"/>
      <c r="K2762" s="497"/>
    </row>
    <row r="2763" spans="1:11" x14ac:dyDescent="0.35">
      <c r="A2763" s="717"/>
      <c r="B2763" s="503"/>
      <c r="C2763" s="503"/>
      <c r="D2763" s="390" t="s">
        <v>1660</v>
      </c>
      <c r="E2763" s="739" t="s">
        <v>1897</v>
      </c>
      <c r="F2763" s="114">
        <v>1000</v>
      </c>
      <c r="G2763" s="114" t="s">
        <v>73</v>
      </c>
      <c r="H2763" s="503"/>
      <c r="I2763" s="503"/>
      <c r="J2763" s="503"/>
      <c r="K2763" s="735"/>
    </row>
    <row r="2764" spans="1:11" x14ac:dyDescent="0.35">
      <c r="A2764" s="717"/>
      <c r="B2764" s="503"/>
      <c r="C2764" s="503"/>
      <c r="D2764" s="390"/>
      <c r="E2764" s="739" t="s">
        <v>753</v>
      </c>
      <c r="F2764" s="114">
        <v>0</v>
      </c>
      <c r="G2764" s="114" t="s">
        <v>73</v>
      </c>
      <c r="H2764" s="503"/>
      <c r="I2764" s="503"/>
      <c r="J2764" s="503"/>
      <c r="K2764" s="735"/>
    </row>
    <row r="2765" spans="1:11" ht="15" thickBot="1" x14ac:dyDescent="0.4">
      <c r="A2765" s="717"/>
      <c r="B2765" s="503"/>
      <c r="C2765" s="503"/>
      <c r="D2765" s="398"/>
      <c r="E2765" s="388" t="s">
        <v>1191</v>
      </c>
      <c r="F2765" s="459">
        <v>30</v>
      </c>
      <c r="G2765" s="378" t="s">
        <v>73</v>
      </c>
      <c r="H2765" s="358"/>
      <c r="I2765" s="356" t="s">
        <v>73</v>
      </c>
      <c r="J2765" s="358"/>
      <c r="K2765" s="448"/>
    </row>
    <row r="2766" spans="1:11" ht="15" thickTop="1" x14ac:dyDescent="0.35">
      <c r="A2766" s="717"/>
      <c r="B2766" s="503"/>
      <c r="C2766" s="503"/>
      <c r="D2766" s="385" t="s">
        <v>47</v>
      </c>
      <c r="E2766" s="395" t="s">
        <v>1192</v>
      </c>
      <c r="F2766" s="335">
        <v>10</v>
      </c>
      <c r="G2766" s="18" t="s">
        <v>73</v>
      </c>
      <c r="H2766" s="333"/>
      <c r="I2766" s="335" t="s">
        <v>73</v>
      </c>
      <c r="J2766" s="333"/>
      <c r="K2766" s="442"/>
    </row>
    <row r="2767" spans="1:11" x14ac:dyDescent="0.35">
      <c r="A2767" s="717"/>
      <c r="B2767" s="503"/>
      <c r="C2767" s="503"/>
      <c r="D2767" s="390" t="s">
        <v>50</v>
      </c>
      <c r="E2767" s="391" t="s">
        <v>394</v>
      </c>
      <c r="F2767" s="328">
        <v>40</v>
      </c>
      <c r="G2767" s="22" t="s">
        <v>73</v>
      </c>
      <c r="H2767" s="340"/>
      <c r="I2767" s="328" t="s">
        <v>73</v>
      </c>
      <c r="J2767" s="340"/>
      <c r="K2767" s="443"/>
    </row>
    <row r="2768" spans="1:11" x14ac:dyDescent="0.35">
      <c r="A2768" s="717"/>
      <c r="B2768" s="503"/>
      <c r="C2768" s="503"/>
      <c r="D2768" s="390" t="s">
        <v>371</v>
      </c>
      <c r="E2768" s="395" t="s">
        <v>372</v>
      </c>
      <c r="F2768" s="335">
        <v>40</v>
      </c>
      <c r="G2768" s="18" t="s">
        <v>73</v>
      </c>
      <c r="H2768" s="333"/>
      <c r="I2768" s="335" t="s">
        <v>73</v>
      </c>
      <c r="J2768" s="333"/>
      <c r="K2768" s="442"/>
    </row>
    <row r="2769" spans="1:11" x14ac:dyDescent="0.35">
      <c r="A2769" s="717"/>
      <c r="B2769" s="503"/>
      <c r="C2769" s="503"/>
      <c r="D2769" s="390" t="s">
        <v>260</v>
      </c>
      <c r="E2769" s="391" t="s">
        <v>1193</v>
      </c>
      <c r="F2769" s="328">
        <v>120</v>
      </c>
      <c r="G2769" s="22" t="s">
        <v>73</v>
      </c>
      <c r="H2769" s="340"/>
      <c r="I2769" s="328" t="s">
        <v>73</v>
      </c>
      <c r="J2769" s="340"/>
      <c r="K2769" s="443"/>
    </row>
    <row r="2770" spans="1:11" ht="15" thickBot="1" x14ac:dyDescent="0.4">
      <c r="A2770" s="717"/>
      <c r="B2770" s="503"/>
      <c r="C2770" s="503"/>
      <c r="D2770" s="396"/>
      <c r="E2770" s="463" t="s">
        <v>950</v>
      </c>
      <c r="F2770" s="343">
        <v>40</v>
      </c>
      <c r="G2770" s="493" t="s">
        <v>73</v>
      </c>
      <c r="H2770" s="465"/>
      <c r="I2770" s="466" t="s">
        <v>73</v>
      </c>
      <c r="J2770" s="465"/>
      <c r="K2770" s="467"/>
    </row>
    <row r="2771" spans="1:11" ht="15" thickTop="1" x14ac:dyDescent="0.35">
      <c r="A2771" s="717"/>
      <c r="B2771" s="503"/>
      <c r="C2771" s="503"/>
      <c r="D2771" s="385" t="s">
        <v>141</v>
      </c>
      <c r="E2771" s="391" t="s">
        <v>1194</v>
      </c>
      <c r="F2771" s="328">
        <v>40</v>
      </c>
      <c r="G2771" s="22" t="s">
        <v>73</v>
      </c>
      <c r="H2771" s="340"/>
      <c r="I2771" s="328" t="s">
        <v>73</v>
      </c>
      <c r="J2771" s="340"/>
      <c r="K2771" s="443"/>
    </row>
    <row r="2772" spans="1:11" x14ac:dyDescent="0.35">
      <c r="A2772" s="717"/>
      <c r="B2772" s="503"/>
      <c r="C2772" s="503"/>
      <c r="D2772" s="390" t="s">
        <v>46</v>
      </c>
      <c r="E2772" s="395" t="s">
        <v>1195</v>
      </c>
      <c r="F2772" s="335">
        <v>20</v>
      </c>
      <c r="G2772" s="18" t="s">
        <v>73</v>
      </c>
      <c r="H2772" s="333"/>
      <c r="I2772" s="335" t="s">
        <v>73</v>
      </c>
      <c r="J2772" s="333"/>
      <c r="K2772" s="442"/>
    </row>
    <row r="2773" spans="1:11" x14ac:dyDescent="0.35">
      <c r="A2773" s="717"/>
      <c r="B2773" s="503"/>
      <c r="C2773" s="503"/>
      <c r="D2773" s="390" t="s">
        <v>379</v>
      </c>
      <c r="E2773" s="391" t="s">
        <v>380</v>
      </c>
      <c r="F2773" s="328">
        <v>10</v>
      </c>
      <c r="G2773" s="22" t="s">
        <v>73</v>
      </c>
      <c r="H2773" s="340"/>
      <c r="I2773" s="328" t="s">
        <v>73</v>
      </c>
      <c r="J2773" s="340"/>
      <c r="K2773" s="443"/>
    </row>
    <row r="2774" spans="1:11" x14ac:dyDescent="0.35">
      <c r="A2774" s="717"/>
      <c r="B2774" s="503"/>
      <c r="C2774" s="503"/>
      <c r="D2774" s="700"/>
      <c r="E2774" s="701" t="s">
        <v>1964</v>
      </c>
      <c r="F2774" s="512"/>
      <c r="G2774" s="512"/>
      <c r="H2774" s="512"/>
      <c r="I2774" s="512"/>
      <c r="J2774" s="512"/>
      <c r="K2774" s="514"/>
    </row>
    <row r="2775" spans="1:11" x14ac:dyDescent="0.35">
      <c r="A2775" s="717"/>
      <c r="B2775" s="503"/>
      <c r="C2775" s="503"/>
      <c r="D2775" s="390" t="s">
        <v>371</v>
      </c>
      <c r="E2775" s="500" t="s">
        <v>372</v>
      </c>
      <c r="F2775" s="503"/>
      <c r="G2775" s="503"/>
      <c r="H2775" s="503"/>
      <c r="I2775" s="503"/>
      <c r="J2775" s="503"/>
      <c r="K2775" s="735"/>
    </row>
    <row r="2776" spans="1:11" x14ac:dyDescent="0.35">
      <c r="A2776" s="717"/>
      <c r="B2776" s="503"/>
      <c r="C2776" s="503"/>
      <c r="D2776" s="390" t="s">
        <v>369</v>
      </c>
      <c r="E2776" s="500" t="s">
        <v>802</v>
      </c>
      <c r="F2776" s="503"/>
      <c r="G2776" s="503"/>
      <c r="H2776" s="503"/>
      <c r="I2776" s="503"/>
      <c r="J2776" s="503"/>
      <c r="K2776" s="735"/>
    </row>
    <row r="2777" spans="1:11" x14ac:dyDescent="0.35">
      <c r="A2777" s="717"/>
      <c r="B2777" s="503"/>
      <c r="C2777" s="503"/>
      <c r="D2777" s="398"/>
      <c r="E2777" s="388" t="s">
        <v>1965</v>
      </c>
      <c r="F2777" s="358"/>
      <c r="G2777" s="358"/>
      <c r="H2777" s="358"/>
      <c r="I2777" s="358"/>
      <c r="J2777" s="358"/>
      <c r="K2777" s="511"/>
    </row>
    <row r="2778" spans="1:11" x14ac:dyDescent="0.35">
      <c r="A2778" s="717"/>
      <c r="B2778" s="503"/>
      <c r="C2778" s="503"/>
      <c r="D2778" s="702" t="s">
        <v>185</v>
      </c>
      <c r="E2778" s="500" t="s">
        <v>186</v>
      </c>
      <c r="F2778" s="113"/>
      <c r="G2778" s="113"/>
      <c r="H2778" s="113"/>
      <c r="I2778" s="113"/>
      <c r="J2778" s="113"/>
      <c r="K2778" s="736"/>
    </row>
    <row r="2779" spans="1:11" x14ac:dyDescent="0.35">
      <c r="A2779" s="717"/>
      <c r="B2779" s="503"/>
      <c r="C2779" s="503"/>
      <c r="D2779" s="390" t="s">
        <v>305</v>
      </c>
      <c r="E2779" s="500" t="s">
        <v>1966</v>
      </c>
      <c r="F2779" s="113"/>
      <c r="G2779" s="113"/>
      <c r="H2779" s="113"/>
      <c r="I2779" s="113"/>
      <c r="J2779" s="113"/>
      <c r="K2779" s="736"/>
    </row>
    <row r="2780" spans="1:11" x14ac:dyDescent="0.35">
      <c r="A2780" s="717"/>
      <c r="B2780" s="503"/>
      <c r="C2780" s="503"/>
      <c r="D2780" s="702" t="s">
        <v>1600</v>
      </c>
      <c r="E2780" s="500" t="s">
        <v>1601</v>
      </c>
      <c r="F2780" s="113"/>
      <c r="G2780" s="113"/>
      <c r="H2780" s="113"/>
      <c r="I2780" s="113"/>
      <c r="J2780" s="113"/>
      <c r="K2780" s="736"/>
    </row>
    <row r="2781" spans="1:11" x14ac:dyDescent="0.35">
      <c r="A2781" s="717"/>
      <c r="B2781" s="503"/>
      <c r="C2781" s="503"/>
      <c r="D2781" s="390" t="s">
        <v>1647</v>
      </c>
      <c r="E2781" s="500" t="s">
        <v>1920</v>
      </c>
      <c r="F2781" s="113"/>
      <c r="G2781" s="113"/>
      <c r="H2781" s="113"/>
      <c r="I2781" s="113"/>
      <c r="J2781" s="113"/>
      <c r="K2781" s="736"/>
    </row>
    <row r="2782" spans="1:11" x14ac:dyDescent="0.35">
      <c r="A2782" s="717"/>
      <c r="B2782" s="503"/>
      <c r="C2782" s="503"/>
      <c r="D2782" s="702" t="s">
        <v>42</v>
      </c>
      <c r="E2782" s="500" t="s">
        <v>330</v>
      </c>
      <c r="F2782" s="113"/>
      <c r="G2782" s="113"/>
      <c r="H2782" s="113"/>
      <c r="I2782" s="113"/>
      <c r="J2782" s="113"/>
      <c r="K2782" s="736"/>
    </row>
    <row r="2783" spans="1:11" x14ac:dyDescent="0.35">
      <c r="A2783" s="717"/>
      <c r="B2783" s="503"/>
      <c r="C2783" s="503"/>
      <c r="D2783" s="702" t="s">
        <v>59</v>
      </c>
      <c r="E2783" s="500" t="s">
        <v>124</v>
      </c>
      <c r="F2783" s="113"/>
      <c r="G2783" s="113"/>
      <c r="H2783" s="113"/>
      <c r="I2783" s="113"/>
      <c r="J2783" s="113"/>
      <c r="K2783" s="736"/>
    </row>
    <row r="2784" spans="1:11" x14ac:dyDescent="0.35">
      <c r="A2784" s="717"/>
      <c r="B2784" s="503"/>
      <c r="C2784" s="503"/>
      <c r="D2784" s="390" t="s">
        <v>529</v>
      </c>
      <c r="E2784" s="500" t="s">
        <v>530</v>
      </c>
      <c r="F2784" s="113"/>
      <c r="G2784" s="113"/>
      <c r="H2784" s="113"/>
      <c r="I2784" s="113"/>
      <c r="J2784" s="113"/>
      <c r="K2784" s="736"/>
    </row>
    <row r="2785" spans="1:11" x14ac:dyDescent="0.35">
      <c r="A2785" s="717"/>
      <c r="B2785" s="503"/>
      <c r="C2785" s="503"/>
      <c r="D2785" s="388"/>
      <c r="E2785" s="703" t="s">
        <v>1235</v>
      </c>
      <c r="F2785" s="356">
        <v>40</v>
      </c>
      <c r="G2785" s="378" t="s">
        <v>73</v>
      </c>
      <c r="H2785" s="515"/>
      <c r="I2785" s="378"/>
      <c r="J2785" s="515"/>
      <c r="K2785" s="684"/>
    </row>
    <row r="2786" spans="1:11" x14ac:dyDescent="0.35">
      <c r="A2786" s="717"/>
      <c r="B2786" s="503"/>
      <c r="C2786" s="503"/>
      <c r="D2786" s="390" t="s">
        <v>47</v>
      </c>
      <c r="E2786" s="488" t="s">
        <v>569</v>
      </c>
      <c r="F2786" s="335">
        <v>250</v>
      </c>
      <c r="G2786" s="18" t="s">
        <v>73</v>
      </c>
      <c r="H2786" s="335">
        <f>ROUND(($F$528)*(($F$543)*(($F$544)/($F$544+$F$545))/((($F$543)*(($F$544)/($F$544+$F$545)))+
(($F$543)*(($F$545)/($F$544+$F$545)))+
$F$529+$F$530+$F$531+$F$532+$F$533+$F$534+$F$535+$F$536+$F$537+$F$538+$F$539+$F$540+$F$541+$F$542)),2)</f>
        <v>0</v>
      </c>
      <c r="I2786" s="18" t="s">
        <v>73</v>
      </c>
      <c r="J2786" s="337"/>
      <c r="K2786" s="680"/>
    </row>
    <row r="2787" spans="1:11" ht="15" thickBot="1" x14ac:dyDescent="0.4">
      <c r="A2787" s="717"/>
      <c r="B2787" s="503"/>
      <c r="C2787" s="503"/>
      <c r="D2787" s="390" t="s">
        <v>305</v>
      </c>
      <c r="E2787" s="704" t="s">
        <v>306</v>
      </c>
      <c r="F2787" s="328">
        <v>50</v>
      </c>
      <c r="G2787" s="22" t="s">
        <v>73</v>
      </c>
      <c r="H2787" s="328">
        <f>ROUND(($F$528)*(($F$543)*(($F$545)/($F$544+$F$545))
/((($F$543)*(($F$544)/($F$544+$F$545)))+
(($F$543)*(($F$545)/($F$544+$F$545)))+
$F$529+$F$530+$F$531+$F$532+$F$533+$F$534+$F$535+$F$536+$F$537+$F$538+$F$539+$F$540+$F$541+$F$542)),2)</f>
        <v>0</v>
      </c>
      <c r="I2787" s="22" t="s">
        <v>73</v>
      </c>
      <c r="J2787" s="330"/>
      <c r="K2787" s="681"/>
    </row>
    <row r="2788" spans="1:11" ht="15.5" thickTop="1" thickBot="1" x14ac:dyDescent="0.4">
      <c r="A2788" s="348"/>
      <c r="B2788" s="349"/>
      <c r="C2788" s="349"/>
      <c r="D2788" s="433"/>
      <c r="E2788" s="349"/>
      <c r="F2788" s="349"/>
      <c r="G2788" s="349"/>
      <c r="H2788" s="349"/>
      <c r="I2788" s="349"/>
      <c r="J2788" s="349"/>
      <c r="K2788" s="492"/>
    </row>
    <row r="2789" spans="1:11" ht="15.5" thickTop="1" thickBot="1" x14ac:dyDescent="0.4">
      <c r="A2789" s="516">
        <f>IFERROR(INDEX($Q$17:$Q$201,MATCH(B2789,$R$17:$R$201, 0)), "")</f>
        <v>0</v>
      </c>
      <c r="B2789" s="408" t="s">
        <v>1967</v>
      </c>
      <c r="C2789" s="325" t="s">
        <v>1968</v>
      </c>
      <c r="D2789" s="406" t="s">
        <v>1070</v>
      </c>
      <c r="E2789" s="505" t="s">
        <v>1963</v>
      </c>
      <c r="F2789" s="503"/>
      <c r="G2789" s="503"/>
      <c r="H2789" s="503"/>
      <c r="I2789" s="503"/>
      <c r="J2789" s="503"/>
      <c r="K2789" s="735"/>
    </row>
    <row r="2790" spans="1:11" ht="15" thickTop="1" x14ac:dyDescent="0.35">
      <c r="A2790" s="332"/>
      <c r="B2790" s="503"/>
      <c r="C2790" s="503"/>
      <c r="D2790" s="385" t="s">
        <v>139</v>
      </c>
      <c r="E2790" s="505" t="s">
        <v>140</v>
      </c>
      <c r="F2790" s="503"/>
      <c r="G2790" s="503"/>
      <c r="H2790" s="503"/>
      <c r="I2790" s="503"/>
      <c r="J2790" s="503"/>
      <c r="K2790" s="735"/>
    </row>
    <row r="2791" spans="1:11" x14ac:dyDescent="0.35">
      <c r="A2791" s="339"/>
      <c r="B2791" s="503"/>
      <c r="C2791" s="503"/>
      <c r="D2791" s="697" t="s">
        <v>505</v>
      </c>
      <c r="E2791" s="505" t="s">
        <v>722</v>
      </c>
      <c r="F2791" s="503"/>
      <c r="G2791" s="503"/>
      <c r="H2791" s="503"/>
      <c r="I2791" s="503"/>
      <c r="J2791" s="503"/>
      <c r="K2791" s="735"/>
    </row>
    <row r="2792" spans="1:11" x14ac:dyDescent="0.35">
      <c r="A2792" s="332"/>
      <c r="B2792" s="503"/>
      <c r="C2792" s="503"/>
      <c r="D2792" s="390" t="s">
        <v>47</v>
      </c>
      <c r="E2792" s="733" t="s">
        <v>93</v>
      </c>
      <c r="F2792" s="503"/>
      <c r="G2792" s="503"/>
      <c r="H2792" s="503"/>
      <c r="I2792" s="503"/>
      <c r="J2792" s="503"/>
      <c r="K2792" s="735"/>
    </row>
    <row r="2793" spans="1:11" x14ac:dyDescent="0.35">
      <c r="A2793" s="339"/>
      <c r="B2793" s="503"/>
      <c r="C2793" s="503"/>
      <c r="D2793" s="388"/>
      <c r="E2793" s="403" t="s">
        <v>754</v>
      </c>
      <c r="F2793" s="356">
        <v>2100</v>
      </c>
      <c r="G2793" s="378" t="s">
        <v>73</v>
      </c>
      <c r="H2793" s="358"/>
      <c r="I2793" s="358"/>
      <c r="J2793" s="358"/>
      <c r="K2793" s="511"/>
    </row>
    <row r="2794" spans="1:11" x14ac:dyDescent="0.35">
      <c r="A2794" s="332"/>
      <c r="B2794" s="503"/>
      <c r="C2794" s="503"/>
      <c r="D2794" s="392"/>
      <c r="E2794" s="698" t="s">
        <v>81</v>
      </c>
      <c r="F2794" s="404">
        <v>1300</v>
      </c>
      <c r="G2794" s="404" t="s">
        <v>73</v>
      </c>
      <c r="H2794" s="340"/>
      <c r="I2794" s="340"/>
      <c r="J2794" s="340"/>
      <c r="K2794" s="497"/>
    </row>
    <row r="2795" spans="1:11" x14ac:dyDescent="0.35">
      <c r="A2795" s="339"/>
      <c r="B2795" s="503"/>
      <c r="C2795" s="503"/>
      <c r="D2795" s="390" t="s">
        <v>1660</v>
      </c>
      <c r="E2795" s="739" t="s">
        <v>1897</v>
      </c>
      <c r="F2795" s="114">
        <v>1000</v>
      </c>
      <c r="G2795" s="114" t="s">
        <v>73</v>
      </c>
      <c r="H2795" s="503"/>
      <c r="I2795" s="503"/>
      <c r="J2795" s="503"/>
      <c r="K2795" s="735"/>
    </row>
    <row r="2796" spans="1:11" x14ac:dyDescent="0.35">
      <c r="A2796" s="332"/>
      <c r="B2796" s="503"/>
      <c r="C2796" s="503"/>
      <c r="D2796" s="390"/>
      <c r="E2796" s="739" t="s">
        <v>753</v>
      </c>
      <c r="F2796" s="114">
        <v>0</v>
      </c>
      <c r="G2796" s="114" t="s">
        <v>73</v>
      </c>
      <c r="H2796" s="503"/>
      <c r="I2796" s="503"/>
      <c r="J2796" s="503"/>
      <c r="K2796" s="735"/>
    </row>
    <row r="2797" spans="1:11" ht="15" thickBot="1" x14ac:dyDescent="0.4">
      <c r="A2797" s="339"/>
      <c r="B2797" s="503"/>
      <c r="C2797" s="503"/>
      <c r="D2797" s="398"/>
      <c r="E2797" s="388" t="s">
        <v>1191</v>
      </c>
      <c r="F2797" s="459">
        <v>30</v>
      </c>
      <c r="G2797" s="378" t="s">
        <v>73</v>
      </c>
      <c r="H2797" s="358"/>
      <c r="I2797" s="356" t="s">
        <v>73</v>
      </c>
      <c r="J2797" s="358"/>
      <c r="K2797" s="448"/>
    </row>
    <row r="2798" spans="1:11" ht="15" thickTop="1" x14ac:dyDescent="0.35">
      <c r="A2798" s="332"/>
      <c r="B2798" s="503"/>
      <c r="C2798" s="503"/>
      <c r="D2798" s="385" t="s">
        <v>47</v>
      </c>
      <c r="E2798" s="395" t="s">
        <v>1192</v>
      </c>
      <c r="F2798" s="335">
        <v>10</v>
      </c>
      <c r="G2798" s="18" t="s">
        <v>73</v>
      </c>
      <c r="H2798" s="333"/>
      <c r="I2798" s="335" t="s">
        <v>73</v>
      </c>
      <c r="J2798" s="333"/>
      <c r="K2798" s="442"/>
    </row>
    <row r="2799" spans="1:11" x14ac:dyDescent="0.35">
      <c r="A2799" s="339"/>
      <c r="B2799" s="503"/>
      <c r="C2799" s="503"/>
      <c r="D2799" s="390" t="s">
        <v>50</v>
      </c>
      <c r="E2799" s="391" t="s">
        <v>394</v>
      </c>
      <c r="F2799" s="328">
        <v>40</v>
      </c>
      <c r="G2799" s="22" t="s">
        <v>73</v>
      </c>
      <c r="H2799" s="340"/>
      <c r="I2799" s="328" t="s">
        <v>73</v>
      </c>
      <c r="J2799" s="340"/>
      <c r="K2799" s="443"/>
    </row>
    <row r="2800" spans="1:11" x14ac:dyDescent="0.35">
      <c r="A2800" s="332"/>
      <c r="B2800" s="503"/>
      <c r="C2800" s="503"/>
      <c r="D2800" s="390" t="s">
        <v>371</v>
      </c>
      <c r="E2800" s="395" t="s">
        <v>372</v>
      </c>
      <c r="F2800" s="335">
        <v>40</v>
      </c>
      <c r="G2800" s="18" t="s">
        <v>73</v>
      </c>
      <c r="H2800" s="333"/>
      <c r="I2800" s="335" t="s">
        <v>73</v>
      </c>
      <c r="J2800" s="333"/>
      <c r="K2800" s="442"/>
    </row>
    <row r="2801" spans="1:11" x14ac:dyDescent="0.35">
      <c r="A2801" s="339"/>
      <c r="B2801" s="503"/>
      <c r="C2801" s="503"/>
      <c r="D2801" s="390" t="s">
        <v>260</v>
      </c>
      <c r="E2801" s="391" t="s">
        <v>1193</v>
      </c>
      <c r="F2801" s="328">
        <v>120</v>
      </c>
      <c r="G2801" s="22" t="s">
        <v>73</v>
      </c>
      <c r="H2801" s="340"/>
      <c r="I2801" s="328" t="s">
        <v>73</v>
      </c>
      <c r="J2801" s="340"/>
      <c r="K2801" s="443"/>
    </row>
    <row r="2802" spans="1:11" ht="15" thickBot="1" x14ac:dyDescent="0.4">
      <c r="A2802" s="332"/>
      <c r="B2802" s="503"/>
      <c r="C2802" s="503"/>
      <c r="D2802" s="396"/>
      <c r="E2802" s="463" t="s">
        <v>950</v>
      </c>
      <c r="F2802" s="343">
        <v>40</v>
      </c>
      <c r="G2802" s="493" t="s">
        <v>73</v>
      </c>
      <c r="H2802" s="465"/>
      <c r="I2802" s="466" t="s">
        <v>73</v>
      </c>
      <c r="J2802" s="465"/>
      <c r="K2802" s="467"/>
    </row>
    <row r="2803" spans="1:11" ht="15" thickTop="1" x14ac:dyDescent="0.35">
      <c r="A2803" s="339"/>
      <c r="B2803" s="503"/>
      <c r="C2803" s="503"/>
      <c r="D2803" s="385" t="s">
        <v>141</v>
      </c>
      <c r="E2803" s="391" t="s">
        <v>1194</v>
      </c>
      <c r="F2803" s="328">
        <v>40</v>
      </c>
      <c r="G2803" s="22" t="s">
        <v>73</v>
      </c>
      <c r="H2803" s="340"/>
      <c r="I2803" s="328" t="s">
        <v>73</v>
      </c>
      <c r="J2803" s="340"/>
      <c r="K2803" s="443"/>
    </row>
    <row r="2804" spans="1:11" x14ac:dyDescent="0.35">
      <c r="A2804" s="332"/>
      <c r="B2804" s="503"/>
      <c r="C2804" s="503"/>
      <c r="D2804" s="390" t="s">
        <v>46</v>
      </c>
      <c r="E2804" s="395" t="s">
        <v>1195</v>
      </c>
      <c r="F2804" s="335">
        <v>20</v>
      </c>
      <c r="G2804" s="18" t="s">
        <v>73</v>
      </c>
      <c r="H2804" s="333"/>
      <c r="I2804" s="335" t="s">
        <v>73</v>
      </c>
      <c r="J2804" s="333"/>
      <c r="K2804" s="442"/>
    </row>
    <row r="2805" spans="1:11" x14ac:dyDescent="0.35">
      <c r="A2805" s="339"/>
      <c r="B2805" s="503"/>
      <c r="C2805" s="503"/>
      <c r="D2805" s="390" t="s">
        <v>379</v>
      </c>
      <c r="E2805" s="391" t="s">
        <v>380</v>
      </c>
      <c r="F2805" s="328">
        <v>10</v>
      </c>
      <c r="G2805" s="22" t="s">
        <v>73</v>
      </c>
      <c r="H2805" s="340"/>
      <c r="I2805" s="328" t="s">
        <v>73</v>
      </c>
      <c r="J2805" s="340"/>
      <c r="K2805" s="443"/>
    </row>
    <row r="2806" spans="1:11" x14ac:dyDescent="0.35">
      <c r="A2806" s="332"/>
      <c r="B2806" s="503"/>
      <c r="C2806" s="503"/>
      <c r="D2806" s="700"/>
      <c r="E2806" s="701" t="s">
        <v>1964</v>
      </c>
      <c r="F2806" s="512"/>
      <c r="G2806" s="512"/>
      <c r="H2806" s="512"/>
      <c r="I2806" s="512"/>
      <c r="J2806" s="512"/>
      <c r="K2806" s="514"/>
    </row>
    <row r="2807" spans="1:11" x14ac:dyDescent="0.35">
      <c r="A2807" s="339"/>
      <c r="B2807" s="503"/>
      <c r="C2807" s="503"/>
      <c r="D2807" s="390" t="s">
        <v>371</v>
      </c>
      <c r="E2807" s="500" t="s">
        <v>372</v>
      </c>
      <c r="F2807" s="503"/>
      <c r="G2807" s="503"/>
      <c r="H2807" s="503"/>
      <c r="I2807" s="503"/>
      <c r="J2807" s="503"/>
      <c r="K2807" s="735"/>
    </row>
    <row r="2808" spans="1:11" x14ac:dyDescent="0.35">
      <c r="A2808" s="332"/>
      <c r="B2808" s="503"/>
      <c r="C2808" s="503"/>
      <c r="D2808" s="390" t="s">
        <v>369</v>
      </c>
      <c r="E2808" s="500" t="s">
        <v>802</v>
      </c>
      <c r="F2808" s="503"/>
      <c r="G2808" s="503"/>
      <c r="H2808" s="503"/>
      <c r="I2808" s="503"/>
      <c r="J2808" s="503"/>
      <c r="K2808" s="735"/>
    </row>
    <row r="2809" spans="1:11" x14ac:dyDescent="0.35">
      <c r="A2809" s="339"/>
      <c r="B2809" s="503"/>
      <c r="C2809" s="503"/>
      <c r="D2809" s="398"/>
      <c r="E2809" s="388" t="s">
        <v>1965</v>
      </c>
      <c r="F2809" s="358"/>
      <c r="G2809" s="358"/>
      <c r="H2809" s="358"/>
      <c r="I2809" s="358"/>
      <c r="J2809" s="358"/>
      <c r="K2809" s="511"/>
    </row>
    <row r="2810" spans="1:11" x14ac:dyDescent="0.35">
      <c r="A2810" s="332"/>
      <c r="B2810" s="503"/>
      <c r="C2810" s="503"/>
      <c r="D2810" s="702" t="s">
        <v>185</v>
      </c>
      <c r="E2810" s="500" t="s">
        <v>186</v>
      </c>
      <c r="F2810" s="113"/>
      <c r="G2810" s="113"/>
      <c r="H2810" s="113"/>
      <c r="I2810" s="113"/>
      <c r="J2810" s="113"/>
      <c r="K2810" s="736"/>
    </row>
    <row r="2811" spans="1:11" x14ac:dyDescent="0.35">
      <c r="A2811" s="339"/>
      <c r="B2811" s="503"/>
      <c r="C2811" s="503"/>
      <c r="D2811" s="390" t="s">
        <v>305</v>
      </c>
      <c r="E2811" s="500" t="s">
        <v>1966</v>
      </c>
      <c r="F2811" s="113"/>
      <c r="G2811" s="113"/>
      <c r="H2811" s="113"/>
      <c r="I2811" s="113"/>
      <c r="J2811" s="113"/>
      <c r="K2811" s="736"/>
    </row>
    <row r="2812" spans="1:11" x14ac:dyDescent="0.35">
      <c r="A2812" s="332"/>
      <c r="B2812" s="503"/>
      <c r="C2812" s="503"/>
      <c r="D2812" s="702" t="s">
        <v>1600</v>
      </c>
      <c r="E2812" s="500" t="s">
        <v>1601</v>
      </c>
      <c r="F2812" s="113"/>
      <c r="G2812" s="113"/>
      <c r="H2812" s="113"/>
      <c r="I2812" s="113"/>
      <c r="J2812" s="113"/>
      <c r="K2812" s="736"/>
    </row>
    <row r="2813" spans="1:11" x14ac:dyDescent="0.35">
      <c r="A2813" s="339"/>
      <c r="B2813" s="503"/>
      <c r="C2813" s="503"/>
      <c r="D2813" s="390" t="s">
        <v>1647</v>
      </c>
      <c r="E2813" s="500" t="s">
        <v>1920</v>
      </c>
      <c r="F2813" s="113"/>
      <c r="G2813" s="113"/>
      <c r="H2813" s="113"/>
      <c r="I2813" s="113"/>
      <c r="J2813" s="113"/>
      <c r="K2813" s="736"/>
    </row>
    <row r="2814" spans="1:11" x14ac:dyDescent="0.35">
      <c r="A2814" s="332"/>
      <c r="B2814" s="503"/>
      <c r="C2814" s="503"/>
      <c r="D2814" s="702" t="s">
        <v>42</v>
      </c>
      <c r="E2814" s="500" t="s">
        <v>330</v>
      </c>
      <c r="F2814" s="113"/>
      <c r="G2814" s="113"/>
      <c r="H2814" s="113"/>
      <c r="I2814" s="113"/>
      <c r="J2814" s="113"/>
      <c r="K2814" s="736"/>
    </row>
    <row r="2815" spans="1:11" x14ac:dyDescent="0.35">
      <c r="A2815" s="339"/>
      <c r="B2815" s="503"/>
      <c r="C2815" s="503"/>
      <c r="D2815" s="702" t="s">
        <v>59</v>
      </c>
      <c r="E2815" s="500" t="s">
        <v>124</v>
      </c>
      <c r="F2815" s="113"/>
      <c r="G2815" s="113"/>
      <c r="H2815" s="113"/>
      <c r="I2815" s="113"/>
      <c r="J2815" s="113"/>
      <c r="K2815" s="736"/>
    </row>
    <row r="2816" spans="1:11" x14ac:dyDescent="0.35">
      <c r="A2816" s="332"/>
      <c r="B2816" s="333"/>
      <c r="C2816" s="333"/>
      <c r="D2816" s="390" t="s">
        <v>529</v>
      </c>
      <c r="E2816" s="500" t="s">
        <v>530</v>
      </c>
      <c r="F2816" s="113"/>
      <c r="G2816" s="113"/>
      <c r="H2816" s="113"/>
      <c r="I2816" s="113"/>
      <c r="J2816" s="113"/>
      <c r="K2816" s="736"/>
    </row>
    <row r="2817" spans="1:11" x14ac:dyDescent="0.35">
      <c r="A2817" s="339"/>
      <c r="B2817" s="340"/>
      <c r="C2817" s="340"/>
      <c r="D2817" s="388"/>
      <c r="E2817" s="703" t="s">
        <v>1235</v>
      </c>
      <c r="F2817" s="356">
        <v>40</v>
      </c>
      <c r="G2817" s="378" t="s">
        <v>73</v>
      </c>
      <c r="H2817" s="515"/>
      <c r="I2817" s="378"/>
      <c r="J2817" s="515"/>
      <c r="K2817" s="684"/>
    </row>
    <row r="2818" spans="1:11" x14ac:dyDescent="0.35">
      <c r="A2818" s="332"/>
      <c r="B2818" s="333"/>
      <c r="C2818" s="333"/>
      <c r="D2818" s="390" t="s">
        <v>47</v>
      </c>
      <c r="E2818" s="488" t="s">
        <v>569</v>
      </c>
      <c r="F2818" s="335">
        <v>250</v>
      </c>
      <c r="G2818" s="18" t="s">
        <v>73</v>
      </c>
      <c r="H2818" s="335">
        <f>ROUND(($F$528)*(($F$543)*(($F$544)/($F$544+$F$545))/((($F$543)*(($F$544)/($F$544+$F$545)))+
(($F$543)*(($F$545)/($F$544+$F$545)))+
$F$529+$F$530+$F$531+$F$532+$F$533+$F$534+$F$535+$F$536+$F$537+$F$538+$F$539+$F$540+$F$541+$F$542)),2)</f>
        <v>0</v>
      </c>
      <c r="I2818" s="18" t="s">
        <v>73</v>
      </c>
      <c r="J2818" s="337"/>
      <c r="K2818" s="680"/>
    </row>
    <row r="2819" spans="1:11" ht="15" thickBot="1" x14ac:dyDescent="0.4">
      <c r="A2819" s="339"/>
      <c r="B2819" s="340"/>
      <c r="C2819" s="340"/>
      <c r="D2819" s="390" t="s">
        <v>305</v>
      </c>
      <c r="E2819" s="704" t="s">
        <v>306</v>
      </c>
      <c r="F2819" s="328">
        <v>50</v>
      </c>
      <c r="G2819" s="22" t="s">
        <v>73</v>
      </c>
      <c r="H2819" s="328">
        <f>ROUND(($F$528)*(($F$543)*(($F$545)/($F$544+$F$545))
/((($F$543)*(($F$544)/($F$544+$F$545)))+
(($F$543)*(($F$545)/($F$544+$F$545)))+
$F$529+$F$530+$F$531+$F$532+$F$533+$F$534+$F$535+$F$536+$F$537+$F$538+$F$539+$F$540+$F$541+$F$542)),2)</f>
        <v>0</v>
      </c>
      <c r="I2819" s="22" t="s">
        <v>73</v>
      </c>
      <c r="J2819" s="330"/>
      <c r="K2819" s="681"/>
    </row>
    <row r="2820" spans="1:11" ht="15.5" thickTop="1" thickBot="1" x14ac:dyDescent="0.4">
      <c r="A2820" s="348"/>
      <c r="B2820" s="349"/>
      <c r="C2820" s="349"/>
      <c r="D2820" s="433"/>
      <c r="E2820" s="349"/>
      <c r="F2820" s="349"/>
      <c r="G2820" s="349"/>
      <c r="H2820" s="349"/>
      <c r="I2820" s="349"/>
      <c r="J2820" s="349"/>
      <c r="K2820" s="492"/>
    </row>
    <row r="2821" spans="1:11" ht="15.5" thickTop="1" thickBot="1" x14ac:dyDescent="0.4">
      <c r="A2821" s="353">
        <f>IFERROR(INDEX($Q$17:$Q$201,MATCH(B2821,$R$17:$R$201, 0)), "")</f>
        <v>0</v>
      </c>
      <c r="B2821" s="408" t="s">
        <v>1927</v>
      </c>
      <c r="C2821" s="325" t="s">
        <v>1969</v>
      </c>
      <c r="D2821" s="406" t="s">
        <v>1070</v>
      </c>
      <c r="E2821" s="505" t="s">
        <v>1963</v>
      </c>
      <c r="F2821" s="503"/>
      <c r="G2821" s="503"/>
      <c r="H2821" s="503"/>
      <c r="I2821" s="503"/>
      <c r="J2821" s="503"/>
      <c r="K2821" s="735"/>
    </row>
    <row r="2822" spans="1:11" ht="15" thickTop="1" x14ac:dyDescent="0.35">
      <c r="A2822" s="332"/>
      <c r="B2822" s="503"/>
      <c r="C2822" s="503"/>
      <c r="D2822" s="385" t="s">
        <v>207</v>
      </c>
      <c r="E2822" s="505" t="s">
        <v>1970</v>
      </c>
      <c r="F2822" s="503"/>
      <c r="G2822" s="503"/>
      <c r="H2822" s="503"/>
      <c r="I2822" s="503"/>
      <c r="J2822" s="503"/>
      <c r="K2822" s="735"/>
    </row>
    <row r="2823" spans="1:11" x14ac:dyDescent="0.35">
      <c r="A2823" s="339"/>
      <c r="B2823" s="503"/>
      <c r="C2823" s="503"/>
      <c r="D2823" s="697" t="s">
        <v>505</v>
      </c>
      <c r="E2823" s="505" t="s">
        <v>722</v>
      </c>
      <c r="F2823" s="503"/>
      <c r="G2823" s="503"/>
      <c r="H2823" s="503"/>
      <c r="I2823" s="503"/>
      <c r="J2823" s="503"/>
      <c r="K2823" s="735"/>
    </row>
    <row r="2824" spans="1:11" x14ac:dyDescent="0.35">
      <c r="A2824" s="332"/>
      <c r="B2824" s="503"/>
      <c r="C2824" s="503"/>
      <c r="D2824" s="390" t="s">
        <v>47</v>
      </c>
      <c r="E2824" s="733" t="s">
        <v>93</v>
      </c>
      <c r="F2824" s="503"/>
      <c r="G2824" s="503"/>
      <c r="H2824" s="503"/>
      <c r="I2824" s="503"/>
      <c r="J2824" s="503"/>
      <c r="K2824" s="735"/>
    </row>
    <row r="2825" spans="1:11" x14ac:dyDescent="0.35">
      <c r="A2825" s="339"/>
      <c r="B2825" s="503"/>
      <c r="C2825" s="503"/>
      <c r="D2825" s="388"/>
      <c r="E2825" s="403" t="s">
        <v>754</v>
      </c>
      <c r="F2825" s="356">
        <v>2100</v>
      </c>
      <c r="G2825" s="378" t="s">
        <v>73</v>
      </c>
      <c r="H2825" s="358"/>
      <c r="I2825" s="358"/>
      <c r="J2825" s="358"/>
      <c r="K2825" s="511"/>
    </row>
    <row r="2826" spans="1:11" x14ac:dyDescent="0.35">
      <c r="A2826" s="332"/>
      <c r="B2826" s="503"/>
      <c r="C2826" s="503"/>
      <c r="D2826" s="392"/>
      <c r="E2826" s="698" t="s">
        <v>81</v>
      </c>
      <c r="F2826" s="404">
        <v>1300</v>
      </c>
      <c r="G2826" s="404" t="s">
        <v>73</v>
      </c>
      <c r="H2826" s="340"/>
      <c r="I2826" s="340"/>
      <c r="J2826" s="340"/>
      <c r="K2826" s="497"/>
    </row>
    <row r="2827" spans="1:11" x14ac:dyDescent="0.35">
      <c r="A2827" s="339"/>
      <c r="B2827" s="503"/>
      <c r="C2827" s="503"/>
      <c r="D2827" s="390" t="s">
        <v>1660</v>
      </c>
      <c r="E2827" s="699" t="s">
        <v>1897</v>
      </c>
      <c r="F2827" s="22">
        <v>1000</v>
      </c>
      <c r="G2827" s="22" t="s">
        <v>73</v>
      </c>
      <c r="H2827" s="340"/>
      <c r="I2827" s="340"/>
      <c r="J2827" s="340"/>
      <c r="K2827" s="497"/>
    </row>
    <row r="2828" spans="1:11" x14ac:dyDescent="0.35">
      <c r="A2828" s="332"/>
      <c r="B2828" s="503"/>
      <c r="C2828" s="503"/>
      <c r="D2828" s="390"/>
      <c r="E2828" s="699" t="s">
        <v>753</v>
      </c>
      <c r="F2828" s="22">
        <v>0</v>
      </c>
      <c r="G2828" s="22" t="s">
        <v>73</v>
      </c>
      <c r="H2828" s="340"/>
      <c r="I2828" s="340"/>
      <c r="J2828" s="340"/>
      <c r="K2828" s="497"/>
    </row>
    <row r="2829" spans="1:11" ht="15" thickBot="1" x14ac:dyDescent="0.4">
      <c r="A2829" s="339"/>
      <c r="B2829" s="503"/>
      <c r="C2829" s="503"/>
      <c r="D2829" s="398"/>
      <c r="E2829" s="388" t="s">
        <v>1191</v>
      </c>
      <c r="F2829" s="459">
        <v>30</v>
      </c>
      <c r="G2829" s="378" t="s">
        <v>73</v>
      </c>
      <c r="H2829" s="358"/>
      <c r="I2829" s="356" t="s">
        <v>73</v>
      </c>
      <c r="J2829" s="358"/>
      <c r="K2829" s="448"/>
    </row>
    <row r="2830" spans="1:11" ht="15" thickTop="1" x14ac:dyDescent="0.35">
      <c r="A2830" s="332"/>
      <c r="B2830" s="503"/>
      <c r="C2830" s="503"/>
      <c r="D2830" s="385" t="s">
        <v>47</v>
      </c>
      <c r="E2830" s="395" t="s">
        <v>1192</v>
      </c>
      <c r="F2830" s="335">
        <v>10</v>
      </c>
      <c r="G2830" s="18" t="s">
        <v>73</v>
      </c>
      <c r="H2830" s="333"/>
      <c r="I2830" s="335" t="s">
        <v>73</v>
      </c>
      <c r="J2830" s="333"/>
      <c r="K2830" s="442"/>
    </row>
    <row r="2831" spans="1:11" x14ac:dyDescent="0.35">
      <c r="A2831" s="339"/>
      <c r="B2831" s="503"/>
      <c r="C2831" s="503"/>
      <c r="D2831" s="390" t="s">
        <v>50</v>
      </c>
      <c r="E2831" s="391" t="s">
        <v>394</v>
      </c>
      <c r="F2831" s="328">
        <v>40</v>
      </c>
      <c r="G2831" s="22" t="s">
        <v>73</v>
      </c>
      <c r="H2831" s="340"/>
      <c r="I2831" s="328" t="s">
        <v>73</v>
      </c>
      <c r="J2831" s="340"/>
      <c r="K2831" s="443"/>
    </row>
    <row r="2832" spans="1:11" x14ac:dyDescent="0.35">
      <c r="A2832" s="332"/>
      <c r="B2832" s="503"/>
      <c r="C2832" s="503"/>
      <c r="D2832" s="390" t="s">
        <v>371</v>
      </c>
      <c r="E2832" s="395" t="s">
        <v>372</v>
      </c>
      <c r="F2832" s="335">
        <v>40</v>
      </c>
      <c r="G2832" s="18" t="s">
        <v>73</v>
      </c>
      <c r="H2832" s="333"/>
      <c r="I2832" s="335" t="s">
        <v>73</v>
      </c>
      <c r="J2832" s="333"/>
      <c r="K2832" s="442"/>
    </row>
    <row r="2833" spans="1:11" x14ac:dyDescent="0.35">
      <c r="A2833" s="339"/>
      <c r="B2833" s="503"/>
      <c r="C2833" s="503"/>
      <c r="D2833" s="390" t="s">
        <v>260</v>
      </c>
      <c r="E2833" s="391" t="s">
        <v>1193</v>
      </c>
      <c r="F2833" s="328">
        <v>120</v>
      </c>
      <c r="G2833" s="22" t="s">
        <v>73</v>
      </c>
      <c r="H2833" s="340"/>
      <c r="I2833" s="328" t="s">
        <v>73</v>
      </c>
      <c r="J2833" s="340"/>
      <c r="K2833" s="443"/>
    </row>
    <row r="2834" spans="1:11" ht="15" thickBot="1" x14ac:dyDescent="0.4">
      <c r="A2834" s="332"/>
      <c r="B2834" s="503"/>
      <c r="C2834" s="503"/>
      <c r="D2834" s="396"/>
      <c r="E2834" s="463" t="s">
        <v>950</v>
      </c>
      <c r="F2834" s="343">
        <v>40</v>
      </c>
      <c r="G2834" s="493" t="s">
        <v>73</v>
      </c>
      <c r="H2834" s="465"/>
      <c r="I2834" s="466" t="s">
        <v>73</v>
      </c>
      <c r="J2834" s="465"/>
      <c r="K2834" s="467"/>
    </row>
    <row r="2835" spans="1:11" ht="15" thickTop="1" x14ac:dyDescent="0.35">
      <c r="A2835" s="339"/>
      <c r="B2835" s="503"/>
      <c r="C2835" s="503"/>
      <c r="D2835" s="385" t="s">
        <v>141</v>
      </c>
      <c r="E2835" s="391" t="s">
        <v>1194</v>
      </c>
      <c r="F2835" s="328">
        <v>40</v>
      </c>
      <c r="G2835" s="22" t="s">
        <v>73</v>
      </c>
      <c r="H2835" s="340"/>
      <c r="I2835" s="328" t="s">
        <v>73</v>
      </c>
      <c r="J2835" s="340"/>
      <c r="K2835" s="443"/>
    </row>
    <row r="2836" spans="1:11" x14ac:dyDescent="0.35">
      <c r="A2836" s="332"/>
      <c r="B2836" s="503"/>
      <c r="C2836" s="503"/>
      <c r="D2836" s="390" t="s">
        <v>46</v>
      </c>
      <c r="E2836" s="395" t="s">
        <v>1195</v>
      </c>
      <c r="F2836" s="335">
        <v>20</v>
      </c>
      <c r="G2836" s="18" t="s">
        <v>73</v>
      </c>
      <c r="H2836" s="333"/>
      <c r="I2836" s="335" t="s">
        <v>73</v>
      </c>
      <c r="J2836" s="333"/>
      <c r="K2836" s="442"/>
    </row>
    <row r="2837" spans="1:11" x14ac:dyDescent="0.35">
      <c r="A2837" s="339"/>
      <c r="B2837" s="503"/>
      <c r="C2837" s="503"/>
      <c r="D2837" s="390" t="s">
        <v>379</v>
      </c>
      <c r="E2837" s="391" t="s">
        <v>380</v>
      </c>
      <c r="F2837" s="328">
        <v>10</v>
      </c>
      <c r="G2837" s="22" t="s">
        <v>73</v>
      </c>
      <c r="H2837" s="340"/>
      <c r="I2837" s="328" t="s">
        <v>73</v>
      </c>
      <c r="J2837" s="340"/>
      <c r="K2837" s="443"/>
    </row>
    <row r="2838" spans="1:11" x14ac:dyDescent="0.35">
      <c r="A2838" s="332"/>
      <c r="B2838" s="503"/>
      <c r="C2838" s="503"/>
      <c r="D2838" s="700"/>
      <c r="E2838" s="701" t="s">
        <v>1964</v>
      </c>
      <c r="F2838" s="512"/>
      <c r="G2838" s="512"/>
      <c r="H2838" s="512"/>
      <c r="I2838" s="502" t="s">
        <v>73</v>
      </c>
      <c r="J2838" s="512"/>
      <c r="K2838" s="514"/>
    </row>
    <row r="2839" spans="1:11" x14ac:dyDescent="0.35">
      <c r="A2839" s="339"/>
      <c r="B2839" s="503"/>
      <c r="C2839" s="503"/>
      <c r="D2839" s="390" t="s">
        <v>371</v>
      </c>
      <c r="E2839" s="500" t="s">
        <v>372</v>
      </c>
      <c r="F2839" s="503"/>
      <c r="G2839" s="503"/>
      <c r="H2839" s="503"/>
      <c r="I2839" s="502" t="s">
        <v>73</v>
      </c>
      <c r="J2839" s="503"/>
      <c r="K2839" s="735"/>
    </row>
    <row r="2840" spans="1:11" x14ac:dyDescent="0.35">
      <c r="A2840" s="332"/>
      <c r="B2840" s="503"/>
      <c r="C2840" s="503"/>
      <c r="D2840" s="390" t="s">
        <v>369</v>
      </c>
      <c r="E2840" s="500" t="s">
        <v>802</v>
      </c>
      <c r="F2840" s="503"/>
      <c r="G2840" s="503"/>
      <c r="H2840" s="503"/>
      <c r="I2840" s="502" t="s">
        <v>73</v>
      </c>
      <c r="J2840" s="503"/>
      <c r="K2840" s="735"/>
    </row>
    <row r="2841" spans="1:11" x14ac:dyDescent="0.35">
      <c r="A2841" s="339"/>
      <c r="B2841" s="503"/>
      <c r="C2841" s="503"/>
      <c r="D2841" s="398"/>
      <c r="E2841" s="388" t="s">
        <v>1965</v>
      </c>
      <c r="F2841" s="358"/>
      <c r="G2841" s="358"/>
      <c r="H2841" s="358"/>
      <c r="I2841" s="502" t="s">
        <v>73</v>
      </c>
      <c r="J2841" s="358"/>
      <c r="K2841" s="511"/>
    </row>
    <row r="2842" spans="1:11" x14ac:dyDescent="0.35">
      <c r="A2842" s="332"/>
      <c r="B2842" s="503"/>
      <c r="C2842" s="503"/>
      <c r="D2842" s="702" t="s">
        <v>185</v>
      </c>
      <c r="E2842" s="500" t="s">
        <v>186</v>
      </c>
      <c r="F2842" s="113"/>
      <c r="G2842" s="113"/>
      <c r="H2842" s="113"/>
      <c r="I2842" s="502" t="s">
        <v>73</v>
      </c>
      <c r="J2842" s="113"/>
      <c r="K2842" s="736"/>
    </row>
    <row r="2843" spans="1:11" x14ac:dyDescent="0.35">
      <c r="A2843" s="339"/>
      <c r="B2843" s="503"/>
      <c r="C2843" s="503"/>
      <c r="D2843" s="390" t="s">
        <v>305</v>
      </c>
      <c r="E2843" s="500" t="s">
        <v>1966</v>
      </c>
      <c r="F2843" s="113"/>
      <c r="G2843" s="113"/>
      <c r="H2843" s="113"/>
      <c r="I2843" s="502" t="s">
        <v>73</v>
      </c>
      <c r="J2843" s="113"/>
      <c r="K2843" s="736"/>
    </row>
    <row r="2844" spans="1:11" x14ac:dyDescent="0.35">
      <c r="A2844" s="332"/>
      <c r="B2844" s="503"/>
      <c r="C2844" s="503"/>
      <c r="D2844" s="702" t="s">
        <v>1600</v>
      </c>
      <c r="E2844" s="500" t="s">
        <v>1601</v>
      </c>
      <c r="F2844" s="113"/>
      <c r="G2844" s="113"/>
      <c r="H2844" s="113"/>
      <c r="I2844" s="502" t="s">
        <v>73</v>
      </c>
      <c r="J2844" s="113"/>
      <c r="K2844" s="736"/>
    </row>
    <row r="2845" spans="1:11" x14ac:dyDescent="0.35">
      <c r="A2845" s="339"/>
      <c r="B2845" s="503"/>
      <c r="C2845" s="503"/>
      <c r="D2845" s="390" t="s">
        <v>1647</v>
      </c>
      <c r="E2845" s="500" t="s">
        <v>1920</v>
      </c>
      <c r="F2845" s="113"/>
      <c r="G2845" s="113"/>
      <c r="H2845" s="113"/>
      <c r="I2845" s="502" t="s">
        <v>73</v>
      </c>
      <c r="J2845" s="113"/>
      <c r="K2845" s="736"/>
    </row>
    <row r="2846" spans="1:11" x14ac:dyDescent="0.35">
      <c r="A2846" s="332"/>
      <c r="B2846" s="503"/>
      <c r="C2846" s="503"/>
      <c r="D2846" s="702" t="s">
        <v>42</v>
      </c>
      <c r="E2846" s="500" t="s">
        <v>330</v>
      </c>
      <c r="F2846" s="113"/>
      <c r="G2846" s="113"/>
      <c r="H2846" s="113"/>
      <c r="I2846" s="502" t="s">
        <v>73</v>
      </c>
      <c r="J2846" s="113"/>
      <c r="K2846" s="736"/>
    </row>
    <row r="2847" spans="1:11" x14ac:dyDescent="0.35">
      <c r="A2847" s="339"/>
      <c r="B2847" s="503"/>
      <c r="C2847" s="503"/>
      <c r="D2847" s="702" t="s">
        <v>59</v>
      </c>
      <c r="E2847" s="500" t="s">
        <v>124</v>
      </c>
      <c r="F2847" s="113"/>
      <c r="G2847" s="113"/>
      <c r="H2847" s="113"/>
      <c r="I2847" s="502" t="s">
        <v>73</v>
      </c>
      <c r="J2847" s="113"/>
      <c r="K2847" s="736"/>
    </row>
    <row r="2848" spans="1:11" x14ac:dyDescent="0.35">
      <c r="A2848" s="332"/>
      <c r="B2848" s="333"/>
      <c r="C2848" s="333"/>
      <c r="D2848" s="390" t="s">
        <v>529</v>
      </c>
      <c r="E2848" s="500" t="s">
        <v>530</v>
      </c>
      <c r="F2848" s="113"/>
      <c r="G2848" s="113"/>
      <c r="H2848" s="113"/>
      <c r="I2848" s="502" t="s">
        <v>73</v>
      </c>
      <c r="J2848" s="113"/>
      <c r="K2848" s="736"/>
    </row>
    <row r="2849" spans="1:11" x14ac:dyDescent="0.35">
      <c r="A2849" s="339"/>
      <c r="B2849" s="340"/>
      <c r="C2849" s="340"/>
      <c r="D2849" s="388"/>
      <c r="E2849" s="703" t="s">
        <v>1235</v>
      </c>
      <c r="F2849" s="356">
        <v>40</v>
      </c>
      <c r="G2849" s="378" t="s">
        <v>73</v>
      </c>
      <c r="H2849" s="515"/>
      <c r="I2849" s="502" t="s">
        <v>73</v>
      </c>
      <c r="J2849" s="515"/>
      <c r="K2849" s="684"/>
    </row>
    <row r="2850" spans="1:11" x14ac:dyDescent="0.35">
      <c r="A2850" s="332"/>
      <c r="B2850" s="333"/>
      <c r="C2850" s="333"/>
      <c r="D2850" s="390" t="s">
        <v>47</v>
      </c>
      <c r="E2850" s="488" t="s">
        <v>569</v>
      </c>
      <c r="F2850" s="335">
        <v>250</v>
      </c>
      <c r="G2850" s="18" t="s">
        <v>73</v>
      </c>
      <c r="H2850" s="335">
        <f>ROUND(($F$528)*(($F$543)*(($F$544)/($F$544+$F$545))/((($F$543)*(($F$544)/($F$544+$F$545)))+
(($F$543)*(($F$545)/($F$544+$F$545)))+
$F$529+$F$530+$F$531+$F$532+$F$533+$F$534+$F$535+$F$536+$F$537+$F$538+$F$539+$F$540+$F$541+$F$542)),2)</f>
        <v>0</v>
      </c>
      <c r="I2850" s="18" t="s">
        <v>73</v>
      </c>
      <c r="J2850" s="337"/>
      <c r="K2850" s="680"/>
    </row>
    <row r="2851" spans="1:11" x14ac:dyDescent="0.35">
      <c r="A2851" s="339"/>
      <c r="B2851" s="340"/>
      <c r="C2851" s="340"/>
      <c r="D2851" s="390" t="s">
        <v>305</v>
      </c>
      <c r="E2851" s="704" t="s">
        <v>306</v>
      </c>
      <c r="F2851" s="328">
        <v>50</v>
      </c>
      <c r="G2851" s="22" t="s">
        <v>73</v>
      </c>
      <c r="H2851" s="328">
        <f>ROUND(($F$528)*(($F$543)*(($F$545)/($F$544+$F$545))
/((($F$543)*(($F$544)/($F$544+$F$545)))+
(($F$543)*(($F$545)/($F$544+$F$545)))+
$F$529+$F$530+$F$531+$F$532+$F$533+$F$534+$F$535+$F$536+$F$537+$F$538+$F$539+$F$540+$F$541+$F$542)),2)</f>
        <v>0</v>
      </c>
      <c r="I2851" s="22" t="s">
        <v>73</v>
      </c>
      <c r="J2851" s="330"/>
      <c r="K2851" s="681"/>
    </row>
    <row r="2852" spans="1:11" x14ac:dyDescent="0.35">
      <c r="A2852" s="332"/>
      <c r="B2852" s="333"/>
      <c r="C2852" s="333"/>
      <c r="D2852" s="388"/>
      <c r="E2852" s="388" t="s">
        <v>1233</v>
      </c>
      <c r="F2852" s="515"/>
      <c r="G2852" s="515"/>
      <c r="H2852" s="515"/>
      <c r="I2852" s="515"/>
      <c r="J2852" s="515"/>
      <c r="K2852" s="705"/>
    </row>
    <row r="2853" spans="1:11" x14ac:dyDescent="0.35">
      <c r="A2853" s="339"/>
      <c r="B2853" s="340"/>
      <c r="C2853" s="340"/>
      <c r="D2853" s="390" t="s">
        <v>1971</v>
      </c>
      <c r="E2853" s="706" t="s">
        <v>1973</v>
      </c>
      <c r="F2853" s="340"/>
      <c r="G2853" s="340"/>
      <c r="H2853" s="340"/>
      <c r="I2853" s="340"/>
      <c r="J2853" s="340"/>
      <c r="K2853" s="497"/>
    </row>
    <row r="2854" spans="1:11" x14ac:dyDescent="0.35">
      <c r="A2854" s="332"/>
      <c r="B2854" s="333"/>
      <c r="C2854" s="333"/>
      <c r="D2854" s="390"/>
      <c r="E2854" s="707" t="s">
        <v>81</v>
      </c>
      <c r="F2854" s="333"/>
      <c r="G2854" s="333"/>
      <c r="H2854" s="333"/>
      <c r="I2854" s="333"/>
      <c r="J2854" s="333"/>
      <c r="K2854" s="496"/>
    </row>
    <row r="2855" spans="1:11" x14ac:dyDescent="0.35">
      <c r="A2855" s="339"/>
      <c r="B2855" s="340"/>
      <c r="C2855" s="340"/>
      <c r="D2855" s="390" t="s">
        <v>513</v>
      </c>
      <c r="E2855" s="706" t="s">
        <v>986</v>
      </c>
      <c r="F2855" s="340"/>
      <c r="G2855" s="340"/>
      <c r="H2855" s="340"/>
      <c r="I2855" s="340"/>
      <c r="J2855" s="340"/>
      <c r="K2855" s="497"/>
    </row>
    <row r="2856" spans="1:11" x14ac:dyDescent="0.35">
      <c r="A2856" s="332"/>
      <c r="B2856" s="333"/>
      <c r="C2856" s="333"/>
      <c r="D2856" s="390" t="s">
        <v>47</v>
      </c>
      <c r="E2856" s="707" t="s">
        <v>569</v>
      </c>
      <c r="F2856" s="333"/>
      <c r="G2856" s="333"/>
      <c r="H2856" s="333"/>
      <c r="I2856" s="333"/>
      <c r="J2856" s="333"/>
      <c r="K2856" s="496"/>
    </row>
    <row r="2857" spans="1:11" x14ac:dyDescent="0.35">
      <c r="A2857" s="339"/>
      <c r="B2857" s="340"/>
      <c r="C2857" s="340"/>
      <c r="D2857" s="390" t="s">
        <v>511</v>
      </c>
      <c r="E2857" s="706" t="s">
        <v>1974</v>
      </c>
      <c r="F2857" s="340"/>
      <c r="G2857" s="340"/>
      <c r="H2857" s="340"/>
      <c r="I2857" s="340"/>
      <c r="J2857" s="340"/>
      <c r="K2857" s="497"/>
    </row>
    <row r="2858" spans="1:11" x14ac:dyDescent="0.35">
      <c r="A2858" s="332"/>
      <c r="B2858" s="333"/>
      <c r="C2858" s="333"/>
      <c r="D2858" s="390" t="s">
        <v>640</v>
      </c>
      <c r="E2858" s="707" t="s">
        <v>641</v>
      </c>
      <c r="F2858" s="333"/>
      <c r="G2858" s="333"/>
      <c r="H2858" s="333"/>
      <c r="I2858" s="333"/>
      <c r="J2858" s="333"/>
      <c r="K2858" s="496"/>
    </row>
    <row r="2859" spans="1:11" x14ac:dyDescent="0.35">
      <c r="A2859" s="339"/>
      <c r="B2859" s="340"/>
      <c r="C2859" s="340"/>
      <c r="D2859" s="388"/>
      <c r="E2859" s="708" t="s">
        <v>725</v>
      </c>
      <c r="F2859" s="356"/>
      <c r="G2859" s="356"/>
      <c r="H2859" s="356"/>
      <c r="I2859" s="356"/>
      <c r="J2859" s="515"/>
      <c r="K2859" s="709"/>
    </row>
    <row r="2860" spans="1:11" x14ac:dyDescent="0.35">
      <c r="A2860" s="332"/>
      <c r="B2860" s="333"/>
      <c r="C2860" s="333"/>
      <c r="D2860" s="390" t="s">
        <v>521</v>
      </c>
      <c r="E2860" s="710" t="s">
        <v>831</v>
      </c>
      <c r="F2860" s="328">
        <v>20</v>
      </c>
      <c r="G2860" s="328" t="s">
        <v>73</v>
      </c>
      <c r="H2860" s="328">
        <v>20</v>
      </c>
      <c r="I2860" s="328" t="s">
        <v>73</v>
      </c>
      <c r="J2860" s="330"/>
      <c r="K2860" s="331">
        <f t="shared" ref="K2860" si="298">$A$919*H2860</f>
        <v>240</v>
      </c>
    </row>
    <row r="2861" spans="1:11" x14ac:dyDescent="0.35">
      <c r="A2861" s="339"/>
      <c r="B2861" s="340"/>
      <c r="C2861" s="340"/>
      <c r="D2861" s="388"/>
      <c r="E2861" s="708" t="s">
        <v>1975</v>
      </c>
      <c r="F2861" s="358"/>
      <c r="G2861" s="358"/>
      <c r="H2861" s="358"/>
      <c r="I2861" s="358"/>
      <c r="J2861" s="358"/>
      <c r="K2861" s="511"/>
    </row>
    <row r="2862" spans="1:11" x14ac:dyDescent="0.35">
      <c r="A2862" s="332"/>
      <c r="B2862" s="333"/>
      <c r="C2862" s="333"/>
      <c r="D2862" s="390"/>
      <c r="E2862" s="711" t="s">
        <v>950</v>
      </c>
      <c r="F2862" s="333"/>
      <c r="G2862" s="333"/>
      <c r="H2862" s="333"/>
      <c r="I2862" s="333"/>
      <c r="J2862" s="333"/>
      <c r="K2862" s="496"/>
    </row>
    <row r="2863" spans="1:11" x14ac:dyDescent="0.35">
      <c r="A2863" s="339"/>
      <c r="B2863" s="340"/>
      <c r="C2863" s="340"/>
      <c r="D2863" s="390" t="s">
        <v>43</v>
      </c>
      <c r="E2863" s="710" t="s">
        <v>105</v>
      </c>
      <c r="F2863" s="340"/>
      <c r="G2863" s="340"/>
      <c r="H2863" s="340"/>
      <c r="I2863" s="340"/>
      <c r="J2863" s="340"/>
      <c r="K2863" s="497"/>
    </row>
    <row r="2864" spans="1:11" x14ac:dyDescent="0.35">
      <c r="A2864" s="332"/>
      <c r="B2864" s="333"/>
      <c r="C2864" s="333"/>
      <c r="D2864" s="702" t="s">
        <v>42</v>
      </c>
      <c r="E2864" s="711" t="s">
        <v>66</v>
      </c>
      <c r="F2864" s="333"/>
      <c r="G2864" s="333"/>
      <c r="H2864" s="333"/>
      <c r="I2864" s="333"/>
      <c r="J2864" s="333"/>
      <c r="K2864" s="496"/>
    </row>
    <row r="2865" spans="1:11" x14ac:dyDescent="0.35">
      <c r="A2865" s="339"/>
      <c r="B2865" s="340"/>
      <c r="C2865" s="340"/>
      <c r="D2865" s="390" t="s">
        <v>55</v>
      </c>
      <c r="E2865" s="710" t="s">
        <v>1976</v>
      </c>
      <c r="F2865" s="340"/>
      <c r="G2865" s="340"/>
      <c r="H2865" s="340"/>
      <c r="I2865" s="340"/>
      <c r="J2865" s="340"/>
      <c r="K2865" s="497"/>
    </row>
    <row r="2866" spans="1:11" x14ac:dyDescent="0.35">
      <c r="A2866" s="332"/>
      <c r="B2866" s="333"/>
      <c r="C2866" s="333"/>
      <c r="D2866" s="390" t="s">
        <v>52</v>
      </c>
      <c r="E2866" s="711" t="s">
        <v>1977</v>
      </c>
      <c r="F2866" s="333"/>
      <c r="G2866" s="333"/>
      <c r="H2866" s="333"/>
      <c r="I2866" s="333"/>
      <c r="J2866" s="333"/>
      <c r="K2866" s="496"/>
    </row>
    <row r="2867" spans="1:11" x14ac:dyDescent="0.35">
      <c r="A2867" s="339"/>
      <c r="B2867" s="340"/>
      <c r="C2867" s="340"/>
      <c r="D2867" s="390" t="s">
        <v>1250</v>
      </c>
      <c r="E2867" s="710" t="s">
        <v>1978</v>
      </c>
      <c r="F2867" s="340"/>
      <c r="G2867" s="340"/>
      <c r="H2867" s="340"/>
      <c r="I2867" s="340"/>
      <c r="J2867" s="340"/>
      <c r="K2867" s="497"/>
    </row>
    <row r="2868" spans="1:11" ht="15" thickBot="1" x14ac:dyDescent="0.4">
      <c r="A2868" s="332"/>
      <c r="B2868" s="333"/>
      <c r="C2868" s="333"/>
      <c r="D2868" s="390" t="s">
        <v>46</v>
      </c>
      <c r="E2868" s="711" t="s">
        <v>1195</v>
      </c>
      <c r="F2868" s="333"/>
      <c r="G2868" s="333"/>
      <c r="H2868" s="333"/>
      <c r="I2868" s="333"/>
      <c r="J2868" s="333"/>
      <c r="K2868" s="496"/>
    </row>
    <row r="2869" spans="1:11" ht="15.5" thickTop="1" thickBot="1" x14ac:dyDescent="0.4">
      <c r="A2869" s="348"/>
      <c r="B2869" s="349"/>
      <c r="C2869" s="349"/>
      <c r="D2869" s="433"/>
      <c r="E2869" s="349"/>
      <c r="F2869" s="349"/>
      <c r="G2869" s="349"/>
      <c r="H2869" s="349"/>
      <c r="I2869" s="349"/>
      <c r="J2869" s="349"/>
      <c r="K2869" s="492"/>
    </row>
    <row r="2870" spans="1:11" ht="15.5" thickTop="1" thickBot="1" x14ac:dyDescent="0.4">
      <c r="A2870" s="477">
        <f>IFERROR(INDEX($Q$17:$Q$201,MATCH(B2870,$R$17:$R$201, 0)), "")</f>
        <v>0</v>
      </c>
      <c r="B2870" s="408" t="s">
        <v>1932</v>
      </c>
      <c r="C2870" s="325" t="s">
        <v>1979</v>
      </c>
      <c r="D2870" s="406" t="s">
        <v>1070</v>
      </c>
      <c r="E2870" s="412" t="s">
        <v>1963</v>
      </c>
      <c r="F2870" s="333"/>
      <c r="G2870" s="333"/>
      <c r="H2870" s="333"/>
      <c r="I2870" s="333"/>
      <c r="J2870" s="333"/>
      <c r="K2870" s="496"/>
    </row>
    <row r="2871" spans="1:11" ht="15" thickTop="1" x14ac:dyDescent="0.35">
      <c r="A2871" s="339"/>
      <c r="B2871" s="340"/>
      <c r="C2871" s="340"/>
      <c r="D2871" s="385" t="s">
        <v>203</v>
      </c>
      <c r="E2871" s="409" t="s">
        <v>204</v>
      </c>
      <c r="F2871" s="340"/>
      <c r="G2871" s="340"/>
      <c r="H2871" s="340"/>
      <c r="I2871" s="340"/>
      <c r="J2871" s="340"/>
      <c r="K2871" s="497"/>
    </row>
    <row r="2872" spans="1:11" x14ac:dyDescent="0.35">
      <c r="A2872" s="332"/>
      <c r="B2872" s="333"/>
      <c r="C2872" s="333"/>
      <c r="D2872" s="697" t="s">
        <v>505</v>
      </c>
      <c r="E2872" s="412" t="s">
        <v>722</v>
      </c>
      <c r="F2872" s="333"/>
      <c r="G2872" s="333"/>
      <c r="H2872" s="333"/>
      <c r="I2872" s="333"/>
      <c r="J2872" s="333"/>
      <c r="K2872" s="496"/>
    </row>
    <row r="2873" spans="1:11" x14ac:dyDescent="0.35">
      <c r="A2873" s="339"/>
      <c r="B2873" s="340"/>
      <c r="C2873" s="340"/>
      <c r="D2873" s="390" t="s">
        <v>47</v>
      </c>
      <c r="E2873" s="407" t="s">
        <v>93</v>
      </c>
      <c r="F2873" s="340"/>
      <c r="G2873" s="340"/>
      <c r="H2873" s="340"/>
      <c r="I2873" s="340"/>
      <c r="J2873" s="340"/>
      <c r="K2873" s="497"/>
    </row>
    <row r="2874" spans="1:11" x14ac:dyDescent="0.35">
      <c r="A2874" s="332"/>
      <c r="B2874" s="333"/>
      <c r="C2874" s="333"/>
      <c r="D2874" s="388"/>
      <c r="E2874" s="403" t="s">
        <v>754</v>
      </c>
      <c r="F2874" s="356">
        <v>2100</v>
      </c>
      <c r="G2874" s="378" t="s">
        <v>73</v>
      </c>
      <c r="H2874" s="358"/>
      <c r="I2874" s="358"/>
      <c r="J2874" s="358"/>
      <c r="K2874" s="511"/>
    </row>
    <row r="2875" spans="1:11" x14ac:dyDescent="0.35">
      <c r="A2875" s="339"/>
      <c r="B2875" s="340"/>
      <c r="C2875" s="340"/>
      <c r="D2875" s="392"/>
      <c r="E2875" s="698" t="s">
        <v>81</v>
      </c>
      <c r="F2875" s="404">
        <v>1300</v>
      </c>
      <c r="G2875" s="404" t="s">
        <v>73</v>
      </c>
      <c r="H2875" s="340"/>
      <c r="I2875" s="340"/>
      <c r="J2875" s="340"/>
      <c r="K2875" s="497"/>
    </row>
    <row r="2876" spans="1:11" x14ac:dyDescent="0.35">
      <c r="A2876" s="332"/>
      <c r="B2876" s="333"/>
      <c r="C2876" s="333"/>
      <c r="D2876" s="390" t="s">
        <v>1660</v>
      </c>
      <c r="E2876" s="712" t="s">
        <v>1897</v>
      </c>
      <c r="F2876" s="18">
        <v>1000</v>
      </c>
      <c r="G2876" s="18" t="s">
        <v>73</v>
      </c>
      <c r="H2876" s="333"/>
      <c r="I2876" s="333"/>
      <c r="J2876" s="333"/>
      <c r="K2876" s="496"/>
    </row>
    <row r="2877" spans="1:11" x14ac:dyDescent="0.35">
      <c r="A2877" s="339"/>
      <c r="B2877" s="340"/>
      <c r="C2877" s="340"/>
      <c r="D2877" s="390"/>
      <c r="E2877" s="699" t="s">
        <v>753</v>
      </c>
      <c r="F2877" s="22">
        <v>0</v>
      </c>
      <c r="G2877" s="22" t="s">
        <v>73</v>
      </c>
      <c r="H2877" s="340"/>
      <c r="I2877" s="340"/>
      <c r="J2877" s="340"/>
      <c r="K2877" s="497"/>
    </row>
    <row r="2878" spans="1:11" ht="15" thickBot="1" x14ac:dyDescent="0.4">
      <c r="A2878" s="332"/>
      <c r="B2878" s="333"/>
      <c r="C2878" s="333"/>
      <c r="D2878" s="398"/>
      <c r="E2878" s="388" t="s">
        <v>1191</v>
      </c>
      <c r="F2878" s="459">
        <v>30</v>
      </c>
      <c r="G2878" s="378" t="s">
        <v>73</v>
      </c>
      <c r="H2878" s="358"/>
      <c r="I2878" s="356" t="s">
        <v>73</v>
      </c>
      <c r="J2878" s="358"/>
      <c r="K2878" s="448"/>
    </row>
    <row r="2879" spans="1:11" ht="15" thickTop="1" x14ac:dyDescent="0.35">
      <c r="A2879" s="339"/>
      <c r="B2879" s="340"/>
      <c r="C2879" s="340"/>
      <c r="D2879" s="385" t="s">
        <v>47</v>
      </c>
      <c r="E2879" s="500" t="s">
        <v>1192</v>
      </c>
      <c r="F2879" s="502">
        <v>10</v>
      </c>
      <c r="G2879" s="114" t="s">
        <v>73</v>
      </c>
      <c r="H2879" s="503"/>
      <c r="I2879" s="502" t="s">
        <v>73</v>
      </c>
      <c r="J2879" s="503"/>
      <c r="K2879" s="719"/>
    </row>
    <row r="2880" spans="1:11" x14ac:dyDescent="0.35">
      <c r="A2880" s="332"/>
      <c r="B2880" s="333"/>
      <c r="C2880" s="333"/>
      <c r="D2880" s="390" t="s">
        <v>50</v>
      </c>
      <c r="E2880" s="500" t="s">
        <v>394</v>
      </c>
      <c r="F2880" s="502">
        <v>40</v>
      </c>
      <c r="G2880" s="114" t="s">
        <v>73</v>
      </c>
      <c r="H2880" s="503"/>
      <c r="I2880" s="502" t="s">
        <v>73</v>
      </c>
      <c r="J2880" s="503"/>
      <c r="K2880" s="719"/>
    </row>
    <row r="2881" spans="1:11" x14ac:dyDescent="0.35">
      <c r="A2881" s="339"/>
      <c r="B2881" s="340"/>
      <c r="C2881" s="340"/>
      <c r="D2881" s="390" t="s">
        <v>371</v>
      </c>
      <c r="E2881" s="500" t="s">
        <v>372</v>
      </c>
      <c r="F2881" s="502">
        <v>40</v>
      </c>
      <c r="G2881" s="114" t="s">
        <v>73</v>
      </c>
      <c r="H2881" s="503"/>
      <c r="I2881" s="502" t="s">
        <v>73</v>
      </c>
      <c r="J2881" s="503"/>
      <c r="K2881" s="719"/>
    </row>
    <row r="2882" spans="1:11" x14ac:dyDescent="0.35">
      <c r="A2882" s="332"/>
      <c r="B2882" s="333"/>
      <c r="C2882" s="333"/>
      <c r="D2882" s="390" t="s">
        <v>260</v>
      </c>
      <c r="E2882" s="500" t="s">
        <v>1193</v>
      </c>
      <c r="F2882" s="502">
        <v>120</v>
      </c>
      <c r="G2882" s="114" t="s">
        <v>73</v>
      </c>
      <c r="H2882" s="503"/>
      <c r="I2882" s="502" t="s">
        <v>73</v>
      </c>
      <c r="J2882" s="503"/>
      <c r="K2882" s="719"/>
    </row>
    <row r="2883" spans="1:11" ht="15" thickBot="1" x14ac:dyDescent="0.4">
      <c r="A2883" s="339"/>
      <c r="B2883" s="340"/>
      <c r="C2883" s="340"/>
      <c r="D2883" s="396"/>
      <c r="E2883" s="463" t="s">
        <v>950</v>
      </c>
      <c r="F2883" s="343">
        <v>40</v>
      </c>
      <c r="G2883" s="493" t="s">
        <v>73</v>
      </c>
      <c r="H2883" s="465"/>
      <c r="I2883" s="466" t="s">
        <v>73</v>
      </c>
      <c r="J2883" s="465"/>
      <c r="K2883" s="467"/>
    </row>
    <row r="2884" spans="1:11" ht="15" thickTop="1" x14ac:dyDescent="0.35">
      <c r="A2884" s="332"/>
      <c r="B2884" s="333"/>
      <c r="C2884" s="333"/>
      <c r="D2884" s="385" t="s">
        <v>141</v>
      </c>
      <c r="E2884" s="500" t="s">
        <v>1194</v>
      </c>
      <c r="F2884" s="502">
        <v>40</v>
      </c>
      <c r="G2884" s="114" t="s">
        <v>73</v>
      </c>
      <c r="H2884" s="503"/>
      <c r="I2884" s="502" t="s">
        <v>73</v>
      </c>
      <c r="J2884" s="503"/>
      <c r="K2884" s="719"/>
    </row>
    <row r="2885" spans="1:11" x14ac:dyDescent="0.35">
      <c r="A2885" s="339"/>
      <c r="B2885" s="340"/>
      <c r="C2885" s="340"/>
      <c r="D2885" s="390" t="s">
        <v>46</v>
      </c>
      <c r="E2885" s="500" t="s">
        <v>1195</v>
      </c>
      <c r="F2885" s="502">
        <v>20</v>
      </c>
      <c r="G2885" s="114" t="s">
        <v>73</v>
      </c>
      <c r="H2885" s="503"/>
      <c r="I2885" s="502" t="s">
        <v>73</v>
      </c>
      <c r="J2885" s="503"/>
      <c r="K2885" s="719"/>
    </row>
    <row r="2886" spans="1:11" x14ac:dyDescent="0.35">
      <c r="A2886" s="332"/>
      <c r="B2886" s="333"/>
      <c r="C2886" s="333"/>
      <c r="D2886" s="390" t="s">
        <v>379</v>
      </c>
      <c r="E2886" s="500" t="s">
        <v>380</v>
      </c>
      <c r="F2886" s="502">
        <v>10</v>
      </c>
      <c r="G2886" s="114" t="s">
        <v>73</v>
      </c>
      <c r="H2886" s="503"/>
      <c r="I2886" s="502" t="s">
        <v>73</v>
      </c>
      <c r="J2886" s="503"/>
      <c r="K2886" s="719"/>
    </row>
    <row r="2887" spans="1:11" x14ac:dyDescent="0.35">
      <c r="A2887" s="339"/>
      <c r="B2887" s="340"/>
      <c r="C2887" s="340"/>
      <c r="D2887" s="700"/>
      <c r="E2887" s="701" t="s">
        <v>1964</v>
      </c>
      <c r="F2887" s="512"/>
      <c r="G2887" s="512"/>
      <c r="H2887" s="512"/>
      <c r="I2887" s="512"/>
      <c r="J2887" s="512"/>
      <c r="K2887" s="514"/>
    </row>
    <row r="2888" spans="1:11" x14ac:dyDescent="0.35">
      <c r="A2888" s="332"/>
      <c r="B2888" s="333"/>
      <c r="C2888" s="333"/>
      <c r="D2888" s="390" t="s">
        <v>371</v>
      </c>
      <c r="E2888" s="395" t="s">
        <v>372</v>
      </c>
      <c r="F2888" s="333"/>
      <c r="G2888" s="333"/>
      <c r="H2888" s="333"/>
      <c r="I2888" s="333"/>
      <c r="J2888" s="333"/>
      <c r="K2888" s="496"/>
    </row>
    <row r="2889" spans="1:11" x14ac:dyDescent="0.35">
      <c r="A2889" s="339"/>
      <c r="B2889" s="340"/>
      <c r="C2889" s="340"/>
      <c r="D2889" s="390" t="s">
        <v>369</v>
      </c>
      <c r="E2889" s="391" t="s">
        <v>802</v>
      </c>
      <c r="F2889" s="340"/>
      <c r="G2889" s="340"/>
      <c r="H2889" s="340"/>
      <c r="I2889" s="340"/>
      <c r="J2889" s="340"/>
      <c r="K2889" s="497"/>
    </row>
    <row r="2890" spans="1:11" x14ac:dyDescent="0.35">
      <c r="A2890" s="332"/>
      <c r="B2890" s="333"/>
      <c r="C2890" s="333"/>
      <c r="D2890" s="398"/>
      <c r="E2890" s="388" t="s">
        <v>1965</v>
      </c>
      <c r="F2890" s="358"/>
      <c r="G2890" s="358"/>
      <c r="H2890" s="358"/>
      <c r="I2890" s="358"/>
      <c r="J2890" s="358"/>
      <c r="K2890" s="511"/>
    </row>
    <row r="2891" spans="1:11" x14ac:dyDescent="0.35">
      <c r="A2891" s="339"/>
      <c r="B2891" s="340"/>
      <c r="C2891" s="340"/>
      <c r="D2891" s="702" t="s">
        <v>185</v>
      </c>
      <c r="E2891" s="500" t="s">
        <v>186</v>
      </c>
      <c r="F2891" s="503"/>
      <c r="G2891" s="503"/>
      <c r="H2891" s="503"/>
      <c r="I2891" s="503"/>
      <c r="J2891" s="503"/>
      <c r="K2891" s="735"/>
    </row>
    <row r="2892" spans="1:11" x14ac:dyDescent="0.35">
      <c r="A2892" s="332"/>
      <c r="B2892" s="333"/>
      <c r="C2892" s="333"/>
      <c r="D2892" s="390" t="s">
        <v>305</v>
      </c>
      <c r="E2892" s="500" t="s">
        <v>1966</v>
      </c>
      <c r="F2892" s="503"/>
      <c r="G2892" s="503"/>
      <c r="H2892" s="503"/>
      <c r="I2892" s="503"/>
      <c r="J2892" s="503"/>
      <c r="K2892" s="735"/>
    </row>
    <row r="2893" spans="1:11" x14ac:dyDescent="0.35">
      <c r="A2893" s="339"/>
      <c r="B2893" s="503"/>
      <c r="C2893" s="503"/>
      <c r="D2893" s="702" t="s">
        <v>1600</v>
      </c>
      <c r="E2893" s="500" t="s">
        <v>1601</v>
      </c>
      <c r="F2893" s="503"/>
      <c r="G2893" s="503"/>
      <c r="H2893" s="503"/>
      <c r="I2893" s="503"/>
      <c r="J2893" s="503"/>
      <c r="K2893" s="735"/>
    </row>
    <row r="2894" spans="1:11" x14ac:dyDescent="0.35">
      <c r="A2894" s="332"/>
      <c r="B2894" s="503"/>
      <c r="C2894" s="503"/>
      <c r="D2894" s="390" t="s">
        <v>1647</v>
      </c>
      <c r="E2894" s="500" t="s">
        <v>1920</v>
      </c>
      <c r="F2894" s="503"/>
      <c r="G2894" s="503"/>
      <c r="H2894" s="503"/>
      <c r="I2894" s="503"/>
      <c r="J2894" s="503"/>
      <c r="K2894" s="735"/>
    </row>
    <row r="2895" spans="1:11" x14ac:dyDescent="0.35">
      <c r="A2895" s="339"/>
      <c r="B2895" s="503"/>
      <c r="C2895" s="503"/>
      <c r="D2895" s="702" t="s">
        <v>42</v>
      </c>
      <c r="E2895" s="500" t="s">
        <v>330</v>
      </c>
      <c r="F2895" s="503"/>
      <c r="G2895" s="503"/>
      <c r="H2895" s="503"/>
      <c r="I2895" s="503"/>
      <c r="J2895" s="503"/>
      <c r="K2895" s="735"/>
    </row>
    <row r="2896" spans="1:11" x14ac:dyDescent="0.35">
      <c r="A2896" s="332"/>
      <c r="B2896" s="503"/>
      <c r="C2896" s="503"/>
      <c r="D2896" s="702" t="s">
        <v>59</v>
      </c>
      <c r="E2896" s="500" t="s">
        <v>124</v>
      </c>
      <c r="F2896" s="503"/>
      <c r="G2896" s="503"/>
      <c r="H2896" s="503"/>
      <c r="I2896" s="503"/>
      <c r="J2896" s="503"/>
      <c r="K2896" s="735"/>
    </row>
    <row r="2897" spans="1:11" x14ac:dyDescent="0.35">
      <c r="A2897" s="339"/>
      <c r="B2897" s="503"/>
      <c r="C2897" s="503"/>
      <c r="D2897" s="390" t="s">
        <v>529</v>
      </c>
      <c r="E2897" s="500" t="s">
        <v>530</v>
      </c>
      <c r="F2897" s="503"/>
      <c r="G2897" s="503"/>
      <c r="H2897" s="503"/>
      <c r="I2897" s="503"/>
      <c r="J2897" s="503"/>
      <c r="K2897" s="735"/>
    </row>
    <row r="2898" spans="1:11" x14ac:dyDescent="0.35">
      <c r="A2898" s="332"/>
      <c r="B2898" s="503"/>
      <c r="C2898" s="503"/>
      <c r="D2898" s="388"/>
      <c r="E2898" s="703" t="s">
        <v>1235</v>
      </c>
      <c r="F2898" s="356">
        <v>40</v>
      </c>
      <c r="G2898" s="378" t="s">
        <v>73</v>
      </c>
      <c r="H2898" s="515"/>
      <c r="I2898" s="378"/>
      <c r="J2898" s="515"/>
      <c r="K2898" s="684"/>
    </row>
    <row r="2899" spans="1:11" x14ac:dyDescent="0.35">
      <c r="A2899" s="339"/>
      <c r="B2899" s="503"/>
      <c r="C2899" s="503"/>
      <c r="D2899" s="390" t="s">
        <v>47</v>
      </c>
      <c r="E2899" s="704" t="s">
        <v>569</v>
      </c>
      <c r="F2899" s="328">
        <v>250</v>
      </c>
      <c r="G2899" s="22" t="s">
        <v>73</v>
      </c>
      <c r="H2899" s="328">
        <f>ROUND(($F$528)*(($F$543)*(($F$544)/($F$544+$F$545))/((($F$543)*(($F$544)/($F$544+$F$545)))+
(($F$543)*(($F$545)/($F$544+$F$545)))+
$F$529+$F$530+$F$531+$F$532+$F$533+$F$534+$F$535+$F$536+$F$537+$F$538+$F$539+$F$540+$F$541+$F$542)),2)</f>
        <v>0</v>
      </c>
      <c r="I2899" s="22" t="s">
        <v>73</v>
      </c>
      <c r="J2899" s="330"/>
      <c r="K2899" s="681"/>
    </row>
    <row r="2900" spans="1:11" ht="15" thickBot="1" x14ac:dyDescent="0.4">
      <c r="A2900" s="332"/>
      <c r="B2900" s="503"/>
      <c r="C2900" s="503"/>
      <c r="D2900" s="390" t="s">
        <v>305</v>
      </c>
      <c r="E2900" s="488" t="s">
        <v>306</v>
      </c>
      <c r="F2900" s="335">
        <v>50</v>
      </c>
      <c r="G2900" s="18" t="s">
        <v>73</v>
      </c>
      <c r="H2900" s="335">
        <f>ROUND(($F$528)*(($F$543)*(($F$545)/($F$544+$F$545))
/((($F$543)*(($F$544)/($F$544+$F$545)))+
(($F$543)*(($F$545)/($F$544+$F$545)))+
$F$529+$F$530+$F$531+$F$532+$F$533+$F$534+$F$535+$F$536+$F$537+$F$538+$F$539+$F$540+$F$541+$F$542)),2)</f>
        <v>0</v>
      </c>
      <c r="I2900" s="18" t="s">
        <v>73</v>
      </c>
      <c r="J2900" s="337"/>
      <c r="K2900" s="680"/>
    </row>
    <row r="2901" spans="1:11" ht="15" thickTop="1" x14ac:dyDescent="0.35">
      <c r="A2901" s="339"/>
      <c r="B2901" s="503"/>
      <c r="C2901" s="503"/>
      <c r="D2901" s="713"/>
      <c r="E2901" s="388" t="s">
        <v>1233</v>
      </c>
      <c r="F2901" s="515"/>
      <c r="G2901" s="515"/>
      <c r="H2901" s="515"/>
      <c r="I2901" s="515"/>
      <c r="J2901" s="515"/>
      <c r="K2901" s="705"/>
    </row>
    <row r="2902" spans="1:11" x14ac:dyDescent="0.35">
      <c r="A2902" s="332"/>
      <c r="B2902" s="333"/>
      <c r="C2902" s="333"/>
      <c r="D2902" s="390" t="s">
        <v>1971</v>
      </c>
      <c r="E2902" s="707" t="s">
        <v>1973</v>
      </c>
      <c r="F2902" s="333"/>
      <c r="G2902" s="333"/>
      <c r="H2902" s="333"/>
      <c r="I2902" s="333"/>
      <c r="J2902" s="333"/>
      <c r="K2902" s="496"/>
    </row>
    <row r="2903" spans="1:11" x14ac:dyDescent="0.35">
      <c r="A2903" s="339"/>
      <c r="B2903" s="340"/>
      <c r="C2903" s="340"/>
      <c r="D2903" s="390"/>
      <c r="E2903" s="706" t="s">
        <v>81</v>
      </c>
      <c r="F2903" s="340"/>
      <c r="G2903" s="340"/>
      <c r="H2903" s="340"/>
      <c r="I2903" s="340"/>
      <c r="J2903" s="340"/>
      <c r="K2903" s="497"/>
    </row>
    <row r="2904" spans="1:11" x14ac:dyDescent="0.35">
      <c r="A2904" s="332"/>
      <c r="B2904" s="333"/>
      <c r="C2904" s="333"/>
      <c r="D2904" s="390" t="s">
        <v>513</v>
      </c>
      <c r="E2904" s="707" t="s">
        <v>986</v>
      </c>
      <c r="F2904" s="333"/>
      <c r="G2904" s="333"/>
      <c r="H2904" s="333"/>
      <c r="I2904" s="333"/>
      <c r="J2904" s="333"/>
      <c r="K2904" s="496"/>
    </row>
    <row r="2905" spans="1:11" x14ac:dyDescent="0.35">
      <c r="A2905" s="339"/>
      <c r="B2905" s="340"/>
      <c r="C2905" s="340"/>
      <c r="D2905" s="390" t="s">
        <v>47</v>
      </c>
      <c r="E2905" s="706" t="s">
        <v>569</v>
      </c>
      <c r="F2905" s="340"/>
      <c r="G2905" s="340"/>
      <c r="H2905" s="340"/>
      <c r="I2905" s="340"/>
      <c r="J2905" s="340"/>
      <c r="K2905" s="497"/>
    </row>
    <row r="2906" spans="1:11" x14ac:dyDescent="0.35">
      <c r="A2906" s="332"/>
      <c r="B2906" s="333"/>
      <c r="C2906" s="333"/>
      <c r="D2906" s="390" t="s">
        <v>511</v>
      </c>
      <c r="E2906" s="707" t="s">
        <v>1974</v>
      </c>
      <c r="F2906" s="333"/>
      <c r="G2906" s="333"/>
      <c r="H2906" s="333"/>
      <c r="I2906" s="333"/>
      <c r="J2906" s="333"/>
      <c r="K2906" s="496"/>
    </row>
    <row r="2907" spans="1:11" x14ac:dyDescent="0.35">
      <c r="A2907" s="339"/>
      <c r="B2907" s="340"/>
      <c r="C2907" s="340"/>
      <c r="D2907" s="390" t="s">
        <v>640</v>
      </c>
      <c r="E2907" s="706" t="s">
        <v>641</v>
      </c>
      <c r="F2907" s="340"/>
      <c r="G2907" s="340"/>
      <c r="H2907" s="340"/>
      <c r="I2907" s="340"/>
      <c r="J2907" s="340"/>
      <c r="K2907" s="497"/>
    </row>
    <row r="2908" spans="1:11" x14ac:dyDescent="0.35">
      <c r="A2908" s="332"/>
      <c r="B2908" s="333"/>
      <c r="C2908" s="333"/>
      <c r="D2908" s="388"/>
      <c r="E2908" s="708" t="s">
        <v>725</v>
      </c>
      <c r="F2908" s="356"/>
      <c r="G2908" s="356"/>
      <c r="H2908" s="356"/>
      <c r="I2908" s="356"/>
      <c r="J2908" s="515"/>
      <c r="K2908" s="709"/>
    </row>
    <row r="2909" spans="1:11" x14ac:dyDescent="0.35">
      <c r="A2909" s="339"/>
      <c r="B2909" s="340"/>
      <c r="C2909" s="340"/>
      <c r="D2909" s="390" t="s">
        <v>521</v>
      </c>
      <c r="E2909" s="710" t="s">
        <v>831</v>
      </c>
      <c r="F2909" s="328">
        <v>20</v>
      </c>
      <c r="G2909" s="328" t="s">
        <v>73</v>
      </c>
      <c r="H2909" s="328">
        <v>20</v>
      </c>
      <c r="I2909" s="328" t="s">
        <v>73</v>
      </c>
      <c r="J2909" s="330"/>
      <c r="K2909" s="331">
        <f t="shared" ref="K2909" si="299">$A$919*H2909</f>
        <v>240</v>
      </c>
    </row>
    <row r="2910" spans="1:11" x14ac:dyDescent="0.35">
      <c r="A2910" s="332"/>
      <c r="B2910" s="333"/>
      <c r="C2910" s="333"/>
      <c r="D2910" s="388"/>
      <c r="E2910" s="708" t="s">
        <v>1975</v>
      </c>
      <c r="F2910" s="515"/>
      <c r="G2910" s="515"/>
      <c r="H2910" s="515"/>
      <c r="I2910" s="515"/>
      <c r="J2910" s="515"/>
      <c r="K2910" s="705"/>
    </row>
    <row r="2911" spans="1:11" x14ac:dyDescent="0.35">
      <c r="A2911" s="339"/>
      <c r="B2911" s="340"/>
      <c r="C2911" s="340"/>
      <c r="D2911" s="390"/>
      <c r="E2911" s="710" t="s">
        <v>950</v>
      </c>
      <c r="F2911" s="330"/>
      <c r="G2911" s="330"/>
      <c r="H2911" s="330"/>
      <c r="I2911" s="330"/>
      <c r="J2911" s="330"/>
      <c r="K2911" s="714"/>
    </row>
    <row r="2912" spans="1:11" x14ac:dyDescent="0.35">
      <c r="A2912" s="332"/>
      <c r="B2912" s="333"/>
      <c r="C2912" s="333"/>
      <c r="D2912" s="390" t="s">
        <v>43</v>
      </c>
      <c r="E2912" s="711" t="s">
        <v>105</v>
      </c>
      <c r="F2912" s="337"/>
      <c r="G2912" s="337"/>
      <c r="H2912" s="337"/>
      <c r="I2912" s="337"/>
      <c r="J2912" s="337"/>
      <c r="K2912" s="715"/>
    </row>
    <row r="2913" spans="1:11" x14ac:dyDescent="0.35">
      <c r="A2913" s="339"/>
      <c r="B2913" s="340"/>
      <c r="C2913" s="340"/>
      <c r="D2913" s="702" t="s">
        <v>42</v>
      </c>
      <c r="E2913" s="710" t="s">
        <v>66</v>
      </c>
      <c r="F2913" s="330"/>
      <c r="G2913" s="330"/>
      <c r="H2913" s="330"/>
      <c r="I2913" s="330"/>
      <c r="J2913" s="330"/>
      <c r="K2913" s="714"/>
    </row>
    <row r="2914" spans="1:11" x14ac:dyDescent="0.35">
      <c r="A2914" s="332"/>
      <c r="B2914" s="333"/>
      <c r="C2914" s="333"/>
      <c r="D2914" s="390" t="s">
        <v>55</v>
      </c>
      <c r="E2914" s="711" t="s">
        <v>1976</v>
      </c>
      <c r="F2914" s="337"/>
      <c r="G2914" s="337"/>
      <c r="H2914" s="337"/>
      <c r="I2914" s="337"/>
      <c r="J2914" s="337"/>
      <c r="K2914" s="715"/>
    </row>
    <row r="2915" spans="1:11" x14ac:dyDescent="0.35">
      <c r="A2915" s="339"/>
      <c r="B2915" s="340"/>
      <c r="C2915" s="340"/>
      <c r="D2915" s="390" t="s">
        <v>52</v>
      </c>
      <c r="E2915" s="710" t="s">
        <v>1977</v>
      </c>
      <c r="F2915" s="330"/>
      <c r="G2915" s="330"/>
      <c r="H2915" s="330"/>
      <c r="I2915" s="330"/>
      <c r="J2915" s="330"/>
      <c r="K2915" s="714"/>
    </row>
    <row r="2916" spans="1:11" x14ac:dyDescent="0.35">
      <c r="A2916" s="332"/>
      <c r="B2916" s="333"/>
      <c r="C2916" s="333"/>
      <c r="D2916" s="390" t="s">
        <v>1250</v>
      </c>
      <c r="E2916" s="711" t="s">
        <v>1978</v>
      </c>
      <c r="F2916" s="337"/>
      <c r="G2916" s="337"/>
      <c r="H2916" s="337"/>
      <c r="I2916" s="337"/>
      <c r="J2916" s="337"/>
      <c r="K2916" s="715"/>
    </row>
    <row r="2917" spans="1:11" ht="15" thickBot="1" x14ac:dyDescent="0.4">
      <c r="A2917" s="339"/>
      <c r="B2917" s="340"/>
      <c r="C2917" s="340"/>
      <c r="D2917" s="390" t="s">
        <v>46</v>
      </c>
      <c r="E2917" s="710" t="s">
        <v>1195</v>
      </c>
      <c r="F2917" s="330"/>
      <c r="G2917" s="330"/>
      <c r="H2917" s="330"/>
      <c r="I2917" s="330"/>
      <c r="J2917" s="330"/>
      <c r="K2917" s="714"/>
    </row>
    <row r="2918" spans="1:11" ht="15" thickTop="1" x14ac:dyDescent="0.35">
      <c r="A2918" s="348"/>
      <c r="B2918" s="349"/>
      <c r="C2918" s="349"/>
      <c r="D2918" s="433"/>
      <c r="E2918" s="349"/>
      <c r="F2918" s="349"/>
      <c r="G2918" s="349"/>
      <c r="H2918" s="349"/>
      <c r="I2918" s="349"/>
      <c r="J2918" s="349"/>
      <c r="K2918" s="492"/>
    </row>
    <row r="2919" spans="1:11" ht="15" thickBot="1" x14ac:dyDescent="0.4">
      <c r="A2919" s="516">
        <f>IFERROR(INDEX($Q$17:$Q$201,MATCH(B2919,$R$17:$R$201, 0)), "")</f>
        <v>41</v>
      </c>
      <c r="B2919" s="408" t="s">
        <v>1020</v>
      </c>
      <c r="C2919" s="743" t="s">
        <v>1021</v>
      </c>
      <c r="D2919" s="771" t="s">
        <v>211</v>
      </c>
      <c r="E2919" s="330" t="s">
        <v>1021</v>
      </c>
      <c r="F2919" s="340"/>
      <c r="G2919" s="340"/>
      <c r="H2919" s="340"/>
      <c r="I2919" s="340"/>
      <c r="J2919" s="340"/>
      <c r="K2919" s="497"/>
    </row>
    <row r="2920" spans="1:11" ht="15" thickTop="1" x14ac:dyDescent="0.35">
      <c r="A2920" s="745"/>
      <c r="B2920" s="349"/>
      <c r="C2920" s="349"/>
      <c r="D2920" s="746"/>
      <c r="E2920" s="574"/>
      <c r="F2920" s="349"/>
      <c r="G2920" s="349"/>
      <c r="H2920" s="349"/>
      <c r="I2920" s="349"/>
      <c r="J2920" s="349"/>
      <c r="K2920" s="492"/>
    </row>
    <row r="2921" spans="1:11" ht="15" thickBot="1" x14ac:dyDescent="0.4">
      <c r="A2921" s="516">
        <f>IFERROR(INDEX($Q$17:$Q$201,MATCH(B2921,$R$17:$R$201, 0)), "")</f>
        <v>11</v>
      </c>
      <c r="B2921" s="408" t="s">
        <v>1022</v>
      </c>
      <c r="C2921" s="743" t="s">
        <v>1023</v>
      </c>
      <c r="D2921" s="771" t="s">
        <v>223</v>
      </c>
      <c r="E2921" s="330" t="s">
        <v>1023</v>
      </c>
      <c r="F2921" s="340"/>
      <c r="G2921" s="340"/>
      <c r="H2921" s="340"/>
      <c r="I2921" s="340"/>
      <c r="J2921" s="340"/>
      <c r="K2921" s="497"/>
    </row>
    <row r="2922" spans="1:11" ht="15" thickTop="1" x14ac:dyDescent="0.35">
      <c r="A2922" s="745"/>
      <c r="B2922" s="349"/>
      <c r="C2922" s="349"/>
      <c r="D2922" s="746"/>
      <c r="E2922" s="574"/>
      <c r="F2922" s="349"/>
      <c r="G2922" s="349"/>
      <c r="H2922" s="349"/>
      <c r="I2922" s="349"/>
      <c r="J2922" s="349"/>
      <c r="K2922" s="492"/>
    </row>
    <row r="2923" spans="1:11" ht="15" thickBot="1" x14ac:dyDescent="0.4">
      <c r="A2923" s="516">
        <f>IFERROR(INDEX($Q$17:$Q$201,MATCH(B2923,$R$17:$R$201, 0)), "")</f>
        <v>89</v>
      </c>
      <c r="B2923" s="408" t="s">
        <v>1024</v>
      </c>
      <c r="C2923" s="743" t="s">
        <v>1025</v>
      </c>
      <c r="D2923" s="771" t="s">
        <v>233</v>
      </c>
      <c r="E2923" s="330" t="s">
        <v>1025</v>
      </c>
      <c r="F2923" s="340"/>
      <c r="G2923" s="340"/>
      <c r="H2923" s="340"/>
      <c r="I2923" s="340"/>
      <c r="J2923" s="340"/>
      <c r="K2923" s="497"/>
    </row>
    <row r="2924" spans="1:11" ht="15" thickTop="1" x14ac:dyDescent="0.35">
      <c r="A2924" s="745"/>
      <c r="B2924" s="349"/>
      <c r="C2924" s="349"/>
      <c r="D2924" s="746"/>
      <c r="E2924" s="574"/>
      <c r="F2924" s="349"/>
      <c r="G2924" s="349"/>
      <c r="H2924" s="349"/>
      <c r="I2924" s="349"/>
      <c r="J2924" s="349"/>
      <c r="K2924" s="492"/>
    </row>
    <row r="2925" spans="1:11" ht="15" thickBot="1" x14ac:dyDescent="0.4">
      <c r="A2925" s="516">
        <f>IFERROR(INDEX($Q$17:$Q$201,MATCH(B2925,$R$17:$R$201, 0)), "")</f>
        <v>168</v>
      </c>
      <c r="B2925" s="408" t="s">
        <v>1026</v>
      </c>
      <c r="C2925" s="743" t="s">
        <v>1027</v>
      </c>
      <c r="D2925" s="771" t="s">
        <v>213</v>
      </c>
      <c r="E2925" s="330" t="s">
        <v>1027</v>
      </c>
      <c r="F2925" s="340"/>
      <c r="G2925" s="340"/>
      <c r="H2925" s="340"/>
      <c r="I2925" s="340"/>
      <c r="J2925" s="340"/>
      <c r="K2925" s="497"/>
    </row>
    <row r="2926" spans="1:11" ht="15" thickTop="1" x14ac:dyDescent="0.35">
      <c r="A2926" s="745"/>
      <c r="B2926" s="349"/>
      <c r="C2926" s="574"/>
      <c r="D2926" s="746"/>
      <c r="E2926" s="574"/>
      <c r="F2926" s="349"/>
      <c r="G2926" s="349"/>
      <c r="H2926" s="349"/>
      <c r="I2926" s="349"/>
      <c r="J2926" s="349"/>
      <c r="K2926" s="492"/>
    </row>
    <row r="2927" spans="1:11" ht="15" thickBot="1" x14ac:dyDescent="0.4">
      <c r="A2927" s="516">
        <f>IFERROR(INDEX($Q$17:$Q$201,MATCH(B2927,$R$17:$R$201, 0)), "")</f>
        <v>20</v>
      </c>
      <c r="B2927" s="408" t="s">
        <v>1028</v>
      </c>
      <c r="C2927" s="743" t="s">
        <v>1029</v>
      </c>
      <c r="D2927" s="771" t="s">
        <v>215</v>
      </c>
      <c r="E2927" s="330" t="s">
        <v>1029</v>
      </c>
      <c r="F2927" s="340"/>
      <c r="G2927" s="340"/>
      <c r="H2927" s="340"/>
      <c r="I2927" s="340"/>
      <c r="J2927" s="340"/>
      <c r="K2927" s="497"/>
    </row>
    <row r="2928" spans="1:11" ht="15" thickTop="1" x14ac:dyDescent="0.35">
      <c r="A2928" s="745"/>
      <c r="B2928" s="349"/>
      <c r="C2928" s="574"/>
      <c r="D2928" s="746"/>
      <c r="E2928" s="574"/>
      <c r="F2928" s="349"/>
      <c r="G2928" s="349"/>
      <c r="H2928" s="349"/>
      <c r="I2928" s="349"/>
      <c r="J2928" s="349"/>
      <c r="K2928" s="492"/>
    </row>
    <row r="2929" spans="1:12" ht="15" thickBot="1" x14ac:dyDescent="0.4">
      <c r="A2929" s="516">
        <f>IFERROR(INDEX($Q$17:$Q$201,MATCH(B2929,$R$17:$R$201, 0)), "")</f>
        <v>16</v>
      </c>
      <c r="B2929" s="408" t="s">
        <v>1030</v>
      </c>
      <c r="C2929" s="743" t="s">
        <v>1031</v>
      </c>
      <c r="D2929" s="771" t="s">
        <v>229</v>
      </c>
      <c r="E2929" s="330" t="s">
        <v>1031</v>
      </c>
      <c r="F2929" s="340"/>
      <c r="G2929" s="340"/>
      <c r="H2929" s="340"/>
      <c r="I2929" s="340"/>
      <c r="J2929" s="340"/>
      <c r="K2929" s="497"/>
    </row>
    <row r="2930" spans="1:12" ht="15" thickTop="1" x14ac:dyDescent="0.35">
      <c r="A2930" s="745"/>
      <c r="B2930" s="349"/>
      <c r="C2930" s="574"/>
      <c r="D2930" s="746"/>
      <c r="E2930" s="574"/>
      <c r="F2930" s="349"/>
      <c r="G2930" s="349"/>
      <c r="H2930" s="349"/>
      <c r="I2930" s="349"/>
      <c r="J2930" s="349"/>
      <c r="K2930" s="492"/>
    </row>
    <row r="2931" spans="1:12" ht="15" thickBot="1" x14ac:dyDescent="0.4">
      <c r="A2931" s="516">
        <f>IFERROR(INDEX($Q$17:$Q$201,MATCH(B2931,$R$17:$R$201, 0)), "")</f>
        <v>24</v>
      </c>
      <c r="B2931" s="408" t="s">
        <v>1032</v>
      </c>
      <c r="C2931" s="743" t="s">
        <v>1033</v>
      </c>
      <c r="D2931" s="771" t="s">
        <v>217</v>
      </c>
      <c r="E2931" s="330" t="s">
        <v>1033</v>
      </c>
      <c r="F2931" s="340"/>
      <c r="G2931" s="340"/>
      <c r="H2931" s="340"/>
      <c r="I2931" s="340"/>
      <c r="J2931" s="340"/>
      <c r="K2931" s="497"/>
    </row>
    <row r="2932" spans="1:12" ht="15" thickTop="1" x14ac:dyDescent="0.35">
      <c r="A2932" s="348"/>
      <c r="B2932" s="349"/>
      <c r="C2932" s="349"/>
      <c r="D2932" s="433"/>
      <c r="E2932" s="349"/>
      <c r="F2932" s="349"/>
      <c r="G2932" s="349"/>
      <c r="H2932" s="349"/>
      <c r="I2932" s="349"/>
      <c r="J2932" s="349"/>
      <c r="K2932" s="492"/>
    </row>
    <row r="2933" spans="1:12" ht="15" thickBot="1" x14ac:dyDescent="0.4">
      <c r="A2933" s="744">
        <f>IFERROR(INDEX($Q$17:$Q$201,MATCH(B2933,$R$17:$R$201, 0)), "")</f>
        <v>244</v>
      </c>
      <c r="B2933" s="408" t="s">
        <v>1018</v>
      </c>
      <c r="C2933" s="743" t="s">
        <v>1019</v>
      </c>
      <c r="D2933" s="771" t="s">
        <v>1740</v>
      </c>
      <c r="E2933" s="330" t="s">
        <v>1019</v>
      </c>
      <c r="F2933" s="340"/>
      <c r="G2933" s="340"/>
      <c r="H2933" s="340"/>
      <c r="I2933" s="340"/>
      <c r="J2933" s="340"/>
      <c r="K2933" s="497"/>
    </row>
    <row r="2934" spans="1:12" ht="15" thickTop="1" x14ac:dyDescent="0.35">
      <c r="A2934" s="348"/>
      <c r="B2934" s="348"/>
      <c r="C2934" s="574"/>
      <c r="D2934" s="574"/>
      <c r="E2934" s="746"/>
      <c r="F2934" s="349"/>
      <c r="G2934" s="349"/>
      <c r="H2934" s="349"/>
      <c r="I2934" s="349"/>
      <c r="J2934" s="349"/>
      <c r="K2934" s="349"/>
      <c r="L2934" s="492"/>
    </row>
    <row r="2935" spans="1:12" ht="15" thickBot="1" x14ac:dyDescent="0.4">
      <c r="A2935" s="744">
        <f>IFERROR(INDEX($Q$17:$Q$201,MATCH(B2935,$R$17:$R$201, 0)), "")</f>
        <v>35</v>
      </c>
      <c r="B2935" s="408" t="s">
        <v>1034</v>
      </c>
      <c r="C2935" s="743" t="s">
        <v>1035</v>
      </c>
      <c r="D2935" s="771" t="s">
        <v>209</v>
      </c>
      <c r="E2935" s="330" t="s">
        <v>1035</v>
      </c>
      <c r="F2935" s="340"/>
      <c r="G2935" s="340"/>
      <c r="H2935" s="340"/>
      <c r="I2935" s="340"/>
      <c r="J2935" s="340"/>
      <c r="K2935" s="497"/>
    </row>
    <row r="2936" spans="1:12" ht="15" thickTop="1" x14ac:dyDescent="0.35">
      <c r="A2936" s="348"/>
      <c r="B2936" s="348"/>
      <c r="C2936" s="574"/>
      <c r="D2936" s="574"/>
      <c r="E2936" s="746"/>
      <c r="F2936" s="349"/>
      <c r="G2936" s="349"/>
      <c r="H2936" s="349"/>
      <c r="I2936" s="349"/>
      <c r="J2936" s="349"/>
      <c r="K2936" s="349"/>
      <c r="L2936" s="492"/>
    </row>
    <row r="2937" spans="1:12" ht="15" thickBot="1" x14ac:dyDescent="0.4">
      <c r="A2937" s="744">
        <f>IFERROR(INDEX($Q$17:$Q$201,MATCH(B2937,$R$17:$R$201, 0)), "")</f>
        <v>50</v>
      </c>
      <c r="B2937" s="408" t="s">
        <v>1036</v>
      </c>
      <c r="C2937" s="743" t="s">
        <v>1037</v>
      </c>
      <c r="D2937" s="771" t="s">
        <v>219</v>
      </c>
      <c r="E2937" s="330" t="s">
        <v>1037</v>
      </c>
      <c r="F2937" s="340"/>
      <c r="G2937" s="340"/>
      <c r="H2937" s="340"/>
      <c r="I2937" s="340"/>
      <c r="J2937" s="340"/>
      <c r="K2937" s="497"/>
    </row>
    <row r="2938" spans="1:12" ht="15" thickTop="1" x14ac:dyDescent="0.35">
      <c r="A2938" s="348"/>
      <c r="B2938" s="348"/>
      <c r="C2938" s="574"/>
      <c r="D2938" s="574"/>
      <c r="E2938" s="746"/>
      <c r="F2938" s="349"/>
      <c r="G2938" s="349"/>
      <c r="H2938" s="349"/>
      <c r="I2938" s="349"/>
      <c r="J2938" s="349"/>
      <c r="K2938" s="349"/>
      <c r="L2938" s="492"/>
    </row>
    <row r="2939" spans="1:12" ht="15" thickBot="1" x14ac:dyDescent="0.4">
      <c r="A2939" s="744">
        <f>IFERROR(INDEX($Q$17:$Q$201,MATCH(B2939,$R$17:$R$201, 0)), "")</f>
        <v>18</v>
      </c>
      <c r="B2939" s="408" t="s">
        <v>1038</v>
      </c>
      <c r="C2939" s="743" t="s">
        <v>1039</v>
      </c>
      <c r="D2939" s="771" t="s">
        <v>221</v>
      </c>
      <c r="E2939" s="330" t="s">
        <v>1039</v>
      </c>
      <c r="F2939" s="340"/>
      <c r="G2939" s="340"/>
      <c r="H2939" s="340"/>
      <c r="I2939" s="340"/>
      <c r="J2939" s="340"/>
      <c r="K2939" s="497"/>
    </row>
    <row r="2940" spans="1:12" ht="15" thickTop="1" x14ac:dyDescent="0.35">
      <c r="A2940" s="348"/>
      <c r="B2940" s="348"/>
      <c r="C2940" s="574"/>
      <c r="D2940" s="574"/>
      <c r="E2940" s="746"/>
      <c r="F2940" s="349"/>
      <c r="G2940" s="349"/>
      <c r="H2940" s="349"/>
      <c r="I2940" s="349"/>
      <c r="J2940" s="349"/>
      <c r="K2940" s="349"/>
      <c r="L2940" s="492"/>
    </row>
    <row r="2941" spans="1:12" ht="15" thickBot="1" x14ac:dyDescent="0.4">
      <c r="A2941" s="744">
        <f>IFERROR(INDEX($Q$17:$Q$201,MATCH(B2941,$R$17:$R$201, 0)), "")</f>
        <v>19</v>
      </c>
      <c r="B2941" s="408" t="s">
        <v>1040</v>
      </c>
      <c r="C2941" s="743" t="s">
        <v>1041</v>
      </c>
      <c r="D2941" s="771" t="s">
        <v>225</v>
      </c>
      <c r="E2941" s="330" t="s">
        <v>1041</v>
      </c>
      <c r="F2941" s="340"/>
      <c r="G2941" s="340"/>
      <c r="H2941" s="340"/>
      <c r="I2941" s="340"/>
      <c r="J2941" s="340"/>
      <c r="K2941" s="497"/>
    </row>
    <row r="2942" spans="1:12" ht="15" thickTop="1" x14ac:dyDescent="0.35">
      <c r="A2942" s="348"/>
      <c r="B2942" s="348"/>
      <c r="C2942" s="574"/>
      <c r="D2942" s="574"/>
      <c r="E2942" s="746"/>
      <c r="F2942" s="349"/>
      <c r="G2942" s="349"/>
      <c r="H2942" s="349"/>
      <c r="I2942" s="349"/>
      <c r="J2942" s="349"/>
      <c r="K2942" s="349"/>
      <c r="L2942" s="492"/>
    </row>
    <row r="2943" spans="1:12" x14ac:dyDescent="0.35">
      <c r="A2943" s="744">
        <f>IFERROR(INDEX($Q$17:$Q$201,MATCH(B2943,$R$17:$R$201, 0)), "")</f>
        <v>58</v>
      </c>
      <c r="B2943" s="408" t="s">
        <v>1044</v>
      </c>
      <c r="C2943" s="743" t="s">
        <v>1045</v>
      </c>
      <c r="D2943" s="771" t="s">
        <v>239</v>
      </c>
      <c r="E2943" s="330" t="s">
        <v>1045</v>
      </c>
      <c r="F2943" s="340"/>
      <c r="G2943" s="340"/>
      <c r="H2943" s="340"/>
      <c r="I2943" s="340"/>
      <c r="J2943" s="340"/>
      <c r="K2943" s="497"/>
    </row>
    <row r="2944" spans="1:12" x14ac:dyDescent="0.35">
      <c r="A2944" s="332"/>
      <c r="B2944" s="333"/>
      <c r="C2944" s="333"/>
      <c r="D2944" s="333"/>
      <c r="E2944" s="333"/>
      <c r="F2944" s="333"/>
      <c r="G2944" s="333"/>
      <c r="H2944" s="333"/>
      <c r="I2944" s="333"/>
      <c r="J2944" s="333"/>
      <c r="K2944" s="496"/>
    </row>
    <row r="2945" spans="1:11" x14ac:dyDescent="0.35">
      <c r="A2945" s="339"/>
      <c r="B2945" s="340"/>
      <c r="C2945" s="340"/>
      <c r="D2945" s="340"/>
      <c r="E2945" s="340"/>
      <c r="F2945" s="340"/>
      <c r="G2945" s="340"/>
      <c r="H2945" s="340"/>
      <c r="I2945" s="340"/>
      <c r="J2945" s="340"/>
      <c r="K2945" s="497"/>
    </row>
    <row r="2946" spans="1:11" x14ac:dyDescent="0.35">
      <c r="A2946" s="332"/>
      <c r="B2946" s="333"/>
      <c r="C2946" s="333"/>
      <c r="D2946" s="333"/>
      <c r="E2946" s="333"/>
      <c r="F2946" s="333"/>
      <c r="G2946" s="333"/>
      <c r="H2946" s="333"/>
      <c r="I2946" s="333"/>
      <c r="J2946" s="333"/>
      <c r="K2946" s="496"/>
    </row>
    <row r="2947" spans="1:11" x14ac:dyDescent="0.35">
      <c r="A2947" s="339"/>
      <c r="B2947" s="340"/>
      <c r="C2947" s="340"/>
      <c r="D2947" s="340"/>
      <c r="E2947" s="340"/>
      <c r="F2947" s="340"/>
      <c r="G2947" s="340"/>
      <c r="H2947" s="340"/>
      <c r="I2947" s="340"/>
      <c r="J2947" s="340"/>
      <c r="K2947" s="497"/>
    </row>
    <row r="2948" spans="1:11" x14ac:dyDescent="0.35">
      <c r="A2948" s="332"/>
      <c r="B2948" s="333"/>
      <c r="C2948" s="333"/>
      <c r="D2948" s="333"/>
      <c r="E2948" s="333"/>
      <c r="F2948" s="333"/>
      <c r="G2948" s="333"/>
      <c r="H2948" s="333"/>
      <c r="I2948" s="333"/>
      <c r="J2948" s="333"/>
      <c r="K2948" s="496"/>
    </row>
    <row r="2949" spans="1:11" x14ac:dyDescent="0.35">
      <c r="A2949" s="339"/>
      <c r="B2949" s="340"/>
      <c r="C2949" s="340"/>
      <c r="D2949" s="340"/>
      <c r="E2949" s="340"/>
      <c r="F2949" s="340"/>
      <c r="G2949" s="340"/>
      <c r="H2949" s="340"/>
      <c r="I2949" s="340"/>
      <c r="J2949" s="340"/>
      <c r="K2949" s="497"/>
    </row>
    <row r="2950" spans="1:11" x14ac:dyDescent="0.35">
      <c r="A2950" s="332"/>
      <c r="B2950" s="333"/>
      <c r="C2950" s="333"/>
      <c r="D2950" s="333"/>
      <c r="E2950" s="333"/>
      <c r="F2950" s="333"/>
      <c r="G2950" s="333"/>
      <c r="H2950" s="333"/>
      <c r="I2950" s="333"/>
      <c r="J2950" s="333"/>
      <c r="K2950" s="496"/>
    </row>
    <row r="2951" spans="1:11" x14ac:dyDescent="0.35">
      <c r="A2951" s="339"/>
      <c r="B2951" s="340"/>
      <c r="C2951" s="340"/>
      <c r="D2951" s="340"/>
      <c r="E2951" s="340"/>
      <c r="F2951" s="340"/>
      <c r="G2951" s="340"/>
      <c r="H2951" s="340"/>
      <c r="I2951" s="340"/>
      <c r="J2951" s="340"/>
      <c r="K2951" s="497"/>
    </row>
    <row r="2952" spans="1:11" x14ac:dyDescent="0.35">
      <c r="A2952" s="332"/>
      <c r="B2952" s="333"/>
      <c r="C2952" s="333"/>
      <c r="D2952" s="333"/>
      <c r="E2952" s="333"/>
      <c r="F2952" s="333"/>
      <c r="G2952" s="333"/>
      <c r="H2952" s="333"/>
      <c r="I2952" s="333"/>
      <c r="J2952" s="333"/>
      <c r="K2952" s="496"/>
    </row>
    <row r="2953" spans="1:11" x14ac:dyDescent="0.35">
      <c r="A2953" s="339"/>
      <c r="B2953" s="340"/>
      <c r="C2953" s="340"/>
      <c r="D2953" s="340"/>
      <c r="E2953" s="340"/>
      <c r="F2953" s="340"/>
      <c r="G2953" s="340"/>
      <c r="H2953" s="340"/>
      <c r="I2953" s="340"/>
      <c r="J2953" s="340"/>
      <c r="K2953" s="497"/>
    </row>
    <row r="2954" spans="1:11" x14ac:dyDescent="0.35">
      <c r="A2954" s="332"/>
      <c r="B2954" s="333"/>
      <c r="C2954" s="333"/>
      <c r="D2954" s="333"/>
      <c r="E2954" s="333"/>
      <c r="F2954" s="333"/>
      <c r="G2954" s="333"/>
      <c r="H2954" s="333"/>
      <c r="I2954" s="333"/>
      <c r="J2954" s="333"/>
      <c r="K2954" s="496"/>
    </row>
    <row r="2955" spans="1:11" x14ac:dyDescent="0.35">
      <c r="A2955" s="339"/>
      <c r="B2955" s="340"/>
      <c r="C2955" s="340"/>
      <c r="D2955" s="340"/>
      <c r="E2955" s="340"/>
      <c r="F2955" s="340"/>
      <c r="G2955" s="340"/>
      <c r="H2955" s="340"/>
      <c r="I2955" s="340"/>
      <c r="J2955" s="340"/>
      <c r="K2955" s="497"/>
    </row>
    <row r="2956" spans="1:11" x14ac:dyDescent="0.35">
      <c r="A2956" s="332"/>
      <c r="B2956" s="333"/>
      <c r="C2956" s="333"/>
      <c r="D2956" s="333"/>
      <c r="E2956" s="333"/>
      <c r="F2956" s="333"/>
      <c r="G2956" s="333"/>
      <c r="H2956" s="333"/>
      <c r="I2956" s="333"/>
      <c r="J2956" s="333"/>
      <c r="K2956" s="496"/>
    </row>
    <row r="2957" spans="1:11" x14ac:dyDescent="0.35">
      <c r="A2957" s="339"/>
      <c r="B2957" s="340"/>
      <c r="C2957" s="340"/>
      <c r="D2957" s="340"/>
      <c r="E2957" s="340"/>
      <c r="F2957" s="340"/>
      <c r="G2957" s="340"/>
      <c r="H2957" s="340"/>
      <c r="I2957" s="340"/>
      <c r="J2957" s="340"/>
      <c r="K2957" s="497"/>
    </row>
    <row r="2958" spans="1:11" x14ac:dyDescent="0.35">
      <c r="A2958" s="332"/>
      <c r="B2958" s="333"/>
      <c r="C2958" s="333"/>
      <c r="D2958" s="333"/>
      <c r="E2958" s="333"/>
      <c r="F2958" s="333"/>
      <c r="G2958" s="333"/>
      <c r="H2958" s="333"/>
      <c r="I2958" s="333"/>
      <c r="J2958" s="333"/>
      <c r="K2958" s="496"/>
    </row>
    <row r="2959" spans="1:11" x14ac:dyDescent="0.35">
      <c r="A2959" s="339"/>
      <c r="B2959" s="340"/>
      <c r="C2959" s="340"/>
      <c r="D2959" s="340"/>
      <c r="E2959" s="340"/>
      <c r="F2959" s="340"/>
      <c r="G2959" s="340"/>
      <c r="H2959" s="340"/>
      <c r="I2959" s="340"/>
      <c r="J2959" s="340"/>
      <c r="K2959" s="497"/>
    </row>
    <row r="2960" spans="1:11" x14ac:dyDescent="0.35">
      <c r="A2960" s="332"/>
      <c r="B2960" s="333"/>
      <c r="C2960" s="333"/>
      <c r="D2960" s="333"/>
      <c r="E2960" s="333"/>
      <c r="F2960" s="333"/>
      <c r="G2960" s="333"/>
      <c r="H2960" s="333"/>
      <c r="I2960" s="333"/>
      <c r="J2960" s="333"/>
      <c r="K2960" s="496"/>
    </row>
    <row r="2961" spans="1:11" x14ac:dyDescent="0.35">
      <c r="A2961" s="339"/>
      <c r="B2961" s="340"/>
      <c r="C2961" s="340"/>
      <c r="D2961" s="340"/>
      <c r="E2961" s="340"/>
      <c r="F2961" s="340"/>
      <c r="G2961" s="340"/>
      <c r="H2961" s="340"/>
      <c r="I2961" s="340"/>
      <c r="J2961" s="340"/>
      <c r="K2961" s="497"/>
    </row>
    <row r="2962" spans="1:11" x14ac:dyDescent="0.35">
      <c r="A2962" s="332"/>
      <c r="B2962" s="333"/>
      <c r="C2962" s="333"/>
      <c r="D2962" s="333"/>
      <c r="E2962" s="333"/>
      <c r="F2962" s="333"/>
      <c r="G2962" s="333"/>
      <c r="H2962" s="333"/>
      <c r="I2962" s="333"/>
      <c r="J2962" s="333"/>
      <c r="K2962" s="496"/>
    </row>
    <row r="2963" spans="1:11" x14ac:dyDescent="0.35">
      <c r="A2963" s="339"/>
      <c r="B2963" s="340"/>
      <c r="C2963" s="340"/>
      <c r="D2963" s="340"/>
      <c r="E2963" s="340"/>
      <c r="F2963" s="340"/>
      <c r="G2963" s="340"/>
      <c r="H2963" s="340"/>
      <c r="I2963" s="340"/>
      <c r="J2963" s="340"/>
      <c r="K2963" s="497"/>
    </row>
    <row r="2964" spans="1:11" x14ac:dyDescent="0.35">
      <c r="A2964" s="332"/>
      <c r="B2964" s="333"/>
      <c r="C2964" s="333"/>
      <c r="D2964" s="333"/>
      <c r="E2964" s="333"/>
      <c r="F2964" s="333"/>
      <c r="G2964" s="333"/>
      <c r="H2964" s="333"/>
      <c r="I2964" s="333"/>
      <c r="J2964" s="333"/>
      <c r="K2964" s="496"/>
    </row>
    <row r="2965" spans="1:11" x14ac:dyDescent="0.35">
      <c r="A2965" s="339"/>
      <c r="B2965" s="340"/>
      <c r="C2965" s="340"/>
      <c r="D2965" s="340"/>
      <c r="E2965" s="340"/>
      <c r="F2965" s="340"/>
      <c r="G2965" s="340"/>
      <c r="H2965" s="340"/>
      <c r="I2965" s="340"/>
      <c r="J2965" s="340"/>
      <c r="K2965" s="497"/>
    </row>
    <row r="2966" spans="1:11" x14ac:dyDescent="0.35">
      <c r="A2966" s="332"/>
      <c r="B2966" s="333"/>
      <c r="C2966" s="333"/>
      <c r="D2966" s="333"/>
      <c r="E2966" s="333"/>
      <c r="F2966" s="333"/>
      <c r="G2966" s="333"/>
      <c r="H2966" s="333"/>
      <c r="I2966" s="333"/>
      <c r="J2966" s="333"/>
      <c r="K2966" s="496"/>
    </row>
    <row r="2967" spans="1:11" x14ac:dyDescent="0.35">
      <c r="A2967" s="339"/>
      <c r="B2967" s="340"/>
      <c r="C2967" s="340"/>
      <c r="D2967" s="340"/>
      <c r="E2967" s="340"/>
      <c r="F2967" s="340"/>
      <c r="G2967" s="340"/>
      <c r="H2967" s="340"/>
      <c r="I2967" s="340"/>
      <c r="J2967" s="340"/>
      <c r="K2967" s="497"/>
    </row>
    <row r="2968" spans="1:11" x14ac:dyDescent="0.35">
      <c r="A2968" s="332"/>
      <c r="B2968" s="333"/>
      <c r="C2968" s="333"/>
      <c r="D2968" s="333"/>
      <c r="E2968" s="333"/>
      <c r="F2968" s="333"/>
      <c r="G2968" s="333"/>
      <c r="H2968" s="333"/>
      <c r="I2968" s="333"/>
      <c r="J2968" s="333"/>
      <c r="K2968" s="496"/>
    </row>
    <row r="2969" spans="1:11" x14ac:dyDescent="0.35">
      <c r="A2969" s="339"/>
      <c r="B2969" s="340"/>
      <c r="C2969" s="340"/>
      <c r="D2969" s="340"/>
      <c r="E2969" s="340"/>
      <c r="F2969" s="340"/>
      <c r="G2969" s="340"/>
      <c r="H2969" s="340"/>
      <c r="I2969" s="340"/>
      <c r="J2969" s="340"/>
      <c r="K2969" s="497"/>
    </row>
    <row r="2970" spans="1:11" x14ac:dyDescent="0.35">
      <c r="A2970" s="332"/>
      <c r="B2970" s="333"/>
      <c r="C2970" s="333"/>
      <c r="D2970" s="333"/>
      <c r="E2970" s="333"/>
      <c r="F2970" s="333"/>
      <c r="G2970" s="333"/>
      <c r="H2970" s="333"/>
      <c r="I2970" s="333"/>
      <c r="J2970" s="333"/>
      <c r="K2970" s="496"/>
    </row>
    <row r="2971" spans="1:11" x14ac:dyDescent="0.35">
      <c r="A2971" s="339"/>
      <c r="B2971" s="340"/>
      <c r="C2971" s="340"/>
      <c r="D2971" s="340"/>
      <c r="E2971" s="340"/>
      <c r="F2971" s="340"/>
      <c r="G2971" s="340"/>
      <c r="H2971" s="340"/>
      <c r="I2971" s="340"/>
      <c r="J2971" s="340"/>
      <c r="K2971" s="497"/>
    </row>
    <row r="2972" spans="1:11" x14ac:dyDescent="0.35">
      <c r="A2972" s="332"/>
      <c r="B2972" s="333"/>
      <c r="C2972" s="333"/>
      <c r="D2972" s="333"/>
      <c r="E2972" s="333"/>
      <c r="F2972" s="333"/>
      <c r="G2972" s="333"/>
      <c r="H2972" s="333"/>
      <c r="I2972" s="333"/>
      <c r="J2972" s="333"/>
      <c r="K2972" s="496"/>
    </row>
    <row r="2973" spans="1:11" x14ac:dyDescent="0.35">
      <c r="A2973" s="339"/>
      <c r="B2973" s="340"/>
      <c r="C2973" s="340"/>
      <c r="D2973" s="340"/>
      <c r="E2973" s="340"/>
      <c r="F2973" s="340"/>
      <c r="G2973" s="340"/>
      <c r="H2973" s="340"/>
      <c r="I2973" s="340"/>
      <c r="J2973" s="340"/>
      <c r="K2973" s="497"/>
    </row>
    <row r="2974" spans="1:11" x14ac:dyDescent="0.35">
      <c r="A2974" s="332"/>
      <c r="B2974" s="333"/>
      <c r="C2974" s="333"/>
      <c r="D2974" s="333"/>
      <c r="E2974" s="333"/>
      <c r="F2974" s="333"/>
      <c r="G2974" s="333"/>
      <c r="H2974" s="333"/>
      <c r="I2974" s="333"/>
      <c r="J2974" s="333"/>
      <c r="K2974" s="496"/>
    </row>
    <row r="2975" spans="1:11" x14ac:dyDescent="0.35">
      <c r="A2975" s="339"/>
      <c r="B2975" s="340"/>
      <c r="C2975" s="340"/>
      <c r="D2975" s="340"/>
      <c r="E2975" s="340"/>
      <c r="F2975" s="340"/>
      <c r="G2975" s="340"/>
      <c r="H2975" s="340"/>
      <c r="I2975" s="340"/>
      <c r="J2975" s="340"/>
      <c r="K2975" s="497"/>
    </row>
    <row r="2976" spans="1:11" x14ac:dyDescent="0.35">
      <c r="A2976" s="332"/>
      <c r="B2976" s="333"/>
      <c r="C2976" s="333"/>
      <c r="D2976" s="333"/>
      <c r="E2976" s="333"/>
      <c r="F2976" s="333"/>
      <c r="G2976" s="333"/>
      <c r="H2976" s="333"/>
      <c r="I2976" s="333"/>
      <c r="J2976" s="333"/>
      <c r="K2976" s="496"/>
    </row>
    <row r="2977" spans="1:11" x14ac:dyDescent="0.35">
      <c r="A2977" s="339"/>
      <c r="B2977" s="340"/>
      <c r="C2977" s="340"/>
      <c r="D2977" s="340"/>
      <c r="E2977" s="340"/>
      <c r="F2977" s="340"/>
      <c r="G2977" s="340"/>
      <c r="H2977" s="340"/>
      <c r="I2977" s="340"/>
      <c r="J2977" s="340"/>
      <c r="K2977" s="497"/>
    </row>
    <row r="2978" spans="1:11" x14ac:dyDescent="0.35">
      <c r="A2978" s="332"/>
      <c r="B2978" s="333"/>
      <c r="C2978" s="333"/>
      <c r="D2978" s="333"/>
      <c r="E2978" s="333"/>
      <c r="F2978" s="333"/>
      <c r="G2978" s="333"/>
      <c r="H2978" s="333"/>
      <c r="I2978" s="333"/>
      <c r="J2978" s="333"/>
      <c r="K2978" s="496"/>
    </row>
    <row r="2979" spans="1:11" x14ac:dyDescent="0.35">
      <c r="A2979" s="339"/>
      <c r="B2979" s="340"/>
      <c r="C2979" s="340"/>
      <c r="D2979" s="340"/>
      <c r="E2979" s="340"/>
      <c r="F2979" s="340"/>
      <c r="G2979" s="340"/>
      <c r="H2979" s="340"/>
      <c r="I2979" s="340"/>
      <c r="J2979" s="340"/>
      <c r="K2979" s="497"/>
    </row>
    <row r="2980" spans="1:11" x14ac:dyDescent="0.35">
      <c r="A2980" s="332"/>
      <c r="B2980" s="333"/>
      <c r="C2980" s="333"/>
      <c r="D2980" s="333"/>
      <c r="E2980" s="333"/>
      <c r="F2980" s="333"/>
      <c r="G2980" s="333"/>
      <c r="H2980" s="333"/>
      <c r="I2980" s="333"/>
      <c r="J2980" s="333"/>
      <c r="K2980" s="496"/>
    </row>
    <row r="2981" spans="1:11" x14ac:dyDescent="0.35">
      <c r="A2981" s="339"/>
      <c r="B2981" s="340"/>
      <c r="C2981" s="340"/>
      <c r="D2981" s="340"/>
      <c r="E2981" s="340"/>
      <c r="F2981" s="340"/>
      <c r="G2981" s="340"/>
      <c r="H2981" s="340"/>
      <c r="I2981" s="340"/>
      <c r="J2981" s="340"/>
      <c r="K2981" s="497"/>
    </row>
    <row r="2982" spans="1:11" x14ac:dyDescent="0.35">
      <c r="A2982" s="332"/>
      <c r="B2982" s="333"/>
      <c r="C2982" s="333"/>
      <c r="D2982" s="333"/>
      <c r="E2982" s="333"/>
      <c r="F2982" s="333"/>
      <c r="G2982" s="333"/>
      <c r="H2982" s="333"/>
      <c r="I2982" s="333"/>
      <c r="J2982" s="333"/>
      <c r="K2982" s="496"/>
    </row>
    <row r="2983" spans="1:11" x14ac:dyDescent="0.35">
      <c r="A2983" s="339"/>
      <c r="B2983" s="340"/>
      <c r="C2983" s="340"/>
      <c r="D2983" s="340"/>
      <c r="E2983" s="340"/>
      <c r="F2983" s="340"/>
      <c r="G2983" s="340"/>
      <c r="H2983" s="340"/>
      <c r="I2983" s="340"/>
      <c r="J2983" s="340"/>
      <c r="K2983" s="497"/>
    </row>
    <row r="2984" spans="1:11" x14ac:dyDescent="0.35">
      <c r="A2984" s="332"/>
      <c r="B2984" s="333"/>
      <c r="C2984" s="333"/>
      <c r="D2984" s="333"/>
      <c r="E2984" s="333"/>
      <c r="F2984" s="333"/>
      <c r="G2984" s="333"/>
      <c r="H2984" s="333"/>
      <c r="I2984" s="333"/>
      <c r="J2984" s="333"/>
      <c r="K2984" s="496"/>
    </row>
    <row r="2985" spans="1:11" x14ac:dyDescent="0.35">
      <c r="A2985" s="339"/>
      <c r="B2985" s="340"/>
      <c r="C2985" s="340"/>
      <c r="D2985" s="340"/>
      <c r="E2985" s="340"/>
      <c r="F2985" s="340"/>
      <c r="G2985" s="340"/>
      <c r="H2985" s="340"/>
      <c r="I2985" s="340"/>
      <c r="J2985" s="340"/>
      <c r="K2985" s="497"/>
    </row>
    <row r="2986" spans="1:11" x14ac:dyDescent="0.35">
      <c r="A2986" s="332"/>
      <c r="B2986" s="333"/>
      <c r="C2986" s="333"/>
      <c r="D2986" s="333"/>
      <c r="E2986" s="333"/>
      <c r="F2986" s="333"/>
      <c r="G2986" s="333"/>
      <c r="H2986" s="333"/>
      <c r="I2986" s="333"/>
      <c r="J2986" s="333"/>
      <c r="K2986" s="496"/>
    </row>
    <row r="2987" spans="1:11" x14ac:dyDescent="0.35">
      <c r="A2987" s="339"/>
      <c r="B2987" s="340"/>
      <c r="C2987" s="340"/>
      <c r="D2987" s="340"/>
      <c r="E2987" s="340"/>
      <c r="F2987" s="340"/>
      <c r="G2987" s="340"/>
      <c r="H2987" s="340"/>
      <c r="I2987" s="340"/>
      <c r="J2987" s="340"/>
      <c r="K2987" s="497"/>
    </row>
    <row r="2988" spans="1:11" x14ac:dyDescent="0.35">
      <c r="A2988" s="332"/>
      <c r="B2988" s="333"/>
      <c r="C2988" s="333"/>
      <c r="D2988" s="333"/>
      <c r="E2988" s="333"/>
      <c r="F2988" s="333"/>
      <c r="G2988" s="333"/>
      <c r="H2988" s="333"/>
      <c r="I2988" s="333"/>
      <c r="J2988" s="333"/>
      <c r="K2988" s="496"/>
    </row>
    <row r="2989" spans="1:11" x14ac:dyDescent="0.35">
      <c r="A2989" s="339"/>
      <c r="B2989" s="340"/>
      <c r="C2989" s="340"/>
      <c r="D2989" s="340"/>
      <c r="E2989" s="340"/>
      <c r="F2989" s="340"/>
      <c r="G2989" s="340"/>
      <c r="H2989" s="340"/>
      <c r="I2989" s="340"/>
      <c r="J2989" s="340"/>
      <c r="K2989" s="497"/>
    </row>
    <row r="2990" spans="1:11" x14ac:dyDescent="0.35">
      <c r="A2990" s="332"/>
      <c r="B2990" s="333"/>
      <c r="C2990" s="333"/>
      <c r="D2990" s="333"/>
      <c r="E2990" s="333"/>
      <c r="F2990" s="333"/>
      <c r="G2990" s="333"/>
      <c r="H2990" s="333"/>
      <c r="I2990" s="333"/>
      <c r="J2990" s="333"/>
      <c r="K2990" s="496"/>
    </row>
    <row r="2991" spans="1:11" x14ac:dyDescent="0.35">
      <c r="A2991" s="339"/>
      <c r="B2991" s="340"/>
      <c r="C2991" s="340"/>
      <c r="D2991" s="340"/>
      <c r="E2991" s="340"/>
      <c r="F2991" s="340"/>
      <c r="G2991" s="340"/>
      <c r="H2991" s="340"/>
      <c r="I2991" s="340"/>
      <c r="J2991" s="340"/>
      <c r="K2991" s="497"/>
    </row>
    <row r="2992" spans="1:11" x14ac:dyDescent="0.35">
      <c r="A2992" s="332"/>
      <c r="B2992" s="333"/>
      <c r="C2992" s="333"/>
      <c r="D2992" s="333"/>
      <c r="E2992" s="333"/>
      <c r="F2992" s="333"/>
      <c r="G2992" s="333"/>
      <c r="H2992" s="333"/>
      <c r="I2992" s="333"/>
      <c r="J2992" s="333"/>
      <c r="K2992" s="496"/>
    </row>
    <row r="2993" spans="1:11" x14ac:dyDescent="0.35">
      <c r="A2993" s="339"/>
      <c r="B2993" s="340"/>
      <c r="C2993" s="340"/>
      <c r="D2993" s="340"/>
      <c r="E2993" s="340"/>
      <c r="F2993" s="340"/>
      <c r="G2993" s="340"/>
      <c r="H2993" s="340"/>
      <c r="I2993" s="340"/>
      <c r="J2993" s="340"/>
      <c r="K2993" s="497"/>
    </row>
    <row r="2994" spans="1:11" x14ac:dyDescent="0.35">
      <c r="A2994" s="332"/>
      <c r="B2994" s="333"/>
      <c r="C2994" s="333"/>
      <c r="D2994" s="333"/>
      <c r="E2994" s="333"/>
      <c r="F2994" s="333"/>
      <c r="G2994" s="333"/>
      <c r="H2994" s="333"/>
      <c r="I2994" s="333"/>
      <c r="J2994" s="333"/>
      <c r="K2994" s="496"/>
    </row>
    <row r="2995" spans="1:11" x14ac:dyDescent="0.35">
      <c r="A2995" s="339"/>
      <c r="B2995" s="340"/>
      <c r="C2995" s="340"/>
      <c r="D2995" s="340"/>
      <c r="E2995" s="340"/>
      <c r="F2995" s="340"/>
      <c r="G2995" s="340"/>
      <c r="H2995" s="340"/>
      <c r="I2995" s="340"/>
      <c r="J2995" s="340"/>
      <c r="K2995" s="497"/>
    </row>
    <row r="2996" spans="1:11" x14ac:dyDescent="0.35">
      <c r="A2996" s="332"/>
      <c r="B2996" s="333"/>
      <c r="C2996" s="333"/>
      <c r="D2996" s="333"/>
      <c r="E2996" s="333"/>
      <c r="F2996" s="333"/>
      <c r="G2996" s="333"/>
      <c r="H2996" s="333"/>
      <c r="I2996" s="333"/>
      <c r="J2996" s="333"/>
      <c r="K2996" s="496"/>
    </row>
    <row r="2997" spans="1:11" x14ac:dyDescent="0.35">
      <c r="A2997" s="339"/>
      <c r="B2997" s="340"/>
      <c r="C2997" s="340"/>
      <c r="D2997" s="340"/>
      <c r="E2997" s="340"/>
      <c r="F2997" s="340"/>
      <c r="G2997" s="340"/>
      <c r="H2997" s="340"/>
      <c r="I2997" s="340"/>
      <c r="J2997" s="340"/>
      <c r="K2997" s="497"/>
    </row>
    <row r="2998" spans="1:11" x14ac:dyDescent="0.35">
      <c r="A2998" s="332"/>
      <c r="B2998" s="333"/>
      <c r="C2998" s="333"/>
      <c r="D2998" s="333"/>
      <c r="E2998" s="333"/>
      <c r="F2998" s="333"/>
      <c r="G2998" s="333"/>
      <c r="H2998" s="333"/>
      <c r="I2998" s="333"/>
      <c r="J2998" s="333"/>
      <c r="K2998" s="496"/>
    </row>
    <row r="2999" spans="1:11" x14ac:dyDescent="0.35">
      <c r="A2999" s="339"/>
      <c r="B2999" s="340"/>
      <c r="C2999" s="340"/>
      <c r="D2999" s="340"/>
      <c r="E2999" s="340"/>
      <c r="F2999" s="340"/>
      <c r="G2999" s="340"/>
      <c r="H2999" s="340"/>
      <c r="I2999" s="340"/>
      <c r="J2999" s="340"/>
      <c r="K2999" s="497"/>
    </row>
    <row r="3000" spans="1:11" x14ac:dyDescent="0.35">
      <c r="A3000" s="332"/>
      <c r="B3000" s="333"/>
      <c r="C3000" s="333"/>
      <c r="D3000" s="333"/>
      <c r="E3000" s="333"/>
      <c r="F3000" s="333"/>
      <c r="G3000" s="333"/>
      <c r="H3000" s="333"/>
      <c r="I3000" s="333"/>
      <c r="J3000" s="333"/>
      <c r="K3000" s="496"/>
    </row>
    <row r="3001" spans="1:11" x14ac:dyDescent="0.35">
      <c r="A3001" s="339"/>
      <c r="B3001" s="340"/>
      <c r="C3001" s="340"/>
      <c r="D3001" s="340"/>
      <c r="E3001" s="340"/>
      <c r="F3001" s="340"/>
      <c r="G3001" s="340"/>
      <c r="H3001" s="340"/>
      <c r="I3001" s="340"/>
      <c r="J3001" s="340"/>
      <c r="K3001" s="497"/>
    </row>
    <row r="3002" spans="1:11" x14ac:dyDescent="0.35">
      <c r="A3002" s="332"/>
      <c r="B3002" s="333"/>
      <c r="C3002" s="333"/>
      <c r="D3002" s="333"/>
      <c r="E3002" s="333"/>
      <c r="F3002" s="333"/>
      <c r="G3002" s="333"/>
      <c r="H3002" s="333"/>
      <c r="I3002" s="333"/>
      <c r="J3002" s="333"/>
      <c r="K3002" s="496"/>
    </row>
    <row r="3003" spans="1:11" x14ac:dyDescent="0.35">
      <c r="A3003" s="339"/>
      <c r="B3003" s="340"/>
      <c r="C3003" s="340"/>
      <c r="D3003" s="340"/>
      <c r="E3003" s="340"/>
      <c r="F3003" s="340"/>
      <c r="G3003" s="340"/>
      <c r="H3003" s="340"/>
      <c r="I3003" s="340"/>
      <c r="J3003" s="340"/>
      <c r="K3003" s="497"/>
    </row>
    <row r="3004" spans="1:11" x14ac:dyDescent="0.35">
      <c r="A3004" s="332"/>
      <c r="B3004" s="333"/>
      <c r="C3004" s="333"/>
      <c r="D3004" s="333"/>
      <c r="E3004" s="333"/>
      <c r="F3004" s="333"/>
      <c r="G3004" s="333"/>
      <c r="H3004" s="333"/>
      <c r="I3004" s="333"/>
      <c r="J3004" s="333"/>
      <c r="K3004" s="496"/>
    </row>
    <row r="3005" spans="1:11" x14ac:dyDescent="0.35">
      <c r="A3005" s="339"/>
      <c r="B3005" s="340"/>
      <c r="C3005" s="340"/>
      <c r="D3005" s="340"/>
      <c r="E3005" s="340"/>
      <c r="F3005" s="340"/>
      <c r="G3005" s="340"/>
      <c r="H3005" s="340"/>
      <c r="I3005" s="340"/>
      <c r="J3005" s="340"/>
      <c r="K3005" s="497"/>
    </row>
    <row r="3006" spans="1:11" x14ac:dyDescent="0.35">
      <c r="A3006" s="332"/>
      <c r="B3006" s="333"/>
      <c r="C3006" s="333"/>
      <c r="D3006" s="333"/>
      <c r="E3006" s="333"/>
      <c r="F3006" s="333"/>
      <c r="G3006" s="333"/>
      <c r="H3006" s="333"/>
      <c r="I3006" s="333"/>
      <c r="J3006" s="333"/>
      <c r="K3006" s="496"/>
    </row>
    <row r="3007" spans="1:11" x14ac:dyDescent="0.35">
      <c r="A3007" s="339"/>
      <c r="B3007" s="340"/>
      <c r="C3007" s="340"/>
      <c r="D3007" s="340"/>
      <c r="E3007" s="340"/>
      <c r="F3007" s="340"/>
      <c r="G3007" s="340"/>
      <c r="H3007" s="340"/>
      <c r="I3007" s="340"/>
      <c r="J3007" s="340"/>
      <c r="K3007" s="497"/>
    </row>
    <row r="3008" spans="1:11" x14ac:dyDescent="0.35">
      <c r="A3008" s="332"/>
      <c r="B3008" s="333"/>
      <c r="C3008" s="333"/>
      <c r="D3008" s="333"/>
      <c r="E3008" s="333"/>
      <c r="F3008" s="333"/>
      <c r="G3008" s="333"/>
      <c r="H3008" s="333"/>
      <c r="I3008" s="333"/>
      <c r="J3008" s="333"/>
      <c r="K3008" s="496"/>
    </row>
    <row r="3009" spans="1:11" x14ac:dyDescent="0.35">
      <c r="A3009" s="339"/>
      <c r="B3009" s="340"/>
      <c r="C3009" s="340"/>
      <c r="D3009" s="340"/>
      <c r="E3009" s="340"/>
      <c r="F3009" s="340"/>
      <c r="G3009" s="340"/>
      <c r="H3009" s="340"/>
      <c r="I3009" s="340"/>
      <c r="J3009" s="340"/>
      <c r="K3009" s="497"/>
    </row>
    <row r="3010" spans="1:11" x14ac:dyDescent="0.35">
      <c r="A3010" s="332"/>
      <c r="B3010" s="333"/>
      <c r="C3010" s="333"/>
      <c r="D3010" s="333"/>
      <c r="E3010" s="333"/>
      <c r="F3010" s="333"/>
      <c r="G3010" s="333"/>
      <c r="H3010" s="333"/>
      <c r="I3010" s="333"/>
      <c r="J3010" s="333"/>
      <c r="K3010" s="496"/>
    </row>
    <row r="3011" spans="1:11" x14ac:dyDescent="0.35">
      <c r="A3011" s="339"/>
      <c r="B3011" s="340"/>
      <c r="C3011" s="340"/>
      <c r="D3011" s="340"/>
      <c r="E3011" s="340"/>
      <c r="F3011" s="340"/>
      <c r="G3011" s="340"/>
      <c r="H3011" s="340"/>
      <c r="I3011" s="340"/>
      <c r="J3011" s="340"/>
      <c r="K3011" s="497"/>
    </row>
    <row r="3012" spans="1:11" x14ac:dyDescent="0.35">
      <c r="A3012" s="332"/>
      <c r="B3012" s="333"/>
      <c r="C3012" s="333"/>
      <c r="D3012" s="333"/>
      <c r="E3012" s="333"/>
      <c r="F3012" s="333"/>
      <c r="G3012" s="333"/>
      <c r="H3012" s="333"/>
      <c r="I3012" s="333"/>
      <c r="J3012" s="333"/>
      <c r="K3012" s="496"/>
    </row>
    <row r="3013" spans="1:11" x14ac:dyDescent="0.35">
      <c r="A3013" s="339"/>
      <c r="B3013" s="340"/>
      <c r="C3013" s="340"/>
      <c r="D3013" s="340"/>
      <c r="E3013" s="340"/>
      <c r="F3013" s="340"/>
      <c r="G3013" s="340"/>
      <c r="H3013" s="340"/>
      <c r="I3013" s="340"/>
      <c r="J3013" s="340"/>
      <c r="K3013" s="497"/>
    </row>
    <row r="3014" spans="1:11" x14ac:dyDescent="0.35">
      <c r="A3014" s="332"/>
      <c r="B3014" s="333"/>
      <c r="C3014" s="333"/>
      <c r="D3014" s="333"/>
      <c r="E3014" s="333"/>
      <c r="F3014" s="333"/>
      <c r="G3014" s="333"/>
      <c r="H3014" s="333"/>
      <c r="I3014" s="333"/>
      <c r="J3014" s="333"/>
      <c r="K3014" s="496"/>
    </row>
    <row r="3015" spans="1:11" x14ac:dyDescent="0.35">
      <c r="A3015" s="339"/>
      <c r="B3015" s="340"/>
      <c r="C3015" s="340"/>
      <c r="D3015" s="340"/>
      <c r="E3015" s="340"/>
      <c r="F3015" s="340"/>
      <c r="G3015" s="340"/>
      <c r="H3015" s="340"/>
      <c r="I3015" s="340"/>
      <c r="J3015" s="340"/>
      <c r="K3015" s="497"/>
    </row>
    <row r="3016" spans="1:11" x14ac:dyDescent="0.35">
      <c r="A3016" s="332"/>
      <c r="B3016" s="333"/>
      <c r="C3016" s="333"/>
      <c r="D3016" s="333"/>
      <c r="E3016" s="333"/>
      <c r="F3016" s="333"/>
      <c r="G3016" s="333"/>
      <c r="H3016" s="333"/>
      <c r="I3016" s="333"/>
      <c r="J3016" s="333"/>
      <c r="K3016" s="496"/>
    </row>
    <row r="3017" spans="1:11" x14ac:dyDescent="0.35">
      <c r="A3017" s="339"/>
      <c r="B3017" s="340"/>
      <c r="C3017" s="340"/>
      <c r="D3017" s="340"/>
      <c r="E3017" s="340"/>
      <c r="F3017" s="340"/>
      <c r="G3017" s="340"/>
      <c r="H3017" s="340"/>
      <c r="I3017" s="340"/>
      <c r="J3017" s="340"/>
      <c r="K3017" s="497"/>
    </row>
    <row r="3018" spans="1:11" x14ac:dyDescent="0.35">
      <c r="A3018" s="332"/>
      <c r="B3018" s="333"/>
      <c r="C3018" s="333"/>
      <c r="D3018" s="333"/>
      <c r="E3018" s="333"/>
      <c r="F3018" s="333"/>
      <c r="G3018" s="333"/>
      <c r="H3018" s="333"/>
      <c r="I3018" s="333"/>
      <c r="J3018" s="333"/>
      <c r="K3018" s="496"/>
    </row>
    <row r="3019" spans="1:11" x14ac:dyDescent="0.35">
      <c r="A3019" s="339"/>
      <c r="B3019" s="340"/>
      <c r="C3019" s="340"/>
      <c r="D3019" s="340"/>
      <c r="E3019" s="340"/>
      <c r="F3019" s="340"/>
      <c r="G3019" s="340"/>
      <c r="H3019" s="340"/>
      <c r="I3019" s="340"/>
      <c r="J3019" s="340"/>
      <c r="K3019" s="497"/>
    </row>
    <row r="3020" spans="1:11" x14ac:dyDescent="0.35">
      <c r="A3020" s="332"/>
      <c r="B3020" s="333"/>
      <c r="C3020" s="333"/>
      <c r="D3020" s="333"/>
      <c r="E3020" s="333"/>
      <c r="F3020" s="333"/>
      <c r="G3020" s="333"/>
      <c r="H3020" s="333"/>
      <c r="I3020" s="333"/>
      <c r="J3020" s="333"/>
      <c r="K3020" s="496"/>
    </row>
    <row r="3021" spans="1:11" x14ac:dyDescent="0.35">
      <c r="A3021" s="339"/>
      <c r="B3021" s="340"/>
      <c r="C3021" s="340"/>
      <c r="D3021" s="340"/>
      <c r="E3021" s="340"/>
      <c r="F3021" s="340"/>
      <c r="G3021" s="340"/>
      <c r="H3021" s="340"/>
      <c r="I3021" s="340"/>
      <c r="J3021" s="340"/>
      <c r="K3021" s="497"/>
    </row>
    <row r="3022" spans="1:11" x14ac:dyDescent="0.35">
      <c r="A3022" s="332"/>
      <c r="B3022" s="333"/>
      <c r="C3022" s="333"/>
      <c r="D3022" s="333"/>
      <c r="E3022" s="333"/>
      <c r="F3022" s="333"/>
      <c r="G3022" s="333"/>
      <c r="H3022" s="333"/>
      <c r="I3022" s="333"/>
      <c r="J3022" s="333"/>
      <c r="K3022" s="496"/>
    </row>
    <row r="3023" spans="1:11" x14ac:dyDescent="0.35">
      <c r="A3023" s="339"/>
      <c r="B3023" s="340"/>
      <c r="C3023" s="340"/>
      <c r="D3023" s="340"/>
      <c r="E3023" s="340"/>
      <c r="F3023" s="340"/>
      <c r="G3023" s="340"/>
      <c r="H3023" s="340"/>
      <c r="I3023" s="340"/>
      <c r="J3023" s="340"/>
      <c r="K3023" s="497"/>
    </row>
    <row r="3024" spans="1:11" x14ac:dyDescent="0.35">
      <c r="A3024" s="332"/>
      <c r="B3024" s="333"/>
      <c r="C3024" s="333"/>
      <c r="D3024" s="333"/>
      <c r="E3024" s="333"/>
      <c r="F3024" s="333"/>
      <c r="G3024" s="333"/>
      <c r="H3024" s="333"/>
      <c r="I3024" s="333"/>
      <c r="J3024" s="333"/>
      <c r="K3024" s="496"/>
    </row>
    <row r="3025" spans="1:11" x14ac:dyDescent="0.35">
      <c r="A3025" s="339"/>
      <c r="B3025" s="340"/>
      <c r="C3025" s="340"/>
      <c r="D3025" s="340"/>
      <c r="E3025" s="340"/>
      <c r="F3025" s="340"/>
      <c r="G3025" s="340"/>
      <c r="H3025" s="340"/>
      <c r="I3025" s="340"/>
      <c r="J3025" s="340"/>
      <c r="K3025" s="497"/>
    </row>
    <row r="3026" spans="1:11" x14ac:dyDescent="0.35">
      <c r="A3026" s="332"/>
      <c r="B3026" s="333"/>
      <c r="C3026" s="333"/>
      <c r="D3026" s="333"/>
      <c r="E3026" s="333"/>
      <c r="F3026" s="333"/>
      <c r="G3026" s="333"/>
      <c r="H3026" s="333"/>
      <c r="I3026" s="333"/>
      <c r="J3026" s="333"/>
      <c r="K3026" s="496"/>
    </row>
    <row r="3027" spans="1:11" x14ac:dyDescent="0.35">
      <c r="A3027" s="339"/>
      <c r="B3027" s="340"/>
      <c r="C3027" s="340"/>
      <c r="D3027" s="340"/>
      <c r="E3027" s="340"/>
      <c r="F3027" s="340"/>
      <c r="G3027" s="340"/>
      <c r="H3027" s="340"/>
      <c r="I3027" s="340"/>
      <c r="J3027" s="340"/>
      <c r="K3027" s="497"/>
    </row>
    <row r="3028" spans="1:11" x14ac:dyDescent="0.35">
      <c r="A3028" s="332"/>
      <c r="B3028" s="333"/>
      <c r="C3028" s="333"/>
      <c r="D3028" s="333"/>
      <c r="E3028" s="333"/>
      <c r="F3028" s="333"/>
      <c r="G3028" s="333"/>
      <c r="H3028" s="333"/>
      <c r="I3028" s="333"/>
      <c r="J3028" s="333"/>
      <c r="K3028" s="496"/>
    </row>
    <row r="3029" spans="1:11" x14ac:dyDescent="0.35">
      <c r="A3029" s="339"/>
      <c r="B3029" s="340"/>
      <c r="C3029" s="340"/>
      <c r="D3029" s="340"/>
      <c r="E3029" s="340"/>
      <c r="F3029" s="340"/>
      <c r="G3029" s="340"/>
      <c r="H3029" s="340"/>
      <c r="I3029" s="340"/>
      <c r="J3029" s="340"/>
      <c r="K3029" s="497"/>
    </row>
    <row r="3030" spans="1:11" x14ac:dyDescent="0.35">
      <c r="A3030" s="332"/>
      <c r="B3030" s="333"/>
      <c r="C3030" s="333"/>
      <c r="D3030" s="333"/>
      <c r="E3030" s="333"/>
      <c r="F3030" s="333"/>
      <c r="G3030" s="333"/>
      <c r="H3030" s="333"/>
      <c r="I3030" s="333"/>
      <c r="J3030" s="333"/>
      <c r="K3030" s="496"/>
    </row>
    <row r="3031" spans="1:11" x14ac:dyDescent="0.35">
      <c r="A3031" s="339"/>
      <c r="B3031" s="340"/>
      <c r="C3031" s="340"/>
      <c r="D3031" s="340"/>
      <c r="E3031" s="340"/>
      <c r="F3031" s="340"/>
      <c r="G3031" s="340"/>
      <c r="H3031" s="340"/>
      <c r="I3031" s="340"/>
      <c r="J3031" s="340"/>
      <c r="K3031" s="497"/>
    </row>
    <row r="3032" spans="1:11" x14ac:dyDescent="0.35">
      <c r="A3032" s="332"/>
      <c r="B3032" s="333"/>
      <c r="C3032" s="333"/>
      <c r="D3032" s="333"/>
      <c r="E3032" s="333"/>
      <c r="F3032" s="333"/>
      <c r="G3032" s="333"/>
      <c r="H3032" s="333"/>
      <c r="I3032" s="333"/>
      <c r="J3032" s="333"/>
      <c r="K3032" s="496"/>
    </row>
    <row r="3033" spans="1:11" x14ac:dyDescent="0.35">
      <c r="A3033" s="339"/>
      <c r="B3033" s="340"/>
      <c r="C3033" s="340"/>
      <c r="D3033" s="340"/>
      <c r="E3033" s="340"/>
      <c r="F3033" s="340"/>
      <c r="G3033" s="340"/>
      <c r="H3033" s="340"/>
      <c r="I3033" s="340"/>
      <c r="J3033" s="340"/>
      <c r="K3033" s="497"/>
    </row>
    <row r="3034" spans="1:11" x14ac:dyDescent="0.35">
      <c r="A3034" s="332"/>
      <c r="B3034" s="333"/>
      <c r="C3034" s="333"/>
      <c r="D3034" s="333"/>
      <c r="E3034" s="333"/>
      <c r="F3034" s="333"/>
      <c r="G3034" s="333"/>
      <c r="H3034" s="333"/>
      <c r="I3034" s="333"/>
      <c r="J3034" s="333"/>
      <c r="K3034" s="496"/>
    </row>
    <row r="3035" spans="1:11" x14ac:dyDescent="0.35">
      <c r="A3035" s="339"/>
      <c r="B3035" s="340"/>
      <c r="C3035" s="340"/>
      <c r="D3035" s="340"/>
      <c r="E3035" s="340"/>
      <c r="F3035" s="340"/>
      <c r="G3035" s="340"/>
      <c r="H3035" s="340"/>
      <c r="I3035" s="340"/>
      <c r="J3035" s="340"/>
      <c r="K3035" s="497"/>
    </row>
    <row r="3036" spans="1:11" x14ac:dyDescent="0.35">
      <c r="A3036" s="332"/>
      <c r="B3036" s="333"/>
      <c r="C3036" s="333"/>
      <c r="D3036" s="333"/>
      <c r="E3036" s="333"/>
      <c r="F3036" s="333"/>
      <c r="G3036" s="333"/>
      <c r="H3036" s="333"/>
      <c r="I3036" s="333"/>
      <c r="J3036" s="333"/>
      <c r="K3036" s="496"/>
    </row>
    <row r="3037" spans="1:11" x14ac:dyDescent="0.35">
      <c r="A3037" s="339"/>
      <c r="B3037" s="340"/>
      <c r="C3037" s="340"/>
      <c r="D3037" s="340"/>
      <c r="E3037" s="340"/>
      <c r="F3037" s="340"/>
      <c r="G3037" s="340"/>
      <c r="H3037" s="340"/>
      <c r="I3037" s="340"/>
      <c r="J3037" s="340"/>
      <c r="K3037" s="497"/>
    </row>
    <row r="3038" spans="1:11" x14ac:dyDescent="0.35">
      <c r="A3038" s="332"/>
      <c r="B3038" s="333"/>
      <c r="C3038" s="333"/>
      <c r="D3038" s="333"/>
      <c r="E3038" s="333"/>
      <c r="F3038" s="333"/>
      <c r="G3038" s="333"/>
      <c r="H3038" s="333"/>
      <c r="I3038" s="333"/>
      <c r="J3038" s="333"/>
      <c r="K3038" s="496"/>
    </row>
    <row r="3039" spans="1:11" x14ac:dyDescent="0.35">
      <c r="A3039" s="339"/>
      <c r="B3039" s="340"/>
      <c r="C3039" s="340"/>
      <c r="D3039" s="340"/>
      <c r="E3039" s="340"/>
      <c r="F3039" s="340"/>
      <c r="G3039" s="340"/>
      <c r="H3039" s="340"/>
      <c r="I3039" s="340"/>
      <c r="J3039" s="340"/>
      <c r="K3039" s="497"/>
    </row>
    <row r="3040" spans="1:11" x14ac:dyDescent="0.35">
      <c r="A3040" s="332"/>
      <c r="B3040" s="333"/>
      <c r="C3040" s="333"/>
      <c r="D3040" s="333"/>
      <c r="E3040" s="333"/>
      <c r="F3040" s="333"/>
      <c r="G3040" s="333"/>
      <c r="H3040" s="333"/>
      <c r="I3040" s="333"/>
      <c r="J3040" s="333"/>
      <c r="K3040" s="496"/>
    </row>
    <row r="3041" spans="1:11" x14ac:dyDescent="0.35">
      <c r="A3041" s="339"/>
      <c r="B3041" s="340"/>
      <c r="C3041" s="340"/>
      <c r="D3041" s="340"/>
      <c r="E3041" s="340"/>
      <c r="F3041" s="340"/>
      <c r="G3041" s="340"/>
      <c r="H3041" s="340"/>
      <c r="I3041" s="340"/>
      <c r="J3041" s="340"/>
      <c r="K3041" s="497"/>
    </row>
    <row r="3042" spans="1:11" x14ac:dyDescent="0.35">
      <c r="A3042" s="332"/>
      <c r="B3042" s="333"/>
      <c r="C3042" s="333"/>
      <c r="D3042" s="333"/>
      <c r="E3042" s="333"/>
      <c r="F3042" s="333"/>
      <c r="G3042" s="333"/>
      <c r="H3042" s="333"/>
      <c r="I3042" s="333"/>
      <c r="J3042" s="333"/>
      <c r="K3042" s="496"/>
    </row>
    <row r="3043" spans="1:11" x14ac:dyDescent="0.35">
      <c r="A3043" s="339"/>
      <c r="B3043" s="340"/>
      <c r="C3043" s="340"/>
      <c r="D3043" s="340"/>
      <c r="E3043" s="340"/>
      <c r="F3043" s="340"/>
      <c r="G3043" s="340"/>
      <c r="H3043" s="340"/>
      <c r="I3043" s="340"/>
      <c r="J3043" s="340"/>
      <c r="K3043" s="497"/>
    </row>
    <row r="3044" spans="1:11" x14ac:dyDescent="0.35">
      <c r="A3044" s="332"/>
      <c r="B3044" s="333"/>
      <c r="C3044" s="333"/>
      <c r="D3044" s="333"/>
      <c r="E3044" s="333"/>
      <c r="F3044" s="333"/>
      <c r="G3044" s="333"/>
      <c r="H3044" s="333"/>
      <c r="I3044" s="333"/>
      <c r="J3044" s="333"/>
      <c r="K3044" s="496"/>
    </row>
    <row r="3045" spans="1:11" x14ac:dyDescent="0.35">
      <c r="A3045" s="339"/>
      <c r="B3045" s="340"/>
      <c r="C3045" s="340"/>
      <c r="D3045" s="340"/>
      <c r="E3045" s="340"/>
      <c r="F3045" s="340"/>
      <c r="G3045" s="340"/>
      <c r="H3045" s="340"/>
      <c r="I3045" s="340"/>
      <c r="J3045" s="340"/>
      <c r="K3045" s="497"/>
    </row>
    <row r="3046" spans="1:11" x14ac:dyDescent="0.35">
      <c r="A3046" s="332"/>
      <c r="B3046" s="333"/>
      <c r="C3046" s="333"/>
      <c r="D3046" s="333"/>
      <c r="E3046" s="333"/>
      <c r="F3046" s="333"/>
      <c r="G3046" s="333"/>
      <c r="H3046" s="333"/>
      <c r="I3046" s="333"/>
      <c r="J3046" s="333"/>
      <c r="K3046" s="496"/>
    </row>
    <row r="3047" spans="1:11" x14ac:dyDescent="0.35">
      <c r="A3047" s="339"/>
      <c r="B3047" s="340"/>
      <c r="C3047" s="340"/>
      <c r="D3047" s="340"/>
      <c r="E3047" s="340"/>
      <c r="F3047" s="340"/>
      <c r="G3047" s="340"/>
      <c r="H3047" s="340"/>
      <c r="I3047" s="340"/>
      <c r="J3047" s="340"/>
      <c r="K3047" s="497"/>
    </row>
    <row r="3048" spans="1:11" x14ac:dyDescent="0.35">
      <c r="A3048" s="332"/>
      <c r="B3048" s="333"/>
      <c r="C3048" s="333"/>
      <c r="D3048" s="333"/>
      <c r="E3048" s="333"/>
      <c r="F3048" s="333"/>
      <c r="G3048" s="333"/>
      <c r="H3048" s="333"/>
      <c r="I3048" s="333"/>
      <c r="J3048" s="333"/>
      <c r="K3048" s="496"/>
    </row>
    <row r="3049" spans="1:11" x14ac:dyDescent="0.35">
      <c r="A3049" s="339"/>
      <c r="B3049" s="340"/>
      <c r="C3049" s="340"/>
      <c r="D3049" s="340"/>
      <c r="E3049" s="340"/>
      <c r="F3049" s="340"/>
      <c r="G3049" s="340"/>
      <c r="H3049" s="340"/>
      <c r="I3049" s="340"/>
      <c r="J3049" s="340"/>
      <c r="K3049" s="497"/>
    </row>
    <row r="3050" spans="1:11" x14ac:dyDescent="0.35">
      <c r="A3050" s="332"/>
      <c r="B3050" s="333"/>
      <c r="C3050" s="333"/>
      <c r="D3050" s="333"/>
      <c r="E3050" s="333"/>
      <c r="F3050" s="333"/>
      <c r="G3050" s="333"/>
      <c r="H3050" s="333"/>
      <c r="I3050" s="333"/>
      <c r="J3050" s="333"/>
      <c r="K3050" s="496"/>
    </row>
    <row r="3051" spans="1:11" x14ac:dyDescent="0.35">
      <c r="A3051" s="339"/>
      <c r="B3051" s="340"/>
      <c r="C3051" s="340"/>
      <c r="D3051" s="340"/>
      <c r="E3051" s="340"/>
      <c r="F3051" s="340"/>
      <c r="G3051" s="340"/>
      <c r="H3051" s="340"/>
      <c r="I3051" s="340"/>
      <c r="J3051" s="340"/>
      <c r="K3051" s="497"/>
    </row>
    <row r="3052" spans="1:11" x14ac:dyDescent="0.35">
      <c r="A3052" s="332"/>
      <c r="B3052" s="333"/>
      <c r="C3052" s="333"/>
      <c r="D3052" s="333"/>
      <c r="E3052" s="333"/>
      <c r="F3052" s="333"/>
      <c r="G3052" s="333"/>
      <c r="H3052" s="333"/>
      <c r="I3052" s="333"/>
      <c r="J3052" s="333"/>
      <c r="K3052" s="496"/>
    </row>
    <row r="3053" spans="1:11" x14ac:dyDescent="0.35">
      <c r="A3053" s="339"/>
      <c r="B3053" s="340"/>
      <c r="C3053" s="340"/>
      <c r="D3053" s="340"/>
      <c r="E3053" s="340"/>
      <c r="F3053" s="340"/>
      <c r="G3053" s="340"/>
      <c r="H3053" s="340"/>
      <c r="I3053" s="340"/>
      <c r="J3053" s="340"/>
      <c r="K3053" s="497"/>
    </row>
    <row r="3054" spans="1:11" x14ac:dyDescent="0.35">
      <c r="A3054" s="332"/>
      <c r="B3054" s="333"/>
      <c r="C3054" s="333"/>
      <c r="D3054" s="333"/>
      <c r="E3054" s="333"/>
      <c r="F3054" s="333"/>
      <c r="G3054" s="333"/>
      <c r="H3054" s="333"/>
      <c r="I3054" s="333"/>
      <c r="J3054" s="333"/>
      <c r="K3054" s="496"/>
    </row>
    <row r="3055" spans="1:11" x14ac:dyDescent="0.35">
      <c r="A3055" s="339"/>
      <c r="B3055" s="340"/>
      <c r="C3055" s="340"/>
      <c r="D3055" s="340"/>
      <c r="E3055" s="340"/>
      <c r="F3055" s="340"/>
      <c r="G3055" s="340"/>
      <c r="H3055" s="340"/>
      <c r="I3055" s="340"/>
      <c r="J3055" s="340"/>
      <c r="K3055" s="497"/>
    </row>
    <row r="3056" spans="1:11" x14ac:dyDescent="0.35">
      <c r="A3056" s="332"/>
      <c r="B3056" s="333"/>
      <c r="C3056" s="333"/>
      <c r="D3056" s="333"/>
      <c r="E3056" s="333"/>
      <c r="F3056" s="333"/>
      <c r="G3056" s="333"/>
      <c r="H3056" s="333"/>
      <c r="I3056" s="333"/>
      <c r="J3056" s="333"/>
      <c r="K3056" s="496"/>
    </row>
    <row r="3057" spans="1:11" x14ac:dyDescent="0.35">
      <c r="A3057" s="339"/>
      <c r="B3057" s="340"/>
      <c r="C3057" s="340"/>
      <c r="D3057" s="340"/>
      <c r="E3057" s="340"/>
      <c r="F3057" s="340"/>
      <c r="G3057" s="340"/>
      <c r="H3057" s="340"/>
      <c r="I3057" s="340"/>
      <c r="J3057" s="340"/>
      <c r="K3057" s="497"/>
    </row>
    <row r="3058" spans="1:11" x14ac:dyDescent="0.35">
      <c r="A3058" s="332"/>
      <c r="B3058" s="333"/>
      <c r="C3058" s="333"/>
      <c r="D3058" s="333"/>
      <c r="E3058" s="333"/>
      <c r="F3058" s="333"/>
      <c r="G3058" s="333"/>
      <c r="H3058" s="333"/>
      <c r="I3058" s="333"/>
      <c r="J3058" s="333"/>
      <c r="K3058" s="496"/>
    </row>
    <row r="3059" spans="1:11" x14ac:dyDescent="0.35">
      <c r="A3059" s="339"/>
      <c r="B3059" s="340"/>
      <c r="C3059" s="340"/>
      <c r="D3059" s="340"/>
      <c r="E3059" s="340"/>
      <c r="F3059" s="340"/>
      <c r="G3059" s="340"/>
      <c r="H3059" s="340"/>
      <c r="I3059" s="340"/>
      <c r="J3059" s="340"/>
      <c r="K3059" s="497"/>
    </row>
    <row r="3060" spans="1:11" x14ac:dyDescent="0.35">
      <c r="A3060" s="332"/>
      <c r="B3060" s="333"/>
      <c r="C3060" s="333"/>
      <c r="D3060" s="333"/>
      <c r="E3060" s="333"/>
      <c r="F3060" s="333"/>
      <c r="G3060" s="333"/>
      <c r="H3060" s="333"/>
      <c r="I3060" s="333"/>
      <c r="J3060" s="333"/>
      <c r="K3060" s="496"/>
    </row>
    <row r="3061" spans="1:11" x14ac:dyDescent="0.35">
      <c r="A3061" s="339"/>
      <c r="B3061" s="340"/>
      <c r="C3061" s="340"/>
      <c r="D3061" s="340"/>
      <c r="E3061" s="340"/>
      <c r="F3061" s="340"/>
      <c r="G3061" s="340"/>
      <c r="H3061" s="340"/>
      <c r="I3061" s="340"/>
      <c r="J3061" s="340"/>
      <c r="K3061" s="497"/>
    </row>
    <row r="3062" spans="1:11" x14ac:dyDescent="0.35">
      <c r="A3062" s="332"/>
      <c r="B3062" s="333"/>
      <c r="C3062" s="333"/>
      <c r="D3062" s="333"/>
      <c r="E3062" s="333"/>
      <c r="F3062" s="333"/>
      <c r="G3062" s="333"/>
      <c r="H3062" s="333"/>
      <c r="I3062" s="333"/>
      <c r="J3062" s="333"/>
      <c r="K3062" s="496"/>
    </row>
    <row r="3063" spans="1:11" x14ac:dyDescent="0.35">
      <c r="A3063" s="339"/>
      <c r="B3063" s="340"/>
      <c r="C3063" s="340"/>
      <c r="D3063" s="340"/>
      <c r="E3063" s="340"/>
      <c r="F3063" s="340"/>
      <c r="G3063" s="340"/>
      <c r="H3063" s="340"/>
      <c r="I3063" s="340"/>
      <c r="J3063" s="340"/>
      <c r="K3063" s="497"/>
    </row>
    <row r="3064" spans="1:11" x14ac:dyDescent="0.35">
      <c r="A3064" s="332"/>
      <c r="B3064" s="333"/>
      <c r="C3064" s="333"/>
      <c r="D3064" s="333"/>
      <c r="E3064" s="333"/>
      <c r="F3064" s="333"/>
      <c r="G3064" s="333"/>
      <c r="H3064" s="333"/>
      <c r="I3064" s="333"/>
      <c r="J3064" s="333"/>
      <c r="K3064" s="496"/>
    </row>
    <row r="3065" spans="1:11" x14ac:dyDescent="0.35">
      <c r="A3065" s="339"/>
      <c r="B3065" s="340"/>
      <c r="C3065" s="340"/>
      <c r="D3065" s="340"/>
      <c r="E3065" s="340"/>
      <c r="F3065" s="340"/>
      <c r="G3065" s="340"/>
      <c r="H3065" s="340"/>
      <c r="I3065" s="340"/>
      <c r="J3065" s="340"/>
      <c r="K3065" s="497"/>
    </row>
    <row r="3066" spans="1:11" x14ac:dyDescent="0.35">
      <c r="A3066" s="332"/>
      <c r="B3066" s="333"/>
      <c r="C3066" s="333"/>
      <c r="D3066" s="333"/>
      <c r="E3066" s="333"/>
      <c r="F3066" s="333"/>
      <c r="G3066" s="333"/>
      <c r="H3066" s="333"/>
      <c r="I3066" s="333"/>
      <c r="J3066" s="333"/>
      <c r="K3066" s="496"/>
    </row>
    <row r="3067" spans="1:11" x14ac:dyDescent="0.35">
      <c r="A3067" s="339"/>
      <c r="B3067" s="340"/>
      <c r="C3067" s="340"/>
      <c r="D3067" s="340"/>
      <c r="E3067" s="340"/>
      <c r="F3067" s="340"/>
      <c r="G3067" s="340"/>
      <c r="H3067" s="340"/>
      <c r="I3067" s="340"/>
      <c r="J3067" s="340"/>
      <c r="K3067" s="497"/>
    </row>
    <row r="3068" spans="1:11" x14ac:dyDescent="0.35">
      <c r="A3068" s="332"/>
      <c r="B3068" s="333"/>
      <c r="C3068" s="333"/>
      <c r="D3068" s="333"/>
      <c r="E3068" s="333"/>
      <c r="F3068" s="333"/>
      <c r="G3068" s="333"/>
      <c r="H3068" s="333"/>
      <c r="I3068" s="333"/>
      <c r="J3068" s="333"/>
      <c r="K3068" s="496"/>
    </row>
    <row r="3069" spans="1:11" x14ac:dyDescent="0.35">
      <c r="A3069" s="339"/>
      <c r="B3069" s="340"/>
      <c r="C3069" s="340"/>
      <c r="D3069" s="340"/>
      <c r="E3069" s="340"/>
      <c r="F3069" s="340"/>
      <c r="G3069" s="340"/>
      <c r="H3069" s="340"/>
      <c r="I3069" s="340"/>
      <c r="J3069" s="340"/>
      <c r="K3069" s="497"/>
    </row>
    <row r="3070" spans="1:11" x14ac:dyDescent="0.35">
      <c r="A3070" s="332"/>
      <c r="B3070" s="333"/>
      <c r="C3070" s="333"/>
      <c r="D3070" s="333"/>
      <c r="E3070" s="333"/>
      <c r="F3070" s="333"/>
      <c r="G3070" s="333"/>
      <c r="H3070" s="333"/>
      <c r="I3070" s="333"/>
      <c r="J3070" s="333"/>
      <c r="K3070" s="496"/>
    </row>
    <row r="3071" spans="1:11" x14ac:dyDescent="0.35">
      <c r="A3071" s="339"/>
      <c r="B3071" s="340"/>
      <c r="C3071" s="340"/>
      <c r="D3071" s="340"/>
      <c r="E3071" s="340"/>
      <c r="F3071" s="340"/>
      <c r="G3071" s="340"/>
      <c r="H3071" s="340"/>
      <c r="I3071" s="340"/>
      <c r="J3071" s="340"/>
      <c r="K3071" s="497"/>
    </row>
    <row r="3072" spans="1:11" x14ac:dyDescent="0.35">
      <c r="A3072" s="332"/>
      <c r="B3072" s="333"/>
      <c r="C3072" s="333"/>
      <c r="D3072" s="333"/>
      <c r="E3072" s="333"/>
      <c r="F3072" s="333"/>
      <c r="G3072" s="333"/>
      <c r="H3072" s="333"/>
      <c r="I3072" s="333"/>
      <c r="J3072" s="333"/>
      <c r="K3072" s="496"/>
    </row>
    <row r="3073" spans="1:11" x14ac:dyDescent="0.35">
      <c r="A3073" s="339"/>
      <c r="B3073" s="340"/>
      <c r="C3073" s="340"/>
      <c r="D3073" s="340"/>
      <c r="E3073" s="340"/>
      <c r="F3073" s="340"/>
      <c r="G3073" s="340"/>
      <c r="H3073" s="340"/>
      <c r="I3073" s="340"/>
      <c r="J3073" s="340"/>
      <c r="K3073" s="497"/>
    </row>
    <row r="3074" spans="1:11" x14ac:dyDescent="0.35">
      <c r="A3074" s="332"/>
      <c r="B3074" s="333"/>
      <c r="C3074" s="333"/>
      <c r="D3074" s="333"/>
      <c r="E3074" s="333"/>
      <c r="F3074" s="333"/>
      <c r="G3074" s="333"/>
      <c r="H3074" s="333"/>
      <c r="I3074" s="333"/>
      <c r="J3074" s="333"/>
      <c r="K3074" s="496"/>
    </row>
    <row r="3075" spans="1:11" x14ac:dyDescent="0.35">
      <c r="A3075" s="339"/>
      <c r="B3075" s="340"/>
      <c r="C3075" s="340"/>
      <c r="D3075" s="340"/>
      <c r="E3075" s="340"/>
      <c r="F3075" s="340"/>
      <c r="G3075" s="340"/>
      <c r="H3075" s="340"/>
      <c r="I3075" s="340"/>
      <c r="J3075" s="340"/>
      <c r="K3075" s="497"/>
    </row>
    <row r="3076" spans="1:11" x14ac:dyDescent="0.35">
      <c r="A3076" s="332"/>
      <c r="B3076" s="333"/>
      <c r="C3076" s="333"/>
      <c r="D3076" s="333"/>
      <c r="E3076" s="333"/>
      <c r="F3076" s="333"/>
      <c r="G3076" s="333"/>
      <c r="H3076" s="333"/>
      <c r="I3076" s="333"/>
      <c r="J3076" s="333"/>
      <c r="K3076" s="496"/>
    </row>
    <row r="3077" spans="1:11" x14ac:dyDescent="0.35">
      <c r="A3077" s="339"/>
      <c r="B3077" s="340"/>
      <c r="C3077" s="340"/>
      <c r="D3077" s="340"/>
      <c r="E3077" s="340"/>
      <c r="F3077" s="340"/>
      <c r="G3077" s="340"/>
      <c r="H3077" s="340"/>
      <c r="I3077" s="340"/>
      <c r="J3077" s="340"/>
      <c r="K3077" s="497"/>
    </row>
    <row r="3078" spans="1:11" x14ac:dyDescent="0.35">
      <c r="A3078" s="332"/>
      <c r="B3078" s="333"/>
      <c r="C3078" s="333"/>
      <c r="D3078" s="333"/>
      <c r="E3078" s="333"/>
      <c r="F3078" s="333"/>
      <c r="G3078" s="333"/>
      <c r="H3078" s="333"/>
      <c r="I3078" s="333"/>
      <c r="J3078" s="333"/>
      <c r="K3078" s="496"/>
    </row>
    <row r="3079" spans="1:11" x14ac:dyDescent="0.35">
      <c r="A3079" s="339"/>
      <c r="B3079" s="340"/>
      <c r="C3079" s="340"/>
      <c r="D3079" s="340"/>
      <c r="E3079" s="340"/>
      <c r="F3079" s="340"/>
      <c r="G3079" s="340"/>
      <c r="H3079" s="340"/>
      <c r="I3079" s="340"/>
      <c r="J3079" s="340"/>
      <c r="K3079" s="497"/>
    </row>
    <row r="3080" spans="1:11" x14ac:dyDescent="0.35">
      <c r="A3080" s="332"/>
      <c r="B3080" s="333"/>
      <c r="C3080" s="333"/>
      <c r="D3080" s="333"/>
      <c r="E3080" s="333"/>
      <c r="F3080" s="333"/>
      <c r="G3080" s="333"/>
      <c r="H3080" s="333"/>
      <c r="I3080" s="333"/>
      <c r="J3080" s="333"/>
      <c r="K3080" s="496"/>
    </row>
    <row r="3081" spans="1:11" x14ac:dyDescent="0.35">
      <c r="A3081" s="339"/>
      <c r="B3081" s="340"/>
      <c r="C3081" s="340"/>
      <c r="D3081" s="340"/>
      <c r="E3081" s="340"/>
      <c r="F3081" s="340"/>
      <c r="G3081" s="340"/>
      <c r="H3081" s="340"/>
      <c r="I3081" s="340"/>
      <c r="J3081" s="340"/>
      <c r="K3081" s="497"/>
    </row>
    <row r="3082" spans="1:11" x14ac:dyDescent="0.35">
      <c r="A3082" s="332"/>
      <c r="B3082" s="333"/>
      <c r="C3082" s="333"/>
      <c r="D3082" s="333"/>
      <c r="E3082" s="333"/>
      <c r="F3082" s="333"/>
      <c r="G3082" s="333"/>
      <c r="H3082" s="333"/>
      <c r="I3082" s="333"/>
      <c r="J3082" s="333"/>
      <c r="K3082" s="496"/>
    </row>
    <row r="3083" spans="1:11" x14ac:dyDescent="0.35">
      <c r="A3083" s="339"/>
      <c r="B3083" s="340"/>
      <c r="C3083" s="340"/>
      <c r="D3083" s="340"/>
      <c r="E3083" s="340"/>
      <c r="F3083" s="340"/>
      <c r="G3083" s="340"/>
      <c r="H3083" s="340"/>
      <c r="I3083" s="340"/>
      <c r="J3083" s="340"/>
      <c r="K3083" s="497"/>
    </row>
    <row r="3084" spans="1:11" x14ac:dyDescent="0.35">
      <c r="A3084" s="332"/>
      <c r="B3084" s="333"/>
      <c r="C3084" s="333"/>
      <c r="D3084" s="333"/>
      <c r="E3084" s="333"/>
      <c r="F3084" s="333"/>
      <c r="G3084" s="333"/>
      <c r="H3084" s="333"/>
      <c r="I3084" s="333"/>
      <c r="J3084" s="333"/>
      <c r="K3084" s="496"/>
    </row>
    <row r="3085" spans="1:11" x14ac:dyDescent="0.35">
      <c r="A3085" s="339"/>
      <c r="B3085" s="340"/>
      <c r="C3085" s="340"/>
      <c r="D3085" s="340"/>
      <c r="E3085" s="340"/>
      <c r="F3085" s="340"/>
      <c r="G3085" s="340"/>
      <c r="H3085" s="340"/>
      <c r="I3085" s="340"/>
      <c r="J3085" s="340"/>
      <c r="K3085" s="497"/>
    </row>
    <row r="3086" spans="1:11" x14ac:dyDescent="0.35">
      <c r="A3086" s="332"/>
      <c r="B3086" s="333"/>
      <c r="C3086" s="333"/>
      <c r="D3086" s="333"/>
      <c r="E3086" s="333"/>
      <c r="F3086" s="333"/>
      <c r="G3086" s="333"/>
      <c r="H3086" s="333"/>
      <c r="I3086" s="333"/>
      <c r="J3086" s="333"/>
      <c r="K3086" s="496"/>
    </row>
    <row r="3087" spans="1:11" x14ac:dyDescent="0.35">
      <c r="A3087" s="339"/>
      <c r="B3087" s="340"/>
      <c r="C3087" s="340"/>
      <c r="D3087" s="340"/>
      <c r="E3087" s="340"/>
      <c r="F3087" s="340"/>
      <c r="G3087" s="340"/>
      <c r="H3087" s="340"/>
      <c r="I3087" s="340"/>
      <c r="J3087" s="340"/>
      <c r="K3087" s="497"/>
    </row>
    <row r="3088" spans="1:11" x14ac:dyDescent="0.35">
      <c r="A3088" s="332"/>
      <c r="B3088" s="333"/>
      <c r="C3088" s="333"/>
      <c r="D3088" s="333"/>
      <c r="E3088" s="333"/>
      <c r="F3088" s="333"/>
      <c r="G3088" s="333"/>
      <c r="H3088" s="333"/>
      <c r="I3088" s="333"/>
      <c r="J3088" s="333"/>
      <c r="K3088" s="496"/>
    </row>
    <row r="3089" spans="1:11" x14ac:dyDescent="0.35">
      <c r="A3089" s="339"/>
      <c r="B3089" s="340"/>
      <c r="C3089" s="340"/>
      <c r="D3089" s="340"/>
      <c r="E3089" s="340"/>
      <c r="F3089" s="340"/>
      <c r="G3089" s="340"/>
      <c r="H3089" s="340"/>
      <c r="I3089" s="340"/>
      <c r="J3089" s="340"/>
      <c r="K3089" s="497"/>
    </row>
    <row r="3090" spans="1:11" x14ac:dyDescent="0.35">
      <c r="A3090" s="332"/>
      <c r="B3090" s="333"/>
      <c r="C3090" s="333"/>
      <c r="D3090" s="333"/>
      <c r="E3090" s="333"/>
      <c r="F3090" s="333"/>
      <c r="G3090" s="333"/>
      <c r="H3090" s="333"/>
      <c r="I3090" s="333"/>
      <c r="J3090" s="333"/>
      <c r="K3090" s="496"/>
    </row>
    <row r="3091" spans="1:11" x14ac:dyDescent="0.35">
      <c r="A3091" s="339"/>
      <c r="B3091" s="340"/>
      <c r="C3091" s="340"/>
      <c r="D3091" s="340"/>
      <c r="E3091" s="340"/>
      <c r="F3091" s="340"/>
      <c r="G3091" s="340"/>
      <c r="H3091" s="340"/>
      <c r="I3091" s="340"/>
      <c r="J3091" s="340"/>
      <c r="K3091" s="497"/>
    </row>
    <row r="3092" spans="1:11" x14ac:dyDescent="0.35">
      <c r="A3092" s="332"/>
      <c r="B3092" s="333"/>
      <c r="C3092" s="333"/>
      <c r="D3092" s="333"/>
      <c r="E3092" s="333"/>
      <c r="F3092" s="333"/>
      <c r="G3092" s="333"/>
      <c r="H3092" s="333"/>
      <c r="I3092" s="333"/>
      <c r="J3092" s="333"/>
      <c r="K3092" s="496"/>
    </row>
    <row r="3093" spans="1:11" x14ac:dyDescent="0.35">
      <c r="A3093" s="339"/>
      <c r="B3093" s="340"/>
      <c r="C3093" s="340"/>
      <c r="D3093" s="340"/>
      <c r="E3093" s="340"/>
      <c r="F3093" s="340"/>
      <c r="G3093" s="340"/>
      <c r="H3093" s="340"/>
      <c r="I3093" s="340"/>
      <c r="J3093" s="340"/>
      <c r="K3093" s="497"/>
    </row>
    <row r="3094" spans="1:11" x14ac:dyDescent="0.35">
      <c r="A3094" s="332"/>
      <c r="B3094" s="333"/>
      <c r="C3094" s="333"/>
      <c r="D3094" s="333"/>
      <c r="E3094" s="333"/>
      <c r="F3094" s="333"/>
      <c r="G3094" s="333"/>
      <c r="H3094" s="333"/>
      <c r="I3094" s="333"/>
      <c r="J3094" s="333"/>
      <c r="K3094" s="496"/>
    </row>
    <row r="3095" spans="1:11" x14ac:dyDescent="0.35">
      <c r="A3095" s="339"/>
      <c r="B3095" s="340"/>
      <c r="C3095" s="340"/>
      <c r="D3095" s="340"/>
      <c r="E3095" s="340"/>
      <c r="F3095" s="340"/>
      <c r="G3095" s="340"/>
      <c r="H3095" s="340"/>
      <c r="I3095" s="340"/>
      <c r="J3095" s="340"/>
      <c r="K3095" s="497"/>
    </row>
    <row r="3096" spans="1:11" x14ac:dyDescent="0.35">
      <c r="A3096" s="332"/>
      <c r="B3096" s="333"/>
      <c r="C3096" s="333"/>
      <c r="D3096" s="333"/>
      <c r="E3096" s="333"/>
      <c r="F3096" s="333"/>
      <c r="G3096" s="333"/>
      <c r="H3096" s="333"/>
      <c r="I3096" s="333"/>
      <c r="J3096" s="333"/>
      <c r="K3096" s="496"/>
    </row>
    <row r="3097" spans="1:11" x14ac:dyDescent="0.35">
      <c r="A3097" s="339"/>
      <c r="B3097" s="340"/>
      <c r="C3097" s="340"/>
      <c r="D3097" s="340"/>
      <c r="E3097" s="340"/>
      <c r="F3097" s="340"/>
      <c r="G3097" s="340"/>
      <c r="H3097" s="340"/>
      <c r="I3097" s="340"/>
      <c r="J3097" s="340"/>
      <c r="K3097" s="497"/>
    </row>
    <row r="3098" spans="1:11" x14ac:dyDescent="0.35">
      <c r="A3098" s="332"/>
      <c r="B3098" s="333"/>
      <c r="C3098" s="333"/>
      <c r="D3098" s="333"/>
      <c r="E3098" s="333"/>
      <c r="F3098" s="333"/>
      <c r="G3098" s="333"/>
      <c r="H3098" s="333"/>
      <c r="I3098" s="333"/>
      <c r="J3098" s="333"/>
      <c r="K3098" s="496"/>
    </row>
    <row r="3099" spans="1:11" x14ac:dyDescent="0.35">
      <c r="A3099" s="339"/>
      <c r="B3099" s="340"/>
      <c r="C3099" s="340"/>
      <c r="D3099" s="340"/>
      <c r="E3099" s="340"/>
      <c r="F3099" s="340"/>
      <c r="G3099" s="340"/>
      <c r="H3099" s="340"/>
      <c r="I3099" s="340"/>
      <c r="J3099" s="340"/>
      <c r="K3099" s="497"/>
    </row>
    <row r="3100" spans="1:11" x14ac:dyDescent="0.35">
      <c r="A3100" s="332"/>
      <c r="B3100" s="333"/>
      <c r="C3100" s="333"/>
      <c r="D3100" s="333"/>
      <c r="E3100" s="333"/>
      <c r="F3100" s="333"/>
      <c r="G3100" s="333"/>
      <c r="H3100" s="333"/>
      <c r="I3100" s="333"/>
      <c r="J3100" s="333"/>
      <c r="K3100" s="496"/>
    </row>
    <row r="3101" spans="1:11" x14ac:dyDescent="0.35">
      <c r="A3101" s="339"/>
      <c r="B3101" s="340"/>
      <c r="C3101" s="340"/>
      <c r="D3101" s="340"/>
      <c r="E3101" s="340"/>
      <c r="F3101" s="340"/>
      <c r="G3101" s="340"/>
      <c r="H3101" s="340"/>
      <c r="I3101" s="340"/>
      <c r="J3101" s="340"/>
      <c r="K3101" s="497"/>
    </row>
    <row r="3102" spans="1:11" x14ac:dyDescent="0.35">
      <c r="A3102" s="332"/>
      <c r="B3102" s="333"/>
      <c r="C3102" s="333"/>
      <c r="D3102" s="333"/>
      <c r="E3102" s="333"/>
      <c r="F3102" s="333"/>
      <c r="G3102" s="333"/>
      <c r="H3102" s="333"/>
      <c r="I3102" s="333"/>
      <c r="J3102" s="333"/>
      <c r="K3102" s="496"/>
    </row>
    <row r="3103" spans="1:11" x14ac:dyDescent="0.35">
      <c r="A3103" s="339"/>
      <c r="B3103" s="340"/>
      <c r="C3103" s="340"/>
      <c r="D3103" s="340"/>
      <c r="E3103" s="340"/>
      <c r="F3103" s="340"/>
      <c r="G3103" s="340"/>
      <c r="H3103" s="340"/>
      <c r="I3103" s="340"/>
      <c r="J3103" s="340"/>
      <c r="K3103" s="497"/>
    </row>
    <row r="3104" spans="1:11" x14ac:dyDescent="0.35">
      <c r="A3104" s="332"/>
      <c r="B3104" s="333"/>
      <c r="C3104" s="333"/>
      <c r="D3104" s="333"/>
      <c r="E3104" s="333"/>
      <c r="F3104" s="333"/>
      <c r="G3104" s="333"/>
      <c r="H3104" s="333"/>
      <c r="I3104" s="333"/>
      <c r="J3104" s="333"/>
      <c r="K3104" s="496"/>
    </row>
    <row r="3105" spans="1:11" x14ac:dyDescent="0.35">
      <c r="A3105" s="339"/>
      <c r="B3105" s="340"/>
      <c r="C3105" s="340"/>
      <c r="D3105" s="340"/>
      <c r="E3105" s="340"/>
      <c r="F3105" s="340"/>
      <c r="G3105" s="340"/>
      <c r="H3105" s="340"/>
      <c r="I3105" s="340"/>
      <c r="J3105" s="340"/>
      <c r="K3105" s="497"/>
    </row>
    <row r="3106" spans="1:11" x14ac:dyDescent="0.35">
      <c r="A3106" s="332"/>
      <c r="B3106" s="333"/>
      <c r="C3106" s="333"/>
      <c r="D3106" s="333"/>
      <c r="E3106" s="333"/>
      <c r="F3106" s="333"/>
      <c r="G3106" s="333"/>
      <c r="H3106" s="333"/>
      <c r="I3106" s="333"/>
      <c r="J3106" s="333"/>
      <c r="K3106" s="496"/>
    </row>
    <row r="3107" spans="1:11" x14ac:dyDescent="0.35">
      <c r="A3107" s="339"/>
      <c r="B3107" s="340"/>
      <c r="C3107" s="340"/>
      <c r="D3107" s="340"/>
      <c r="E3107" s="340"/>
      <c r="F3107" s="340"/>
      <c r="G3107" s="340"/>
      <c r="H3107" s="340"/>
      <c r="I3107" s="340"/>
      <c r="J3107" s="340"/>
      <c r="K3107" s="497"/>
    </row>
    <row r="3108" spans="1:11" x14ac:dyDescent="0.35">
      <c r="A3108" s="332"/>
      <c r="B3108" s="333"/>
      <c r="C3108" s="333"/>
      <c r="D3108" s="333"/>
      <c r="E3108" s="333"/>
      <c r="F3108" s="333"/>
      <c r="G3108" s="333"/>
      <c r="H3108" s="333"/>
      <c r="I3108" s="333"/>
      <c r="J3108" s="333"/>
      <c r="K3108" s="496"/>
    </row>
    <row r="3109" spans="1:11" x14ac:dyDescent="0.35">
      <c r="A3109" s="339"/>
      <c r="B3109" s="340"/>
      <c r="C3109" s="340"/>
      <c r="D3109" s="340"/>
      <c r="E3109" s="340"/>
      <c r="F3109" s="340"/>
      <c r="G3109" s="340"/>
      <c r="H3109" s="340"/>
      <c r="I3109" s="340"/>
      <c r="J3109" s="340"/>
      <c r="K3109" s="497"/>
    </row>
    <row r="3110" spans="1:11" x14ac:dyDescent="0.35">
      <c r="A3110" s="332"/>
      <c r="B3110" s="333"/>
      <c r="C3110" s="333"/>
      <c r="D3110" s="333"/>
      <c r="E3110" s="333"/>
      <c r="F3110" s="333"/>
      <c r="G3110" s="333"/>
      <c r="H3110" s="333"/>
      <c r="I3110" s="333"/>
      <c r="J3110" s="333"/>
      <c r="K3110" s="496"/>
    </row>
    <row r="3111" spans="1:11" x14ac:dyDescent="0.35">
      <c r="A3111" s="339"/>
      <c r="B3111" s="340"/>
      <c r="C3111" s="340"/>
      <c r="D3111" s="340"/>
      <c r="E3111" s="340"/>
      <c r="F3111" s="340"/>
      <c r="G3111" s="340"/>
      <c r="H3111" s="340"/>
      <c r="I3111" s="340"/>
      <c r="J3111" s="340"/>
      <c r="K3111" s="497"/>
    </row>
    <row r="3112" spans="1:11" x14ac:dyDescent="0.35">
      <c r="A3112" s="332"/>
      <c r="B3112" s="333"/>
      <c r="C3112" s="333"/>
      <c r="D3112" s="333"/>
      <c r="E3112" s="333"/>
      <c r="F3112" s="333"/>
      <c r="G3112" s="333"/>
      <c r="H3112" s="333"/>
      <c r="I3112" s="333"/>
      <c r="J3112" s="333"/>
      <c r="K3112" s="496"/>
    </row>
    <row r="3113" spans="1:11" x14ac:dyDescent="0.35">
      <c r="A3113" s="339"/>
      <c r="B3113" s="340"/>
      <c r="C3113" s="340"/>
      <c r="D3113" s="340"/>
      <c r="E3113" s="340"/>
      <c r="F3113" s="340"/>
      <c r="G3113" s="340"/>
      <c r="H3113" s="340"/>
      <c r="I3113" s="340"/>
      <c r="J3113" s="340"/>
      <c r="K3113" s="497"/>
    </row>
    <row r="3114" spans="1:11" x14ac:dyDescent="0.35">
      <c r="A3114" s="332"/>
      <c r="B3114" s="333"/>
      <c r="C3114" s="333"/>
      <c r="D3114" s="333"/>
      <c r="E3114" s="333"/>
      <c r="F3114" s="333"/>
      <c r="G3114" s="333"/>
      <c r="H3114" s="333"/>
      <c r="I3114" s="333"/>
      <c r="J3114" s="333"/>
      <c r="K3114" s="496"/>
    </row>
    <row r="3115" spans="1:11" x14ac:dyDescent="0.35">
      <c r="A3115" s="339"/>
      <c r="B3115" s="340"/>
      <c r="C3115" s="340"/>
      <c r="D3115" s="340"/>
      <c r="E3115" s="340"/>
      <c r="F3115" s="340"/>
      <c r="G3115" s="340"/>
      <c r="H3115" s="340"/>
      <c r="I3115" s="340"/>
      <c r="J3115" s="340"/>
      <c r="K3115" s="497"/>
    </row>
    <row r="3116" spans="1:11" x14ac:dyDescent="0.35">
      <c r="A3116" s="332"/>
      <c r="B3116" s="333"/>
      <c r="C3116" s="333"/>
      <c r="D3116" s="333"/>
      <c r="E3116" s="333"/>
      <c r="F3116" s="333"/>
      <c r="G3116" s="333"/>
      <c r="H3116" s="333"/>
      <c r="I3116" s="333"/>
      <c r="J3116" s="333"/>
      <c r="K3116" s="496"/>
    </row>
    <row r="3117" spans="1:11" x14ac:dyDescent="0.35">
      <c r="A3117" s="339"/>
      <c r="B3117" s="340"/>
      <c r="C3117" s="340"/>
      <c r="D3117" s="340"/>
      <c r="E3117" s="340"/>
      <c r="F3117" s="340"/>
      <c r="G3117" s="340"/>
      <c r="H3117" s="340"/>
      <c r="I3117" s="340"/>
      <c r="J3117" s="340"/>
      <c r="K3117" s="497"/>
    </row>
    <row r="3118" spans="1:11" x14ac:dyDescent="0.35">
      <c r="A3118" s="332"/>
      <c r="B3118" s="333"/>
      <c r="C3118" s="333"/>
      <c r="D3118" s="333"/>
      <c r="E3118" s="333"/>
      <c r="F3118" s="333"/>
      <c r="G3118" s="333"/>
      <c r="H3118" s="333"/>
      <c r="I3118" s="333"/>
      <c r="J3118" s="333"/>
      <c r="K3118" s="496"/>
    </row>
    <row r="3119" spans="1:11" x14ac:dyDescent="0.35">
      <c r="A3119" s="339"/>
      <c r="B3119" s="340"/>
      <c r="C3119" s="340"/>
      <c r="D3119" s="340"/>
      <c r="E3119" s="340"/>
      <c r="F3119" s="340"/>
      <c r="G3119" s="340"/>
      <c r="H3119" s="340"/>
      <c r="I3119" s="340"/>
      <c r="J3119" s="340"/>
      <c r="K3119" s="497"/>
    </row>
    <row r="3120" spans="1:11" x14ac:dyDescent="0.35">
      <c r="A3120" s="332"/>
      <c r="B3120" s="333"/>
      <c r="C3120" s="333"/>
      <c r="D3120" s="333"/>
      <c r="E3120" s="333"/>
      <c r="F3120" s="333"/>
      <c r="G3120" s="333"/>
      <c r="H3120" s="333"/>
      <c r="I3120" s="333"/>
      <c r="J3120" s="333"/>
      <c r="K3120" s="496"/>
    </row>
    <row r="3121" spans="1:11" x14ac:dyDescent="0.35">
      <c r="A3121" s="339"/>
      <c r="B3121" s="340"/>
      <c r="C3121" s="340"/>
      <c r="D3121" s="340"/>
      <c r="E3121" s="340"/>
      <c r="F3121" s="340"/>
      <c r="G3121" s="340"/>
      <c r="H3121" s="340"/>
      <c r="I3121" s="340"/>
      <c r="J3121" s="340"/>
      <c r="K3121" s="497"/>
    </row>
    <row r="3122" spans="1:11" x14ac:dyDescent="0.35">
      <c r="A3122" s="332"/>
      <c r="B3122" s="333"/>
      <c r="C3122" s="333"/>
      <c r="D3122" s="333"/>
      <c r="E3122" s="333"/>
      <c r="F3122" s="333"/>
      <c r="G3122" s="333"/>
      <c r="H3122" s="333"/>
      <c r="I3122" s="333"/>
      <c r="J3122" s="333"/>
      <c r="K3122" s="496"/>
    </row>
    <row r="3123" spans="1:11" x14ac:dyDescent="0.35">
      <c r="A3123" s="339"/>
      <c r="B3123" s="340"/>
      <c r="C3123" s="340"/>
      <c r="D3123" s="340"/>
      <c r="E3123" s="340"/>
      <c r="F3123" s="340"/>
      <c r="G3123" s="340"/>
      <c r="H3123" s="340"/>
      <c r="I3123" s="340"/>
      <c r="J3123" s="340"/>
      <c r="K3123" s="497"/>
    </row>
    <row r="3124" spans="1:11" x14ac:dyDescent="0.35">
      <c r="A3124" s="332"/>
      <c r="B3124" s="333"/>
      <c r="C3124" s="333"/>
      <c r="D3124" s="333"/>
      <c r="E3124" s="333"/>
      <c r="F3124" s="333"/>
      <c r="G3124" s="333"/>
      <c r="H3124" s="333"/>
      <c r="I3124" s="333"/>
      <c r="J3124" s="333"/>
      <c r="K3124" s="496"/>
    </row>
    <row r="3125" spans="1:11" x14ac:dyDescent="0.35">
      <c r="A3125" s="339"/>
      <c r="B3125" s="340"/>
      <c r="C3125" s="340"/>
      <c r="D3125" s="340"/>
      <c r="E3125" s="340"/>
      <c r="F3125" s="340"/>
      <c r="G3125" s="340"/>
      <c r="H3125" s="340"/>
      <c r="I3125" s="340"/>
      <c r="J3125" s="340"/>
      <c r="K3125" s="497"/>
    </row>
    <row r="3126" spans="1:11" x14ac:dyDescent="0.35">
      <c r="A3126" s="332"/>
      <c r="B3126" s="333"/>
      <c r="C3126" s="333"/>
      <c r="D3126" s="333"/>
      <c r="E3126" s="333"/>
      <c r="F3126" s="333"/>
      <c r="G3126" s="333"/>
      <c r="H3126" s="333"/>
      <c r="I3126" s="333"/>
      <c r="J3126" s="333"/>
      <c r="K3126" s="496"/>
    </row>
    <row r="3127" spans="1:11" x14ac:dyDescent="0.35">
      <c r="A3127" s="339"/>
      <c r="B3127" s="340"/>
      <c r="C3127" s="340"/>
      <c r="D3127" s="340"/>
      <c r="E3127" s="340"/>
      <c r="F3127" s="340"/>
      <c r="G3127" s="340"/>
      <c r="H3127" s="340"/>
      <c r="I3127" s="340"/>
      <c r="J3127" s="340"/>
      <c r="K3127" s="497"/>
    </row>
    <row r="3128" spans="1:11" x14ac:dyDescent="0.35">
      <c r="A3128" s="332"/>
      <c r="B3128" s="333"/>
      <c r="C3128" s="333"/>
      <c r="D3128" s="333"/>
      <c r="E3128" s="333"/>
      <c r="F3128" s="333"/>
      <c r="G3128" s="333"/>
      <c r="H3128" s="333"/>
      <c r="I3128" s="333"/>
      <c r="J3128" s="333"/>
      <c r="K3128" s="496"/>
    </row>
    <row r="3129" spans="1:11" x14ac:dyDescent="0.35">
      <c r="A3129" s="339"/>
      <c r="B3129" s="340"/>
      <c r="C3129" s="340"/>
      <c r="D3129" s="340"/>
      <c r="E3129" s="340"/>
      <c r="F3129" s="340"/>
      <c r="G3129" s="340"/>
      <c r="H3129" s="340"/>
      <c r="I3129" s="340"/>
      <c r="J3129" s="340"/>
      <c r="K3129" s="497"/>
    </row>
    <row r="3130" spans="1:11" x14ac:dyDescent="0.35">
      <c r="A3130" s="332"/>
      <c r="B3130" s="333"/>
      <c r="C3130" s="333"/>
      <c r="D3130" s="333"/>
      <c r="E3130" s="333"/>
      <c r="F3130" s="333"/>
      <c r="G3130" s="333"/>
      <c r="H3130" s="333"/>
      <c r="I3130" s="333"/>
      <c r="J3130" s="333"/>
      <c r="K3130" s="496"/>
    </row>
    <row r="3131" spans="1:11" x14ac:dyDescent="0.35">
      <c r="A3131" s="339"/>
      <c r="B3131" s="340"/>
      <c r="C3131" s="340"/>
      <c r="D3131" s="340"/>
      <c r="E3131" s="340"/>
      <c r="F3131" s="340"/>
      <c r="G3131" s="340"/>
      <c r="H3131" s="340"/>
      <c r="I3131" s="340"/>
      <c r="J3131" s="340"/>
      <c r="K3131" s="497"/>
    </row>
    <row r="3132" spans="1:11" x14ac:dyDescent="0.35">
      <c r="A3132" s="332"/>
      <c r="B3132" s="333"/>
      <c r="C3132" s="333"/>
      <c r="D3132" s="333"/>
      <c r="E3132" s="333"/>
      <c r="F3132" s="333"/>
      <c r="G3132" s="333"/>
      <c r="H3132" s="333"/>
      <c r="I3132" s="333"/>
      <c r="J3132" s="333"/>
      <c r="K3132" s="496"/>
    </row>
    <row r="3133" spans="1:11" x14ac:dyDescent="0.35">
      <c r="A3133" s="339"/>
      <c r="B3133" s="340"/>
      <c r="C3133" s="340"/>
      <c r="D3133" s="340"/>
      <c r="E3133" s="340"/>
      <c r="F3133" s="340"/>
      <c r="G3133" s="340"/>
      <c r="H3133" s="340"/>
      <c r="I3133" s="340"/>
      <c r="J3133" s="340"/>
      <c r="K3133" s="497"/>
    </row>
    <row r="3134" spans="1:11" x14ac:dyDescent="0.35">
      <c r="A3134" s="332"/>
      <c r="B3134" s="333"/>
      <c r="C3134" s="333"/>
      <c r="D3134" s="333"/>
      <c r="E3134" s="333"/>
      <c r="F3134" s="333"/>
      <c r="G3134" s="333"/>
      <c r="H3134" s="333"/>
      <c r="I3134" s="333"/>
      <c r="J3134" s="333"/>
      <c r="K3134" s="496"/>
    </row>
    <row r="3135" spans="1:11" x14ac:dyDescent="0.35">
      <c r="A3135" s="339"/>
      <c r="B3135" s="340"/>
      <c r="C3135" s="340"/>
      <c r="D3135" s="340"/>
      <c r="E3135" s="340"/>
      <c r="F3135" s="340"/>
      <c r="G3135" s="340"/>
      <c r="H3135" s="340"/>
      <c r="I3135" s="340"/>
      <c r="J3135" s="340"/>
      <c r="K3135" s="497"/>
    </row>
    <row r="3136" spans="1:11" x14ac:dyDescent="0.35">
      <c r="A3136" s="332"/>
      <c r="B3136" s="333"/>
      <c r="C3136" s="333"/>
      <c r="D3136" s="333"/>
      <c r="E3136" s="333"/>
      <c r="F3136" s="333"/>
      <c r="G3136" s="333"/>
      <c r="H3136" s="333"/>
      <c r="I3136" s="333"/>
      <c r="J3136" s="333"/>
      <c r="K3136" s="496"/>
    </row>
    <row r="3137" spans="1:11" x14ac:dyDescent="0.35">
      <c r="A3137" s="339"/>
      <c r="B3137" s="340"/>
      <c r="C3137" s="340"/>
      <c r="D3137" s="340"/>
      <c r="E3137" s="340"/>
      <c r="F3137" s="340"/>
      <c r="G3137" s="340"/>
      <c r="H3137" s="340"/>
      <c r="I3137" s="340"/>
      <c r="J3137" s="340"/>
      <c r="K3137" s="497"/>
    </row>
    <row r="3138" spans="1:11" x14ac:dyDescent="0.35">
      <c r="A3138" s="332"/>
      <c r="B3138" s="333"/>
      <c r="C3138" s="333"/>
      <c r="D3138" s="333"/>
      <c r="E3138" s="333"/>
      <c r="F3138" s="333"/>
      <c r="G3138" s="333"/>
      <c r="H3138" s="333"/>
      <c r="I3138" s="333"/>
      <c r="J3138" s="333"/>
      <c r="K3138" s="496"/>
    </row>
    <row r="3139" spans="1:11" x14ac:dyDescent="0.35">
      <c r="A3139" s="339"/>
      <c r="B3139" s="340"/>
      <c r="C3139" s="340"/>
      <c r="D3139" s="340"/>
      <c r="E3139" s="340"/>
      <c r="F3139" s="340"/>
      <c r="G3139" s="340"/>
      <c r="H3139" s="340"/>
      <c r="I3139" s="340"/>
      <c r="J3139" s="340"/>
      <c r="K3139" s="497"/>
    </row>
    <row r="3140" spans="1:11" x14ac:dyDescent="0.35">
      <c r="A3140" s="332"/>
      <c r="B3140" s="333"/>
      <c r="C3140" s="333"/>
      <c r="D3140" s="333"/>
      <c r="E3140" s="333"/>
      <c r="F3140" s="333"/>
      <c r="G3140" s="333"/>
      <c r="H3140" s="333"/>
      <c r="I3140" s="333"/>
      <c r="J3140" s="333"/>
      <c r="K3140" s="496"/>
    </row>
    <row r="3141" spans="1:11" x14ac:dyDescent="0.35">
      <c r="A3141" s="339"/>
      <c r="B3141" s="340"/>
      <c r="C3141" s="340"/>
      <c r="D3141" s="340"/>
      <c r="E3141" s="340"/>
      <c r="F3141" s="340"/>
      <c r="G3141" s="340"/>
      <c r="H3141" s="340"/>
      <c r="I3141" s="340"/>
      <c r="J3141" s="340"/>
      <c r="K3141" s="497"/>
    </row>
    <row r="3142" spans="1:11" x14ac:dyDescent="0.35">
      <c r="A3142" s="332"/>
      <c r="B3142" s="333"/>
      <c r="C3142" s="333"/>
      <c r="D3142" s="333"/>
      <c r="E3142" s="333"/>
      <c r="F3142" s="333"/>
      <c r="G3142" s="333"/>
      <c r="H3142" s="333"/>
      <c r="I3142" s="333"/>
      <c r="J3142" s="333"/>
      <c r="K3142" s="496"/>
    </row>
    <row r="3143" spans="1:11" x14ac:dyDescent="0.35">
      <c r="A3143" s="339"/>
      <c r="B3143" s="340"/>
      <c r="C3143" s="340"/>
      <c r="D3143" s="340"/>
      <c r="E3143" s="340"/>
      <c r="F3143" s="340"/>
      <c r="G3143" s="340"/>
      <c r="H3143" s="340"/>
      <c r="I3143" s="340"/>
      <c r="J3143" s="340"/>
      <c r="K3143" s="497"/>
    </row>
    <row r="3144" spans="1:11" x14ac:dyDescent="0.35">
      <c r="A3144" s="332"/>
      <c r="B3144" s="333"/>
      <c r="C3144" s="333"/>
      <c r="D3144" s="333"/>
      <c r="E3144" s="333"/>
      <c r="F3144" s="333"/>
      <c r="G3144" s="333"/>
      <c r="H3144" s="333"/>
      <c r="I3144" s="333"/>
      <c r="J3144" s="333"/>
      <c r="K3144" s="496"/>
    </row>
    <row r="3145" spans="1:11" x14ac:dyDescent="0.35">
      <c r="A3145" s="339"/>
      <c r="B3145" s="340"/>
      <c r="C3145" s="340"/>
      <c r="D3145" s="340"/>
      <c r="E3145" s="340"/>
      <c r="F3145" s="340"/>
      <c r="G3145" s="340"/>
      <c r="H3145" s="340"/>
      <c r="I3145" s="340"/>
      <c r="J3145" s="340"/>
      <c r="K3145" s="497"/>
    </row>
    <row r="3146" spans="1:11" x14ac:dyDescent="0.35">
      <c r="A3146" s="332"/>
      <c r="B3146" s="333"/>
      <c r="C3146" s="333"/>
      <c r="D3146" s="333"/>
      <c r="E3146" s="333"/>
      <c r="F3146" s="333"/>
      <c r="G3146" s="333"/>
      <c r="H3146" s="333"/>
      <c r="I3146" s="333"/>
      <c r="J3146" s="333"/>
      <c r="K3146" s="496"/>
    </row>
    <row r="3147" spans="1:11" x14ac:dyDescent="0.35">
      <c r="A3147" s="339"/>
      <c r="B3147" s="340"/>
      <c r="C3147" s="340"/>
      <c r="D3147" s="340"/>
      <c r="E3147" s="340"/>
      <c r="F3147" s="340"/>
      <c r="G3147" s="340"/>
      <c r="H3147" s="340"/>
      <c r="I3147" s="340"/>
      <c r="J3147" s="340"/>
      <c r="K3147" s="497"/>
    </row>
    <row r="3148" spans="1:11" x14ac:dyDescent="0.35">
      <c r="A3148" s="332"/>
      <c r="B3148" s="333"/>
      <c r="C3148" s="333"/>
      <c r="D3148" s="333"/>
      <c r="E3148" s="333"/>
      <c r="F3148" s="333"/>
      <c r="G3148" s="333"/>
      <c r="H3148" s="333"/>
      <c r="I3148" s="333"/>
      <c r="J3148" s="333"/>
      <c r="K3148" s="496"/>
    </row>
    <row r="3149" spans="1:11" x14ac:dyDescent="0.35">
      <c r="A3149" s="339"/>
      <c r="B3149" s="340"/>
      <c r="C3149" s="340"/>
      <c r="D3149" s="340"/>
      <c r="E3149" s="340"/>
      <c r="F3149" s="340"/>
      <c r="G3149" s="340"/>
      <c r="H3149" s="340"/>
      <c r="I3149" s="340"/>
      <c r="J3149" s="340"/>
      <c r="K3149" s="497"/>
    </row>
    <row r="3150" spans="1:11" x14ac:dyDescent="0.35">
      <c r="A3150" s="332"/>
      <c r="B3150" s="333"/>
      <c r="C3150" s="333"/>
      <c r="D3150" s="333"/>
      <c r="E3150" s="333"/>
      <c r="F3150" s="333"/>
      <c r="G3150" s="333"/>
      <c r="H3150" s="333"/>
      <c r="I3150" s="333"/>
      <c r="J3150" s="333"/>
      <c r="K3150" s="496"/>
    </row>
    <row r="3151" spans="1:11" x14ac:dyDescent="0.35">
      <c r="A3151" s="339"/>
      <c r="B3151" s="340"/>
      <c r="C3151" s="340"/>
      <c r="D3151" s="340"/>
      <c r="E3151" s="340"/>
      <c r="F3151" s="340"/>
      <c r="G3151" s="340"/>
      <c r="H3151" s="340"/>
      <c r="I3151" s="340"/>
      <c r="J3151" s="340"/>
      <c r="K3151" s="497"/>
    </row>
    <row r="3152" spans="1:11" x14ac:dyDescent="0.35">
      <c r="A3152" s="332"/>
      <c r="B3152" s="333"/>
      <c r="C3152" s="333"/>
      <c r="D3152" s="333"/>
      <c r="E3152" s="333"/>
      <c r="F3152" s="333"/>
      <c r="G3152" s="333"/>
      <c r="H3152" s="333"/>
      <c r="I3152" s="333"/>
      <c r="J3152" s="333"/>
      <c r="K3152" s="496"/>
    </row>
    <row r="3153" spans="1:11" x14ac:dyDescent="0.35">
      <c r="A3153" s="339"/>
      <c r="B3153" s="340"/>
      <c r="C3153" s="340"/>
      <c r="D3153" s="340"/>
      <c r="E3153" s="340"/>
      <c r="F3153" s="340"/>
      <c r="G3153" s="340"/>
      <c r="H3153" s="340"/>
      <c r="I3153" s="340"/>
      <c r="J3153" s="340"/>
      <c r="K3153" s="497"/>
    </row>
    <row r="3154" spans="1:11" x14ac:dyDescent="0.35">
      <c r="A3154" s="332"/>
      <c r="B3154" s="333"/>
      <c r="C3154" s="333"/>
      <c r="D3154" s="333"/>
      <c r="E3154" s="333"/>
      <c r="F3154" s="333"/>
      <c r="G3154" s="333"/>
      <c r="H3154" s="333"/>
      <c r="I3154" s="333"/>
      <c r="J3154" s="333"/>
      <c r="K3154" s="496"/>
    </row>
    <row r="3155" spans="1:11" x14ac:dyDescent="0.35">
      <c r="A3155" s="339"/>
      <c r="B3155" s="340"/>
      <c r="C3155" s="340"/>
      <c r="D3155" s="340"/>
      <c r="E3155" s="340"/>
      <c r="F3155" s="340"/>
      <c r="G3155" s="340"/>
      <c r="H3155" s="340"/>
      <c r="I3155" s="340"/>
      <c r="J3155" s="340"/>
      <c r="K3155" s="497"/>
    </row>
    <row r="3156" spans="1:11" x14ac:dyDescent="0.35">
      <c r="A3156" s="332"/>
      <c r="B3156" s="333"/>
      <c r="C3156" s="333"/>
      <c r="D3156" s="333"/>
      <c r="E3156" s="333"/>
      <c r="F3156" s="333"/>
      <c r="G3156" s="333"/>
      <c r="H3156" s="333"/>
      <c r="I3156" s="333"/>
      <c r="J3156" s="333"/>
      <c r="K3156" s="496"/>
    </row>
    <row r="3157" spans="1:11" x14ac:dyDescent="0.35">
      <c r="A3157" s="339"/>
      <c r="B3157" s="340"/>
      <c r="C3157" s="340"/>
      <c r="D3157" s="340"/>
      <c r="E3157" s="340"/>
      <c r="F3157" s="340"/>
      <c r="G3157" s="340"/>
      <c r="H3157" s="340"/>
      <c r="I3157" s="340"/>
      <c r="J3157" s="340"/>
      <c r="K3157" s="497"/>
    </row>
    <row r="3158" spans="1:11" x14ac:dyDescent="0.35">
      <c r="A3158" s="332"/>
      <c r="B3158" s="333"/>
      <c r="C3158" s="333"/>
      <c r="D3158" s="333"/>
      <c r="E3158" s="333"/>
      <c r="F3158" s="333"/>
      <c r="G3158" s="333"/>
      <c r="H3158" s="333"/>
      <c r="I3158" s="333"/>
      <c r="J3158" s="333"/>
      <c r="K3158" s="496"/>
    </row>
    <row r="3159" spans="1:11" x14ac:dyDescent="0.35">
      <c r="A3159" s="339"/>
      <c r="B3159" s="340"/>
      <c r="C3159" s="340"/>
      <c r="D3159" s="340"/>
      <c r="E3159" s="340"/>
      <c r="F3159" s="340"/>
      <c r="G3159" s="340"/>
      <c r="H3159" s="340"/>
      <c r="I3159" s="340"/>
      <c r="J3159" s="340"/>
      <c r="K3159" s="497"/>
    </row>
    <row r="3160" spans="1:11" x14ac:dyDescent="0.35">
      <c r="A3160" s="332"/>
      <c r="B3160" s="333"/>
      <c r="C3160" s="333"/>
      <c r="D3160" s="333"/>
      <c r="E3160" s="333"/>
      <c r="F3160" s="333"/>
      <c r="G3160" s="333"/>
      <c r="H3160" s="333"/>
      <c r="I3160" s="333"/>
      <c r="J3160" s="333"/>
      <c r="K3160" s="496"/>
    </row>
    <row r="3161" spans="1:11" x14ac:dyDescent="0.35">
      <c r="A3161" s="339"/>
      <c r="B3161" s="340"/>
      <c r="C3161" s="340"/>
      <c r="D3161" s="340"/>
      <c r="E3161" s="340"/>
      <c r="F3161" s="340"/>
      <c r="G3161" s="340"/>
      <c r="H3161" s="340"/>
      <c r="I3161" s="340"/>
      <c r="J3161" s="340"/>
      <c r="K3161" s="497"/>
    </row>
    <row r="3162" spans="1:11" x14ac:dyDescent="0.35">
      <c r="A3162" s="332"/>
      <c r="B3162" s="333"/>
      <c r="C3162" s="333"/>
      <c r="D3162" s="333"/>
      <c r="E3162" s="333"/>
      <c r="F3162" s="333"/>
      <c r="G3162" s="333"/>
      <c r="H3162" s="333"/>
      <c r="I3162" s="333"/>
      <c r="J3162" s="333"/>
      <c r="K3162" s="496"/>
    </row>
    <row r="3163" spans="1:11" x14ac:dyDescent="0.35">
      <c r="A3163" s="339"/>
      <c r="B3163" s="340"/>
      <c r="C3163" s="340"/>
      <c r="D3163" s="340"/>
      <c r="E3163" s="340"/>
      <c r="F3163" s="340"/>
      <c r="G3163" s="340"/>
      <c r="H3163" s="340"/>
      <c r="I3163" s="340"/>
      <c r="J3163" s="340"/>
      <c r="K3163" s="497"/>
    </row>
    <row r="3164" spans="1:11" x14ac:dyDescent="0.35">
      <c r="A3164" s="332"/>
      <c r="B3164" s="333"/>
      <c r="C3164" s="333"/>
      <c r="D3164" s="333"/>
      <c r="E3164" s="333"/>
      <c r="F3164" s="333"/>
      <c r="G3164" s="333"/>
      <c r="H3164" s="333"/>
      <c r="I3164" s="333"/>
      <c r="J3164" s="333"/>
      <c r="K3164" s="496"/>
    </row>
    <row r="3165" spans="1:11" x14ac:dyDescent="0.35">
      <c r="A3165" s="339"/>
      <c r="B3165" s="340"/>
      <c r="C3165" s="340"/>
      <c r="D3165" s="340"/>
      <c r="E3165" s="340"/>
      <c r="F3165" s="340"/>
      <c r="G3165" s="340"/>
      <c r="H3165" s="340"/>
      <c r="I3165" s="340"/>
      <c r="J3165" s="340"/>
      <c r="K3165" s="497"/>
    </row>
    <row r="3166" spans="1:11" x14ac:dyDescent="0.35">
      <c r="A3166" s="332"/>
      <c r="B3166" s="333"/>
      <c r="C3166" s="333"/>
      <c r="D3166" s="333"/>
      <c r="E3166" s="333"/>
      <c r="F3166" s="333"/>
      <c r="G3166" s="333"/>
      <c r="H3166" s="333"/>
      <c r="I3166" s="333"/>
      <c r="J3166" s="333"/>
      <c r="K3166" s="496"/>
    </row>
    <row r="3167" spans="1:11" x14ac:dyDescent="0.35">
      <c r="A3167" s="339"/>
      <c r="B3167" s="340"/>
      <c r="C3167" s="340"/>
      <c r="D3167" s="340"/>
      <c r="E3167" s="340"/>
      <c r="F3167" s="340"/>
      <c r="G3167" s="340"/>
      <c r="H3167" s="340"/>
      <c r="I3167" s="340"/>
      <c r="J3167" s="340"/>
      <c r="K3167" s="497"/>
    </row>
    <row r="3168" spans="1:11" x14ac:dyDescent="0.35">
      <c r="A3168" s="332"/>
      <c r="B3168" s="333"/>
      <c r="C3168" s="333"/>
      <c r="D3168" s="333"/>
      <c r="E3168" s="333"/>
      <c r="F3168" s="333"/>
      <c r="G3168" s="333"/>
      <c r="H3168" s="333"/>
      <c r="I3168" s="333"/>
      <c r="J3168" s="333"/>
      <c r="K3168" s="496"/>
    </row>
    <row r="3169" spans="1:11" x14ac:dyDescent="0.35">
      <c r="A3169" s="339"/>
      <c r="B3169" s="340"/>
      <c r="C3169" s="340"/>
      <c r="D3169" s="340"/>
      <c r="E3169" s="340"/>
      <c r="F3169" s="340"/>
      <c r="G3169" s="340"/>
      <c r="H3169" s="340"/>
      <c r="I3169" s="340"/>
      <c r="J3169" s="340"/>
      <c r="K3169" s="497"/>
    </row>
    <row r="3170" spans="1:11" x14ac:dyDescent="0.35">
      <c r="A3170" s="332"/>
      <c r="B3170" s="333"/>
      <c r="C3170" s="333"/>
      <c r="D3170" s="333"/>
      <c r="E3170" s="333"/>
      <c r="F3170" s="333"/>
      <c r="G3170" s="333"/>
      <c r="H3170" s="333"/>
      <c r="I3170" s="333"/>
      <c r="J3170" s="333"/>
      <c r="K3170" s="496"/>
    </row>
    <row r="3171" spans="1:11" x14ac:dyDescent="0.35">
      <c r="A3171" s="339"/>
      <c r="B3171" s="340"/>
      <c r="C3171" s="340"/>
      <c r="D3171" s="340"/>
      <c r="E3171" s="340"/>
      <c r="F3171" s="340"/>
      <c r="G3171" s="340"/>
      <c r="H3171" s="340"/>
      <c r="I3171" s="340"/>
      <c r="J3171" s="340"/>
      <c r="K3171" s="497"/>
    </row>
    <row r="3172" spans="1:11" x14ac:dyDescent="0.35">
      <c r="A3172" s="332"/>
      <c r="B3172" s="333"/>
      <c r="C3172" s="333"/>
      <c r="D3172" s="333"/>
      <c r="E3172" s="333"/>
      <c r="F3172" s="333"/>
      <c r="G3172" s="333"/>
      <c r="H3172" s="333"/>
      <c r="I3172" s="333"/>
      <c r="J3172" s="333"/>
      <c r="K3172" s="496"/>
    </row>
    <row r="3173" spans="1:11" x14ac:dyDescent="0.35">
      <c r="A3173" s="339"/>
      <c r="B3173" s="340"/>
      <c r="C3173" s="340"/>
      <c r="D3173" s="340"/>
      <c r="E3173" s="340"/>
      <c r="F3173" s="340"/>
      <c r="G3173" s="340"/>
      <c r="H3173" s="340"/>
      <c r="I3173" s="340"/>
      <c r="J3173" s="340"/>
      <c r="K3173" s="497"/>
    </row>
    <row r="3174" spans="1:11" x14ac:dyDescent="0.35">
      <c r="A3174" s="332"/>
      <c r="B3174" s="333"/>
      <c r="C3174" s="333"/>
      <c r="D3174" s="333"/>
      <c r="E3174" s="333"/>
      <c r="F3174" s="333"/>
      <c r="G3174" s="333"/>
      <c r="H3174" s="333"/>
      <c r="I3174" s="333"/>
      <c r="J3174" s="333"/>
      <c r="K3174" s="496"/>
    </row>
    <row r="3175" spans="1:11" x14ac:dyDescent="0.35">
      <c r="A3175" s="339"/>
      <c r="B3175" s="340"/>
      <c r="C3175" s="340"/>
      <c r="D3175" s="340"/>
      <c r="E3175" s="340"/>
      <c r="F3175" s="340"/>
      <c r="G3175" s="340"/>
      <c r="H3175" s="340"/>
      <c r="I3175" s="340"/>
      <c r="J3175" s="340"/>
      <c r="K3175" s="497"/>
    </row>
    <row r="3176" spans="1:11" x14ac:dyDescent="0.35">
      <c r="A3176" s="332"/>
      <c r="B3176" s="333"/>
      <c r="C3176" s="333"/>
      <c r="D3176" s="333"/>
      <c r="E3176" s="333"/>
      <c r="F3176" s="333"/>
      <c r="G3176" s="333"/>
      <c r="H3176" s="333"/>
      <c r="I3176" s="333"/>
      <c r="J3176" s="333"/>
      <c r="K3176" s="496"/>
    </row>
    <row r="3177" spans="1:11" x14ac:dyDescent="0.35">
      <c r="A3177" s="339"/>
      <c r="B3177" s="340"/>
      <c r="C3177" s="340"/>
      <c r="D3177" s="340"/>
      <c r="E3177" s="340"/>
      <c r="F3177" s="340"/>
      <c r="G3177" s="340"/>
      <c r="H3177" s="340"/>
      <c r="I3177" s="340"/>
      <c r="J3177" s="340"/>
      <c r="K3177" s="497"/>
    </row>
    <row r="3178" spans="1:11" x14ac:dyDescent="0.35">
      <c r="A3178" s="332"/>
      <c r="B3178" s="333"/>
      <c r="C3178" s="333"/>
      <c r="D3178" s="333"/>
      <c r="E3178" s="333"/>
      <c r="F3178" s="333"/>
      <c r="G3178" s="333"/>
      <c r="H3178" s="333"/>
      <c r="I3178" s="333"/>
      <c r="J3178" s="333"/>
      <c r="K3178" s="496"/>
    </row>
    <row r="3179" spans="1:11" x14ac:dyDescent="0.35">
      <c r="A3179" s="339"/>
      <c r="B3179" s="340"/>
      <c r="C3179" s="340"/>
      <c r="D3179" s="340"/>
      <c r="E3179" s="340"/>
      <c r="F3179" s="340"/>
      <c r="G3179" s="340"/>
      <c r="H3179" s="340"/>
      <c r="I3179" s="340"/>
      <c r="J3179" s="340"/>
      <c r="K3179" s="497"/>
    </row>
    <row r="3180" spans="1:11" x14ac:dyDescent="0.35">
      <c r="A3180" s="332"/>
      <c r="B3180" s="333"/>
      <c r="C3180" s="333"/>
      <c r="D3180" s="333"/>
      <c r="E3180" s="333"/>
      <c r="F3180" s="333"/>
      <c r="G3180" s="333"/>
      <c r="H3180" s="333"/>
      <c r="I3180" s="333"/>
      <c r="J3180" s="333"/>
      <c r="K3180" s="496"/>
    </row>
    <row r="3181" spans="1:11" x14ac:dyDescent="0.35">
      <c r="A3181" s="339"/>
      <c r="B3181" s="340"/>
      <c r="C3181" s="340"/>
      <c r="D3181" s="340"/>
      <c r="E3181" s="340"/>
      <c r="F3181" s="340"/>
      <c r="G3181" s="340"/>
      <c r="H3181" s="340"/>
      <c r="I3181" s="340"/>
      <c r="J3181" s="340"/>
      <c r="K3181" s="497"/>
    </row>
    <row r="3182" spans="1:11" x14ac:dyDescent="0.35">
      <c r="A3182" s="332"/>
      <c r="B3182" s="333"/>
      <c r="C3182" s="333"/>
      <c r="D3182" s="333"/>
      <c r="E3182" s="333"/>
      <c r="F3182" s="333"/>
      <c r="G3182" s="333"/>
      <c r="H3182" s="333"/>
      <c r="I3182" s="333"/>
      <c r="J3182" s="333"/>
      <c r="K3182" s="496"/>
    </row>
    <row r="3183" spans="1:11" x14ac:dyDescent="0.35">
      <c r="A3183" s="339"/>
      <c r="B3183" s="340"/>
      <c r="C3183" s="340"/>
      <c r="D3183" s="340"/>
      <c r="E3183" s="340"/>
      <c r="F3183" s="340"/>
      <c r="G3183" s="340"/>
      <c r="H3183" s="340"/>
      <c r="I3183" s="340"/>
      <c r="J3183" s="340"/>
      <c r="K3183" s="497"/>
    </row>
    <row r="3184" spans="1:11" x14ac:dyDescent="0.35">
      <c r="A3184" s="332"/>
      <c r="B3184" s="333"/>
      <c r="C3184" s="333"/>
      <c r="D3184" s="333"/>
      <c r="E3184" s="333"/>
      <c r="F3184" s="333"/>
      <c r="G3184" s="333"/>
      <c r="H3184" s="333"/>
      <c r="I3184" s="333"/>
      <c r="J3184" s="333"/>
      <c r="K3184" s="496"/>
    </row>
    <row r="3185" spans="1:11" x14ac:dyDescent="0.35">
      <c r="A3185" s="339"/>
      <c r="B3185" s="340"/>
      <c r="C3185" s="340"/>
      <c r="D3185" s="340"/>
      <c r="E3185" s="340"/>
      <c r="F3185" s="340"/>
      <c r="G3185" s="340"/>
      <c r="H3185" s="340"/>
      <c r="I3185" s="340"/>
      <c r="J3185" s="340"/>
      <c r="K3185" s="497"/>
    </row>
    <row r="3186" spans="1:11" x14ac:dyDescent="0.35">
      <c r="A3186" s="332"/>
      <c r="B3186" s="333"/>
      <c r="C3186" s="333"/>
      <c r="D3186" s="333"/>
      <c r="E3186" s="333"/>
      <c r="F3186" s="333"/>
      <c r="G3186" s="333"/>
      <c r="H3186" s="333"/>
      <c r="I3186" s="333"/>
      <c r="J3186" s="333"/>
      <c r="K3186" s="496"/>
    </row>
    <row r="3187" spans="1:11" x14ac:dyDescent="0.35">
      <c r="A3187" s="339"/>
      <c r="B3187" s="340"/>
      <c r="C3187" s="340"/>
      <c r="D3187" s="340"/>
      <c r="E3187" s="340"/>
      <c r="F3187" s="340"/>
      <c r="G3187" s="340"/>
      <c r="H3187" s="340"/>
      <c r="I3187" s="340"/>
      <c r="J3187" s="340"/>
      <c r="K3187" s="497"/>
    </row>
    <row r="3188" spans="1:11" x14ac:dyDescent="0.35">
      <c r="A3188" s="332"/>
      <c r="B3188" s="333"/>
      <c r="C3188" s="333"/>
      <c r="D3188" s="333"/>
      <c r="E3188" s="333"/>
      <c r="F3188" s="333"/>
      <c r="G3188" s="333"/>
      <c r="H3188" s="333"/>
      <c r="I3188" s="333"/>
      <c r="J3188" s="333"/>
      <c r="K3188" s="496"/>
    </row>
    <row r="3189" spans="1:11" x14ac:dyDescent="0.35">
      <c r="A3189" s="339"/>
      <c r="B3189" s="340"/>
      <c r="C3189" s="340"/>
      <c r="D3189" s="340"/>
      <c r="E3189" s="340"/>
      <c r="F3189" s="340"/>
      <c r="G3189" s="340"/>
      <c r="H3189" s="340"/>
      <c r="I3189" s="340"/>
      <c r="J3189" s="340"/>
      <c r="K3189" s="497"/>
    </row>
    <row r="3190" spans="1:11" x14ac:dyDescent="0.35">
      <c r="A3190" s="332"/>
      <c r="B3190" s="333"/>
      <c r="C3190" s="333"/>
      <c r="D3190" s="333"/>
      <c r="E3190" s="333"/>
      <c r="F3190" s="333"/>
      <c r="G3190" s="333"/>
      <c r="H3190" s="333"/>
      <c r="I3190" s="333"/>
      <c r="J3190" s="333"/>
      <c r="K3190" s="496"/>
    </row>
    <row r="3191" spans="1:11" x14ac:dyDescent="0.35">
      <c r="A3191" s="339"/>
      <c r="B3191" s="340"/>
      <c r="C3191" s="340"/>
      <c r="D3191" s="340"/>
      <c r="E3191" s="340"/>
      <c r="F3191" s="340"/>
      <c r="G3191" s="340"/>
      <c r="H3191" s="340"/>
      <c r="I3191" s="340"/>
      <c r="J3191" s="340"/>
      <c r="K3191" s="497"/>
    </row>
    <row r="3192" spans="1:11" x14ac:dyDescent="0.35">
      <c r="A3192" s="332"/>
      <c r="B3192" s="333"/>
      <c r="C3192" s="333"/>
      <c r="D3192" s="333"/>
      <c r="E3192" s="333"/>
      <c r="F3192" s="333"/>
      <c r="G3192" s="333"/>
      <c r="H3192" s="333"/>
      <c r="I3192" s="333"/>
      <c r="J3192" s="333"/>
      <c r="K3192" s="496"/>
    </row>
    <row r="3193" spans="1:11" x14ac:dyDescent="0.35">
      <c r="A3193" s="339"/>
      <c r="B3193" s="340"/>
      <c r="C3193" s="340"/>
      <c r="D3193" s="340"/>
      <c r="E3193" s="340"/>
      <c r="F3193" s="340"/>
      <c r="G3193" s="340"/>
      <c r="H3193" s="340"/>
      <c r="I3193" s="340"/>
      <c r="J3193" s="340"/>
      <c r="K3193" s="497"/>
    </row>
    <row r="3194" spans="1:11" x14ac:dyDescent="0.35">
      <c r="A3194" s="332"/>
      <c r="B3194" s="333"/>
      <c r="C3194" s="333"/>
      <c r="D3194" s="333"/>
      <c r="E3194" s="333"/>
      <c r="F3194" s="333"/>
      <c r="G3194" s="333"/>
      <c r="H3194" s="333"/>
      <c r="I3194" s="333"/>
      <c r="J3194" s="333"/>
      <c r="K3194" s="496"/>
    </row>
    <row r="3195" spans="1:11" x14ac:dyDescent="0.35">
      <c r="A3195" s="339"/>
      <c r="B3195" s="340"/>
      <c r="C3195" s="340"/>
      <c r="D3195" s="340"/>
      <c r="E3195" s="340"/>
      <c r="F3195" s="340"/>
      <c r="G3195" s="340"/>
      <c r="H3195" s="340"/>
      <c r="I3195" s="340"/>
      <c r="J3195" s="340"/>
      <c r="K3195" s="497"/>
    </row>
    <row r="3196" spans="1:11" x14ac:dyDescent="0.35">
      <c r="A3196" s="332"/>
      <c r="B3196" s="333"/>
      <c r="C3196" s="333"/>
      <c r="D3196" s="333"/>
      <c r="E3196" s="333"/>
      <c r="F3196" s="333"/>
      <c r="G3196" s="333"/>
      <c r="H3196" s="333"/>
      <c r="I3196" s="333"/>
      <c r="J3196" s="333"/>
      <c r="K3196" s="496"/>
    </row>
    <row r="3197" spans="1:11" x14ac:dyDescent="0.35">
      <c r="A3197" s="339"/>
      <c r="B3197" s="340"/>
      <c r="C3197" s="340"/>
      <c r="D3197" s="340"/>
      <c r="E3197" s="340"/>
      <c r="F3197" s="340"/>
      <c r="G3197" s="340"/>
      <c r="H3197" s="340"/>
      <c r="I3197" s="340"/>
      <c r="J3197" s="340"/>
      <c r="K3197" s="497"/>
    </row>
    <row r="3198" spans="1:11" x14ac:dyDescent="0.35">
      <c r="A3198" s="332"/>
      <c r="B3198" s="333"/>
      <c r="C3198" s="333"/>
      <c r="D3198" s="333"/>
      <c r="E3198" s="333"/>
      <c r="F3198" s="333"/>
      <c r="G3198" s="333"/>
      <c r="H3198" s="333"/>
      <c r="I3198" s="333"/>
      <c r="J3198" s="333"/>
      <c r="K3198" s="496"/>
    </row>
    <row r="3199" spans="1:11" x14ac:dyDescent="0.35">
      <c r="A3199" s="339"/>
      <c r="B3199" s="340"/>
      <c r="C3199" s="340"/>
      <c r="D3199" s="340"/>
      <c r="E3199" s="340"/>
      <c r="F3199" s="340"/>
      <c r="G3199" s="340"/>
      <c r="H3199" s="340"/>
      <c r="I3199" s="340"/>
      <c r="J3199" s="340"/>
      <c r="K3199" s="497"/>
    </row>
    <row r="3200" spans="1:11" x14ac:dyDescent="0.35">
      <c r="A3200" s="332"/>
      <c r="B3200" s="333"/>
      <c r="C3200" s="333"/>
      <c r="D3200" s="333"/>
      <c r="E3200" s="333"/>
      <c r="F3200" s="333"/>
      <c r="G3200" s="333"/>
      <c r="H3200" s="333"/>
      <c r="I3200" s="333"/>
      <c r="J3200" s="333"/>
      <c r="K3200" s="496"/>
    </row>
    <row r="3201" spans="1:11" x14ac:dyDescent="0.35">
      <c r="A3201" s="339"/>
      <c r="B3201" s="340"/>
      <c r="C3201" s="340"/>
      <c r="D3201" s="340"/>
      <c r="E3201" s="340"/>
      <c r="F3201" s="340"/>
      <c r="G3201" s="340"/>
      <c r="H3201" s="340"/>
      <c r="I3201" s="340"/>
      <c r="J3201" s="340"/>
      <c r="K3201" s="497"/>
    </row>
    <row r="3202" spans="1:11" x14ac:dyDescent="0.35">
      <c r="A3202" s="332"/>
      <c r="B3202" s="333"/>
      <c r="C3202" s="333"/>
      <c r="D3202" s="333"/>
      <c r="E3202" s="333"/>
      <c r="F3202" s="333"/>
      <c r="G3202" s="333"/>
      <c r="H3202" s="333"/>
      <c r="I3202" s="333"/>
      <c r="J3202" s="333"/>
      <c r="K3202" s="496"/>
    </row>
    <row r="3203" spans="1:11" x14ac:dyDescent="0.35">
      <c r="A3203" s="339"/>
      <c r="B3203" s="340"/>
      <c r="C3203" s="340"/>
      <c r="D3203" s="340"/>
      <c r="E3203" s="340"/>
      <c r="F3203" s="340"/>
      <c r="G3203" s="340"/>
      <c r="H3203" s="340"/>
      <c r="I3203" s="340"/>
      <c r="J3203" s="340"/>
      <c r="K3203" s="497"/>
    </row>
    <row r="3204" spans="1:11" x14ac:dyDescent="0.35">
      <c r="A3204" s="332"/>
      <c r="B3204" s="333"/>
      <c r="C3204" s="333"/>
      <c r="D3204" s="333"/>
      <c r="E3204" s="333"/>
      <c r="F3204" s="333"/>
      <c r="G3204" s="333"/>
      <c r="H3204" s="333"/>
      <c r="I3204" s="333"/>
      <c r="J3204" s="333"/>
      <c r="K3204" s="496"/>
    </row>
    <row r="3205" spans="1:11" x14ac:dyDescent="0.35">
      <c r="A3205" s="339"/>
      <c r="B3205" s="340"/>
      <c r="C3205" s="340"/>
      <c r="D3205" s="340"/>
      <c r="E3205" s="340"/>
      <c r="F3205" s="340"/>
      <c r="G3205" s="340"/>
      <c r="H3205" s="340"/>
      <c r="I3205" s="340"/>
      <c r="J3205" s="340"/>
      <c r="K3205" s="497"/>
    </row>
    <row r="3206" spans="1:11" x14ac:dyDescent="0.35">
      <c r="A3206" s="332"/>
      <c r="B3206" s="333"/>
      <c r="C3206" s="333"/>
      <c r="D3206" s="333"/>
      <c r="E3206" s="333"/>
      <c r="F3206" s="333"/>
      <c r="G3206" s="333"/>
      <c r="H3206" s="333"/>
      <c r="I3206" s="333"/>
      <c r="J3206" s="333"/>
      <c r="K3206" s="496"/>
    </row>
    <row r="3207" spans="1:11" x14ac:dyDescent="0.35">
      <c r="A3207" s="339"/>
      <c r="B3207" s="340"/>
      <c r="C3207" s="340"/>
      <c r="D3207" s="340"/>
      <c r="E3207" s="340"/>
      <c r="F3207" s="340"/>
      <c r="G3207" s="340"/>
      <c r="H3207" s="340"/>
      <c r="I3207" s="340"/>
      <c r="J3207" s="340"/>
      <c r="K3207" s="497"/>
    </row>
    <row r="3208" spans="1:11" x14ac:dyDescent="0.35">
      <c r="A3208" s="332"/>
      <c r="B3208" s="333"/>
      <c r="C3208" s="333"/>
      <c r="D3208" s="333"/>
      <c r="E3208" s="333"/>
      <c r="F3208" s="333"/>
      <c r="G3208" s="333"/>
      <c r="H3208" s="333"/>
      <c r="I3208" s="333"/>
      <c r="J3208" s="333"/>
      <c r="K3208" s="496"/>
    </row>
    <row r="3209" spans="1:11" x14ac:dyDescent="0.35">
      <c r="A3209" s="339"/>
      <c r="B3209" s="340"/>
      <c r="C3209" s="340"/>
      <c r="D3209" s="340"/>
      <c r="E3209" s="340"/>
      <c r="F3209" s="340"/>
      <c r="G3209" s="340"/>
      <c r="H3209" s="340"/>
      <c r="I3209" s="340"/>
      <c r="J3209" s="340"/>
      <c r="K3209" s="497"/>
    </row>
    <row r="3210" spans="1:11" x14ac:dyDescent="0.35">
      <c r="A3210" s="332"/>
      <c r="B3210" s="333"/>
      <c r="C3210" s="333"/>
      <c r="D3210" s="333"/>
      <c r="E3210" s="333"/>
      <c r="F3210" s="333"/>
      <c r="G3210" s="333"/>
      <c r="H3210" s="333"/>
      <c r="I3210" s="333"/>
      <c r="J3210" s="333"/>
      <c r="K3210" s="496"/>
    </row>
    <row r="3211" spans="1:11" x14ac:dyDescent="0.35">
      <c r="A3211" s="339"/>
      <c r="B3211" s="340"/>
      <c r="C3211" s="340"/>
      <c r="D3211" s="340"/>
      <c r="E3211" s="340"/>
      <c r="F3211" s="340"/>
      <c r="G3211" s="340"/>
      <c r="H3211" s="340"/>
      <c r="I3211" s="340"/>
      <c r="J3211" s="340"/>
      <c r="K3211" s="497"/>
    </row>
    <row r="3212" spans="1:11" x14ac:dyDescent="0.35">
      <c r="A3212" s="332"/>
      <c r="B3212" s="333"/>
      <c r="C3212" s="333"/>
      <c r="D3212" s="333"/>
      <c r="E3212" s="333"/>
      <c r="F3212" s="333"/>
      <c r="G3212" s="333"/>
      <c r="H3212" s="333"/>
      <c r="I3212" s="333"/>
      <c r="J3212" s="333"/>
      <c r="K3212" s="496"/>
    </row>
    <row r="3213" spans="1:11" x14ac:dyDescent="0.35">
      <c r="A3213" s="339"/>
      <c r="B3213" s="340"/>
      <c r="C3213" s="340"/>
      <c r="D3213" s="340"/>
      <c r="E3213" s="340"/>
      <c r="F3213" s="340"/>
      <c r="G3213" s="340"/>
      <c r="H3213" s="340"/>
      <c r="I3213" s="340"/>
      <c r="J3213" s="340"/>
      <c r="K3213" s="497"/>
    </row>
    <row r="3214" spans="1:11" x14ac:dyDescent="0.35">
      <c r="A3214" s="332"/>
      <c r="B3214" s="333"/>
      <c r="C3214" s="333"/>
      <c r="D3214" s="333"/>
      <c r="E3214" s="333"/>
      <c r="F3214" s="333"/>
      <c r="G3214" s="333"/>
      <c r="H3214" s="333"/>
      <c r="I3214" s="333"/>
      <c r="J3214" s="333"/>
      <c r="K3214" s="496"/>
    </row>
    <row r="3215" spans="1:11" x14ac:dyDescent="0.35">
      <c r="A3215" s="339"/>
      <c r="B3215" s="340"/>
      <c r="C3215" s="340"/>
      <c r="D3215" s="340"/>
      <c r="E3215" s="340"/>
      <c r="F3215" s="340"/>
      <c r="G3215" s="340"/>
      <c r="H3215" s="340"/>
      <c r="I3215" s="340"/>
      <c r="J3215" s="340"/>
      <c r="K3215" s="497"/>
    </row>
    <row r="3216" spans="1:11" x14ac:dyDescent="0.35">
      <c r="A3216" s="332"/>
      <c r="B3216" s="333"/>
      <c r="C3216" s="333"/>
      <c r="D3216" s="333"/>
      <c r="E3216" s="333"/>
      <c r="F3216" s="333"/>
      <c r="G3216" s="333"/>
      <c r="H3216" s="333"/>
      <c r="I3216" s="333"/>
      <c r="J3216" s="333"/>
      <c r="K3216" s="496"/>
    </row>
    <row r="3217" spans="1:11" x14ac:dyDescent="0.35">
      <c r="A3217" s="339"/>
      <c r="B3217" s="340"/>
      <c r="C3217" s="340"/>
      <c r="D3217" s="340"/>
      <c r="E3217" s="340"/>
      <c r="F3217" s="340"/>
      <c r="G3217" s="340"/>
      <c r="H3217" s="340"/>
      <c r="I3217" s="340"/>
      <c r="J3217" s="340"/>
      <c r="K3217" s="497"/>
    </row>
    <row r="3218" spans="1:11" x14ac:dyDescent="0.35">
      <c r="A3218" s="332"/>
      <c r="B3218" s="333"/>
      <c r="C3218" s="333"/>
      <c r="D3218" s="333"/>
      <c r="E3218" s="333"/>
      <c r="F3218" s="333"/>
      <c r="G3218" s="333"/>
      <c r="H3218" s="333"/>
      <c r="I3218" s="333"/>
      <c r="J3218" s="333"/>
      <c r="K3218" s="496"/>
    </row>
    <row r="3219" spans="1:11" x14ac:dyDescent="0.35">
      <c r="A3219" s="339"/>
      <c r="B3219" s="340"/>
      <c r="C3219" s="340"/>
      <c r="D3219" s="340"/>
      <c r="E3219" s="340"/>
      <c r="F3219" s="340"/>
      <c r="G3219" s="340"/>
      <c r="H3219" s="340"/>
      <c r="I3219" s="340"/>
      <c r="J3219" s="340"/>
      <c r="K3219" s="497"/>
    </row>
    <row r="3220" spans="1:11" x14ac:dyDescent="0.35">
      <c r="A3220" s="332"/>
      <c r="B3220" s="333"/>
      <c r="C3220" s="333"/>
      <c r="D3220" s="333"/>
      <c r="E3220" s="333"/>
      <c r="F3220" s="333"/>
      <c r="G3220" s="333"/>
      <c r="H3220" s="333"/>
      <c r="I3220" s="333"/>
      <c r="J3220" s="333"/>
      <c r="K3220" s="496"/>
    </row>
    <row r="3221" spans="1:11" x14ac:dyDescent="0.35">
      <c r="A3221" s="339"/>
      <c r="B3221" s="340"/>
      <c r="C3221" s="340"/>
      <c r="D3221" s="340"/>
      <c r="E3221" s="340"/>
      <c r="F3221" s="340"/>
      <c r="G3221" s="340"/>
      <c r="H3221" s="340"/>
      <c r="I3221" s="340"/>
      <c r="J3221" s="340"/>
      <c r="K3221" s="497"/>
    </row>
    <row r="3222" spans="1:11" x14ac:dyDescent="0.35">
      <c r="A3222" s="332"/>
      <c r="B3222" s="333"/>
      <c r="C3222" s="333"/>
      <c r="D3222" s="333"/>
      <c r="E3222" s="333"/>
      <c r="F3222" s="333"/>
      <c r="G3222" s="333"/>
      <c r="H3222" s="333"/>
      <c r="I3222" s="333"/>
      <c r="J3222" s="333"/>
      <c r="K3222" s="496"/>
    </row>
    <row r="3223" spans="1:11" x14ac:dyDescent="0.35">
      <c r="A3223" s="339"/>
      <c r="B3223" s="340"/>
      <c r="C3223" s="340"/>
      <c r="D3223" s="340"/>
      <c r="E3223" s="340"/>
      <c r="F3223" s="340"/>
      <c r="G3223" s="340"/>
      <c r="H3223" s="340"/>
      <c r="I3223" s="340"/>
      <c r="J3223" s="340"/>
      <c r="K3223" s="497"/>
    </row>
    <row r="3224" spans="1:11" x14ac:dyDescent="0.35">
      <c r="A3224" s="332"/>
      <c r="B3224" s="333"/>
      <c r="C3224" s="333"/>
      <c r="D3224" s="333"/>
      <c r="E3224" s="333"/>
      <c r="F3224" s="333"/>
      <c r="G3224" s="333"/>
      <c r="H3224" s="333"/>
      <c r="I3224" s="333"/>
      <c r="J3224" s="333"/>
      <c r="K3224" s="496"/>
    </row>
    <row r="3225" spans="1:11" x14ac:dyDescent="0.35">
      <c r="A3225" s="339"/>
      <c r="B3225" s="340"/>
      <c r="C3225" s="340"/>
      <c r="D3225" s="340"/>
      <c r="E3225" s="340"/>
      <c r="F3225" s="340"/>
      <c r="G3225" s="340"/>
      <c r="H3225" s="340"/>
      <c r="I3225" s="340"/>
      <c r="J3225" s="340"/>
      <c r="K3225" s="497"/>
    </row>
    <row r="3226" spans="1:11" x14ac:dyDescent="0.35">
      <c r="A3226" s="332"/>
      <c r="B3226" s="333"/>
      <c r="C3226" s="333"/>
      <c r="D3226" s="333"/>
      <c r="E3226" s="333"/>
      <c r="F3226" s="333"/>
      <c r="G3226" s="333"/>
      <c r="H3226" s="333"/>
      <c r="I3226" s="333"/>
      <c r="J3226" s="333"/>
      <c r="K3226" s="496"/>
    </row>
    <row r="3227" spans="1:11" x14ac:dyDescent="0.35">
      <c r="A3227" s="339"/>
      <c r="B3227" s="340"/>
      <c r="C3227" s="340"/>
      <c r="D3227" s="340"/>
      <c r="E3227" s="340"/>
      <c r="F3227" s="340"/>
      <c r="G3227" s="340"/>
      <c r="H3227" s="340"/>
      <c r="I3227" s="340"/>
      <c r="J3227" s="340"/>
      <c r="K3227" s="497"/>
    </row>
    <row r="3228" spans="1:11" x14ac:dyDescent="0.35">
      <c r="A3228" s="332"/>
      <c r="B3228" s="333"/>
      <c r="C3228" s="333"/>
      <c r="D3228" s="333"/>
      <c r="E3228" s="333"/>
      <c r="F3228" s="333"/>
      <c r="G3228" s="333"/>
      <c r="H3228" s="333"/>
      <c r="I3228" s="333"/>
      <c r="J3228" s="333"/>
      <c r="K3228" s="496"/>
    </row>
    <row r="3229" spans="1:11" x14ac:dyDescent="0.35">
      <c r="A3229" s="339"/>
      <c r="B3229" s="340"/>
      <c r="C3229" s="340"/>
      <c r="D3229" s="340"/>
      <c r="E3229" s="340"/>
      <c r="F3229" s="340"/>
      <c r="G3229" s="340"/>
      <c r="H3229" s="340"/>
      <c r="I3229" s="340"/>
      <c r="J3229" s="340"/>
      <c r="K3229" s="497"/>
    </row>
    <row r="3230" spans="1:11" x14ac:dyDescent="0.35">
      <c r="A3230" s="332"/>
      <c r="B3230" s="333"/>
      <c r="C3230" s="333"/>
      <c r="D3230" s="333"/>
      <c r="E3230" s="333"/>
      <c r="F3230" s="333"/>
      <c r="G3230" s="333"/>
      <c r="H3230" s="333"/>
      <c r="I3230" s="333"/>
      <c r="J3230" s="333"/>
      <c r="K3230" s="496"/>
    </row>
    <row r="3231" spans="1:11" x14ac:dyDescent="0.35">
      <c r="A3231" s="339"/>
      <c r="B3231" s="340"/>
      <c r="C3231" s="340"/>
      <c r="D3231" s="340"/>
      <c r="E3231" s="340"/>
      <c r="F3231" s="340"/>
      <c r="G3231" s="340"/>
      <c r="H3231" s="340"/>
      <c r="I3231" s="340"/>
      <c r="J3231" s="340"/>
      <c r="K3231" s="497"/>
    </row>
    <row r="3232" spans="1:11" x14ac:dyDescent="0.35">
      <c r="A3232" s="332"/>
      <c r="B3232" s="333"/>
      <c r="C3232" s="333"/>
      <c r="D3232" s="333"/>
      <c r="E3232" s="333"/>
      <c r="F3232" s="333"/>
      <c r="G3232" s="333"/>
      <c r="H3232" s="333"/>
      <c r="I3232" s="333"/>
      <c r="J3232" s="333"/>
      <c r="K3232" s="496"/>
    </row>
    <row r="3233" spans="1:11" x14ac:dyDescent="0.35">
      <c r="A3233" s="339"/>
      <c r="B3233" s="340"/>
      <c r="C3233" s="340"/>
      <c r="D3233" s="340"/>
      <c r="E3233" s="340"/>
      <c r="F3233" s="340"/>
      <c r="G3233" s="340"/>
      <c r="H3233" s="340"/>
      <c r="I3233" s="340"/>
      <c r="J3233" s="340"/>
      <c r="K3233" s="497"/>
    </row>
    <row r="3234" spans="1:11" x14ac:dyDescent="0.35">
      <c r="A3234" s="332"/>
      <c r="B3234" s="333"/>
      <c r="C3234" s="333"/>
      <c r="D3234" s="333"/>
      <c r="E3234" s="333"/>
      <c r="F3234" s="333"/>
      <c r="G3234" s="333"/>
      <c r="H3234" s="333"/>
      <c r="I3234" s="333"/>
      <c r="J3234" s="333"/>
      <c r="K3234" s="496"/>
    </row>
    <row r="3235" spans="1:11" x14ac:dyDescent="0.35">
      <c r="A3235" s="339"/>
      <c r="B3235" s="340"/>
      <c r="C3235" s="340"/>
      <c r="D3235" s="340"/>
      <c r="E3235" s="340"/>
      <c r="F3235" s="340"/>
      <c r="G3235" s="340"/>
      <c r="H3235" s="340"/>
      <c r="I3235" s="340"/>
      <c r="J3235" s="340"/>
      <c r="K3235" s="497"/>
    </row>
    <row r="3236" spans="1:11" x14ac:dyDescent="0.35">
      <c r="A3236" s="332"/>
      <c r="B3236" s="333"/>
      <c r="C3236" s="333"/>
      <c r="D3236" s="333"/>
      <c r="E3236" s="333"/>
      <c r="F3236" s="333"/>
      <c r="G3236" s="333"/>
      <c r="H3236" s="333"/>
      <c r="I3236" s="333"/>
      <c r="J3236" s="333"/>
      <c r="K3236" s="496"/>
    </row>
    <row r="3237" spans="1:11" x14ac:dyDescent="0.35">
      <c r="A3237" s="339"/>
      <c r="B3237" s="340"/>
      <c r="C3237" s="340"/>
      <c r="D3237" s="340"/>
      <c r="E3237" s="340"/>
      <c r="F3237" s="340"/>
      <c r="G3237" s="340"/>
      <c r="H3237" s="340"/>
      <c r="I3237" s="340"/>
      <c r="J3237" s="340"/>
      <c r="K3237" s="497"/>
    </row>
    <row r="3238" spans="1:11" x14ac:dyDescent="0.35">
      <c r="A3238" s="332"/>
      <c r="B3238" s="333"/>
      <c r="C3238" s="333"/>
      <c r="D3238" s="333"/>
      <c r="E3238" s="333"/>
      <c r="F3238" s="333"/>
      <c r="G3238" s="333"/>
      <c r="H3238" s="333"/>
      <c r="I3238" s="333"/>
      <c r="J3238" s="333"/>
      <c r="K3238" s="496"/>
    </row>
    <row r="3239" spans="1:11" x14ac:dyDescent="0.35">
      <c r="A3239" s="339"/>
      <c r="B3239" s="340"/>
      <c r="C3239" s="340"/>
      <c r="D3239" s="340"/>
      <c r="E3239" s="340"/>
      <c r="F3239" s="340"/>
      <c r="G3239" s="340"/>
      <c r="H3239" s="340"/>
      <c r="I3239" s="340"/>
      <c r="J3239" s="340"/>
      <c r="K3239" s="497"/>
    </row>
    <row r="3240" spans="1:11" x14ac:dyDescent="0.35">
      <c r="A3240" s="332"/>
      <c r="B3240" s="333"/>
      <c r="C3240" s="333"/>
      <c r="D3240" s="333"/>
      <c r="E3240" s="333"/>
      <c r="F3240" s="333"/>
      <c r="G3240" s="333"/>
      <c r="H3240" s="333"/>
      <c r="I3240" s="333"/>
      <c r="J3240" s="333"/>
      <c r="K3240" s="496"/>
    </row>
    <row r="3241" spans="1:11" x14ac:dyDescent="0.35">
      <c r="A3241" s="339"/>
      <c r="B3241" s="340"/>
      <c r="C3241" s="340"/>
      <c r="D3241" s="340"/>
      <c r="E3241" s="340"/>
      <c r="F3241" s="340"/>
      <c r="G3241" s="340"/>
      <c r="H3241" s="340"/>
      <c r="I3241" s="340"/>
      <c r="J3241" s="340"/>
      <c r="K3241" s="497"/>
    </row>
    <row r="3242" spans="1:11" x14ac:dyDescent="0.35">
      <c r="A3242" s="332"/>
      <c r="B3242" s="333"/>
      <c r="C3242" s="333"/>
      <c r="D3242" s="333"/>
      <c r="E3242" s="333"/>
      <c r="F3242" s="333"/>
      <c r="G3242" s="333"/>
      <c r="H3242" s="333"/>
      <c r="I3242" s="333"/>
      <c r="J3242" s="333"/>
      <c r="K3242" s="496"/>
    </row>
    <row r="3243" spans="1:11" x14ac:dyDescent="0.35">
      <c r="A3243" s="339"/>
      <c r="B3243" s="340"/>
      <c r="C3243" s="340"/>
      <c r="D3243" s="340"/>
      <c r="E3243" s="340"/>
      <c r="F3243" s="340"/>
      <c r="G3243" s="340"/>
      <c r="H3243" s="340"/>
      <c r="I3243" s="340"/>
      <c r="J3243" s="340"/>
      <c r="K3243" s="497"/>
    </row>
    <row r="3244" spans="1:11" x14ac:dyDescent="0.35">
      <c r="A3244" s="332"/>
      <c r="B3244" s="333"/>
      <c r="C3244" s="333"/>
      <c r="D3244" s="333"/>
      <c r="E3244" s="333"/>
      <c r="F3244" s="333"/>
      <c r="G3244" s="333"/>
      <c r="H3244" s="333"/>
      <c r="I3244" s="333"/>
      <c r="J3244" s="333"/>
      <c r="K3244" s="496"/>
    </row>
    <row r="3245" spans="1:11" x14ac:dyDescent="0.35">
      <c r="A3245" s="339"/>
      <c r="B3245" s="340"/>
      <c r="C3245" s="340"/>
      <c r="D3245" s="340"/>
      <c r="E3245" s="340"/>
      <c r="F3245" s="340"/>
      <c r="G3245" s="340"/>
      <c r="H3245" s="340"/>
      <c r="I3245" s="340"/>
      <c r="J3245" s="340"/>
      <c r="K3245" s="497"/>
    </row>
    <row r="3246" spans="1:11" x14ac:dyDescent="0.35">
      <c r="A3246" s="332"/>
      <c r="B3246" s="333"/>
      <c r="C3246" s="333"/>
      <c r="D3246" s="333"/>
      <c r="E3246" s="333"/>
      <c r="F3246" s="333"/>
      <c r="G3246" s="333"/>
      <c r="H3246" s="333"/>
      <c r="I3246" s="333"/>
      <c r="J3246" s="333"/>
      <c r="K3246" s="496"/>
    </row>
    <row r="3247" spans="1:11" x14ac:dyDescent="0.35">
      <c r="A3247" s="339"/>
      <c r="B3247" s="340"/>
      <c r="C3247" s="340"/>
      <c r="D3247" s="340"/>
      <c r="E3247" s="340"/>
      <c r="F3247" s="340"/>
      <c r="G3247" s="340"/>
      <c r="H3247" s="340"/>
      <c r="I3247" s="340"/>
      <c r="J3247" s="340"/>
      <c r="K3247" s="497"/>
    </row>
    <row r="3248" spans="1:11" x14ac:dyDescent="0.35">
      <c r="A3248" s="332"/>
      <c r="B3248" s="333"/>
      <c r="C3248" s="333"/>
      <c r="D3248" s="333"/>
      <c r="E3248" s="333"/>
      <c r="F3248" s="333"/>
      <c r="G3248" s="333"/>
      <c r="H3248" s="333"/>
      <c r="I3248" s="333"/>
      <c r="J3248" s="333"/>
      <c r="K3248" s="496"/>
    </row>
    <row r="3249" spans="1:11" x14ac:dyDescent="0.35">
      <c r="A3249" s="339"/>
      <c r="B3249" s="340"/>
      <c r="C3249" s="340"/>
      <c r="D3249" s="340"/>
      <c r="E3249" s="340"/>
      <c r="F3249" s="340"/>
      <c r="G3249" s="340"/>
      <c r="H3249" s="340"/>
      <c r="I3249" s="340"/>
      <c r="J3249" s="340"/>
      <c r="K3249" s="497"/>
    </row>
    <row r="3250" spans="1:11" x14ac:dyDescent="0.35">
      <c r="A3250" s="332"/>
      <c r="B3250" s="333"/>
      <c r="C3250" s="333"/>
      <c r="D3250" s="333"/>
      <c r="E3250" s="333"/>
      <c r="F3250" s="333"/>
      <c r="G3250" s="333"/>
      <c r="H3250" s="333"/>
      <c r="I3250" s="333"/>
      <c r="J3250" s="333"/>
      <c r="K3250" s="496"/>
    </row>
    <row r="3251" spans="1:11" x14ac:dyDescent="0.35">
      <c r="A3251" s="339"/>
      <c r="B3251" s="340"/>
      <c r="C3251" s="340"/>
      <c r="D3251" s="340"/>
      <c r="E3251" s="340"/>
      <c r="F3251" s="340"/>
      <c r="G3251" s="340"/>
      <c r="H3251" s="340"/>
      <c r="I3251" s="340"/>
      <c r="J3251" s="340"/>
      <c r="K3251" s="497"/>
    </row>
    <row r="3252" spans="1:11" x14ac:dyDescent="0.35">
      <c r="A3252" s="332"/>
      <c r="B3252" s="333"/>
      <c r="C3252" s="333"/>
      <c r="D3252" s="333"/>
      <c r="E3252" s="333"/>
      <c r="F3252" s="333"/>
      <c r="G3252" s="333"/>
      <c r="H3252" s="333"/>
      <c r="I3252" s="333"/>
      <c r="J3252" s="333"/>
      <c r="K3252" s="496"/>
    </row>
    <row r="3253" spans="1:11" x14ac:dyDescent="0.35">
      <c r="A3253" s="339"/>
      <c r="B3253" s="340"/>
      <c r="C3253" s="340"/>
      <c r="D3253" s="340"/>
      <c r="E3253" s="340"/>
      <c r="F3253" s="340"/>
      <c r="G3253" s="340"/>
      <c r="H3253" s="340"/>
      <c r="I3253" s="340"/>
      <c r="J3253" s="340"/>
      <c r="K3253" s="497"/>
    </row>
    <row r="3254" spans="1:11" x14ac:dyDescent="0.35">
      <c r="A3254" s="332"/>
      <c r="B3254" s="333"/>
      <c r="C3254" s="333"/>
      <c r="D3254" s="333"/>
      <c r="E3254" s="333"/>
      <c r="F3254" s="333"/>
      <c r="G3254" s="333"/>
      <c r="H3254" s="333"/>
      <c r="I3254" s="333"/>
      <c r="J3254" s="333"/>
      <c r="K3254" s="496"/>
    </row>
    <row r="3255" spans="1:11" x14ac:dyDescent="0.35">
      <c r="A3255" s="339"/>
      <c r="B3255" s="340"/>
      <c r="C3255" s="340"/>
      <c r="D3255" s="340"/>
      <c r="E3255" s="340"/>
      <c r="F3255" s="340"/>
      <c r="G3255" s="340"/>
      <c r="H3255" s="340"/>
      <c r="I3255" s="340"/>
      <c r="J3255" s="340"/>
      <c r="K3255" s="497"/>
    </row>
    <row r="3256" spans="1:11" x14ac:dyDescent="0.35">
      <c r="A3256" s="332"/>
      <c r="B3256" s="333"/>
      <c r="C3256" s="333"/>
      <c r="D3256" s="333"/>
      <c r="E3256" s="333"/>
      <c r="F3256" s="333"/>
      <c r="G3256" s="333"/>
      <c r="H3256" s="333"/>
      <c r="I3256" s="333"/>
      <c r="J3256" s="333"/>
      <c r="K3256" s="496"/>
    </row>
    <row r="3257" spans="1:11" x14ac:dyDescent="0.35">
      <c r="A3257" s="339"/>
      <c r="B3257" s="340"/>
      <c r="C3257" s="340"/>
      <c r="D3257" s="340"/>
      <c r="E3257" s="340"/>
      <c r="F3257" s="340"/>
      <c r="G3257" s="340"/>
      <c r="H3257" s="340"/>
      <c r="I3257" s="340"/>
      <c r="J3257" s="340"/>
      <c r="K3257" s="497"/>
    </row>
    <row r="3258" spans="1:11" x14ac:dyDescent="0.35">
      <c r="A3258" s="332"/>
      <c r="B3258" s="333"/>
      <c r="C3258" s="333"/>
      <c r="D3258" s="333"/>
      <c r="E3258" s="333"/>
      <c r="F3258" s="333"/>
      <c r="G3258" s="333"/>
      <c r="H3258" s="333"/>
      <c r="I3258" s="333"/>
      <c r="J3258" s="333"/>
      <c r="K3258" s="496"/>
    </row>
    <row r="3259" spans="1:11" x14ac:dyDescent="0.35">
      <c r="A3259" s="339"/>
      <c r="B3259" s="340"/>
      <c r="C3259" s="340"/>
      <c r="D3259" s="340"/>
      <c r="E3259" s="340"/>
      <c r="F3259" s="340"/>
      <c r="G3259" s="340"/>
      <c r="H3259" s="340"/>
      <c r="I3259" s="340"/>
      <c r="J3259" s="340"/>
      <c r="K3259" s="497"/>
    </row>
    <row r="3260" spans="1:11" x14ac:dyDescent="0.35">
      <c r="A3260" s="332"/>
      <c r="B3260" s="333"/>
      <c r="C3260" s="333"/>
      <c r="D3260" s="333"/>
      <c r="E3260" s="333"/>
      <c r="F3260" s="333"/>
      <c r="G3260" s="333"/>
      <c r="H3260" s="333"/>
      <c r="I3260" s="333"/>
      <c r="J3260" s="333"/>
      <c r="K3260" s="496"/>
    </row>
    <row r="3261" spans="1:11" x14ac:dyDescent="0.35">
      <c r="A3261" s="339"/>
      <c r="B3261" s="340"/>
      <c r="C3261" s="340"/>
      <c r="D3261" s="340"/>
      <c r="E3261" s="340"/>
      <c r="F3261" s="340"/>
      <c r="G3261" s="340"/>
      <c r="H3261" s="340"/>
      <c r="I3261" s="340"/>
      <c r="J3261" s="340"/>
      <c r="K3261" s="497"/>
    </row>
    <row r="3262" spans="1:11" x14ac:dyDescent="0.35">
      <c r="A3262" s="332"/>
      <c r="B3262" s="333"/>
      <c r="C3262" s="333"/>
      <c r="D3262" s="333"/>
      <c r="E3262" s="333"/>
      <c r="F3262" s="333"/>
      <c r="G3262" s="333"/>
      <c r="H3262" s="333"/>
      <c r="I3262" s="333"/>
      <c r="J3262" s="333"/>
      <c r="K3262" s="496"/>
    </row>
    <row r="3263" spans="1:11" x14ac:dyDescent="0.35">
      <c r="A3263" s="339"/>
      <c r="B3263" s="340"/>
      <c r="C3263" s="340"/>
      <c r="D3263" s="340"/>
      <c r="E3263" s="340"/>
      <c r="F3263" s="340"/>
      <c r="G3263" s="340"/>
      <c r="H3263" s="340"/>
      <c r="I3263" s="340"/>
      <c r="J3263" s="340"/>
      <c r="K3263" s="497"/>
    </row>
    <row r="3264" spans="1:11" x14ac:dyDescent="0.35">
      <c r="A3264" s="332"/>
      <c r="B3264" s="333"/>
      <c r="C3264" s="333"/>
      <c r="D3264" s="333"/>
      <c r="E3264" s="333"/>
      <c r="F3264" s="333"/>
      <c r="G3264" s="333"/>
      <c r="H3264" s="333"/>
      <c r="I3264" s="333"/>
      <c r="J3264" s="333"/>
      <c r="K3264" s="496"/>
    </row>
    <row r="3265" spans="1:11" x14ac:dyDescent="0.35">
      <c r="A3265" s="339"/>
      <c r="B3265" s="340"/>
      <c r="C3265" s="340"/>
      <c r="D3265" s="340"/>
      <c r="E3265" s="340"/>
      <c r="F3265" s="340"/>
      <c r="G3265" s="340"/>
      <c r="H3265" s="340"/>
      <c r="I3265" s="340"/>
      <c r="J3265" s="340"/>
      <c r="K3265" s="497"/>
    </row>
    <row r="3266" spans="1:11" x14ac:dyDescent="0.35">
      <c r="A3266" s="332"/>
      <c r="B3266" s="333"/>
      <c r="C3266" s="333"/>
      <c r="D3266" s="333"/>
      <c r="E3266" s="333"/>
      <c r="F3266" s="333"/>
      <c r="G3266" s="333"/>
      <c r="H3266" s="333"/>
      <c r="I3266" s="333"/>
      <c r="J3266" s="333"/>
      <c r="K3266" s="496"/>
    </row>
    <row r="3267" spans="1:11" x14ac:dyDescent="0.35">
      <c r="A3267" s="339"/>
      <c r="B3267" s="340"/>
      <c r="C3267" s="340"/>
      <c r="D3267" s="340"/>
      <c r="E3267" s="340"/>
      <c r="F3267" s="340"/>
      <c r="G3267" s="340"/>
      <c r="H3267" s="340"/>
      <c r="I3267" s="340"/>
      <c r="J3267" s="340"/>
      <c r="K3267" s="497"/>
    </row>
    <row r="3268" spans="1:11" x14ac:dyDescent="0.35">
      <c r="A3268" s="332"/>
      <c r="B3268" s="333"/>
      <c r="C3268" s="333"/>
      <c r="D3268" s="333"/>
      <c r="E3268" s="333"/>
      <c r="F3268" s="333"/>
      <c r="G3268" s="333"/>
      <c r="H3268" s="333"/>
      <c r="I3268" s="333"/>
      <c r="J3268" s="333"/>
      <c r="K3268" s="496"/>
    </row>
    <row r="3269" spans="1:11" x14ac:dyDescent="0.35">
      <c r="A3269" s="339"/>
      <c r="B3269" s="340"/>
      <c r="C3269" s="340"/>
      <c r="D3269" s="340"/>
      <c r="E3269" s="340"/>
      <c r="F3269" s="340"/>
      <c r="G3269" s="340"/>
      <c r="H3269" s="340"/>
      <c r="I3269" s="340"/>
      <c r="J3269" s="340"/>
      <c r="K3269" s="497"/>
    </row>
    <row r="3270" spans="1:11" x14ac:dyDescent="0.35">
      <c r="A3270" s="332"/>
      <c r="B3270" s="333"/>
      <c r="C3270" s="333"/>
      <c r="D3270" s="333"/>
      <c r="E3270" s="333"/>
      <c r="F3270" s="333"/>
      <c r="G3270" s="333"/>
      <c r="H3270" s="333"/>
      <c r="I3270" s="333"/>
      <c r="J3270" s="333"/>
      <c r="K3270" s="496"/>
    </row>
    <row r="3271" spans="1:11" x14ac:dyDescent="0.35">
      <c r="A3271" s="339"/>
      <c r="B3271" s="340"/>
      <c r="C3271" s="340"/>
      <c r="D3271" s="340"/>
      <c r="E3271" s="340"/>
      <c r="F3271" s="340"/>
      <c r="G3271" s="340"/>
      <c r="H3271" s="340"/>
      <c r="I3271" s="340"/>
      <c r="J3271" s="340"/>
      <c r="K3271" s="497"/>
    </row>
    <row r="3272" spans="1:11" x14ac:dyDescent="0.35">
      <c r="A3272" s="332"/>
      <c r="B3272" s="333"/>
      <c r="C3272" s="333"/>
      <c r="D3272" s="333"/>
      <c r="E3272" s="333"/>
      <c r="F3272" s="333"/>
      <c r="G3272" s="333"/>
      <c r="H3272" s="333"/>
      <c r="I3272" s="333"/>
      <c r="J3272" s="333"/>
      <c r="K3272" s="496"/>
    </row>
    <row r="3273" spans="1:11" x14ac:dyDescent="0.35">
      <c r="A3273" s="339"/>
      <c r="B3273" s="340"/>
      <c r="C3273" s="340"/>
      <c r="D3273" s="340"/>
      <c r="E3273" s="340"/>
      <c r="F3273" s="340"/>
      <c r="G3273" s="340"/>
      <c r="H3273" s="340"/>
      <c r="I3273" s="340"/>
      <c r="J3273" s="340"/>
      <c r="K3273" s="497"/>
    </row>
    <row r="3274" spans="1:11" x14ac:dyDescent="0.35">
      <c r="A3274" s="332"/>
      <c r="B3274" s="333"/>
      <c r="C3274" s="333"/>
      <c r="D3274" s="333"/>
      <c r="E3274" s="333"/>
      <c r="F3274" s="333"/>
      <c r="G3274" s="333"/>
      <c r="H3274" s="333"/>
      <c r="I3274" s="333"/>
      <c r="J3274" s="333"/>
      <c r="K3274" s="496"/>
    </row>
    <row r="3275" spans="1:11" x14ac:dyDescent="0.35">
      <c r="A3275" s="339"/>
      <c r="B3275" s="340"/>
      <c r="C3275" s="340"/>
      <c r="D3275" s="340"/>
      <c r="E3275" s="340"/>
      <c r="F3275" s="340"/>
      <c r="G3275" s="340"/>
      <c r="H3275" s="340"/>
      <c r="I3275" s="340"/>
      <c r="J3275" s="340"/>
      <c r="K3275" s="497"/>
    </row>
    <row r="3276" spans="1:11" x14ac:dyDescent="0.35">
      <c r="A3276" s="332"/>
      <c r="B3276" s="333"/>
      <c r="C3276" s="333"/>
      <c r="D3276" s="333"/>
      <c r="E3276" s="333"/>
      <c r="F3276" s="333"/>
      <c r="G3276" s="333"/>
      <c r="H3276" s="333"/>
      <c r="I3276" s="333"/>
      <c r="J3276" s="333"/>
      <c r="K3276" s="496"/>
    </row>
    <row r="3277" spans="1:11" x14ac:dyDescent="0.35">
      <c r="A3277" s="339"/>
      <c r="B3277" s="340"/>
      <c r="C3277" s="340"/>
      <c r="D3277" s="340"/>
      <c r="E3277" s="340"/>
      <c r="F3277" s="340"/>
      <c r="G3277" s="340"/>
      <c r="H3277" s="340"/>
      <c r="I3277" s="340"/>
      <c r="J3277" s="340"/>
      <c r="K3277" s="497"/>
    </row>
    <row r="3278" spans="1:11" x14ac:dyDescent="0.35">
      <c r="A3278" s="332"/>
      <c r="B3278" s="333"/>
      <c r="C3278" s="333"/>
      <c r="D3278" s="333"/>
      <c r="E3278" s="333"/>
      <c r="F3278" s="333"/>
      <c r="G3278" s="333"/>
      <c r="H3278" s="333"/>
      <c r="I3278" s="333"/>
      <c r="J3278" s="333"/>
      <c r="K3278" s="496"/>
    </row>
    <row r="3279" spans="1:11" x14ac:dyDescent="0.35">
      <c r="A3279" s="339"/>
      <c r="B3279" s="340"/>
      <c r="C3279" s="340"/>
      <c r="D3279" s="340"/>
      <c r="E3279" s="340"/>
      <c r="F3279" s="340"/>
      <c r="G3279" s="340"/>
      <c r="H3279" s="340"/>
      <c r="I3279" s="340"/>
      <c r="J3279" s="340"/>
      <c r="K3279" s="497"/>
    </row>
    <row r="3280" spans="1:11" x14ac:dyDescent="0.35">
      <c r="A3280" s="332"/>
      <c r="B3280" s="333"/>
      <c r="C3280" s="333"/>
      <c r="D3280" s="333"/>
      <c r="E3280" s="333"/>
      <c r="F3280" s="333"/>
      <c r="G3280" s="333"/>
      <c r="H3280" s="333"/>
      <c r="I3280" s="333"/>
      <c r="J3280" s="333"/>
      <c r="K3280" s="496"/>
    </row>
    <row r="3281" spans="1:11" x14ac:dyDescent="0.35">
      <c r="A3281" s="339"/>
      <c r="B3281" s="340"/>
      <c r="C3281" s="340"/>
      <c r="D3281" s="340"/>
      <c r="E3281" s="340"/>
      <c r="F3281" s="340"/>
      <c r="G3281" s="340"/>
      <c r="H3281" s="340"/>
      <c r="I3281" s="340"/>
      <c r="J3281" s="340"/>
      <c r="K3281" s="497"/>
    </row>
    <row r="3282" spans="1:11" x14ac:dyDescent="0.35">
      <c r="A3282" s="332"/>
      <c r="B3282" s="333"/>
      <c r="C3282" s="333"/>
      <c r="D3282" s="333"/>
      <c r="E3282" s="333"/>
      <c r="F3282" s="333"/>
      <c r="G3282" s="333"/>
      <c r="H3282" s="333"/>
      <c r="I3282" s="333"/>
      <c r="J3282" s="333"/>
      <c r="K3282" s="496"/>
    </row>
    <row r="3283" spans="1:11" x14ac:dyDescent="0.35">
      <c r="A3283" s="339"/>
      <c r="B3283" s="340"/>
      <c r="C3283" s="340"/>
      <c r="D3283" s="340"/>
      <c r="E3283" s="340"/>
      <c r="F3283" s="340"/>
      <c r="G3283" s="340"/>
      <c r="H3283" s="340"/>
      <c r="I3283" s="340"/>
      <c r="J3283" s="340"/>
      <c r="K3283" s="497"/>
    </row>
    <row r="3284" spans="1:11" x14ac:dyDescent="0.35">
      <c r="A3284" s="332"/>
      <c r="B3284" s="333"/>
      <c r="C3284" s="333"/>
      <c r="D3284" s="333"/>
      <c r="E3284" s="333"/>
      <c r="F3284" s="333"/>
      <c r="G3284" s="333"/>
      <c r="H3284" s="333"/>
      <c r="I3284" s="333"/>
      <c r="J3284" s="333"/>
      <c r="K3284" s="496"/>
    </row>
    <row r="3285" spans="1:11" x14ac:dyDescent="0.35">
      <c r="A3285" s="339"/>
      <c r="B3285" s="340"/>
      <c r="C3285" s="340"/>
      <c r="D3285" s="340"/>
      <c r="E3285" s="340"/>
      <c r="F3285" s="340"/>
      <c r="G3285" s="340"/>
      <c r="H3285" s="340"/>
      <c r="I3285" s="340"/>
      <c r="J3285" s="340"/>
      <c r="K3285" s="497"/>
    </row>
    <row r="3286" spans="1:11" x14ac:dyDescent="0.35">
      <c r="A3286" s="332"/>
      <c r="B3286" s="333"/>
      <c r="C3286" s="333"/>
      <c r="D3286" s="333"/>
      <c r="E3286" s="333"/>
      <c r="F3286" s="333"/>
      <c r="G3286" s="333"/>
      <c r="H3286" s="333"/>
      <c r="I3286" s="333"/>
      <c r="J3286" s="333"/>
      <c r="K3286" s="496"/>
    </row>
    <row r="3287" spans="1:11" x14ac:dyDescent="0.35">
      <c r="A3287" s="339"/>
      <c r="B3287" s="340"/>
      <c r="C3287" s="340"/>
      <c r="D3287" s="340"/>
      <c r="E3287" s="340"/>
      <c r="F3287" s="340"/>
      <c r="G3287" s="340"/>
      <c r="H3287" s="340"/>
      <c r="I3287" s="340"/>
      <c r="J3287" s="340"/>
      <c r="K3287" s="497"/>
    </row>
    <row r="3288" spans="1:11" x14ac:dyDescent="0.35">
      <c r="A3288" s="332"/>
      <c r="B3288" s="333"/>
      <c r="C3288" s="333"/>
      <c r="D3288" s="333"/>
      <c r="E3288" s="333"/>
      <c r="F3288" s="333"/>
      <c r="G3288" s="333"/>
      <c r="H3288" s="333"/>
      <c r="I3288" s="333"/>
      <c r="J3288" s="333"/>
      <c r="K3288" s="496"/>
    </row>
    <row r="3289" spans="1:11" x14ac:dyDescent="0.35">
      <c r="A3289" s="339"/>
      <c r="B3289" s="340"/>
      <c r="C3289" s="340"/>
      <c r="D3289" s="340"/>
      <c r="E3289" s="340"/>
      <c r="F3289" s="340"/>
      <c r="G3289" s="340"/>
      <c r="H3289" s="340"/>
      <c r="I3289" s="340"/>
      <c r="J3289" s="340"/>
      <c r="K3289" s="497"/>
    </row>
    <row r="3290" spans="1:11" x14ac:dyDescent="0.35">
      <c r="A3290" s="332"/>
      <c r="B3290" s="333"/>
      <c r="C3290" s="333"/>
      <c r="D3290" s="333"/>
      <c r="E3290" s="333"/>
      <c r="F3290" s="333"/>
      <c r="G3290" s="333"/>
      <c r="H3290" s="333"/>
      <c r="I3290" s="333"/>
      <c r="J3290" s="333"/>
      <c r="K3290" s="496"/>
    </row>
    <row r="3291" spans="1:11" x14ac:dyDescent="0.35">
      <c r="A3291" s="339"/>
      <c r="B3291" s="340"/>
      <c r="C3291" s="340"/>
      <c r="D3291" s="340"/>
      <c r="E3291" s="340"/>
      <c r="F3291" s="340"/>
      <c r="G3291" s="340"/>
      <c r="H3291" s="340"/>
      <c r="I3291" s="340"/>
      <c r="J3291" s="340"/>
      <c r="K3291" s="497"/>
    </row>
    <row r="3292" spans="1:11" x14ac:dyDescent="0.35">
      <c r="A3292" s="332"/>
      <c r="B3292" s="333"/>
      <c r="C3292" s="333"/>
      <c r="D3292" s="333"/>
      <c r="E3292" s="333"/>
      <c r="F3292" s="333"/>
      <c r="G3292" s="333"/>
      <c r="H3292" s="333"/>
      <c r="I3292" s="333"/>
      <c r="J3292" s="333"/>
      <c r="K3292" s="496"/>
    </row>
    <row r="3293" spans="1:11" x14ac:dyDescent="0.35">
      <c r="A3293" s="339"/>
      <c r="B3293" s="340"/>
      <c r="C3293" s="340"/>
      <c r="D3293" s="340"/>
      <c r="E3293" s="340"/>
      <c r="F3293" s="340"/>
      <c r="G3293" s="340"/>
      <c r="H3293" s="340"/>
      <c r="I3293" s="340"/>
      <c r="J3293" s="340"/>
      <c r="K3293" s="497"/>
    </row>
    <row r="3294" spans="1:11" x14ac:dyDescent="0.35">
      <c r="A3294" s="332"/>
      <c r="B3294" s="333"/>
      <c r="C3294" s="333"/>
      <c r="D3294" s="333"/>
      <c r="E3294" s="333"/>
      <c r="F3294" s="333"/>
      <c r="G3294" s="333"/>
      <c r="H3294" s="333"/>
      <c r="I3294" s="333"/>
      <c r="J3294" s="333"/>
      <c r="K3294" s="496"/>
    </row>
    <row r="3295" spans="1:11" x14ac:dyDescent="0.35">
      <c r="A3295" s="339"/>
      <c r="B3295" s="340"/>
      <c r="C3295" s="340"/>
      <c r="D3295" s="340"/>
      <c r="E3295" s="340"/>
      <c r="F3295" s="340"/>
      <c r="G3295" s="340"/>
      <c r="H3295" s="340"/>
      <c r="I3295" s="340"/>
      <c r="J3295" s="340"/>
      <c r="K3295" s="497"/>
    </row>
    <row r="3296" spans="1:11" x14ac:dyDescent="0.35">
      <c r="A3296" s="332"/>
      <c r="B3296" s="333"/>
      <c r="C3296" s="333"/>
      <c r="D3296" s="333"/>
      <c r="E3296" s="333"/>
      <c r="F3296" s="333"/>
      <c r="G3296" s="333"/>
      <c r="H3296" s="333"/>
      <c r="I3296" s="333"/>
      <c r="J3296" s="333"/>
      <c r="K3296" s="496"/>
    </row>
    <row r="3297" spans="1:11" x14ac:dyDescent="0.35">
      <c r="A3297" s="339"/>
      <c r="B3297" s="340"/>
      <c r="C3297" s="340"/>
      <c r="D3297" s="340"/>
      <c r="E3297" s="340"/>
      <c r="F3297" s="340"/>
      <c r="G3297" s="340"/>
      <c r="H3297" s="340"/>
      <c r="I3297" s="340"/>
      <c r="J3297" s="340"/>
      <c r="K3297" s="497"/>
    </row>
    <row r="3298" spans="1:11" x14ac:dyDescent="0.35">
      <c r="A3298" s="332"/>
      <c r="B3298" s="333"/>
      <c r="C3298" s="333"/>
      <c r="D3298" s="333"/>
      <c r="E3298" s="333"/>
      <c r="F3298" s="333"/>
      <c r="G3298" s="333"/>
      <c r="H3298" s="333"/>
      <c r="I3298" s="333"/>
      <c r="J3298" s="333"/>
      <c r="K3298" s="496"/>
    </row>
    <row r="3299" spans="1:11" x14ac:dyDescent="0.35">
      <c r="A3299" s="339"/>
      <c r="B3299" s="340"/>
      <c r="C3299" s="340"/>
      <c r="D3299" s="340"/>
      <c r="E3299" s="340"/>
      <c r="F3299" s="340"/>
      <c r="G3299" s="340"/>
      <c r="H3299" s="340"/>
      <c r="I3299" s="340"/>
      <c r="J3299" s="340"/>
      <c r="K3299" s="497"/>
    </row>
    <row r="3300" spans="1:11" x14ac:dyDescent="0.35">
      <c r="A3300" s="332"/>
      <c r="B3300" s="333"/>
      <c r="C3300" s="333"/>
      <c r="D3300" s="333"/>
      <c r="E3300" s="333"/>
      <c r="F3300" s="333"/>
      <c r="G3300" s="333"/>
      <c r="H3300" s="333"/>
      <c r="I3300" s="333"/>
      <c r="J3300" s="333"/>
      <c r="K3300" s="496"/>
    </row>
    <row r="3301" spans="1:11" x14ac:dyDescent="0.35">
      <c r="A3301" s="339"/>
      <c r="B3301" s="340"/>
      <c r="C3301" s="340"/>
      <c r="D3301" s="340"/>
      <c r="E3301" s="340"/>
      <c r="F3301" s="340"/>
      <c r="G3301" s="340"/>
      <c r="H3301" s="340"/>
      <c r="I3301" s="340"/>
      <c r="J3301" s="340"/>
      <c r="K3301" s="497"/>
    </row>
    <row r="3302" spans="1:11" x14ac:dyDescent="0.35">
      <c r="A3302" s="332"/>
      <c r="B3302" s="333"/>
      <c r="C3302" s="333"/>
      <c r="D3302" s="333"/>
      <c r="E3302" s="333"/>
      <c r="F3302" s="333"/>
      <c r="G3302" s="333"/>
      <c r="H3302" s="333"/>
      <c r="I3302" s="333"/>
      <c r="J3302" s="333"/>
      <c r="K3302" s="496"/>
    </row>
    <row r="3303" spans="1:11" x14ac:dyDescent="0.35">
      <c r="A3303" s="339"/>
      <c r="B3303" s="340"/>
      <c r="C3303" s="340"/>
      <c r="D3303" s="340"/>
      <c r="E3303" s="340"/>
      <c r="F3303" s="340"/>
      <c r="G3303" s="340"/>
      <c r="H3303" s="340"/>
      <c r="I3303" s="340"/>
      <c r="J3303" s="340"/>
      <c r="K3303" s="497"/>
    </row>
    <row r="3304" spans="1:11" x14ac:dyDescent="0.35">
      <c r="A3304" s="332"/>
      <c r="B3304" s="333"/>
      <c r="C3304" s="333"/>
      <c r="D3304" s="333"/>
      <c r="E3304" s="333"/>
      <c r="F3304" s="333"/>
      <c r="G3304" s="333"/>
      <c r="H3304" s="333"/>
      <c r="I3304" s="333"/>
      <c r="J3304" s="333"/>
      <c r="K3304" s="496"/>
    </row>
    <row r="3305" spans="1:11" x14ac:dyDescent="0.35">
      <c r="A3305" s="339"/>
      <c r="B3305" s="340"/>
      <c r="C3305" s="340"/>
      <c r="D3305" s="340"/>
      <c r="E3305" s="340"/>
      <c r="F3305" s="340"/>
      <c r="G3305" s="340"/>
      <c r="H3305" s="340"/>
      <c r="I3305" s="340"/>
      <c r="J3305" s="340"/>
      <c r="K3305" s="497"/>
    </row>
    <row r="3306" spans="1:11" x14ac:dyDescent="0.35">
      <c r="A3306" s="332"/>
      <c r="B3306" s="333"/>
      <c r="C3306" s="333"/>
      <c r="D3306" s="333"/>
      <c r="E3306" s="333"/>
      <c r="F3306" s="333"/>
      <c r="G3306" s="333"/>
      <c r="H3306" s="333"/>
      <c r="I3306" s="333"/>
      <c r="J3306" s="333"/>
      <c r="K3306" s="496"/>
    </row>
    <row r="3307" spans="1:11" x14ac:dyDescent="0.35">
      <c r="A3307" s="339"/>
      <c r="B3307" s="340"/>
      <c r="C3307" s="340"/>
      <c r="D3307" s="340"/>
      <c r="E3307" s="340"/>
      <c r="F3307" s="340"/>
      <c r="G3307" s="340"/>
      <c r="H3307" s="340"/>
      <c r="I3307" s="340"/>
      <c r="J3307" s="340"/>
      <c r="K3307" s="497"/>
    </row>
    <row r="3308" spans="1:11" x14ac:dyDescent="0.35">
      <c r="A3308" s="332"/>
      <c r="B3308" s="333"/>
      <c r="C3308" s="333"/>
      <c r="D3308" s="333"/>
      <c r="E3308" s="333"/>
      <c r="F3308" s="333"/>
      <c r="G3308" s="333"/>
      <c r="H3308" s="333"/>
      <c r="I3308" s="333"/>
      <c r="J3308" s="333"/>
      <c r="K3308" s="496"/>
    </row>
    <row r="3309" spans="1:11" x14ac:dyDescent="0.35">
      <c r="A3309" s="339"/>
      <c r="B3309" s="340"/>
      <c r="C3309" s="340"/>
      <c r="D3309" s="340"/>
      <c r="E3309" s="340"/>
      <c r="F3309" s="340"/>
      <c r="G3309" s="340"/>
      <c r="H3309" s="340"/>
      <c r="I3309" s="340"/>
      <c r="J3309" s="340"/>
      <c r="K3309" s="497"/>
    </row>
    <row r="3310" spans="1:11" x14ac:dyDescent="0.35">
      <c r="A3310" s="332"/>
      <c r="B3310" s="333"/>
      <c r="C3310" s="333"/>
      <c r="D3310" s="333"/>
      <c r="E3310" s="333"/>
      <c r="F3310" s="333"/>
      <c r="G3310" s="333"/>
      <c r="H3310" s="333"/>
      <c r="I3310" s="333"/>
      <c r="J3310" s="333"/>
      <c r="K3310" s="496"/>
    </row>
    <row r="3311" spans="1:11" x14ac:dyDescent="0.35">
      <c r="A3311" s="339"/>
      <c r="B3311" s="340"/>
      <c r="C3311" s="340"/>
      <c r="D3311" s="340"/>
      <c r="E3311" s="340"/>
      <c r="F3311" s="340"/>
      <c r="G3311" s="340"/>
      <c r="H3311" s="340"/>
      <c r="I3311" s="340"/>
      <c r="J3311" s="340"/>
      <c r="K3311" s="497"/>
    </row>
    <row r="3312" spans="1:11" x14ac:dyDescent="0.35">
      <c r="A3312" s="332"/>
      <c r="B3312" s="333"/>
      <c r="C3312" s="333"/>
      <c r="D3312" s="333"/>
      <c r="E3312" s="333"/>
      <c r="F3312" s="333"/>
      <c r="G3312" s="333"/>
      <c r="H3312" s="333"/>
      <c r="I3312" s="333"/>
      <c r="J3312" s="333"/>
      <c r="K3312" s="496"/>
    </row>
    <row r="3313" spans="1:11" x14ac:dyDescent="0.35">
      <c r="A3313" s="339"/>
      <c r="B3313" s="340"/>
      <c r="C3313" s="340"/>
      <c r="D3313" s="340"/>
      <c r="E3313" s="340"/>
      <c r="F3313" s="340"/>
      <c r="G3313" s="340"/>
      <c r="H3313" s="340"/>
      <c r="I3313" s="340"/>
      <c r="J3313" s="340"/>
      <c r="K3313" s="497"/>
    </row>
    <row r="3314" spans="1:11" x14ac:dyDescent="0.35">
      <c r="A3314" s="332"/>
      <c r="B3314" s="333"/>
      <c r="C3314" s="333"/>
      <c r="D3314" s="333"/>
      <c r="E3314" s="333"/>
      <c r="F3314" s="333"/>
      <c r="G3314" s="333"/>
      <c r="H3314" s="333"/>
      <c r="I3314" s="333"/>
      <c r="J3314" s="333"/>
      <c r="K3314" s="496"/>
    </row>
    <row r="3315" spans="1:11" x14ac:dyDescent="0.35">
      <c r="A3315" s="339"/>
      <c r="B3315" s="340"/>
      <c r="C3315" s="340"/>
      <c r="D3315" s="340"/>
      <c r="E3315" s="340"/>
      <c r="F3315" s="340"/>
      <c r="G3315" s="340"/>
      <c r="H3315" s="340"/>
      <c r="I3315" s="340"/>
      <c r="J3315" s="340"/>
      <c r="K3315" s="497"/>
    </row>
    <row r="3316" spans="1:11" x14ac:dyDescent="0.35">
      <c r="A3316" s="332"/>
      <c r="B3316" s="333"/>
      <c r="C3316" s="333"/>
      <c r="D3316" s="333"/>
      <c r="E3316" s="333"/>
      <c r="F3316" s="333"/>
      <c r="G3316" s="333"/>
      <c r="H3316" s="333"/>
      <c r="I3316" s="333"/>
      <c r="J3316" s="333"/>
      <c r="K3316" s="496"/>
    </row>
    <row r="3317" spans="1:11" x14ac:dyDescent="0.35">
      <c r="A3317" s="339"/>
      <c r="B3317" s="340"/>
      <c r="C3317" s="340"/>
      <c r="D3317" s="340"/>
      <c r="E3317" s="340"/>
      <c r="F3317" s="340"/>
      <c r="G3317" s="340"/>
      <c r="H3317" s="340"/>
      <c r="I3317" s="340"/>
      <c r="J3317" s="340"/>
      <c r="K3317" s="497"/>
    </row>
    <row r="3318" spans="1:11" x14ac:dyDescent="0.35">
      <c r="A3318" s="332"/>
      <c r="B3318" s="333"/>
      <c r="C3318" s="333"/>
      <c r="D3318" s="333"/>
      <c r="E3318" s="333"/>
      <c r="F3318" s="333"/>
      <c r="G3318" s="333"/>
      <c r="H3318" s="333"/>
      <c r="I3318" s="333"/>
      <c r="J3318" s="333"/>
      <c r="K3318" s="496"/>
    </row>
    <row r="3319" spans="1:11" x14ac:dyDescent="0.35">
      <c r="A3319" s="339"/>
      <c r="B3319" s="340"/>
      <c r="C3319" s="340"/>
      <c r="D3319" s="340"/>
      <c r="E3319" s="340"/>
      <c r="F3319" s="340"/>
      <c r="G3319" s="340"/>
      <c r="H3319" s="340"/>
      <c r="I3319" s="340"/>
      <c r="J3319" s="340"/>
      <c r="K3319" s="497"/>
    </row>
    <row r="3320" spans="1:11" x14ac:dyDescent="0.35">
      <c r="A3320" s="332"/>
      <c r="B3320" s="333"/>
      <c r="C3320" s="333"/>
      <c r="D3320" s="333"/>
      <c r="E3320" s="333"/>
      <c r="F3320" s="333"/>
      <c r="G3320" s="333"/>
      <c r="H3320" s="333"/>
      <c r="I3320" s="333"/>
      <c r="J3320" s="333"/>
      <c r="K3320" s="496"/>
    </row>
    <row r="3321" spans="1:11" x14ac:dyDescent="0.35">
      <c r="A3321" s="339"/>
      <c r="B3321" s="340"/>
      <c r="C3321" s="340"/>
      <c r="D3321" s="340"/>
      <c r="E3321" s="340"/>
      <c r="F3321" s="340"/>
      <c r="G3321" s="340"/>
      <c r="H3321" s="340"/>
      <c r="I3321" s="340"/>
      <c r="J3321" s="340"/>
      <c r="K3321" s="497"/>
    </row>
    <row r="3322" spans="1:11" x14ac:dyDescent="0.35">
      <c r="A3322" s="332"/>
      <c r="B3322" s="333"/>
      <c r="C3322" s="333"/>
      <c r="D3322" s="333"/>
      <c r="E3322" s="333"/>
      <c r="F3322" s="333"/>
      <c r="G3322" s="333"/>
      <c r="H3322" s="333"/>
      <c r="I3322" s="333"/>
      <c r="J3322" s="333"/>
      <c r="K3322" s="496"/>
    </row>
    <row r="3323" spans="1:11" x14ac:dyDescent="0.35">
      <c r="A3323" s="339"/>
      <c r="B3323" s="340"/>
      <c r="C3323" s="340"/>
      <c r="D3323" s="340"/>
      <c r="E3323" s="340"/>
      <c r="F3323" s="340"/>
      <c r="G3323" s="340"/>
      <c r="H3323" s="340"/>
      <c r="I3323" s="340"/>
      <c r="J3323" s="340"/>
      <c r="K3323" s="497"/>
    </row>
    <row r="3324" spans="1:11" x14ac:dyDescent="0.35">
      <c r="A3324" s="332"/>
      <c r="B3324" s="333"/>
      <c r="C3324" s="333"/>
      <c r="D3324" s="333"/>
      <c r="E3324" s="333"/>
      <c r="F3324" s="333"/>
      <c r="G3324" s="333"/>
      <c r="H3324" s="333"/>
      <c r="I3324" s="333"/>
      <c r="J3324" s="333"/>
      <c r="K3324" s="496"/>
    </row>
    <row r="3325" spans="1:11" x14ac:dyDescent="0.35">
      <c r="A3325" s="339"/>
      <c r="B3325" s="340"/>
      <c r="C3325" s="340"/>
      <c r="D3325" s="340"/>
      <c r="E3325" s="340"/>
      <c r="F3325" s="340"/>
      <c r="G3325" s="340"/>
      <c r="H3325" s="340"/>
      <c r="I3325" s="340"/>
      <c r="J3325" s="340"/>
      <c r="K3325" s="497"/>
    </row>
    <row r="3326" spans="1:11" x14ac:dyDescent="0.35">
      <c r="A3326" s="332"/>
      <c r="B3326" s="333"/>
      <c r="C3326" s="333"/>
      <c r="D3326" s="333"/>
      <c r="E3326" s="333"/>
      <c r="F3326" s="333"/>
      <c r="G3326" s="333"/>
      <c r="H3326" s="333"/>
      <c r="I3326" s="333"/>
      <c r="J3326" s="333"/>
      <c r="K3326" s="496"/>
    </row>
    <row r="3327" spans="1:11" x14ac:dyDescent="0.35">
      <c r="A3327" s="339"/>
      <c r="B3327" s="340"/>
      <c r="C3327" s="340"/>
      <c r="D3327" s="340"/>
      <c r="E3327" s="340"/>
      <c r="F3327" s="340"/>
      <c r="G3327" s="340"/>
      <c r="H3327" s="340"/>
      <c r="I3327" s="340"/>
      <c r="J3327" s="340"/>
      <c r="K3327" s="497"/>
    </row>
    <row r="3328" spans="1:11" x14ac:dyDescent="0.35">
      <c r="A3328" s="332"/>
      <c r="B3328" s="333"/>
      <c r="C3328" s="333"/>
      <c r="D3328" s="333"/>
      <c r="E3328" s="333"/>
      <c r="F3328" s="333"/>
      <c r="G3328" s="333"/>
      <c r="H3328" s="333"/>
      <c r="I3328" s="333"/>
      <c r="J3328" s="333"/>
      <c r="K3328" s="496"/>
    </row>
    <row r="3329" spans="1:11" x14ac:dyDescent="0.35">
      <c r="A3329" s="339"/>
      <c r="B3329" s="340"/>
      <c r="C3329" s="340"/>
      <c r="D3329" s="340"/>
      <c r="E3329" s="340"/>
      <c r="F3329" s="340"/>
      <c r="G3329" s="340"/>
      <c r="H3329" s="340"/>
      <c r="I3329" s="340"/>
      <c r="J3329" s="340"/>
      <c r="K3329" s="497"/>
    </row>
    <row r="3330" spans="1:11" x14ac:dyDescent="0.35">
      <c r="A3330" s="332"/>
      <c r="B3330" s="333"/>
      <c r="C3330" s="333"/>
      <c r="D3330" s="333"/>
      <c r="E3330" s="333"/>
      <c r="F3330" s="333"/>
      <c r="G3330" s="333"/>
      <c r="H3330" s="333"/>
      <c r="I3330" s="333"/>
      <c r="J3330" s="333"/>
      <c r="K3330" s="496"/>
    </row>
    <row r="3331" spans="1:11" x14ac:dyDescent="0.35">
      <c r="A3331" s="339"/>
      <c r="B3331" s="340"/>
      <c r="C3331" s="340"/>
      <c r="D3331" s="340"/>
      <c r="E3331" s="340"/>
      <c r="F3331" s="340"/>
      <c r="G3331" s="340"/>
      <c r="H3331" s="340"/>
      <c r="I3331" s="340"/>
      <c r="J3331" s="340"/>
      <c r="K3331" s="497"/>
    </row>
    <row r="3332" spans="1:11" x14ac:dyDescent="0.35">
      <c r="A3332" s="332"/>
      <c r="B3332" s="333"/>
      <c r="C3332" s="333"/>
      <c r="D3332" s="333"/>
      <c r="E3332" s="333"/>
      <c r="F3332" s="333"/>
      <c r="G3332" s="333"/>
      <c r="H3332" s="333"/>
      <c r="I3332" s="333"/>
      <c r="J3332" s="333"/>
      <c r="K3332" s="496"/>
    </row>
    <row r="3333" spans="1:11" x14ac:dyDescent="0.35">
      <c r="A3333" s="339"/>
      <c r="B3333" s="340"/>
      <c r="C3333" s="340"/>
      <c r="D3333" s="340"/>
      <c r="E3333" s="340"/>
      <c r="F3333" s="340"/>
      <c r="G3333" s="340"/>
      <c r="H3333" s="340"/>
      <c r="I3333" s="340"/>
      <c r="J3333" s="340"/>
      <c r="K3333" s="497"/>
    </row>
    <row r="3334" spans="1:11" x14ac:dyDescent="0.35">
      <c r="A3334" s="332"/>
      <c r="B3334" s="333"/>
      <c r="C3334" s="333"/>
      <c r="D3334" s="333"/>
      <c r="E3334" s="333"/>
      <c r="F3334" s="333"/>
      <c r="G3334" s="333"/>
      <c r="H3334" s="333"/>
      <c r="I3334" s="333"/>
      <c r="J3334" s="333"/>
      <c r="K3334" s="496"/>
    </row>
    <row r="3335" spans="1:11" x14ac:dyDescent="0.35">
      <c r="A3335" s="339"/>
      <c r="B3335" s="340"/>
      <c r="C3335" s="340"/>
      <c r="D3335" s="340"/>
      <c r="E3335" s="340"/>
      <c r="F3335" s="340"/>
      <c r="G3335" s="340"/>
      <c r="H3335" s="340"/>
      <c r="I3335" s="340"/>
      <c r="J3335" s="340"/>
      <c r="K3335" s="497"/>
    </row>
    <row r="3336" spans="1:11" x14ac:dyDescent="0.35">
      <c r="A3336" s="332"/>
      <c r="B3336" s="333"/>
      <c r="C3336" s="333"/>
      <c r="D3336" s="333"/>
      <c r="E3336" s="333"/>
      <c r="F3336" s="333"/>
      <c r="G3336" s="333"/>
      <c r="H3336" s="333"/>
      <c r="I3336" s="333"/>
      <c r="J3336" s="333"/>
      <c r="K3336" s="496"/>
    </row>
    <row r="3337" spans="1:11" x14ac:dyDescent="0.35">
      <c r="A3337" s="339"/>
      <c r="B3337" s="340"/>
      <c r="C3337" s="340"/>
      <c r="D3337" s="340"/>
      <c r="E3337" s="340"/>
      <c r="F3337" s="340"/>
      <c r="G3337" s="340"/>
      <c r="H3337" s="340"/>
      <c r="I3337" s="340"/>
      <c r="J3337" s="340"/>
      <c r="K3337" s="497"/>
    </row>
    <row r="3338" spans="1:11" x14ac:dyDescent="0.35">
      <c r="A3338" s="332"/>
      <c r="B3338" s="333"/>
      <c r="C3338" s="333"/>
      <c r="D3338" s="333"/>
      <c r="E3338" s="333"/>
      <c r="F3338" s="333"/>
      <c r="G3338" s="333"/>
      <c r="H3338" s="333"/>
      <c r="I3338" s="333"/>
      <c r="J3338" s="333"/>
      <c r="K3338" s="496"/>
    </row>
    <row r="3339" spans="1:11" x14ac:dyDescent="0.35">
      <c r="A3339" s="339"/>
      <c r="B3339" s="340"/>
      <c r="C3339" s="340"/>
      <c r="D3339" s="340"/>
      <c r="E3339" s="340"/>
      <c r="F3339" s="340"/>
      <c r="G3339" s="340"/>
      <c r="H3339" s="340"/>
      <c r="I3339" s="340"/>
      <c r="J3339" s="340"/>
      <c r="K3339" s="497"/>
    </row>
    <row r="3340" spans="1:11" x14ac:dyDescent="0.35">
      <c r="A3340" s="332"/>
      <c r="B3340" s="333"/>
      <c r="C3340" s="333"/>
      <c r="D3340" s="333"/>
      <c r="E3340" s="333"/>
      <c r="F3340" s="333"/>
      <c r="G3340" s="333"/>
      <c r="H3340" s="333"/>
      <c r="I3340" s="333"/>
      <c r="J3340" s="333"/>
      <c r="K3340" s="496"/>
    </row>
    <row r="3341" spans="1:11" x14ac:dyDescent="0.35">
      <c r="A3341" s="339"/>
      <c r="B3341" s="340"/>
      <c r="C3341" s="340"/>
      <c r="D3341" s="340"/>
      <c r="E3341" s="340"/>
      <c r="F3341" s="340"/>
      <c r="G3341" s="340"/>
      <c r="H3341" s="340"/>
      <c r="I3341" s="340"/>
      <c r="J3341" s="340"/>
      <c r="K3341" s="497"/>
    </row>
    <row r="3342" spans="1:11" x14ac:dyDescent="0.35">
      <c r="A3342" s="332"/>
      <c r="B3342" s="333"/>
      <c r="C3342" s="333"/>
      <c r="D3342" s="333"/>
      <c r="E3342" s="333"/>
      <c r="F3342" s="333"/>
      <c r="G3342" s="333"/>
      <c r="H3342" s="333"/>
      <c r="I3342" s="333"/>
      <c r="J3342" s="333"/>
      <c r="K3342" s="496"/>
    </row>
    <row r="3343" spans="1:11" x14ac:dyDescent="0.35">
      <c r="A3343" s="339"/>
      <c r="B3343" s="340"/>
      <c r="C3343" s="340"/>
      <c r="D3343" s="340"/>
      <c r="E3343" s="340"/>
      <c r="F3343" s="340"/>
      <c r="G3343" s="340"/>
      <c r="H3343" s="340"/>
      <c r="I3343" s="340"/>
      <c r="J3343" s="340"/>
      <c r="K3343" s="497"/>
    </row>
    <row r="3344" spans="1:11" x14ac:dyDescent="0.35">
      <c r="A3344" s="332"/>
      <c r="B3344" s="333"/>
      <c r="C3344" s="333"/>
      <c r="D3344" s="333"/>
      <c r="E3344" s="333"/>
      <c r="F3344" s="333"/>
      <c r="G3344" s="333"/>
      <c r="H3344" s="333"/>
      <c r="I3344" s="333"/>
      <c r="J3344" s="333"/>
      <c r="K3344" s="496"/>
    </row>
    <row r="3345" spans="1:11" x14ac:dyDescent="0.35">
      <c r="A3345" s="339"/>
      <c r="B3345" s="340"/>
      <c r="C3345" s="340"/>
      <c r="D3345" s="340"/>
      <c r="E3345" s="340"/>
      <c r="F3345" s="340"/>
      <c r="G3345" s="340"/>
      <c r="H3345" s="340"/>
      <c r="I3345" s="340"/>
      <c r="J3345" s="340"/>
      <c r="K3345" s="497"/>
    </row>
    <row r="3346" spans="1:11" x14ac:dyDescent="0.35">
      <c r="A3346" s="332"/>
      <c r="B3346" s="333"/>
      <c r="C3346" s="333"/>
      <c r="D3346" s="333"/>
      <c r="E3346" s="333"/>
      <c r="F3346" s="333"/>
      <c r="G3346" s="333"/>
      <c r="H3346" s="333"/>
      <c r="I3346" s="333"/>
      <c r="J3346" s="333"/>
      <c r="K3346" s="496"/>
    </row>
    <row r="3347" spans="1:11" x14ac:dyDescent="0.35">
      <c r="A3347" s="339"/>
      <c r="B3347" s="340"/>
      <c r="C3347" s="340"/>
      <c r="D3347" s="340"/>
      <c r="E3347" s="340"/>
      <c r="F3347" s="340"/>
      <c r="G3347" s="340"/>
      <c r="H3347" s="340"/>
      <c r="I3347" s="340"/>
      <c r="J3347" s="340"/>
      <c r="K3347" s="497"/>
    </row>
    <row r="3348" spans="1:11" x14ac:dyDescent="0.35">
      <c r="A3348" s="332"/>
      <c r="B3348" s="333"/>
      <c r="C3348" s="333"/>
      <c r="D3348" s="333"/>
      <c r="E3348" s="333"/>
      <c r="F3348" s="333"/>
      <c r="G3348" s="333"/>
      <c r="H3348" s="333"/>
      <c r="I3348" s="333"/>
      <c r="J3348" s="333"/>
      <c r="K3348" s="496"/>
    </row>
    <row r="3349" spans="1:11" x14ac:dyDescent="0.35">
      <c r="A3349" s="339"/>
      <c r="B3349" s="340"/>
      <c r="C3349" s="340"/>
      <c r="D3349" s="340"/>
      <c r="E3349" s="340"/>
      <c r="F3349" s="340"/>
      <c r="G3349" s="340"/>
      <c r="H3349" s="340"/>
      <c r="I3349" s="340"/>
      <c r="J3349" s="340"/>
      <c r="K3349" s="497"/>
    </row>
    <row r="3350" spans="1:11" x14ac:dyDescent="0.35">
      <c r="A3350" s="332"/>
      <c r="B3350" s="333"/>
      <c r="C3350" s="333"/>
      <c r="D3350" s="333"/>
      <c r="E3350" s="333"/>
      <c r="F3350" s="333"/>
      <c r="G3350" s="333"/>
      <c r="H3350" s="333"/>
      <c r="I3350" s="333"/>
      <c r="J3350" s="333"/>
      <c r="K3350" s="496"/>
    </row>
    <row r="3351" spans="1:11" x14ac:dyDescent="0.35">
      <c r="A3351" s="339"/>
      <c r="B3351" s="340"/>
      <c r="C3351" s="340"/>
      <c r="D3351" s="340"/>
      <c r="E3351" s="340"/>
      <c r="F3351" s="340"/>
      <c r="G3351" s="340"/>
      <c r="H3351" s="340"/>
      <c r="I3351" s="340"/>
      <c r="J3351" s="340"/>
      <c r="K3351" s="497"/>
    </row>
    <row r="3352" spans="1:11" x14ac:dyDescent="0.35">
      <c r="A3352" s="332"/>
      <c r="B3352" s="333"/>
      <c r="C3352" s="333"/>
      <c r="D3352" s="333"/>
      <c r="E3352" s="333"/>
      <c r="F3352" s="333"/>
      <c r="G3352" s="333"/>
      <c r="H3352" s="333"/>
      <c r="I3352" s="333"/>
      <c r="J3352" s="333"/>
      <c r="K3352" s="496"/>
    </row>
    <row r="3353" spans="1:11" x14ac:dyDescent="0.35">
      <c r="A3353" s="339"/>
      <c r="B3353" s="340"/>
      <c r="C3353" s="340"/>
      <c r="D3353" s="340"/>
      <c r="E3353" s="340"/>
      <c r="F3353" s="340"/>
      <c r="G3353" s="340"/>
      <c r="H3353" s="340"/>
      <c r="I3353" s="340"/>
      <c r="J3353" s="340"/>
      <c r="K3353" s="497"/>
    </row>
    <row r="3354" spans="1:11" x14ac:dyDescent="0.35">
      <c r="A3354" s="332"/>
      <c r="B3354" s="333"/>
      <c r="C3354" s="333"/>
      <c r="D3354" s="333"/>
      <c r="E3354" s="333"/>
      <c r="F3354" s="333"/>
      <c r="G3354" s="333"/>
      <c r="H3354" s="333"/>
      <c r="I3354" s="333"/>
      <c r="J3354" s="333"/>
      <c r="K3354" s="496"/>
    </row>
    <row r="3355" spans="1:11" x14ac:dyDescent="0.35">
      <c r="A3355" s="339"/>
      <c r="B3355" s="340"/>
      <c r="C3355" s="340"/>
      <c r="D3355" s="340"/>
      <c r="E3355" s="340"/>
      <c r="F3355" s="340"/>
      <c r="G3355" s="340"/>
      <c r="H3355" s="340"/>
      <c r="I3355" s="340"/>
      <c r="J3355" s="340"/>
      <c r="K3355" s="497"/>
    </row>
    <row r="3356" spans="1:11" x14ac:dyDescent="0.35">
      <c r="A3356" s="332"/>
      <c r="B3356" s="333"/>
      <c r="C3356" s="333"/>
      <c r="D3356" s="333"/>
      <c r="E3356" s="333"/>
      <c r="F3356" s="333"/>
      <c r="G3356" s="333"/>
      <c r="H3356" s="333"/>
      <c r="I3356" s="333"/>
      <c r="J3356" s="333"/>
      <c r="K3356" s="496"/>
    </row>
    <row r="3357" spans="1:11" x14ac:dyDescent="0.35">
      <c r="A3357" s="339"/>
      <c r="B3357" s="340"/>
      <c r="C3357" s="340"/>
      <c r="D3357" s="340"/>
      <c r="E3357" s="340"/>
      <c r="F3357" s="340"/>
      <c r="G3357" s="340"/>
      <c r="H3357" s="340"/>
      <c r="I3357" s="340"/>
      <c r="J3357" s="340"/>
      <c r="K3357" s="497"/>
    </row>
    <row r="3358" spans="1:11" x14ac:dyDescent="0.35">
      <c r="A3358" s="332"/>
      <c r="B3358" s="333"/>
      <c r="C3358" s="333"/>
      <c r="D3358" s="333"/>
      <c r="E3358" s="333"/>
      <c r="F3358" s="333"/>
      <c r="G3358" s="333"/>
      <c r="H3358" s="333"/>
      <c r="I3358" s="333"/>
      <c r="J3358" s="333"/>
      <c r="K3358" s="496"/>
    </row>
    <row r="3359" spans="1:11" x14ac:dyDescent="0.35">
      <c r="A3359" s="339"/>
      <c r="B3359" s="340"/>
      <c r="C3359" s="340"/>
      <c r="D3359" s="340"/>
      <c r="E3359" s="340"/>
      <c r="F3359" s="340"/>
      <c r="G3359" s="340"/>
      <c r="H3359" s="340"/>
      <c r="I3359" s="340"/>
      <c r="J3359" s="340"/>
      <c r="K3359" s="497"/>
    </row>
    <row r="3360" spans="1:11" x14ac:dyDescent="0.35">
      <c r="A3360" s="332"/>
      <c r="B3360" s="333"/>
      <c r="C3360" s="333"/>
      <c r="D3360" s="333"/>
      <c r="E3360" s="333"/>
      <c r="F3360" s="333"/>
      <c r="G3360" s="333"/>
      <c r="H3360" s="333"/>
      <c r="I3360" s="333"/>
      <c r="J3360" s="333"/>
      <c r="K3360" s="496"/>
    </row>
    <row r="3361" spans="1:11" x14ac:dyDescent="0.35">
      <c r="A3361" s="339"/>
      <c r="B3361" s="340"/>
      <c r="C3361" s="340"/>
      <c r="D3361" s="340"/>
      <c r="E3361" s="340"/>
      <c r="F3361" s="340"/>
      <c r="G3361" s="340"/>
      <c r="H3361" s="340"/>
      <c r="I3361" s="340"/>
      <c r="J3361" s="340"/>
      <c r="K3361" s="497"/>
    </row>
    <row r="3362" spans="1:11" x14ac:dyDescent="0.35">
      <c r="A3362" s="332"/>
      <c r="B3362" s="333"/>
      <c r="C3362" s="333"/>
      <c r="D3362" s="333"/>
      <c r="E3362" s="333"/>
      <c r="F3362" s="333"/>
      <c r="G3362" s="333"/>
      <c r="H3362" s="333"/>
      <c r="I3362" s="333"/>
      <c r="J3362" s="333"/>
      <c r="K3362" s="496"/>
    </row>
    <row r="3363" spans="1:11" x14ac:dyDescent="0.35">
      <c r="A3363" s="339"/>
      <c r="B3363" s="340"/>
      <c r="C3363" s="340"/>
      <c r="D3363" s="340"/>
      <c r="E3363" s="340"/>
      <c r="F3363" s="340"/>
      <c r="G3363" s="340"/>
      <c r="H3363" s="340"/>
      <c r="I3363" s="340"/>
      <c r="J3363" s="340"/>
      <c r="K3363" s="497"/>
    </row>
    <row r="3364" spans="1:11" x14ac:dyDescent="0.35">
      <c r="A3364" s="332"/>
      <c r="B3364" s="333"/>
      <c r="C3364" s="333"/>
      <c r="D3364" s="333"/>
      <c r="E3364" s="333"/>
      <c r="F3364" s="333"/>
      <c r="G3364" s="333"/>
      <c r="H3364" s="333"/>
      <c r="I3364" s="333"/>
      <c r="J3364" s="333"/>
      <c r="K3364" s="496"/>
    </row>
    <row r="3365" spans="1:11" x14ac:dyDescent="0.35">
      <c r="A3365" s="339"/>
      <c r="B3365" s="340"/>
      <c r="C3365" s="340"/>
      <c r="D3365" s="340"/>
      <c r="E3365" s="340"/>
      <c r="F3365" s="340"/>
      <c r="G3365" s="340"/>
      <c r="H3365" s="340"/>
      <c r="I3365" s="340"/>
      <c r="J3365" s="340"/>
      <c r="K3365" s="497"/>
    </row>
    <row r="3366" spans="1:11" x14ac:dyDescent="0.35">
      <c r="A3366" s="332"/>
      <c r="B3366" s="333"/>
      <c r="C3366" s="333"/>
      <c r="D3366" s="333"/>
      <c r="E3366" s="333"/>
      <c r="F3366" s="333"/>
      <c r="G3366" s="333"/>
      <c r="H3366" s="333"/>
      <c r="I3366" s="333"/>
      <c r="J3366" s="333"/>
      <c r="K3366" s="496"/>
    </row>
    <row r="3367" spans="1:11" x14ac:dyDescent="0.35">
      <c r="A3367" s="339"/>
      <c r="B3367" s="340"/>
      <c r="C3367" s="340"/>
      <c r="D3367" s="340"/>
      <c r="E3367" s="340"/>
      <c r="F3367" s="340"/>
      <c r="G3367" s="340"/>
      <c r="H3367" s="340"/>
      <c r="I3367" s="340"/>
      <c r="J3367" s="340"/>
      <c r="K3367" s="497"/>
    </row>
    <row r="3368" spans="1:11" x14ac:dyDescent="0.35">
      <c r="A3368" s="332"/>
      <c r="B3368" s="333"/>
      <c r="C3368" s="333"/>
      <c r="D3368" s="333"/>
      <c r="E3368" s="333"/>
      <c r="F3368" s="333"/>
      <c r="G3368" s="333"/>
      <c r="H3368" s="333"/>
      <c r="I3368" s="333"/>
      <c r="J3368" s="333"/>
      <c r="K3368" s="496"/>
    </row>
    <row r="3369" spans="1:11" x14ac:dyDescent="0.35">
      <c r="A3369" s="339"/>
      <c r="B3369" s="340"/>
      <c r="C3369" s="340"/>
      <c r="D3369" s="340"/>
      <c r="E3369" s="340"/>
      <c r="F3369" s="340"/>
      <c r="G3369" s="340"/>
      <c r="H3369" s="340"/>
      <c r="I3369" s="340"/>
      <c r="J3369" s="340"/>
      <c r="K3369" s="497"/>
    </row>
    <row r="3370" spans="1:11" x14ac:dyDescent="0.35">
      <c r="A3370" s="332"/>
      <c r="B3370" s="333"/>
      <c r="C3370" s="333"/>
      <c r="D3370" s="333"/>
      <c r="E3370" s="333"/>
      <c r="F3370" s="333"/>
      <c r="G3370" s="333"/>
      <c r="H3370" s="333"/>
      <c r="I3370" s="333"/>
      <c r="J3370" s="333"/>
      <c r="K3370" s="496"/>
    </row>
    <row r="3371" spans="1:11" x14ac:dyDescent="0.35">
      <c r="A3371" s="339"/>
      <c r="B3371" s="340"/>
      <c r="C3371" s="340"/>
      <c r="D3371" s="340"/>
      <c r="E3371" s="340"/>
      <c r="F3371" s="340"/>
      <c r="G3371" s="340"/>
      <c r="H3371" s="340"/>
      <c r="I3371" s="340"/>
      <c r="J3371" s="340"/>
      <c r="K3371" s="497"/>
    </row>
    <row r="3372" spans="1:11" x14ac:dyDescent="0.35">
      <c r="A3372" s="332"/>
      <c r="B3372" s="333"/>
      <c r="C3372" s="333"/>
      <c r="D3372" s="333"/>
      <c r="E3372" s="333"/>
      <c r="F3372" s="333"/>
      <c r="G3372" s="333"/>
      <c r="H3372" s="333"/>
      <c r="I3372" s="333"/>
      <c r="J3372" s="333"/>
      <c r="K3372" s="496"/>
    </row>
    <row r="3373" spans="1:11" x14ac:dyDescent="0.35">
      <c r="A3373" s="339"/>
      <c r="B3373" s="340"/>
      <c r="C3373" s="340"/>
      <c r="D3373" s="340"/>
      <c r="E3373" s="340"/>
      <c r="F3373" s="340"/>
      <c r="G3373" s="340"/>
      <c r="H3373" s="340"/>
      <c r="I3373" s="340"/>
      <c r="J3373" s="340"/>
      <c r="K3373" s="497"/>
    </row>
    <row r="3374" spans="1:11" x14ac:dyDescent="0.35">
      <c r="A3374" s="332"/>
      <c r="B3374" s="333"/>
      <c r="C3374" s="333"/>
      <c r="D3374" s="333"/>
      <c r="E3374" s="333"/>
      <c r="F3374" s="333"/>
      <c r="G3374" s="333"/>
      <c r="H3374" s="333"/>
      <c r="I3374" s="333"/>
      <c r="J3374" s="333"/>
      <c r="K3374" s="496"/>
    </row>
    <row r="3375" spans="1:11" x14ac:dyDescent="0.35">
      <c r="A3375" s="339"/>
      <c r="B3375" s="340"/>
      <c r="C3375" s="340"/>
      <c r="D3375" s="340"/>
      <c r="E3375" s="340"/>
      <c r="F3375" s="340"/>
      <c r="G3375" s="340"/>
      <c r="H3375" s="340"/>
      <c r="I3375" s="340"/>
      <c r="J3375" s="340"/>
      <c r="K3375" s="497"/>
    </row>
    <row r="3376" spans="1:11" x14ac:dyDescent="0.35">
      <c r="A3376" s="332"/>
      <c r="B3376" s="333"/>
      <c r="C3376" s="333"/>
      <c r="D3376" s="333"/>
      <c r="E3376" s="333"/>
      <c r="F3376" s="333"/>
      <c r="G3376" s="333"/>
      <c r="H3376" s="333"/>
      <c r="I3376" s="333"/>
      <c r="J3376" s="333"/>
      <c r="K3376" s="496"/>
    </row>
    <row r="3377" spans="1:11" x14ac:dyDescent="0.35">
      <c r="A3377" s="339"/>
      <c r="B3377" s="340"/>
      <c r="C3377" s="340"/>
      <c r="D3377" s="340"/>
      <c r="E3377" s="340"/>
      <c r="F3377" s="340"/>
      <c r="G3377" s="340"/>
      <c r="H3377" s="340"/>
      <c r="I3377" s="340"/>
      <c r="J3377" s="340"/>
      <c r="K3377" s="497"/>
    </row>
    <row r="3378" spans="1:11" x14ac:dyDescent="0.35">
      <c r="A3378" s="332"/>
      <c r="B3378" s="333"/>
      <c r="C3378" s="333"/>
      <c r="D3378" s="333"/>
      <c r="E3378" s="333"/>
      <c r="F3378" s="333"/>
      <c r="G3378" s="333"/>
      <c r="H3378" s="333"/>
      <c r="I3378" s="333"/>
      <c r="J3378" s="333"/>
      <c r="K3378" s="496"/>
    </row>
    <row r="3379" spans="1:11" x14ac:dyDescent="0.35">
      <c r="A3379" s="339"/>
      <c r="B3379" s="340"/>
      <c r="C3379" s="340"/>
      <c r="D3379" s="340"/>
      <c r="E3379" s="340"/>
      <c r="F3379" s="340"/>
      <c r="G3379" s="340"/>
      <c r="H3379" s="340"/>
      <c r="I3379" s="340"/>
      <c r="J3379" s="340"/>
      <c r="K3379" s="497"/>
    </row>
    <row r="3380" spans="1:11" x14ac:dyDescent="0.35">
      <c r="A3380" s="332"/>
      <c r="B3380" s="333"/>
      <c r="C3380" s="333"/>
      <c r="D3380" s="333"/>
      <c r="E3380" s="333"/>
      <c r="F3380" s="333"/>
      <c r="G3380" s="333"/>
      <c r="H3380" s="333"/>
      <c r="I3380" s="333"/>
      <c r="J3380" s="333"/>
      <c r="K3380" s="496"/>
    </row>
    <row r="3381" spans="1:11" x14ac:dyDescent="0.35">
      <c r="A3381" s="339"/>
      <c r="B3381" s="340"/>
      <c r="C3381" s="340"/>
      <c r="D3381" s="340"/>
      <c r="E3381" s="340"/>
      <c r="F3381" s="340"/>
      <c r="G3381" s="340"/>
      <c r="H3381" s="340"/>
      <c r="I3381" s="340"/>
      <c r="J3381" s="340"/>
      <c r="K3381" s="497"/>
    </row>
    <row r="3382" spans="1:11" x14ac:dyDescent="0.35">
      <c r="A3382" s="332"/>
      <c r="B3382" s="333"/>
      <c r="C3382" s="333"/>
      <c r="D3382" s="333"/>
      <c r="E3382" s="333"/>
      <c r="F3382" s="333"/>
      <c r="G3382" s="333"/>
      <c r="H3382" s="333"/>
      <c r="I3382" s="333"/>
      <c r="J3382" s="333"/>
      <c r="K3382" s="496"/>
    </row>
    <row r="3383" spans="1:11" x14ac:dyDescent="0.35">
      <c r="A3383" s="339"/>
      <c r="B3383" s="340"/>
      <c r="C3383" s="340"/>
      <c r="D3383" s="340"/>
      <c r="E3383" s="340"/>
      <c r="F3383" s="340"/>
      <c r="G3383" s="340"/>
      <c r="H3383" s="340"/>
      <c r="I3383" s="340"/>
      <c r="J3383" s="340"/>
      <c r="K3383" s="497"/>
    </row>
    <row r="3384" spans="1:11" x14ac:dyDescent="0.35">
      <c r="A3384" s="332"/>
      <c r="B3384" s="333"/>
      <c r="C3384" s="333"/>
      <c r="D3384" s="333"/>
      <c r="E3384" s="333"/>
      <c r="F3384" s="333"/>
      <c r="G3384" s="333"/>
      <c r="H3384" s="333"/>
      <c r="I3384" s="333"/>
      <c r="J3384" s="333"/>
      <c r="K3384" s="496"/>
    </row>
    <row r="3385" spans="1:11" x14ac:dyDescent="0.35">
      <c r="A3385" s="339"/>
      <c r="B3385" s="340"/>
      <c r="C3385" s="340"/>
      <c r="D3385" s="340"/>
      <c r="E3385" s="340"/>
      <c r="F3385" s="340"/>
      <c r="G3385" s="340"/>
      <c r="H3385" s="340"/>
      <c r="I3385" s="340"/>
      <c r="J3385" s="340"/>
      <c r="K3385" s="497"/>
    </row>
    <row r="3386" spans="1:11" x14ac:dyDescent="0.35">
      <c r="A3386" s="332"/>
      <c r="B3386" s="333"/>
      <c r="C3386" s="333"/>
      <c r="D3386" s="333"/>
      <c r="E3386" s="333"/>
      <c r="F3386" s="333"/>
      <c r="G3386" s="333"/>
      <c r="H3386" s="333"/>
      <c r="I3386" s="333"/>
      <c r="J3386" s="333"/>
      <c r="K3386" s="496"/>
    </row>
    <row r="3387" spans="1:11" x14ac:dyDescent="0.35">
      <c r="A3387" s="339"/>
      <c r="B3387" s="340"/>
      <c r="C3387" s="340"/>
      <c r="D3387" s="340"/>
      <c r="E3387" s="340"/>
      <c r="F3387" s="340"/>
      <c r="G3387" s="340"/>
      <c r="H3387" s="340"/>
      <c r="I3387" s="340"/>
      <c r="J3387" s="340"/>
      <c r="K3387" s="497"/>
    </row>
    <row r="3388" spans="1:11" x14ac:dyDescent="0.35">
      <c r="A3388" s="332"/>
      <c r="B3388" s="333"/>
      <c r="C3388" s="333"/>
      <c r="D3388" s="333"/>
      <c r="E3388" s="333"/>
      <c r="F3388" s="333"/>
      <c r="G3388" s="333"/>
      <c r="H3388" s="333"/>
      <c r="I3388" s="333"/>
      <c r="J3388" s="333"/>
      <c r="K3388" s="496"/>
    </row>
    <row r="3389" spans="1:11" x14ac:dyDescent="0.35">
      <c r="A3389" s="339"/>
      <c r="B3389" s="340"/>
      <c r="C3389" s="340"/>
      <c r="D3389" s="340"/>
      <c r="E3389" s="340"/>
      <c r="F3389" s="340"/>
      <c r="G3389" s="340"/>
      <c r="H3389" s="340"/>
      <c r="I3389" s="340"/>
      <c r="J3389" s="340"/>
      <c r="K3389" s="497"/>
    </row>
    <row r="3390" spans="1:11" x14ac:dyDescent="0.35">
      <c r="A3390" s="332"/>
      <c r="B3390" s="333"/>
      <c r="C3390" s="333"/>
      <c r="D3390" s="333"/>
      <c r="E3390" s="333"/>
      <c r="F3390" s="333"/>
      <c r="G3390" s="333"/>
      <c r="H3390" s="333"/>
      <c r="I3390" s="333"/>
      <c r="J3390" s="333"/>
      <c r="K3390" s="496"/>
    </row>
    <row r="3391" spans="1:11" x14ac:dyDescent="0.35">
      <c r="A3391" s="339"/>
      <c r="B3391" s="340"/>
      <c r="C3391" s="340"/>
      <c r="D3391" s="340"/>
      <c r="E3391" s="340"/>
      <c r="F3391" s="340"/>
      <c r="G3391" s="340"/>
      <c r="H3391" s="340"/>
      <c r="I3391" s="340"/>
      <c r="J3391" s="340"/>
      <c r="K3391" s="497"/>
    </row>
    <row r="3392" spans="1:11" x14ac:dyDescent="0.35">
      <c r="A3392" s="332"/>
      <c r="B3392" s="333"/>
      <c r="C3392" s="333"/>
      <c r="D3392" s="333"/>
      <c r="E3392" s="333"/>
      <c r="F3392" s="333"/>
      <c r="G3392" s="333"/>
      <c r="H3392" s="333"/>
      <c r="I3392" s="333"/>
      <c r="J3392" s="333"/>
      <c r="K3392" s="496"/>
    </row>
    <row r="3393" spans="1:11" x14ac:dyDescent="0.35">
      <c r="A3393" s="339"/>
      <c r="B3393" s="340"/>
      <c r="C3393" s="340"/>
      <c r="D3393" s="340"/>
      <c r="E3393" s="340"/>
      <c r="F3393" s="340"/>
      <c r="G3393" s="340"/>
      <c r="H3393" s="340"/>
      <c r="I3393" s="340"/>
      <c r="J3393" s="340"/>
      <c r="K3393" s="497"/>
    </row>
    <row r="3394" spans="1:11" x14ac:dyDescent="0.35">
      <c r="A3394" s="332"/>
      <c r="B3394" s="333"/>
      <c r="C3394" s="333"/>
      <c r="D3394" s="333"/>
      <c r="E3394" s="333"/>
      <c r="F3394" s="333"/>
      <c r="G3394" s="333"/>
      <c r="H3394" s="333"/>
      <c r="I3394" s="333"/>
      <c r="J3394" s="333"/>
      <c r="K3394" s="496"/>
    </row>
    <row r="3395" spans="1:11" x14ac:dyDescent="0.35">
      <c r="A3395" s="339"/>
      <c r="B3395" s="340"/>
      <c r="C3395" s="340"/>
      <c r="D3395" s="340"/>
      <c r="E3395" s="340"/>
      <c r="F3395" s="340"/>
      <c r="G3395" s="340"/>
      <c r="H3395" s="340"/>
      <c r="I3395" s="340"/>
      <c r="J3395" s="340"/>
      <c r="K3395" s="497"/>
    </row>
    <row r="3396" spans="1:11" x14ac:dyDescent="0.35">
      <c r="A3396" s="332"/>
      <c r="B3396" s="333"/>
      <c r="C3396" s="333"/>
      <c r="D3396" s="333"/>
      <c r="E3396" s="333"/>
      <c r="F3396" s="333"/>
      <c r="G3396" s="333"/>
      <c r="H3396" s="333"/>
      <c r="I3396" s="333"/>
      <c r="J3396" s="333"/>
      <c r="K3396" s="496"/>
    </row>
    <row r="3397" spans="1:11" x14ac:dyDescent="0.35">
      <c r="A3397" s="339"/>
      <c r="B3397" s="340"/>
      <c r="C3397" s="340"/>
      <c r="D3397" s="340"/>
      <c r="E3397" s="340"/>
      <c r="F3397" s="340"/>
      <c r="G3397" s="340"/>
      <c r="H3397" s="340"/>
      <c r="I3397" s="340"/>
      <c r="J3397" s="340"/>
      <c r="K3397" s="497"/>
    </row>
    <row r="3398" spans="1:11" x14ac:dyDescent="0.35">
      <c r="A3398" s="332"/>
      <c r="B3398" s="333"/>
      <c r="C3398" s="333"/>
      <c r="D3398" s="333"/>
      <c r="E3398" s="333"/>
      <c r="F3398" s="333"/>
      <c r="G3398" s="333"/>
      <c r="H3398" s="333"/>
      <c r="I3398" s="333"/>
      <c r="J3398" s="333"/>
      <c r="K3398" s="496"/>
    </row>
    <row r="3399" spans="1:11" x14ac:dyDescent="0.35">
      <c r="A3399" s="339"/>
      <c r="B3399" s="340"/>
      <c r="C3399" s="340"/>
      <c r="D3399" s="340"/>
      <c r="E3399" s="340"/>
      <c r="F3399" s="340"/>
      <c r="G3399" s="340"/>
      <c r="H3399" s="340"/>
      <c r="I3399" s="340"/>
      <c r="J3399" s="340"/>
      <c r="K3399" s="497"/>
    </row>
    <row r="3400" spans="1:11" x14ac:dyDescent="0.35">
      <c r="A3400" s="332"/>
      <c r="B3400" s="333"/>
      <c r="C3400" s="333"/>
      <c r="D3400" s="333"/>
      <c r="E3400" s="333"/>
      <c r="F3400" s="333"/>
      <c r="G3400" s="333"/>
      <c r="H3400" s="333"/>
      <c r="I3400" s="333"/>
      <c r="J3400" s="333"/>
      <c r="K3400" s="496"/>
    </row>
    <row r="3401" spans="1:11" x14ac:dyDescent="0.35">
      <c r="A3401" s="339"/>
      <c r="B3401" s="340"/>
      <c r="C3401" s="340"/>
      <c r="D3401" s="340"/>
      <c r="E3401" s="340"/>
      <c r="F3401" s="340"/>
      <c r="G3401" s="340"/>
      <c r="H3401" s="340"/>
      <c r="I3401" s="340"/>
      <c r="J3401" s="340"/>
      <c r="K3401" s="497"/>
    </row>
    <row r="3402" spans="1:11" x14ac:dyDescent="0.35">
      <c r="A3402" s="332"/>
      <c r="B3402" s="333"/>
      <c r="C3402" s="333"/>
      <c r="D3402" s="333"/>
      <c r="E3402" s="333"/>
      <c r="F3402" s="333"/>
      <c r="G3402" s="333"/>
      <c r="H3402" s="333"/>
      <c r="I3402" s="333"/>
      <c r="J3402" s="333"/>
      <c r="K3402" s="496"/>
    </row>
    <row r="3403" spans="1:11" x14ac:dyDescent="0.35">
      <c r="A3403" s="339"/>
      <c r="B3403" s="340"/>
      <c r="C3403" s="340"/>
      <c r="D3403" s="340"/>
      <c r="E3403" s="340"/>
      <c r="F3403" s="340"/>
      <c r="G3403" s="340"/>
      <c r="H3403" s="340"/>
      <c r="I3403" s="340"/>
      <c r="J3403" s="340"/>
      <c r="K3403" s="497"/>
    </row>
    <row r="3404" spans="1:11" x14ac:dyDescent="0.35">
      <c r="A3404" s="332"/>
      <c r="B3404" s="333"/>
      <c r="C3404" s="333"/>
      <c r="D3404" s="333"/>
      <c r="E3404" s="333"/>
      <c r="F3404" s="333"/>
      <c r="G3404" s="333"/>
      <c r="H3404" s="333"/>
      <c r="I3404" s="333"/>
      <c r="J3404" s="333"/>
      <c r="K3404" s="496"/>
    </row>
    <row r="3405" spans="1:11" x14ac:dyDescent="0.35">
      <c r="A3405" s="339"/>
      <c r="B3405" s="340"/>
      <c r="C3405" s="340"/>
      <c r="D3405" s="340"/>
      <c r="E3405" s="340"/>
      <c r="F3405" s="340"/>
      <c r="G3405" s="340"/>
      <c r="H3405" s="340"/>
      <c r="I3405" s="340"/>
      <c r="J3405" s="340"/>
      <c r="K3405" s="497"/>
    </row>
    <row r="3406" spans="1:11" x14ac:dyDescent="0.35">
      <c r="A3406" s="332"/>
      <c r="B3406" s="333"/>
      <c r="C3406" s="333"/>
      <c r="D3406" s="333"/>
      <c r="E3406" s="333"/>
      <c r="F3406" s="333"/>
      <c r="G3406" s="333"/>
      <c r="H3406" s="333"/>
      <c r="I3406" s="333"/>
      <c r="J3406" s="333"/>
      <c r="K3406" s="496"/>
    </row>
    <row r="3407" spans="1:11" x14ac:dyDescent="0.35">
      <c r="A3407" s="339"/>
      <c r="B3407" s="340"/>
      <c r="C3407" s="340"/>
      <c r="D3407" s="340"/>
      <c r="E3407" s="340"/>
      <c r="F3407" s="340"/>
      <c r="G3407" s="340"/>
      <c r="H3407" s="340"/>
      <c r="I3407" s="340"/>
      <c r="J3407" s="340"/>
      <c r="K3407" s="497"/>
    </row>
    <row r="3408" spans="1:11" x14ac:dyDescent="0.35">
      <c r="A3408" s="332"/>
      <c r="B3408" s="333"/>
      <c r="C3408" s="333"/>
      <c r="D3408" s="333"/>
      <c r="E3408" s="333"/>
      <c r="F3408" s="333"/>
      <c r="G3408" s="333"/>
      <c r="H3408" s="333"/>
      <c r="I3408" s="333"/>
      <c r="J3408" s="333"/>
      <c r="K3408" s="496"/>
    </row>
    <row r="3409" spans="1:11" x14ac:dyDescent="0.35">
      <c r="A3409" s="339"/>
      <c r="B3409" s="340"/>
      <c r="C3409" s="340"/>
      <c r="D3409" s="340"/>
      <c r="E3409" s="340"/>
      <c r="F3409" s="340"/>
      <c r="G3409" s="340"/>
      <c r="H3409" s="340"/>
      <c r="I3409" s="340"/>
      <c r="J3409" s="340"/>
      <c r="K3409" s="497"/>
    </row>
    <row r="3410" spans="1:11" x14ac:dyDescent="0.35">
      <c r="A3410" s="332"/>
      <c r="B3410" s="333"/>
      <c r="C3410" s="333"/>
      <c r="D3410" s="333"/>
      <c r="E3410" s="333"/>
      <c r="F3410" s="333"/>
      <c r="G3410" s="333"/>
      <c r="H3410" s="333"/>
      <c r="I3410" s="333"/>
      <c r="J3410" s="333"/>
      <c r="K3410" s="496"/>
    </row>
    <row r="3411" spans="1:11" x14ac:dyDescent="0.35">
      <c r="A3411" s="339"/>
      <c r="B3411" s="340"/>
      <c r="C3411" s="340"/>
      <c r="D3411" s="340"/>
      <c r="E3411" s="340"/>
      <c r="F3411" s="340"/>
      <c r="G3411" s="340"/>
      <c r="H3411" s="340"/>
      <c r="I3411" s="340"/>
      <c r="J3411" s="340"/>
      <c r="K3411" s="497"/>
    </row>
    <row r="3412" spans="1:11" x14ac:dyDescent="0.35">
      <c r="A3412" s="332"/>
      <c r="B3412" s="333"/>
      <c r="C3412" s="333"/>
      <c r="D3412" s="333"/>
      <c r="E3412" s="333"/>
      <c r="F3412" s="333"/>
      <c r="G3412" s="333"/>
      <c r="H3412" s="333"/>
      <c r="I3412" s="333"/>
      <c r="J3412" s="333"/>
      <c r="K3412" s="496"/>
    </row>
    <row r="3413" spans="1:11" x14ac:dyDescent="0.35">
      <c r="A3413" s="339"/>
      <c r="B3413" s="340"/>
      <c r="C3413" s="340"/>
      <c r="D3413" s="340"/>
      <c r="E3413" s="340"/>
      <c r="F3413" s="340"/>
      <c r="G3413" s="340"/>
      <c r="H3413" s="340"/>
      <c r="I3413" s="340"/>
      <c r="J3413" s="340"/>
      <c r="K3413" s="497"/>
    </row>
    <row r="3414" spans="1:11" x14ac:dyDescent="0.35">
      <c r="A3414" s="332"/>
      <c r="B3414" s="333"/>
      <c r="C3414" s="333"/>
      <c r="D3414" s="333"/>
      <c r="E3414" s="333"/>
      <c r="F3414" s="333"/>
      <c r="G3414" s="333"/>
      <c r="H3414" s="333"/>
      <c r="I3414" s="333"/>
      <c r="J3414" s="333"/>
      <c r="K3414" s="496"/>
    </row>
    <row r="3415" spans="1:11" x14ac:dyDescent="0.35">
      <c r="A3415" s="339"/>
      <c r="B3415" s="340"/>
      <c r="C3415" s="340"/>
      <c r="D3415" s="340"/>
      <c r="E3415" s="340"/>
      <c r="F3415" s="340"/>
      <c r="G3415" s="340"/>
      <c r="H3415" s="340"/>
      <c r="I3415" s="340"/>
      <c r="J3415" s="340"/>
      <c r="K3415" s="497"/>
    </row>
    <row r="3416" spans="1:11" x14ac:dyDescent="0.35">
      <c r="A3416" s="332"/>
      <c r="B3416" s="333"/>
      <c r="C3416" s="333"/>
      <c r="D3416" s="333"/>
      <c r="E3416" s="333"/>
      <c r="F3416" s="333"/>
      <c r="G3416" s="333"/>
      <c r="H3416" s="333"/>
      <c r="I3416" s="333"/>
      <c r="J3416" s="333"/>
      <c r="K3416" s="496"/>
    </row>
    <row r="3417" spans="1:11" x14ac:dyDescent="0.35">
      <c r="A3417" s="339"/>
      <c r="B3417" s="340"/>
      <c r="C3417" s="340"/>
      <c r="D3417" s="340"/>
      <c r="E3417" s="340"/>
      <c r="F3417" s="340"/>
      <c r="G3417" s="340"/>
      <c r="H3417" s="340"/>
      <c r="I3417" s="340"/>
      <c r="J3417" s="340"/>
      <c r="K3417" s="497"/>
    </row>
    <row r="3418" spans="1:11" x14ac:dyDescent="0.35">
      <c r="A3418" s="332"/>
      <c r="B3418" s="333"/>
      <c r="C3418" s="333"/>
      <c r="D3418" s="333"/>
      <c r="E3418" s="333"/>
      <c r="F3418" s="333"/>
      <c r="G3418" s="333"/>
      <c r="H3418" s="333"/>
      <c r="I3418" s="333"/>
      <c r="J3418" s="333"/>
      <c r="K3418" s="496"/>
    </row>
    <row r="3419" spans="1:11" x14ac:dyDescent="0.35">
      <c r="A3419" s="339"/>
      <c r="B3419" s="340"/>
      <c r="C3419" s="340"/>
      <c r="D3419" s="340"/>
      <c r="E3419" s="340"/>
      <c r="F3419" s="340"/>
      <c r="G3419" s="340"/>
      <c r="H3419" s="340"/>
      <c r="I3419" s="340"/>
      <c r="J3419" s="340"/>
      <c r="K3419" s="497"/>
    </row>
    <row r="3420" spans="1:11" x14ac:dyDescent="0.35">
      <c r="A3420" s="332"/>
      <c r="B3420" s="333"/>
      <c r="C3420" s="333"/>
      <c r="D3420" s="333"/>
      <c r="E3420" s="333"/>
      <c r="F3420" s="333"/>
      <c r="G3420" s="333"/>
      <c r="H3420" s="333"/>
      <c r="I3420" s="333"/>
      <c r="J3420" s="333"/>
      <c r="K3420" s="496"/>
    </row>
    <row r="3421" spans="1:11" x14ac:dyDescent="0.35">
      <c r="A3421" s="339"/>
      <c r="B3421" s="340"/>
      <c r="C3421" s="340"/>
      <c r="D3421" s="340"/>
      <c r="E3421" s="340"/>
      <c r="F3421" s="340"/>
      <c r="G3421" s="340"/>
      <c r="H3421" s="340"/>
      <c r="I3421" s="340"/>
      <c r="J3421" s="340"/>
      <c r="K3421" s="497"/>
    </row>
    <row r="3422" spans="1:11" x14ac:dyDescent="0.35">
      <c r="A3422" s="332"/>
      <c r="B3422" s="333"/>
      <c r="C3422" s="333"/>
      <c r="D3422" s="333"/>
      <c r="E3422" s="333"/>
      <c r="F3422" s="333"/>
      <c r="G3422" s="333"/>
      <c r="H3422" s="333"/>
      <c r="I3422" s="333"/>
      <c r="J3422" s="333"/>
      <c r="K3422" s="496"/>
    </row>
    <row r="3423" spans="1:11" x14ac:dyDescent="0.35">
      <c r="A3423" s="339"/>
      <c r="B3423" s="340"/>
      <c r="C3423" s="340"/>
      <c r="D3423" s="340"/>
      <c r="E3423" s="340"/>
      <c r="F3423" s="340"/>
      <c r="G3423" s="340"/>
      <c r="H3423" s="340"/>
      <c r="I3423" s="340"/>
      <c r="J3423" s="340"/>
      <c r="K3423" s="497"/>
    </row>
    <row r="3424" spans="1:11" x14ac:dyDescent="0.35">
      <c r="A3424" s="332"/>
      <c r="B3424" s="333"/>
      <c r="C3424" s="333"/>
      <c r="D3424" s="333"/>
      <c r="E3424" s="333"/>
      <c r="F3424" s="333"/>
      <c r="G3424" s="333"/>
      <c r="H3424" s="333"/>
      <c r="I3424" s="333"/>
      <c r="J3424" s="333"/>
      <c r="K3424" s="496"/>
    </row>
    <row r="3425" spans="1:11" x14ac:dyDescent="0.35">
      <c r="A3425" s="339"/>
      <c r="B3425" s="340"/>
      <c r="C3425" s="340"/>
      <c r="D3425" s="340"/>
      <c r="E3425" s="340"/>
      <c r="F3425" s="340"/>
      <c r="G3425" s="340"/>
      <c r="H3425" s="340"/>
      <c r="I3425" s="340"/>
      <c r="J3425" s="340"/>
      <c r="K3425" s="497"/>
    </row>
    <row r="3426" spans="1:11" x14ac:dyDescent="0.35">
      <c r="A3426" s="332"/>
      <c r="B3426" s="333"/>
      <c r="C3426" s="333"/>
      <c r="D3426" s="333"/>
      <c r="E3426" s="333"/>
      <c r="F3426" s="333"/>
      <c r="G3426" s="333"/>
      <c r="H3426" s="333"/>
      <c r="I3426" s="333"/>
      <c r="J3426" s="333"/>
      <c r="K3426" s="496"/>
    </row>
    <row r="3427" spans="1:11" x14ac:dyDescent="0.35">
      <c r="A3427" s="339"/>
      <c r="B3427" s="340"/>
      <c r="C3427" s="340"/>
      <c r="D3427" s="340"/>
      <c r="E3427" s="340"/>
      <c r="F3427" s="340"/>
      <c r="G3427" s="340"/>
      <c r="H3427" s="340"/>
      <c r="I3427" s="340"/>
      <c r="J3427" s="340"/>
      <c r="K3427" s="497"/>
    </row>
    <row r="3428" spans="1:11" x14ac:dyDescent="0.35">
      <c r="A3428" s="332"/>
      <c r="B3428" s="333"/>
      <c r="C3428" s="333"/>
      <c r="D3428" s="333"/>
      <c r="E3428" s="333"/>
      <c r="F3428" s="333"/>
      <c r="G3428" s="333"/>
      <c r="H3428" s="333"/>
      <c r="I3428" s="333"/>
      <c r="J3428" s="333"/>
      <c r="K3428" s="496"/>
    </row>
    <row r="3429" spans="1:11" x14ac:dyDescent="0.35">
      <c r="A3429" s="339"/>
      <c r="B3429" s="340"/>
      <c r="C3429" s="340"/>
      <c r="D3429" s="340"/>
      <c r="E3429" s="340"/>
      <c r="F3429" s="340"/>
      <c r="G3429" s="340"/>
      <c r="H3429" s="340"/>
      <c r="I3429" s="340"/>
      <c r="J3429" s="340"/>
      <c r="K3429" s="497"/>
    </row>
    <row r="3430" spans="1:11" x14ac:dyDescent="0.35">
      <c r="A3430" s="332"/>
      <c r="B3430" s="333"/>
      <c r="C3430" s="333"/>
      <c r="D3430" s="333"/>
      <c r="E3430" s="333"/>
      <c r="F3430" s="333"/>
      <c r="G3430" s="333"/>
      <c r="H3430" s="333"/>
      <c r="I3430" s="333"/>
      <c r="J3430" s="333"/>
      <c r="K3430" s="496"/>
    </row>
    <row r="3431" spans="1:11" x14ac:dyDescent="0.35">
      <c r="A3431" s="339"/>
      <c r="B3431" s="340"/>
      <c r="C3431" s="340"/>
      <c r="D3431" s="340"/>
      <c r="E3431" s="340"/>
      <c r="F3431" s="340"/>
      <c r="G3431" s="340"/>
      <c r="H3431" s="340"/>
      <c r="I3431" s="340"/>
      <c r="J3431" s="340"/>
      <c r="K3431" s="497"/>
    </row>
    <row r="3432" spans="1:11" x14ac:dyDescent="0.35">
      <c r="A3432" s="332"/>
      <c r="B3432" s="333"/>
      <c r="C3432" s="333"/>
      <c r="D3432" s="333"/>
      <c r="E3432" s="333"/>
      <c r="F3432" s="333"/>
      <c r="G3432" s="333"/>
      <c r="H3432" s="333"/>
      <c r="I3432" s="333"/>
      <c r="J3432" s="333"/>
      <c r="K3432" s="496"/>
    </row>
    <row r="3433" spans="1:11" x14ac:dyDescent="0.35">
      <c r="A3433" s="339"/>
      <c r="B3433" s="340"/>
      <c r="C3433" s="340"/>
      <c r="D3433" s="340"/>
      <c r="E3433" s="340"/>
      <c r="F3433" s="340"/>
      <c r="G3433" s="340"/>
      <c r="H3433" s="340"/>
      <c r="I3433" s="340"/>
      <c r="J3433" s="340"/>
      <c r="K3433" s="497"/>
    </row>
    <row r="3434" spans="1:11" x14ac:dyDescent="0.35">
      <c r="A3434" s="332"/>
      <c r="B3434" s="333"/>
      <c r="C3434" s="333"/>
      <c r="D3434" s="333"/>
      <c r="E3434" s="333"/>
      <c r="F3434" s="333"/>
      <c r="G3434" s="333"/>
      <c r="H3434" s="333"/>
      <c r="I3434" s="333"/>
      <c r="J3434" s="333"/>
      <c r="K3434" s="496"/>
    </row>
    <row r="3435" spans="1:11" x14ac:dyDescent="0.35">
      <c r="A3435" s="339"/>
      <c r="B3435" s="340"/>
      <c r="C3435" s="340"/>
      <c r="D3435" s="340"/>
      <c r="E3435" s="340"/>
      <c r="F3435" s="340"/>
      <c r="G3435" s="340"/>
      <c r="H3435" s="340"/>
      <c r="I3435" s="340"/>
      <c r="J3435" s="340"/>
      <c r="K3435" s="497"/>
    </row>
    <row r="3436" spans="1:11" x14ac:dyDescent="0.35">
      <c r="A3436" s="332"/>
      <c r="B3436" s="333"/>
      <c r="C3436" s="333"/>
      <c r="D3436" s="333"/>
      <c r="E3436" s="333"/>
      <c r="F3436" s="333"/>
      <c r="G3436" s="333"/>
      <c r="H3436" s="333"/>
      <c r="I3436" s="333"/>
      <c r="J3436" s="333"/>
      <c r="K3436" s="496"/>
    </row>
    <row r="3437" spans="1:11" x14ac:dyDescent="0.35">
      <c r="A3437" s="339"/>
      <c r="B3437" s="340"/>
      <c r="C3437" s="340"/>
      <c r="D3437" s="340"/>
      <c r="E3437" s="340"/>
      <c r="F3437" s="340"/>
      <c r="G3437" s="340"/>
      <c r="H3437" s="340"/>
      <c r="I3437" s="340"/>
      <c r="J3437" s="340"/>
      <c r="K3437" s="497"/>
    </row>
    <row r="3438" spans="1:11" x14ac:dyDescent="0.35">
      <c r="A3438" s="332"/>
      <c r="B3438" s="333"/>
      <c r="C3438" s="333"/>
      <c r="D3438" s="333"/>
      <c r="E3438" s="333"/>
      <c r="F3438" s="333"/>
      <c r="G3438" s="333"/>
      <c r="H3438" s="333"/>
      <c r="I3438" s="333"/>
      <c r="J3438" s="333"/>
      <c r="K3438" s="496"/>
    </row>
    <row r="3439" spans="1:11" x14ac:dyDescent="0.35">
      <c r="A3439" s="339"/>
      <c r="B3439" s="340"/>
      <c r="C3439" s="340"/>
      <c r="D3439" s="340"/>
      <c r="E3439" s="340"/>
      <c r="F3439" s="340"/>
      <c r="G3439" s="340"/>
      <c r="H3439" s="340"/>
      <c r="I3439" s="340"/>
      <c r="J3439" s="340"/>
      <c r="K3439" s="497"/>
    </row>
    <row r="3440" spans="1:11" x14ac:dyDescent="0.35">
      <c r="A3440" s="332"/>
      <c r="B3440" s="333"/>
      <c r="C3440" s="333"/>
      <c r="D3440" s="333"/>
      <c r="E3440" s="333"/>
      <c r="F3440" s="333"/>
      <c r="G3440" s="333"/>
      <c r="H3440" s="333"/>
      <c r="I3440" s="333"/>
      <c r="J3440" s="333"/>
      <c r="K3440" s="496"/>
    </row>
    <row r="3441" spans="1:11" x14ac:dyDescent="0.35">
      <c r="A3441" s="339"/>
      <c r="B3441" s="340"/>
      <c r="C3441" s="340"/>
      <c r="D3441" s="340"/>
      <c r="E3441" s="340"/>
      <c r="F3441" s="340"/>
      <c r="G3441" s="340"/>
      <c r="H3441" s="340"/>
      <c r="I3441" s="340"/>
      <c r="J3441" s="340"/>
      <c r="K3441" s="497"/>
    </row>
    <row r="3442" spans="1:11" x14ac:dyDescent="0.35">
      <c r="A3442" s="332"/>
      <c r="B3442" s="333"/>
      <c r="C3442" s="333"/>
      <c r="D3442" s="333"/>
      <c r="E3442" s="333"/>
      <c r="F3442" s="333"/>
      <c r="G3442" s="333"/>
      <c r="H3442" s="333"/>
      <c r="I3442" s="333"/>
      <c r="J3442" s="333"/>
      <c r="K3442" s="496"/>
    </row>
    <row r="3443" spans="1:11" x14ac:dyDescent="0.35">
      <c r="A3443" s="339"/>
      <c r="B3443" s="340"/>
      <c r="C3443" s="340"/>
      <c r="D3443" s="340"/>
      <c r="E3443" s="340"/>
      <c r="F3443" s="340"/>
      <c r="G3443" s="340"/>
      <c r="H3443" s="340"/>
      <c r="I3443" s="340"/>
      <c r="J3443" s="340"/>
      <c r="K3443" s="497"/>
    </row>
    <row r="3444" spans="1:11" x14ac:dyDescent="0.35">
      <c r="A3444" s="332"/>
      <c r="B3444" s="333"/>
      <c r="C3444" s="333"/>
      <c r="D3444" s="333"/>
      <c r="E3444" s="333"/>
      <c r="F3444" s="333"/>
      <c r="G3444" s="333"/>
      <c r="H3444" s="333"/>
      <c r="I3444" s="333"/>
      <c r="J3444" s="333"/>
      <c r="K3444" s="496"/>
    </row>
    <row r="3445" spans="1:11" x14ac:dyDescent="0.35">
      <c r="A3445" s="339"/>
      <c r="B3445" s="340"/>
      <c r="C3445" s="340"/>
      <c r="D3445" s="340"/>
      <c r="E3445" s="340"/>
      <c r="F3445" s="340"/>
      <c r="G3445" s="340"/>
      <c r="H3445" s="340"/>
      <c r="I3445" s="340"/>
      <c r="J3445" s="340"/>
      <c r="K3445" s="497"/>
    </row>
    <row r="3446" spans="1:11" x14ac:dyDescent="0.35">
      <c r="A3446" s="332"/>
      <c r="B3446" s="333"/>
      <c r="C3446" s="333"/>
      <c r="D3446" s="333"/>
      <c r="E3446" s="333"/>
      <c r="F3446" s="333"/>
      <c r="G3446" s="333"/>
      <c r="H3446" s="333"/>
      <c r="I3446" s="333"/>
      <c r="J3446" s="333"/>
      <c r="K3446" s="496"/>
    </row>
    <row r="3447" spans="1:11" x14ac:dyDescent="0.35">
      <c r="A3447" s="339"/>
      <c r="B3447" s="340"/>
      <c r="C3447" s="340"/>
      <c r="D3447" s="340"/>
      <c r="E3447" s="340"/>
      <c r="F3447" s="340"/>
      <c r="G3447" s="340"/>
      <c r="H3447" s="340"/>
      <c r="I3447" s="340"/>
      <c r="J3447" s="340"/>
      <c r="K3447" s="497"/>
    </row>
    <row r="3448" spans="1:11" x14ac:dyDescent="0.35">
      <c r="A3448" s="332"/>
      <c r="B3448" s="333"/>
      <c r="C3448" s="333"/>
      <c r="D3448" s="333"/>
      <c r="E3448" s="333"/>
      <c r="F3448" s="333"/>
      <c r="G3448" s="333"/>
      <c r="H3448" s="333"/>
      <c r="I3448" s="333"/>
      <c r="J3448" s="333"/>
      <c r="K3448" s="496"/>
    </row>
    <row r="3449" spans="1:11" x14ac:dyDescent="0.35">
      <c r="A3449" s="339"/>
      <c r="B3449" s="340"/>
      <c r="C3449" s="340"/>
      <c r="D3449" s="340"/>
      <c r="E3449" s="340"/>
      <c r="F3449" s="340"/>
      <c r="G3449" s="340"/>
      <c r="H3449" s="340"/>
      <c r="I3449" s="340"/>
      <c r="J3449" s="340"/>
      <c r="K3449" s="497"/>
    </row>
    <row r="3450" spans="1:11" x14ac:dyDescent="0.35">
      <c r="A3450" s="332"/>
      <c r="B3450" s="333"/>
      <c r="C3450" s="333"/>
      <c r="D3450" s="333"/>
      <c r="E3450" s="333"/>
      <c r="F3450" s="333"/>
      <c r="G3450" s="333"/>
      <c r="H3450" s="333"/>
      <c r="I3450" s="333"/>
      <c r="J3450" s="333"/>
      <c r="K3450" s="496"/>
    </row>
    <row r="3451" spans="1:11" x14ac:dyDescent="0.35">
      <c r="A3451" s="339"/>
      <c r="B3451" s="340"/>
      <c r="C3451" s="340"/>
      <c r="D3451" s="340"/>
      <c r="E3451" s="340"/>
      <c r="F3451" s="340"/>
      <c r="G3451" s="340"/>
      <c r="H3451" s="340"/>
      <c r="I3451" s="340"/>
      <c r="J3451" s="340"/>
      <c r="K3451" s="497"/>
    </row>
    <row r="3452" spans="1:11" x14ac:dyDescent="0.35">
      <c r="A3452" s="332"/>
      <c r="B3452" s="333"/>
      <c r="C3452" s="333"/>
      <c r="D3452" s="333"/>
      <c r="E3452" s="333"/>
      <c r="F3452" s="333"/>
      <c r="G3452" s="333"/>
      <c r="H3452" s="333"/>
      <c r="I3452" s="333"/>
      <c r="J3452" s="333"/>
      <c r="K3452" s="496"/>
    </row>
    <row r="3453" spans="1:11" x14ac:dyDescent="0.35">
      <c r="A3453" s="339"/>
      <c r="B3453" s="340"/>
      <c r="C3453" s="340"/>
      <c r="D3453" s="340"/>
      <c r="E3453" s="340"/>
      <c r="F3453" s="340"/>
      <c r="G3453" s="340"/>
      <c r="H3453" s="340"/>
      <c r="I3453" s="340"/>
      <c r="J3453" s="340"/>
      <c r="K3453" s="497"/>
    </row>
    <row r="3454" spans="1:11" x14ac:dyDescent="0.35">
      <c r="A3454" s="332"/>
      <c r="B3454" s="333"/>
      <c r="C3454" s="333"/>
      <c r="D3454" s="333"/>
      <c r="E3454" s="333"/>
      <c r="F3454" s="333"/>
      <c r="G3454" s="333"/>
      <c r="H3454" s="333"/>
      <c r="I3454" s="333"/>
      <c r="J3454" s="333"/>
      <c r="K3454" s="496"/>
    </row>
    <row r="3455" spans="1:11" x14ac:dyDescent="0.35">
      <c r="A3455" s="339"/>
      <c r="B3455" s="340"/>
      <c r="C3455" s="340"/>
      <c r="D3455" s="340"/>
      <c r="E3455" s="340"/>
      <c r="F3455" s="340"/>
      <c r="G3455" s="340"/>
      <c r="H3455" s="340"/>
      <c r="I3455" s="340"/>
      <c r="J3455" s="340"/>
      <c r="K3455" s="497"/>
    </row>
    <row r="3456" spans="1:11" x14ac:dyDescent="0.35">
      <c r="A3456" s="332"/>
      <c r="B3456" s="333"/>
      <c r="C3456" s="333"/>
      <c r="D3456" s="333"/>
      <c r="E3456" s="333"/>
      <c r="F3456" s="333"/>
      <c r="G3456" s="333"/>
      <c r="H3456" s="333"/>
      <c r="I3456" s="333"/>
      <c r="J3456" s="333"/>
      <c r="K3456" s="496"/>
    </row>
    <row r="3457" spans="1:11" x14ac:dyDescent="0.35">
      <c r="A3457" s="339"/>
      <c r="B3457" s="340"/>
      <c r="C3457" s="340"/>
      <c r="D3457" s="340"/>
      <c r="E3457" s="340"/>
      <c r="F3457" s="340"/>
      <c r="G3457" s="340"/>
      <c r="H3457" s="340"/>
      <c r="I3457" s="340"/>
      <c r="J3457" s="340"/>
      <c r="K3457" s="497"/>
    </row>
    <row r="3458" spans="1:11" x14ac:dyDescent="0.35">
      <c r="A3458" s="332"/>
      <c r="B3458" s="333"/>
      <c r="C3458" s="333"/>
      <c r="D3458" s="333"/>
      <c r="E3458" s="333"/>
      <c r="F3458" s="333"/>
      <c r="G3458" s="333"/>
      <c r="H3458" s="333"/>
      <c r="I3458" s="333"/>
      <c r="J3458" s="333"/>
      <c r="K3458" s="496"/>
    </row>
    <row r="3459" spans="1:11" x14ac:dyDescent="0.35">
      <c r="A3459" s="339"/>
      <c r="B3459" s="340"/>
      <c r="C3459" s="340"/>
      <c r="D3459" s="340"/>
      <c r="E3459" s="340"/>
      <c r="F3459" s="340"/>
      <c r="G3459" s="340"/>
      <c r="H3459" s="340"/>
      <c r="I3459" s="340"/>
      <c r="J3459" s="340"/>
      <c r="K3459" s="497"/>
    </row>
    <row r="3460" spans="1:11" x14ac:dyDescent="0.35">
      <c r="A3460" s="332"/>
      <c r="B3460" s="333"/>
      <c r="C3460" s="333"/>
      <c r="D3460" s="333"/>
      <c r="E3460" s="333"/>
      <c r="F3460" s="333"/>
      <c r="G3460" s="333"/>
      <c r="H3460" s="333"/>
      <c r="I3460" s="333"/>
      <c r="J3460" s="333"/>
      <c r="K3460" s="496"/>
    </row>
    <row r="3461" spans="1:11" x14ac:dyDescent="0.35">
      <c r="A3461" s="339"/>
      <c r="B3461" s="340"/>
      <c r="C3461" s="340"/>
      <c r="D3461" s="340"/>
      <c r="E3461" s="340"/>
      <c r="F3461" s="340"/>
      <c r="G3461" s="340"/>
      <c r="H3461" s="340"/>
      <c r="I3461" s="340"/>
      <c r="J3461" s="340"/>
      <c r="K3461" s="497"/>
    </row>
    <row r="3462" spans="1:11" x14ac:dyDescent="0.35">
      <c r="A3462" s="332"/>
      <c r="B3462" s="333"/>
      <c r="C3462" s="333"/>
      <c r="D3462" s="333"/>
      <c r="E3462" s="333"/>
      <c r="F3462" s="333"/>
      <c r="G3462" s="333"/>
      <c r="H3462" s="333"/>
      <c r="I3462" s="333"/>
      <c r="J3462" s="333"/>
      <c r="K3462" s="496"/>
    </row>
    <row r="3463" spans="1:11" x14ac:dyDescent="0.35">
      <c r="A3463" s="339"/>
      <c r="B3463" s="340"/>
      <c r="C3463" s="340"/>
      <c r="D3463" s="340"/>
      <c r="E3463" s="340"/>
      <c r="F3463" s="340"/>
      <c r="G3463" s="340"/>
      <c r="H3463" s="340"/>
      <c r="I3463" s="340"/>
      <c r="J3463" s="340"/>
      <c r="K3463" s="497"/>
    </row>
    <row r="3464" spans="1:11" x14ac:dyDescent="0.35">
      <c r="A3464" s="332"/>
      <c r="B3464" s="333"/>
      <c r="C3464" s="333"/>
      <c r="D3464" s="333"/>
      <c r="E3464" s="333"/>
      <c r="F3464" s="333"/>
      <c r="G3464" s="333"/>
      <c r="H3464" s="333"/>
      <c r="I3464" s="333"/>
      <c r="J3464" s="333"/>
      <c r="K3464" s="496"/>
    </row>
    <row r="3465" spans="1:11" x14ac:dyDescent="0.35">
      <c r="A3465" s="339"/>
      <c r="B3465" s="340"/>
      <c r="C3465" s="340"/>
      <c r="D3465" s="340"/>
      <c r="E3465" s="340"/>
      <c r="F3465" s="340"/>
      <c r="G3465" s="340"/>
      <c r="H3465" s="340"/>
      <c r="I3465" s="340"/>
      <c r="J3465" s="340"/>
      <c r="K3465" s="497"/>
    </row>
    <row r="3466" spans="1:11" x14ac:dyDescent="0.35">
      <c r="A3466" s="332"/>
      <c r="B3466" s="333"/>
      <c r="C3466" s="333"/>
      <c r="D3466" s="333"/>
      <c r="E3466" s="333"/>
      <c r="F3466" s="333"/>
      <c r="G3466" s="333"/>
      <c r="H3466" s="333"/>
      <c r="I3466" s="333"/>
      <c r="J3466" s="333"/>
      <c r="K3466" s="496"/>
    </row>
    <row r="3467" spans="1:11" x14ac:dyDescent="0.35">
      <c r="A3467" s="339"/>
      <c r="B3467" s="340"/>
      <c r="C3467" s="340"/>
      <c r="D3467" s="340"/>
      <c r="E3467" s="340"/>
      <c r="F3467" s="340"/>
      <c r="G3467" s="340"/>
      <c r="H3467" s="340"/>
      <c r="I3467" s="340"/>
      <c r="J3467" s="340"/>
      <c r="K3467" s="497"/>
    </row>
    <row r="3468" spans="1:11" x14ac:dyDescent="0.35">
      <c r="A3468" s="332"/>
      <c r="B3468" s="333"/>
      <c r="C3468" s="333"/>
      <c r="D3468" s="333"/>
      <c r="E3468" s="333"/>
      <c r="F3468" s="333"/>
      <c r="G3468" s="333"/>
      <c r="H3468" s="333"/>
      <c r="I3468" s="333"/>
      <c r="J3468" s="333"/>
      <c r="K3468" s="496"/>
    </row>
    <row r="3469" spans="1:11" x14ac:dyDescent="0.35">
      <c r="A3469" s="339"/>
      <c r="B3469" s="340"/>
      <c r="C3469" s="340"/>
      <c r="D3469" s="340"/>
      <c r="E3469" s="340"/>
      <c r="F3469" s="340"/>
      <c r="G3469" s="340"/>
      <c r="H3469" s="340"/>
      <c r="I3469" s="340"/>
      <c r="J3469" s="340"/>
      <c r="K3469" s="497"/>
    </row>
    <row r="3470" spans="1:11" x14ac:dyDescent="0.35">
      <c r="A3470" s="332"/>
      <c r="B3470" s="333"/>
      <c r="C3470" s="333"/>
      <c r="D3470" s="333"/>
      <c r="E3470" s="333"/>
      <c r="F3470" s="333"/>
      <c r="G3470" s="333"/>
      <c r="H3470" s="333"/>
      <c r="I3470" s="333"/>
      <c r="J3470" s="333"/>
      <c r="K3470" s="496"/>
    </row>
    <row r="3471" spans="1:11" x14ac:dyDescent="0.35">
      <c r="A3471" s="339"/>
      <c r="B3471" s="340"/>
      <c r="C3471" s="340"/>
      <c r="D3471" s="340"/>
      <c r="E3471" s="340"/>
      <c r="F3471" s="340"/>
      <c r="G3471" s="340"/>
      <c r="H3471" s="340"/>
      <c r="I3471" s="340"/>
      <c r="J3471" s="340"/>
      <c r="K3471" s="497"/>
    </row>
    <row r="3472" spans="1:11" x14ac:dyDescent="0.35">
      <c r="A3472" s="332"/>
      <c r="B3472" s="333"/>
      <c r="C3472" s="333"/>
      <c r="D3472" s="333"/>
      <c r="E3472" s="333"/>
      <c r="F3472" s="333"/>
      <c r="G3472" s="333"/>
      <c r="H3472" s="333"/>
      <c r="I3472" s="333"/>
      <c r="J3472" s="333"/>
      <c r="K3472" s="496"/>
    </row>
    <row r="3473" spans="1:11" x14ac:dyDescent="0.35">
      <c r="A3473" s="339"/>
      <c r="B3473" s="340"/>
      <c r="C3473" s="340"/>
      <c r="D3473" s="340"/>
      <c r="E3473" s="340"/>
      <c r="F3473" s="340"/>
      <c r="G3473" s="340"/>
      <c r="H3473" s="340"/>
      <c r="I3473" s="340"/>
      <c r="J3473" s="340"/>
      <c r="K3473" s="497"/>
    </row>
    <row r="3474" spans="1:11" x14ac:dyDescent="0.35">
      <c r="A3474" s="332"/>
      <c r="B3474" s="333"/>
      <c r="C3474" s="333"/>
      <c r="D3474" s="333"/>
      <c r="E3474" s="333"/>
      <c r="F3474" s="333"/>
      <c r="G3474" s="333"/>
      <c r="H3474" s="333"/>
      <c r="I3474" s="333"/>
      <c r="J3474" s="333"/>
      <c r="K3474" s="496"/>
    </row>
    <row r="3475" spans="1:11" x14ac:dyDescent="0.35">
      <c r="A3475" s="339"/>
      <c r="B3475" s="340"/>
      <c r="C3475" s="340"/>
      <c r="D3475" s="340"/>
      <c r="E3475" s="340"/>
      <c r="F3475" s="340"/>
      <c r="G3475" s="340"/>
      <c r="H3475" s="340"/>
      <c r="I3475" s="340"/>
      <c r="J3475" s="340"/>
      <c r="K3475" s="497"/>
    </row>
    <row r="3476" spans="1:11" x14ac:dyDescent="0.35">
      <c r="A3476" s="332"/>
      <c r="B3476" s="333"/>
      <c r="C3476" s="333"/>
      <c r="D3476" s="333"/>
      <c r="E3476" s="333"/>
      <c r="F3476" s="333"/>
      <c r="G3476" s="333"/>
      <c r="H3476" s="333"/>
      <c r="I3476" s="333"/>
      <c r="J3476" s="333"/>
      <c r="K3476" s="496"/>
    </row>
    <row r="3477" spans="1:11" x14ac:dyDescent="0.35">
      <c r="A3477" s="339"/>
      <c r="B3477" s="340"/>
      <c r="C3477" s="340"/>
      <c r="D3477" s="340"/>
      <c r="E3477" s="340"/>
      <c r="F3477" s="340"/>
      <c r="G3477" s="340"/>
      <c r="H3477" s="340"/>
      <c r="I3477" s="340"/>
      <c r="J3477" s="340"/>
      <c r="K3477" s="497"/>
    </row>
    <row r="3478" spans="1:11" x14ac:dyDescent="0.35">
      <c r="A3478" s="332"/>
      <c r="B3478" s="333"/>
      <c r="C3478" s="333"/>
      <c r="D3478" s="333"/>
      <c r="E3478" s="333"/>
      <c r="F3478" s="333"/>
      <c r="G3478" s="333"/>
      <c r="H3478" s="333"/>
      <c r="I3478" s="333"/>
      <c r="J3478" s="333"/>
      <c r="K3478" s="496"/>
    </row>
    <row r="3479" spans="1:11" x14ac:dyDescent="0.35">
      <c r="A3479" s="339"/>
      <c r="B3479" s="340"/>
      <c r="C3479" s="340"/>
      <c r="D3479" s="340"/>
      <c r="E3479" s="340"/>
      <c r="F3479" s="340"/>
      <c r="G3479" s="340"/>
      <c r="H3479" s="340"/>
      <c r="I3479" s="340"/>
      <c r="J3479" s="340"/>
      <c r="K3479" s="497"/>
    </row>
    <row r="3480" spans="1:11" x14ac:dyDescent="0.35">
      <c r="A3480" s="332"/>
      <c r="B3480" s="333"/>
      <c r="C3480" s="333"/>
      <c r="D3480" s="333"/>
      <c r="E3480" s="333"/>
      <c r="F3480" s="333"/>
      <c r="G3480" s="333"/>
      <c r="H3480" s="333"/>
      <c r="I3480" s="333"/>
      <c r="J3480" s="333"/>
      <c r="K3480" s="496"/>
    </row>
    <row r="3481" spans="1:11" x14ac:dyDescent="0.35">
      <c r="A3481" s="339"/>
      <c r="B3481" s="340"/>
      <c r="C3481" s="340"/>
      <c r="D3481" s="340"/>
      <c r="E3481" s="340"/>
      <c r="F3481" s="340"/>
      <c r="G3481" s="340"/>
      <c r="H3481" s="340"/>
      <c r="I3481" s="340"/>
      <c r="J3481" s="340"/>
      <c r="K3481" s="497"/>
    </row>
    <row r="3482" spans="1:11" x14ac:dyDescent="0.35">
      <c r="A3482" s="332"/>
      <c r="B3482" s="333"/>
      <c r="C3482" s="333"/>
      <c r="D3482" s="333"/>
      <c r="E3482" s="333"/>
      <c r="F3482" s="333"/>
      <c r="G3482" s="333"/>
      <c r="H3482" s="333"/>
      <c r="I3482" s="333"/>
      <c r="J3482" s="333"/>
      <c r="K3482" s="496"/>
    </row>
    <row r="3483" spans="1:11" x14ac:dyDescent="0.35">
      <c r="A3483" s="339"/>
      <c r="B3483" s="340"/>
      <c r="C3483" s="340"/>
      <c r="D3483" s="340"/>
      <c r="E3483" s="340"/>
      <c r="F3483" s="340"/>
      <c r="G3483" s="340"/>
      <c r="H3483" s="340"/>
      <c r="I3483" s="340"/>
      <c r="J3483" s="340"/>
      <c r="K3483" s="497"/>
    </row>
    <row r="3484" spans="1:11" x14ac:dyDescent="0.35">
      <c r="A3484" s="332"/>
      <c r="B3484" s="333"/>
      <c r="C3484" s="333"/>
      <c r="D3484" s="333"/>
      <c r="E3484" s="333"/>
      <c r="F3484" s="333"/>
      <c r="G3484" s="333"/>
      <c r="H3484" s="333"/>
      <c r="I3484" s="333"/>
      <c r="J3484" s="333"/>
      <c r="K3484" s="496"/>
    </row>
    <row r="3485" spans="1:11" x14ac:dyDescent="0.35">
      <c r="A3485" s="339"/>
      <c r="B3485" s="340"/>
      <c r="C3485" s="340"/>
      <c r="D3485" s="340"/>
      <c r="E3485" s="340"/>
      <c r="F3485" s="340"/>
      <c r="G3485" s="340"/>
      <c r="H3485" s="340"/>
      <c r="I3485" s="340"/>
      <c r="J3485" s="340"/>
      <c r="K3485" s="497"/>
    </row>
    <row r="3486" spans="1:11" x14ac:dyDescent="0.35">
      <c r="A3486" s="332"/>
      <c r="B3486" s="333"/>
      <c r="C3486" s="333"/>
      <c r="D3486" s="333"/>
      <c r="E3486" s="333"/>
      <c r="F3486" s="333"/>
      <c r="G3486" s="333"/>
      <c r="H3486" s="333"/>
      <c r="I3486" s="333"/>
      <c r="J3486" s="333"/>
      <c r="K3486" s="496"/>
    </row>
    <row r="3487" spans="1:11" x14ac:dyDescent="0.35">
      <c r="A3487" s="339"/>
      <c r="B3487" s="340"/>
      <c r="C3487" s="340"/>
      <c r="D3487" s="340"/>
      <c r="E3487" s="340"/>
      <c r="F3487" s="340"/>
      <c r="G3487" s="340"/>
      <c r="H3487" s="340"/>
      <c r="I3487" s="340"/>
      <c r="J3487" s="340"/>
      <c r="K3487" s="497"/>
    </row>
    <row r="3488" spans="1:11" x14ac:dyDescent="0.35">
      <c r="A3488" s="332"/>
      <c r="B3488" s="333"/>
      <c r="C3488" s="333"/>
      <c r="D3488" s="333"/>
      <c r="E3488" s="333"/>
      <c r="F3488" s="333"/>
      <c r="G3488" s="333"/>
      <c r="H3488" s="333"/>
      <c r="I3488" s="333"/>
      <c r="J3488" s="333"/>
      <c r="K3488" s="496"/>
    </row>
    <row r="3489" spans="1:11" x14ac:dyDescent="0.35">
      <c r="A3489" s="339"/>
      <c r="B3489" s="340"/>
      <c r="C3489" s="340"/>
      <c r="D3489" s="340"/>
      <c r="E3489" s="340"/>
      <c r="F3489" s="340"/>
      <c r="G3489" s="340"/>
      <c r="H3489" s="340"/>
      <c r="I3489" s="340"/>
      <c r="J3489" s="340"/>
      <c r="K3489" s="497"/>
    </row>
    <row r="3490" spans="1:11" x14ac:dyDescent="0.35">
      <c r="A3490" s="332"/>
      <c r="B3490" s="333"/>
      <c r="C3490" s="333"/>
      <c r="D3490" s="333"/>
      <c r="E3490" s="333"/>
      <c r="F3490" s="333"/>
      <c r="G3490" s="333"/>
      <c r="H3490" s="333"/>
      <c r="I3490" s="333"/>
      <c r="J3490" s="333"/>
      <c r="K3490" s="496"/>
    </row>
    <row r="3491" spans="1:11" x14ac:dyDescent="0.35">
      <c r="A3491" s="339"/>
      <c r="B3491" s="340"/>
      <c r="C3491" s="340"/>
      <c r="D3491" s="340"/>
      <c r="E3491" s="340"/>
      <c r="F3491" s="340"/>
      <c r="G3491" s="340"/>
      <c r="H3491" s="340"/>
      <c r="I3491" s="340"/>
      <c r="J3491" s="340"/>
      <c r="K3491" s="497"/>
    </row>
    <row r="3492" spans="1:11" x14ac:dyDescent="0.35">
      <c r="A3492" s="332"/>
      <c r="B3492" s="333"/>
      <c r="C3492" s="333"/>
      <c r="D3492" s="333"/>
      <c r="E3492" s="333"/>
      <c r="F3492" s="333"/>
      <c r="G3492" s="333"/>
      <c r="H3492" s="333"/>
      <c r="I3492" s="333"/>
      <c r="J3492" s="333"/>
      <c r="K3492" s="496"/>
    </row>
    <row r="3493" spans="1:11" x14ac:dyDescent="0.35">
      <c r="A3493" s="339"/>
      <c r="B3493" s="340"/>
      <c r="C3493" s="340"/>
      <c r="D3493" s="340"/>
      <c r="E3493" s="340"/>
      <c r="F3493" s="340"/>
      <c r="G3493" s="340"/>
      <c r="H3493" s="340"/>
      <c r="I3493" s="340"/>
      <c r="J3493" s="340"/>
      <c r="K3493" s="497"/>
    </row>
    <row r="3494" spans="1:11" x14ac:dyDescent="0.35">
      <c r="A3494" s="332"/>
      <c r="B3494" s="333"/>
      <c r="C3494" s="333"/>
      <c r="D3494" s="333"/>
      <c r="E3494" s="333"/>
      <c r="F3494" s="333"/>
      <c r="G3494" s="333"/>
      <c r="H3494" s="333"/>
      <c r="I3494" s="333"/>
      <c r="J3494" s="333"/>
      <c r="K3494" s="496"/>
    </row>
    <row r="3495" spans="1:11" x14ac:dyDescent="0.35">
      <c r="A3495" s="339"/>
      <c r="B3495" s="340"/>
      <c r="C3495" s="340"/>
      <c r="D3495" s="340"/>
      <c r="E3495" s="340"/>
      <c r="F3495" s="340"/>
      <c r="G3495" s="340"/>
      <c r="H3495" s="340"/>
      <c r="I3495" s="340"/>
      <c r="J3495" s="340"/>
      <c r="K3495" s="497"/>
    </row>
    <row r="3496" spans="1:11" x14ac:dyDescent="0.35">
      <c r="A3496" s="332"/>
      <c r="B3496" s="333"/>
      <c r="C3496" s="333"/>
      <c r="D3496" s="333"/>
      <c r="E3496" s="333"/>
      <c r="F3496" s="333"/>
      <c r="G3496" s="333"/>
      <c r="H3496" s="333"/>
      <c r="I3496" s="333"/>
      <c r="J3496" s="333"/>
      <c r="K3496" s="496"/>
    </row>
    <row r="3497" spans="1:11" x14ac:dyDescent="0.35">
      <c r="A3497" s="339"/>
      <c r="B3497" s="340"/>
      <c r="C3497" s="340"/>
      <c r="D3497" s="340"/>
      <c r="E3497" s="340"/>
      <c r="F3497" s="340"/>
      <c r="G3497" s="340"/>
      <c r="H3497" s="340"/>
      <c r="I3497" s="340"/>
      <c r="J3497" s="340"/>
      <c r="K3497" s="497"/>
    </row>
    <row r="3498" spans="1:11" x14ac:dyDescent="0.35">
      <c r="A3498" s="332"/>
      <c r="B3498" s="333"/>
      <c r="C3498" s="333"/>
      <c r="D3498" s="333"/>
      <c r="E3498" s="333"/>
      <c r="F3498" s="333"/>
      <c r="G3498" s="333"/>
      <c r="H3498" s="333"/>
      <c r="I3498" s="333"/>
      <c r="J3498" s="333"/>
      <c r="K3498" s="496"/>
    </row>
    <row r="3499" spans="1:11" x14ac:dyDescent="0.35">
      <c r="A3499" s="339"/>
      <c r="B3499" s="340"/>
      <c r="C3499" s="340"/>
      <c r="D3499" s="340"/>
      <c r="E3499" s="340"/>
      <c r="F3499" s="340"/>
      <c r="G3499" s="340"/>
      <c r="H3499" s="340"/>
      <c r="I3499" s="340"/>
      <c r="J3499" s="340"/>
      <c r="K3499" s="497"/>
    </row>
    <row r="3500" spans="1:11" x14ac:dyDescent="0.35">
      <c r="A3500" s="332"/>
      <c r="B3500" s="333"/>
      <c r="C3500" s="333"/>
      <c r="D3500" s="333"/>
      <c r="E3500" s="333"/>
      <c r="F3500" s="333"/>
      <c r="G3500" s="333"/>
      <c r="H3500" s="333"/>
      <c r="I3500" s="333"/>
      <c r="J3500" s="333"/>
      <c r="K3500" s="496"/>
    </row>
    <row r="3501" spans="1:11" x14ac:dyDescent="0.35">
      <c r="A3501" s="339"/>
      <c r="B3501" s="340"/>
      <c r="C3501" s="340"/>
      <c r="D3501" s="340"/>
      <c r="E3501" s="340"/>
      <c r="F3501" s="340"/>
      <c r="G3501" s="340"/>
      <c r="H3501" s="340"/>
      <c r="I3501" s="340"/>
      <c r="J3501" s="340"/>
      <c r="K3501" s="497"/>
    </row>
    <row r="3502" spans="1:11" x14ac:dyDescent="0.35">
      <c r="A3502" s="332"/>
      <c r="B3502" s="333"/>
      <c r="C3502" s="333"/>
      <c r="D3502" s="333"/>
      <c r="E3502" s="333"/>
      <c r="F3502" s="333"/>
      <c r="G3502" s="333"/>
      <c r="H3502" s="333"/>
      <c r="I3502" s="333"/>
      <c r="J3502" s="333"/>
      <c r="K3502" s="496"/>
    </row>
    <row r="3503" spans="1:11" x14ac:dyDescent="0.35">
      <c r="A3503" s="339"/>
      <c r="B3503" s="340"/>
      <c r="C3503" s="340"/>
      <c r="D3503" s="340"/>
      <c r="E3503" s="340"/>
      <c r="F3503" s="340"/>
      <c r="G3503" s="340"/>
      <c r="H3503" s="340"/>
      <c r="I3503" s="340"/>
      <c r="J3503" s="340"/>
      <c r="K3503" s="497"/>
    </row>
    <row r="3504" spans="1:11" x14ac:dyDescent="0.35">
      <c r="A3504" s="332"/>
      <c r="B3504" s="333"/>
      <c r="C3504" s="333"/>
      <c r="D3504" s="333"/>
      <c r="E3504" s="333"/>
      <c r="F3504" s="333"/>
      <c r="G3504" s="333"/>
      <c r="H3504" s="333"/>
      <c r="I3504" s="333"/>
      <c r="J3504" s="333"/>
      <c r="K3504" s="496"/>
    </row>
    <row r="3505" spans="1:11" x14ac:dyDescent="0.35">
      <c r="A3505" s="339"/>
      <c r="B3505" s="340"/>
      <c r="C3505" s="340"/>
      <c r="D3505" s="340"/>
      <c r="E3505" s="340"/>
      <c r="F3505" s="340"/>
      <c r="G3505" s="340"/>
      <c r="H3505" s="340"/>
      <c r="I3505" s="340"/>
      <c r="J3505" s="340"/>
      <c r="K3505" s="497"/>
    </row>
    <row r="3506" spans="1:11" x14ac:dyDescent="0.35">
      <c r="A3506" s="332"/>
      <c r="B3506" s="333"/>
      <c r="C3506" s="333"/>
      <c r="D3506" s="333"/>
      <c r="E3506" s="333"/>
      <c r="F3506" s="333"/>
      <c r="G3506" s="333"/>
      <c r="H3506" s="333"/>
      <c r="I3506" s="333"/>
      <c r="J3506" s="333"/>
      <c r="K3506" s="496"/>
    </row>
    <row r="3507" spans="1:11" x14ac:dyDescent="0.35">
      <c r="A3507" s="339"/>
      <c r="B3507" s="340"/>
      <c r="C3507" s="340"/>
      <c r="D3507" s="340"/>
      <c r="E3507" s="340"/>
      <c r="F3507" s="340"/>
      <c r="G3507" s="340"/>
      <c r="H3507" s="340"/>
      <c r="I3507" s="340"/>
      <c r="J3507" s="340"/>
      <c r="K3507" s="497"/>
    </row>
    <row r="3508" spans="1:11" x14ac:dyDescent="0.35">
      <c r="A3508" s="332"/>
      <c r="B3508" s="333"/>
      <c r="C3508" s="333"/>
      <c r="D3508" s="333"/>
      <c r="E3508" s="333"/>
      <c r="F3508" s="333"/>
      <c r="G3508" s="333"/>
      <c r="H3508" s="333"/>
      <c r="I3508" s="333"/>
      <c r="J3508" s="333"/>
      <c r="K3508" s="496"/>
    </row>
    <row r="3509" spans="1:11" x14ac:dyDescent="0.35">
      <c r="A3509" s="339"/>
      <c r="B3509" s="340"/>
      <c r="C3509" s="340"/>
      <c r="D3509" s="340"/>
      <c r="E3509" s="340"/>
      <c r="F3509" s="340"/>
      <c r="G3509" s="340"/>
      <c r="H3509" s="340"/>
      <c r="I3509" s="340"/>
      <c r="J3509" s="340"/>
      <c r="K3509" s="497"/>
    </row>
    <row r="3510" spans="1:11" x14ac:dyDescent="0.35">
      <c r="A3510" s="332"/>
      <c r="B3510" s="333"/>
      <c r="C3510" s="333"/>
      <c r="D3510" s="333"/>
      <c r="E3510" s="333"/>
      <c r="F3510" s="333"/>
      <c r="G3510" s="333"/>
      <c r="H3510" s="333"/>
      <c r="I3510" s="333"/>
      <c r="J3510" s="333"/>
      <c r="K3510" s="496"/>
    </row>
    <row r="3511" spans="1:11" x14ac:dyDescent="0.35">
      <c r="A3511" s="339"/>
      <c r="B3511" s="340"/>
      <c r="C3511" s="340"/>
      <c r="D3511" s="340"/>
      <c r="E3511" s="340"/>
      <c r="F3511" s="340"/>
      <c r="G3511" s="340"/>
      <c r="H3511" s="340"/>
      <c r="I3511" s="340"/>
      <c r="J3511" s="340"/>
      <c r="K3511" s="497"/>
    </row>
    <row r="3512" spans="1:11" x14ac:dyDescent="0.35">
      <c r="A3512" s="332"/>
      <c r="B3512" s="333"/>
      <c r="C3512" s="333"/>
      <c r="D3512" s="333"/>
      <c r="E3512" s="333"/>
      <c r="F3512" s="333"/>
      <c r="G3512" s="333"/>
      <c r="H3512" s="333"/>
      <c r="I3512" s="333"/>
      <c r="J3512" s="333"/>
      <c r="K3512" s="496"/>
    </row>
    <row r="3513" spans="1:11" x14ac:dyDescent="0.35">
      <c r="A3513" s="339"/>
      <c r="B3513" s="340"/>
      <c r="C3513" s="340"/>
      <c r="D3513" s="340"/>
      <c r="E3513" s="340"/>
      <c r="F3513" s="340"/>
      <c r="G3513" s="340"/>
      <c r="H3513" s="340"/>
      <c r="I3513" s="340"/>
      <c r="J3513" s="340"/>
      <c r="K3513" s="497"/>
    </row>
    <row r="3514" spans="1:11" x14ac:dyDescent="0.35">
      <c r="A3514" s="332"/>
      <c r="B3514" s="333"/>
      <c r="C3514" s="333"/>
      <c r="D3514" s="333"/>
      <c r="E3514" s="333"/>
      <c r="F3514" s="333"/>
      <c r="G3514" s="333"/>
      <c r="H3514" s="333"/>
      <c r="I3514" s="333"/>
      <c r="J3514" s="333"/>
      <c r="K3514" s="496"/>
    </row>
    <row r="3515" spans="1:11" x14ac:dyDescent="0.35">
      <c r="A3515" s="339"/>
      <c r="B3515" s="340"/>
      <c r="C3515" s="340"/>
      <c r="D3515" s="340"/>
      <c r="E3515" s="340"/>
      <c r="F3515" s="340"/>
      <c r="G3515" s="340"/>
      <c r="H3515" s="340"/>
      <c r="I3515" s="340"/>
      <c r="J3515" s="340"/>
      <c r="K3515" s="497"/>
    </row>
    <row r="3516" spans="1:11" x14ac:dyDescent="0.35">
      <c r="A3516" s="332"/>
      <c r="B3516" s="333"/>
      <c r="C3516" s="333"/>
      <c r="D3516" s="333"/>
      <c r="E3516" s="333"/>
      <c r="F3516" s="333"/>
      <c r="G3516" s="333"/>
      <c r="H3516" s="333"/>
      <c r="I3516" s="333"/>
      <c r="J3516" s="333"/>
      <c r="K3516" s="496"/>
    </row>
    <row r="3517" spans="1:11" x14ac:dyDescent="0.35">
      <c r="A3517" s="339"/>
      <c r="B3517" s="340"/>
      <c r="C3517" s="340"/>
      <c r="D3517" s="340"/>
      <c r="E3517" s="340"/>
      <c r="F3517" s="340"/>
      <c r="G3517" s="340"/>
      <c r="H3517" s="340"/>
      <c r="I3517" s="340"/>
      <c r="J3517" s="340"/>
      <c r="K3517" s="497"/>
    </row>
    <row r="3518" spans="1:11" x14ac:dyDescent="0.35">
      <c r="A3518" s="332"/>
      <c r="B3518" s="333"/>
      <c r="C3518" s="333"/>
      <c r="D3518" s="333"/>
      <c r="E3518" s="333"/>
      <c r="F3518" s="333"/>
      <c r="G3518" s="333"/>
      <c r="H3518" s="333"/>
      <c r="I3518" s="333"/>
      <c r="J3518" s="333"/>
      <c r="K3518" s="496"/>
    </row>
    <row r="3519" spans="1:11" x14ac:dyDescent="0.35">
      <c r="A3519" s="339"/>
      <c r="B3519" s="340"/>
      <c r="C3519" s="340"/>
      <c r="D3519" s="340"/>
      <c r="E3519" s="340"/>
      <c r="F3519" s="340"/>
      <c r="G3519" s="340"/>
      <c r="H3519" s="340"/>
      <c r="I3519" s="340"/>
      <c r="J3519" s="340"/>
      <c r="K3519" s="497"/>
    </row>
    <row r="3520" spans="1:11" x14ac:dyDescent="0.35">
      <c r="A3520" s="332"/>
      <c r="B3520" s="333"/>
      <c r="C3520" s="333"/>
      <c r="D3520" s="333"/>
      <c r="E3520" s="333"/>
      <c r="F3520" s="333"/>
      <c r="G3520" s="333"/>
      <c r="H3520" s="333"/>
      <c r="I3520" s="333"/>
      <c r="J3520" s="333"/>
      <c r="K3520" s="496"/>
    </row>
    <row r="3521" spans="1:11" x14ac:dyDescent="0.35">
      <c r="A3521" s="339"/>
      <c r="B3521" s="340"/>
      <c r="C3521" s="340"/>
      <c r="D3521" s="340"/>
      <c r="E3521" s="340"/>
      <c r="F3521" s="340"/>
      <c r="G3521" s="340"/>
      <c r="H3521" s="340"/>
      <c r="I3521" s="340"/>
      <c r="J3521" s="340"/>
      <c r="K3521" s="497"/>
    </row>
    <row r="3522" spans="1:11" x14ac:dyDescent="0.35">
      <c r="A3522" s="332"/>
      <c r="B3522" s="333"/>
      <c r="C3522" s="333"/>
      <c r="D3522" s="333"/>
      <c r="E3522" s="333"/>
      <c r="F3522" s="333"/>
      <c r="G3522" s="333"/>
      <c r="H3522" s="333"/>
      <c r="I3522" s="333"/>
      <c r="J3522" s="333"/>
      <c r="K3522" s="496"/>
    </row>
    <row r="3523" spans="1:11" x14ac:dyDescent="0.35">
      <c r="A3523" s="339"/>
      <c r="B3523" s="340"/>
      <c r="C3523" s="340"/>
      <c r="D3523" s="340"/>
      <c r="E3523" s="340"/>
      <c r="F3523" s="340"/>
      <c r="G3523" s="340"/>
      <c r="H3523" s="340"/>
      <c r="I3523" s="340"/>
      <c r="J3523" s="340"/>
      <c r="K3523" s="497"/>
    </row>
    <row r="3524" spans="1:11" x14ac:dyDescent="0.35">
      <c r="A3524" s="332"/>
      <c r="B3524" s="333"/>
      <c r="C3524" s="333"/>
      <c r="D3524" s="333"/>
      <c r="E3524" s="333"/>
      <c r="F3524" s="333"/>
      <c r="G3524" s="333"/>
      <c r="H3524" s="333"/>
      <c r="I3524" s="333"/>
      <c r="J3524" s="333"/>
      <c r="K3524" s="496"/>
    </row>
    <row r="3525" spans="1:11" x14ac:dyDescent="0.35">
      <c r="A3525" s="339"/>
      <c r="B3525" s="340"/>
      <c r="C3525" s="340"/>
      <c r="D3525" s="340"/>
      <c r="E3525" s="340"/>
      <c r="F3525" s="340"/>
      <c r="G3525" s="340"/>
      <c r="H3525" s="340"/>
      <c r="I3525" s="340"/>
      <c r="J3525" s="340"/>
      <c r="K3525" s="497"/>
    </row>
    <row r="3526" spans="1:11" x14ac:dyDescent="0.35">
      <c r="A3526" s="332"/>
      <c r="B3526" s="333"/>
      <c r="C3526" s="333"/>
      <c r="D3526" s="333"/>
      <c r="E3526" s="333"/>
      <c r="F3526" s="333"/>
      <c r="G3526" s="333"/>
      <c r="H3526" s="333"/>
      <c r="I3526" s="333"/>
      <c r="J3526" s="333"/>
      <c r="K3526" s="496"/>
    </row>
    <row r="3527" spans="1:11" x14ac:dyDescent="0.35">
      <c r="A3527" s="339"/>
      <c r="B3527" s="340"/>
      <c r="C3527" s="340"/>
      <c r="D3527" s="340"/>
      <c r="E3527" s="340"/>
      <c r="F3527" s="340"/>
      <c r="G3527" s="340"/>
      <c r="H3527" s="340"/>
      <c r="I3527" s="340"/>
      <c r="J3527" s="340"/>
      <c r="K3527" s="497"/>
    </row>
    <row r="3528" spans="1:11" x14ac:dyDescent="0.35">
      <c r="A3528" s="332"/>
      <c r="B3528" s="333"/>
      <c r="C3528" s="333"/>
      <c r="D3528" s="333"/>
      <c r="E3528" s="333"/>
      <c r="F3528" s="333"/>
      <c r="G3528" s="333"/>
      <c r="H3528" s="333"/>
      <c r="I3528" s="333"/>
      <c r="J3528" s="333"/>
      <c r="K3528" s="496"/>
    </row>
    <row r="3529" spans="1:11" x14ac:dyDescent="0.35">
      <c r="A3529" s="339"/>
      <c r="B3529" s="340"/>
      <c r="C3529" s="340"/>
      <c r="D3529" s="340"/>
      <c r="E3529" s="340"/>
      <c r="F3529" s="340"/>
      <c r="G3529" s="340"/>
      <c r="H3529" s="340"/>
      <c r="I3529" s="340"/>
      <c r="J3529" s="340"/>
      <c r="K3529" s="497"/>
    </row>
    <row r="3530" spans="1:11" x14ac:dyDescent="0.35">
      <c r="A3530" s="332"/>
      <c r="B3530" s="333"/>
      <c r="C3530" s="333"/>
      <c r="D3530" s="333"/>
      <c r="E3530" s="333"/>
      <c r="F3530" s="333"/>
      <c r="G3530" s="333"/>
      <c r="H3530" s="333"/>
      <c r="I3530" s="333"/>
      <c r="J3530" s="333"/>
      <c r="K3530" s="496"/>
    </row>
    <row r="3531" spans="1:11" x14ac:dyDescent="0.35">
      <c r="A3531" s="339"/>
      <c r="B3531" s="340"/>
      <c r="C3531" s="340"/>
      <c r="D3531" s="340"/>
      <c r="E3531" s="340"/>
      <c r="F3531" s="340"/>
      <c r="G3531" s="340"/>
      <c r="H3531" s="340"/>
      <c r="I3531" s="340"/>
      <c r="J3531" s="340"/>
      <c r="K3531" s="497"/>
    </row>
    <row r="3532" spans="1:11" x14ac:dyDescent="0.35">
      <c r="A3532" s="332"/>
      <c r="B3532" s="333"/>
      <c r="C3532" s="333"/>
      <c r="D3532" s="333"/>
      <c r="E3532" s="333"/>
      <c r="F3532" s="333"/>
      <c r="G3532" s="333"/>
      <c r="H3532" s="333"/>
      <c r="I3532" s="333"/>
      <c r="J3532" s="333"/>
      <c r="K3532" s="496"/>
    </row>
    <row r="3533" spans="1:11" x14ac:dyDescent="0.35">
      <c r="A3533" s="339"/>
      <c r="B3533" s="340"/>
      <c r="C3533" s="340"/>
      <c r="D3533" s="340"/>
      <c r="E3533" s="340"/>
      <c r="F3533" s="340"/>
      <c r="G3533" s="340"/>
      <c r="H3533" s="340"/>
      <c r="I3533" s="340"/>
      <c r="J3533" s="340"/>
      <c r="K3533" s="497"/>
    </row>
    <row r="3534" spans="1:11" x14ac:dyDescent="0.35">
      <c r="A3534" s="332"/>
      <c r="B3534" s="333"/>
      <c r="C3534" s="333"/>
      <c r="D3534" s="333"/>
      <c r="E3534" s="333"/>
      <c r="F3534" s="333"/>
      <c r="G3534" s="333"/>
      <c r="H3534" s="333"/>
      <c r="I3534" s="333"/>
      <c r="J3534" s="333"/>
      <c r="K3534" s="496"/>
    </row>
    <row r="3535" spans="1:11" x14ac:dyDescent="0.35">
      <c r="A3535" s="339"/>
      <c r="B3535" s="340"/>
      <c r="C3535" s="340"/>
      <c r="D3535" s="340"/>
      <c r="E3535" s="340"/>
      <c r="F3535" s="340"/>
      <c r="G3535" s="340"/>
      <c r="H3535" s="340"/>
      <c r="I3535" s="340"/>
      <c r="J3535" s="340"/>
      <c r="K3535" s="497"/>
    </row>
    <row r="3536" spans="1:11" x14ac:dyDescent="0.35">
      <c r="A3536" s="332"/>
      <c r="B3536" s="333"/>
      <c r="C3536" s="333"/>
      <c r="D3536" s="333"/>
      <c r="E3536" s="333"/>
      <c r="F3536" s="333"/>
      <c r="G3536" s="333"/>
      <c r="H3536" s="333"/>
      <c r="I3536" s="333"/>
      <c r="J3536" s="333"/>
      <c r="K3536" s="496"/>
    </row>
    <row r="3537" spans="1:11" x14ac:dyDescent="0.35">
      <c r="A3537" s="339"/>
      <c r="B3537" s="340"/>
      <c r="C3537" s="340"/>
      <c r="D3537" s="340"/>
      <c r="E3537" s="340"/>
      <c r="F3537" s="340"/>
      <c r="G3537" s="340"/>
      <c r="H3537" s="340"/>
      <c r="I3537" s="340"/>
      <c r="J3537" s="340"/>
      <c r="K3537" s="497"/>
    </row>
    <row r="3538" spans="1:11" x14ac:dyDescent="0.35">
      <c r="A3538" s="332"/>
      <c r="B3538" s="333"/>
      <c r="C3538" s="333"/>
      <c r="D3538" s="333"/>
      <c r="E3538" s="333"/>
      <c r="F3538" s="333"/>
      <c r="G3538" s="333"/>
      <c r="H3538" s="333"/>
      <c r="I3538" s="333"/>
      <c r="J3538" s="333"/>
      <c r="K3538" s="496"/>
    </row>
    <row r="3539" spans="1:11" x14ac:dyDescent="0.35">
      <c r="A3539" s="339"/>
      <c r="B3539" s="340"/>
      <c r="C3539" s="340"/>
      <c r="D3539" s="340"/>
      <c r="E3539" s="340"/>
      <c r="F3539" s="340"/>
      <c r="G3539" s="340"/>
      <c r="H3539" s="340"/>
      <c r="I3539" s="340"/>
      <c r="J3539" s="340"/>
      <c r="K3539" s="497"/>
    </row>
    <row r="3540" spans="1:11" x14ac:dyDescent="0.35">
      <c r="A3540" s="332"/>
      <c r="B3540" s="333"/>
      <c r="C3540" s="333"/>
      <c r="D3540" s="333"/>
      <c r="E3540" s="333"/>
      <c r="F3540" s="333"/>
      <c r="G3540" s="333"/>
      <c r="H3540" s="333"/>
      <c r="I3540" s="333"/>
      <c r="J3540" s="333"/>
      <c r="K3540" s="496"/>
    </row>
    <row r="3541" spans="1:11" x14ac:dyDescent="0.35">
      <c r="A3541" s="339"/>
      <c r="B3541" s="340"/>
      <c r="C3541" s="340"/>
      <c r="D3541" s="340"/>
      <c r="E3541" s="340"/>
      <c r="F3541" s="340"/>
      <c r="G3541" s="340"/>
      <c r="H3541" s="340"/>
      <c r="I3541" s="340"/>
      <c r="J3541" s="340"/>
      <c r="K3541" s="497"/>
    </row>
    <row r="3542" spans="1:11" x14ac:dyDescent="0.35">
      <c r="A3542" s="332"/>
      <c r="B3542" s="333"/>
      <c r="C3542" s="333"/>
      <c r="D3542" s="333"/>
      <c r="E3542" s="333"/>
      <c r="F3542" s="333"/>
      <c r="G3542" s="333"/>
      <c r="H3542" s="333"/>
      <c r="I3542" s="333"/>
      <c r="J3542" s="333"/>
      <c r="K3542" s="496"/>
    </row>
    <row r="3543" spans="1:11" x14ac:dyDescent="0.35">
      <c r="A3543" s="339"/>
      <c r="B3543" s="340"/>
      <c r="C3543" s="340"/>
      <c r="D3543" s="340"/>
      <c r="E3543" s="340"/>
      <c r="F3543" s="340"/>
      <c r="G3543" s="340"/>
      <c r="H3543" s="340"/>
      <c r="I3543" s="340"/>
      <c r="J3543" s="340"/>
      <c r="K3543" s="497"/>
    </row>
    <row r="3544" spans="1:11" x14ac:dyDescent="0.35">
      <c r="A3544" s="332"/>
      <c r="B3544" s="333"/>
      <c r="C3544" s="333"/>
      <c r="D3544" s="333"/>
      <c r="E3544" s="333"/>
      <c r="F3544" s="333"/>
      <c r="G3544" s="333"/>
      <c r="H3544" s="333"/>
      <c r="I3544" s="333"/>
      <c r="J3544" s="333"/>
      <c r="K3544" s="496"/>
    </row>
    <row r="3545" spans="1:11" x14ac:dyDescent="0.35">
      <c r="A3545" s="339"/>
      <c r="B3545" s="340"/>
      <c r="C3545" s="340"/>
      <c r="D3545" s="340"/>
      <c r="E3545" s="340"/>
      <c r="F3545" s="340"/>
      <c r="G3545" s="340"/>
      <c r="H3545" s="340"/>
      <c r="I3545" s="340"/>
      <c r="J3545" s="340"/>
      <c r="K3545" s="497"/>
    </row>
    <row r="3546" spans="1:11" x14ac:dyDescent="0.35">
      <c r="A3546" s="332"/>
      <c r="B3546" s="333"/>
      <c r="C3546" s="333"/>
      <c r="D3546" s="333"/>
      <c r="E3546" s="333"/>
      <c r="F3546" s="333"/>
      <c r="G3546" s="333"/>
      <c r="H3546" s="333"/>
      <c r="I3546" s="333"/>
      <c r="J3546" s="333"/>
      <c r="K3546" s="496"/>
    </row>
    <row r="3547" spans="1:11" x14ac:dyDescent="0.35">
      <c r="A3547" s="339"/>
      <c r="B3547" s="340"/>
      <c r="C3547" s="340"/>
      <c r="D3547" s="340"/>
      <c r="E3547" s="340"/>
      <c r="F3547" s="340"/>
      <c r="G3547" s="340"/>
      <c r="H3547" s="340"/>
      <c r="I3547" s="340"/>
      <c r="J3547" s="340"/>
      <c r="K3547" s="497"/>
    </row>
    <row r="3548" spans="1:11" x14ac:dyDescent="0.35">
      <c r="A3548" s="332"/>
      <c r="B3548" s="333"/>
      <c r="C3548" s="333"/>
      <c r="D3548" s="333"/>
      <c r="E3548" s="333"/>
      <c r="F3548" s="333"/>
      <c r="G3548" s="333"/>
      <c r="H3548" s="333"/>
      <c r="I3548" s="333"/>
      <c r="J3548" s="333"/>
      <c r="K3548" s="496"/>
    </row>
    <row r="3549" spans="1:11" x14ac:dyDescent="0.35">
      <c r="A3549" s="339"/>
      <c r="B3549" s="340"/>
      <c r="C3549" s="340"/>
      <c r="D3549" s="340"/>
      <c r="E3549" s="340"/>
      <c r="F3549" s="340"/>
      <c r="G3549" s="340"/>
      <c r="H3549" s="340"/>
      <c r="I3549" s="340"/>
      <c r="J3549" s="340"/>
      <c r="K3549" s="497"/>
    </row>
    <row r="3550" spans="1:11" x14ac:dyDescent="0.35">
      <c r="A3550" s="332"/>
      <c r="B3550" s="333"/>
      <c r="C3550" s="333"/>
      <c r="D3550" s="333"/>
      <c r="E3550" s="333"/>
      <c r="F3550" s="333"/>
      <c r="G3550" s="333"/>
      <c r="H3550" s="333"/>
      <c r="I3550" s="333"/>
      <c r="J3550" s="333"/>
      <c r="K3550" s="496"/>
    </row>
    <row r="3551" spans="1:11" x14ac:dyDescent="0.35">
      <c r="A3551" s="339"/>
      <c r="B3551" s="340"/>
      <c r="C3551" s="340"/>
      <c r="D3551" s="340"/>
      <c r="E3551" s="340"/>
      <c r="F3551" s="340"/>
      <c r="G3551" s="340"/>
      <c r="H3551" s="340"/>
      <c r="I3551" s="340"/>
      <c r="J3551" s="340"/>
      <c r="K3551" s="497"/>
    </row>
    <row r="3552" spans="1:11" x14ac:dyDescent="0.35">
      <c r="A3552" s="332"/>
      <c r="B3552" s="333"/>
      <c r="C3552" s="333"/>
      <c r="D3552" s="333"/>
      <c r="E3552" s="333"/>
      <c r="F3552" s="333"/>
      <c r="G3552" s="333"/>
      <c r="H3552" s="333"/>
      <c r="I3552" s="333"/>
      <c r="J3552" s="333"/>
      <c r="K3552" s="496"/>
    </row>
    <row r="3553" spans="1:11" x14ac:dyDescent="0.35">
      <c r="A3553" s="339"/>
      <c r="B3553" s="340"/>
      <c r="C3553" s="340"/>
      <c r="D3553" s="340"/>
      <c r="E3553" s="340"/>
      <c r="F3553" s="340"/>
      <c r="G3553" s="340"/>
      <c r="H3553" s="340"/>
      <c r="I3553" s="340"/>
      <c r="J3553" s="340"/>
      <c r="K3553" s="497"/>
    </row>
    <row r="3554" spans="1:11" x14ac:dyDescent="0.35">
      <c r="A3554" s="332"/>
      <c r="B3554" s="333"/>
      <c r="C3554" s="333"/>
      <c r="D3554" s="333"/>
      <c r="E3554" s="333"/>
      <c r="F3554" s="333"/>
      <c r="G3554" s="333"/>
      <c r="H3554" s="333"/>
      <c r="I3554" s="333"/>
      <c r="J3554" s="333"/>
      <c r="K3554" s="496"/>
    </row>
    <row r="3555" spans="1:11" x14ac:dyDescent="0.35">
      <c r="A3555" s="339"/>
      <c r="B3555" s="340"/>
      <c r="C3555" s="340"/>
      <c r="D3555" s="340"/>
      <c r="E3555" s="340"/>
      <c r="F3555" s="340"/>
      <c r="G3555" s="340"/>
      <c r="H3555" s="340"/>
      <c r="I3555" s="340"/>
      <c r="J3555" s="340"/>
      <c r="K3555" s="497"/>
    </row>
    <row r="3556" spans="1:11" x14ac:dyDescent="0.35">
      <c r="A3556" s="332"/>
      <c r="B3556" s="333"/>
      <c r="C3556" s="333"/>
      <c r="D3556" s="333"/>
      <c r="E3556" s="333"/>
      <c r="F3556" s="333"/>
      <c r="G3556" s="333"/>
      <c r="H3556" s="333"/>
      <c r="I3556" s="333"/>
      <c r="J3556" s="333"/>
      <c r="K3556" s="496"/>
    </row>
    <row r="3557" spans="1:11" x14ac:dyDescent="0.35">
      <c r="A3557" s="339"/>
      <c r="B3557" s="340"/>
      <c r="C3557" s="340"/>
      <c r="D3557" s="340"/>
      <c r="E3557" s="340"/>
      <c r="F3557" s="340"/>
      <c r="G3557" s="340"/>
      <c r="H3557" s="340"/>
      <c r="I3557" s="340"/>
      <c r="J3557" s="340"/>
      <c r="K3557" s="497"/>
    </row>
    <row r="3558" spans="1:11" x14ac:dyDescent="0.35">
      <c r="A3558" s="332"/>
      <c r="B3558" s="333"/>
      <c r="C3558" s="333"/>
      <c r="D3558" s="333"/>
      <c r="E3558" s="333"/>
      <c r="F3558" s="333"/>
      <c r="G3558" s="333"/>
      <c r="H3558" s="333"/>
      <c r="I3558" s="333"/>
      <c r="J3558" s="333"/>
      <c r="K3558" s="496"/>
    </row>
    <row r="3559" spans="1:11" x14ac:dyDescent="0.35">
      <c r="A3559" s="339"/>
      <c r="B3559" s="340"/>
      <c r="C3559" s="340"/>
      <c r="D3559" s="340"/>
      <c r="E3559" s="340"/>
      <c r="F3559" s="340"/>
      <c r="G3559" s="340"/>
      <c r="H3559" s="340"/>
      <c r="I3559" s="340"/>
      <c r="J3559" s="340"/>
      <c r="K3559" s="497"/>
    </row>
    <row r="3560" spans="1:11" x14ac:dyDescent="0.35">
      <c r="A3560" s="332"/>
      <c r="B3560" s="333"/>
      <c r="C3560" s="333"/>
      <c r="D3560" s="333"/>
      <c r="E3560" s="333"/>
      <c r="F3560" s="333"/>
      <c r="G3560" s="333"/>
      <c r="H3560" s="333"/>
      <c r="I3560" s="333"/>
      <c r="J3560" s="333"/>
      <c r="K3560" s="496"/>
    </row>
    <row r="3561" spans="1:11" x14ac:dyDescent="0.35">
      <c r="A3561" s="339"/>
      <c r="B3561" s="340"/>
      <c r="C3561" s="340"/>
      <c r="D3561" s="340"/>
      <c r="E3561" s="340"/>
      <c r="F3561" s="340"/>
      <c r="G3561" s="340"/>
      <c r="H3561" s="340"/>
      <c r="I3561" s="340"/>
      <c r="J3561" s="340"/>
      <c r="K3561" s="497"/>
    </row>
    <row r="3562" spans="1:11" x14ac:dyDescent="0.35">
      <c r="A3562" s="332"/>
      <c r="B3562" s="333"/>
      <c r="C3562" s="333"/>
      <c r="D3562" s="333"/>
      <c r="E3562" s="333"/>
      <c r="F3562" s="333"/>
      <c r="G3562" s="333"/>
      <c r="H3562" s="333"/>
      <c r="I3562" s="333"/>
      <c r="J3562" s="333"/>
      <c r="K3562" s="496"/>
    </row>
    <row r="3563" spans="1:11" x14ac:dyDescent="0.35">
      <c r="A3563" s="339"/>
      <c r="B3563" s="340"/>
      <c r="C3563" s="340"/>
      <c r="D3563" s="340"/>
      <c r="E3563" s="340"/>
      <c r="F3563" s="340"/>
      <c r="G3563" s="340"/>
      <c r="H3563" s="340"/>
      <c r="I3563" s="340"/>
      <c r="J3563" s="340"/>
      <c r="K3563" s="497"/>
    </row>
    <row r="3564" spans="1:11" x14ac:dyDescent="0.35">
      <c r="A3564" s="332"/>
      <c r="B3564" s="333"/>
      <c r="C3564" s="333"/>
      <c r="D3564" s="333"/>
      <c r="E3564" s="333"/>
      <c r="F3564" s="333"/>
      <c r="G3564" s="333"/>
      <c r="H3564" s="333"/>
      <c r="I3564" s="333"/>
      <c r="J3564" s="333"/>
      <c r="K3564" s="496"/>
    </row>
    <row r="3565" spans="1:11" x14ac:dyDescent="0.35">
      <c r="A3565" s="339"/>
      <c r="B3565" s="340"/>
      <c r="C3565" s="340"/>
      <c r="D3565" s="340"/>
      <c r="E3565" s="340"/>
      <c r="F3565" s="340"/>
      <c r="G3565" s="340"/>
      <c r="H3565" s="340"/>
      <c r="I3565" s="340"/>
      <c r="J3565" s="340"/>
      <c r="K3565" s="497"/>
    </row>
    <row r="3566" spans="1:11" x14ac:dyDescent="0.35">
      <c r="A3566" s="332"/>
      <c r="B3566" s="333"/>
      <c r="C3566" s="333"/>
      <c r="D3566" s="333"/>
      <c r="E3566" s="333"/>
      <c r="F3566" s="333"/>
      <c r="G3566" s="333"/>
      <c r="H3566" s="333"/>
      <c r="I3566" s="333"/>
      <c r="J3566" s="333"/>
      <c r="K3566" s="496"/>
    </row>
    <row r="3567" spans="1:11" x14ac:dyDescent="0.35">
      <c r="A3567" s="339"/>
      <c r="B3567" s="340"/>
      <c r="C3567" s="340"/>
      <c r="D3567" s="340"/>
      <c r="E3567" s="340"/>
      <c r="F3567" s="340"/>
      <c r="G3567" s="340"/>
      <c r="H3567" s="340"/>
      <c r="I3567" s="340"/>
      <c r="J3567" s="340"/>
      <c r="K3567" s="497"/>
    </row>
    <row r="3568" spans="1:11" x14ac:dyDescent="0.35">
      <c r="A3568" s="332"/>
      <c r="B3568" s="333"/>
      <c r="C3568" s="333"/>
      <c r="D3568" s="333"/>
      <c r="E3568" s="333"/>
      <c r="F3568" s="333"/>
      <c r="G3568" s="333"/>
      <c r="H3568" s="333"/>
      <c r="I3568" s="333"/>
      <c r="J3568" s="333"/>
      <c r="K3568" s="496"/>
    </row>
    <row r="3569" spans="1:11" x14ac:dyDescent="0.35">
      <c r="A3569" s="339"/>
      <c r="B3569" s="340"/>
      <c r="C3569" s="340"/>
      <c r="D3569" s="340"/>
      <c r="E3569" s="340"/>
      <c r="F3569" s="340"/>
      <c r="G3569" s="340"/>
      <c r="H3569" s="340"/>
      <c r="I3569" s="340"/>
      <c r="J3569" s="340"/>
      <c r="K3569" s="497"/>
    </row>
    <row r="3570" spans="1:11" x14ac:dyDescent="0.35">
      <c r="A3570" s="332"/>
      <c r="B3570" s="333"/>
      <c r="C3570" s="333"/>
      <c r="D3570" s="333"/>
      <c r="E3570" s="333"/>
      <c r="F3570" s="333"/>
      <c r="G3570" s="333"/>
      <c r="H3570" s="333"/>
      <c r="I3570" s="333"/>
      <c r="J3570" s="333"/>
      <c r="K3570" s="496"/>
    </row>
    <row r="3571" spans="1:11" x14ac:dyDescent="0.35">
      <c r="A3571" s="339"/>
      <c r="B3571" s="340"/>
      <c r="C3571" s="340"/>
      <c r="D3571" s="340"/>
      <c r="E3571" s="340"/>
      <c r="F3571" s="340"/>
      <c r="G3571" s="340"/>
      <c r="H3571" s="340"/>
      <c r="I3571" s="340"/>
      <c r="J3571" s="340"/>
      <c r="K3571" s="497"/>
    </row>
    <row r="3572" spans="1:11" x14ac:dyDescent="0.35">
      <c r="A3572" s="332"/>
      <c r="B3572" s="333"/>
      <c r="C3572" s="333"/>
      <c r="D3572" s="333"/>
      <c r="E3572" s="333"/>
      <c r="F3572" s="333"/>
      <c r="G3572" s="333"/>
      <c r="H3572" s="333"/>
      <c r="I3572" s="333"/>
      <c r="J3572" s="333"/>
      <c r="K3572" s="496"/>
    </row>
    <row r="3573" spans="1:11" x14ac:dyDescent="0.35">
      <c r="A3573" s="339"/>
      <c r="B3573" s="340"/>
      <c r="C3573" s="340"/>
      <c r="D3573" s="340"/>
      <c r="E3573" s="340"/>
      <c r="F3573" s="340"/>
      <c r="G3573" s="340"/>
      <c r="H3573" s="340"/>
      <c r="I3573" s="340"/>
      <c r="J3573" s="340"/>
      <c r="K3573" s="497"/>
    </row>
    <row r="3574" spans="1:11" x14ac:dyDescent="0.35">
      <c r="A3574" s="332"/>
      <c r="B3574" s="333"/>
      <c r="C3574" s="333"/>
      <c r="D3574" s="333"/>
      <c r="E3574" s="333"/>
      <c r="F3574" s="333"/>
      <c r="G3574" s="333"/>
      <c r="H3574" s="333"/>
      <c r="I3574" s="333"/>
      <c r="J3574" s="333"/>
      <c r="K3574" s="496"/>
    </row>
    <row r="3575" spans="1:11" x14ac:dyDescent="0.35">
      <c r="A3575" s="339"/>
      <c r="B3575" s="340"/>
      <c r="C3575" s="340"/>
      <c r="D3575" s="340"/>
      <c r="E3575" s="340"/>
      <c r="F3575" s="340"/>
      <c r="G3575" s="340"/>
      <c r="H3575" s="340"/>
      <c r="I3575" s="340"/>
      <c r="J3575" s="340"/>
      <c r="K3575" s="497"/>
    </row>
    <row r="3576" spans="1:11" x14ac:dyDescent="0.35">
      <c r="A3576" s="332"/>
      <c r="B3576" s="333"/>
      <c r="C3576" s="333"/>
      <c r="D3576" s="333"/>
      <c r="E3576" s="333"/>
      <c r="F3576" s="333"/>
      <c r="G3576" s="333"/>
      <c r="H3576" s="333"/>
      <c r="I3576" s="333"/>
      <c r="J3576" s="333"/>
      <c r="K3576" s="496"/>
    </row>
    <row r="3577" spans="1:11" x14ac:dyDescent="0.35">
      <c r="A3577" s="339"/>
      <c r="B3577" s="340"/>
      <c r="C3577" s="340"/>
      <c r="D3577" s="340"/>
      <c r="E3577" s="340"/>
      <c r="F3577" s="340"/>
      <c r="G3577" s="340"/>
      <c r="H3577" s="340"/>
      <c r="I3577" s="340"/>
      <c r="J3577" s="340"/>
      <c r="K3577" s="497"/>
    </row>
    <row r="3578" spans="1:11" x14ac:dyDescent="0.35">
      <c r="A3578" s="332"/>
      <c r="B3578" s="333"/>
      <c r="C3578" s="333"/>
      <c r="D3578" s="333"/>
      <c r="E3578" s="333"/>
      <c r="F3578" s="333"/>
      <c r="G3578" s="333"/>
      <c r="H3578" s="333"/>
      <c r="I3578" s="333"/>
      <c r="J3578" s="333"/>
      <c r="K3578" s="496"/>
    </row>
    <row r="3579" spans="1:11" x14ac:dyDescent="0.35">
      <c r="A3579" s="339"/>
      <c r="B3579" s="340"/>
      <c r="C3579" s="340"/>
      <c r="D3579" s="340"/>
      <c r="E3579" s="340"/>
      <c r="F3579" s="340"/>
      <c r="G3579" s="340"/>
      <c r="H3579" s="340"/>
      <c r="I3579" s="340"/>
      <c r="J3579" s="340"/>
      <c r="K3579" s="497"/>
    </row>
    <row r="3580" spans="1:11" x14ac:dyDescent="0.35">
      <c r="A3580" s="332"/>
      <c r="B3580" s="333"/>
      <c r="C3580" s="333"/>
      <c r="D3580" s="333"/>
      <c r="E3580" s="333"/>
      <c r="F3580" s="333"/>
      <c r="G3580" s="333"/>
      <c r="H3580" s="333"/>
      <c r="I3580" s="333"/>
      <c r="J3580" s="333"/>
      <c r="K3580" s="496"/>
    </row>
    <row r="3581" spans="1:11" x14ac:dyDescent="0.35">
      <c r="A3581" s="339"/>
      <c r="B3581" s="340"/>
      <c r="C3581" s="340"/>
      <c r="D3581" s="340"/>
      <c r="E3581" s="340"/>
      <c r="F3581" s="340"/>
      <c r="G3581" s="340"/>
      <c r="H3581" s="340"/>
      <c r="I3581" s="340"/>
      <c r="J3581" s="340"/>
      <c r="K3581" s="497"/>
    </row>
    <row r="3582" spans="1:11" x14ac:dyDescent="0.35">
      <c r="A3582" s="332"/>
      <c r="B3582" s="333"/>
      <c r="C3582" s="333"/>
      <c r="D3582" s="333"/>
      <c r="E3582" s="333"/>
      <c r="F3582" s="333"/>
      <c r="G3582" s="333"/>
      <c r="H3582" s="333"/>
      <c r="I3582" s="333"/>
      <c r="J3582" s="333"/>
      <c r="K3582" s="496"/>
    </row>
    <row r="3583" spans="1:11" x14ac:dyDescent="0.35">
      <c r="A3583" s="339"/>
      <c r="B3583" s="340"/>
      <c r="C3583" s="340"/>
      <c r="D3583" s="340"/>
      <c r="E3583" s="340"/>
      <c r="F3583" s="340"/>
      <c r="G3583" s="340"/>
      <c r="H3583" s="340"/>
      <c r="I3583" s="340"/>
      <c r="J3583" s="340"/>
      <c r="K3583" s="497"/>
    </row>
    <row r="3584" spans="1:11" x14ac:dyDescent="0.35">
      <c r="A3584" s="332"/>
      <c r="B3584" s="333"/>
      <c r="C3584" s="333"/>
      <c r="D3584" s="333"/>
      <c r="E3584" s="333"/>
      <c r="F3584" s="333"/>
      <c r="G3584" s="333"/>
      <c r="H3584" s="333"/>
      <c r="I3584" s="333"/>
      <c r="J3584" s="333"/>
      <c r="K3584" s="496"/>
    </row>
    <row r="3585" spans="1:11" x14ac:dyDescent="0.35">
      <c r="A3585" s="339"/>
      <c r="B3585" s="340"/>
      <c r="C3585" s="340"/>
      <c r="D3585" s="340"/>
      <c r="E3585" s="340"/>
      <c r="F3585" s="340"/>
      <c r="G3585" s="340"/>
      <c r="H3585" s="340"/>
      <c r="I3585" s="340"/>
      <c r="J3585" s="340"/>
      <c r="K3585" s="497"/>
    </row>
    <row r="3586" spans="1:11" x14ac:dyDescent="0.35">
      <c r="A3586" s="332"/>
      <c r="B3586" s="333"/>
      <c r="C3586" s="333"/>
      <c r="D3586" s="333"/>
      <c r="E3586" s="333"/>
      <c r="F3586" s="333"/>
      <c r="G3586" s="333"/>
      <c r="H3586" s="333"/>
      <c r="I3586" s="333"/>
      <c r="J3586" s="333"/>
      <c r="K3586" s="496"/>
    </row>
    <row r="3587" spans="1:11" x14ac:dyDescent="0.35">
      <c r="A3587" s="339"/>
      <c r="B3587" s="340"/>
      <c r="C3587" s="340"/>
      <c r="D3587" s="340"/>
      <c r="E3587" s="340"/>
      <c r="F3587" s="340"/>
      <c r="G3587" s="340"/>
      <c r="H3587" s="340"/>
      <c r="I3587" s="340"/>
      <c r="J3587" s="340"/>
      <c r="K3587" s="497"/>
    </row>
    <row r="3588" spans="1:11" x14ac:dyDescent="0.35">
      <c r="A3588" s="332"/>
      <c r="B3588" s="333"/>
      <c r="C3588" s="333"/>
      <c r="D3588" s="333"/>
      <c r="E3588" s="333"/>
      <c r="F3588" s="333"/>
      <c r="G3588" s="333"/>
      <c r="H3588" s="333"/>
      <c r="I3588" s="333"/>
      <c r="J3588" s="333"/>
      <c r="K3588" s="496"/>
    </row>
    <row r="3589" spans="1:11" x14ac:dyDescent="0.35">
      <c r="A3589" s="339"/>
      <c r="B3589" s="340"/>
      <c r="C3589" s="340"/>
      <c r="D3589" s="340"/>
      <c r="E3589" s="340"/>
      <c r="F3589" s="340"/>
      <c r="G3589" s="340"/>
      <c r="H3589" s="340"/>
      <c r="I3589" s="340"/>
      <c r="J3589" s="340"/>
      <c r="K3589" s="497"/>
    </row>
    <row r="3590" spans="1:11" x14ac:dyDescent="0.35">
      <c r="A3590" s="332"/>
      <c r="B3590" s="333"/>
      <c r="C3590" s="333"/>
      <c r="D3590" s="333"/>
      <c r="E3590" s="333"/>
      <c r="F3590" s="333"/>
      <c r="G3590" s="333"/>
      <c r="H3590" s="333"/>
      <c r="I3590" s="333"/>
      <c r="J3590" s="333"/>
      <c r="K3590" s="496"/>
    </row>
    <row r="3591" spans="1:11" x14ac:dyDescent="0.35">
      <c r="A3591" s="339"/>
      <c r="B3591" s="340"/>
      <c r="C3591" s="340"/>
      <c r="D3591" s="340"/>
      <c r="E3591" s="340"/>
      <c r="F3591" s="340"/>
      <c r="G3591" s="340"/>
      <c r="H3591" s="340"/>
      <c r="I3591" s="340"/>
      <c r="J3591" s="340"/>
      <c r="K3591" s="497"/>
    </row>
    <row r="3592" spans="1:11" x14ac:dyDescent="0.35">
      <c r="A3592" s="332"/>
      <c r="B3592" s="333"/>
      <c r="C3592" s="333"/>
      <c r="D3592" s="333"/>
      <c r="E3592" s="333"/>
      <c r="F3592" s="333"/>
      <c r="G3592" s="333"/>
      <c r="H3592" s="333"/>
      <c r="I3592" s="333"/>
      <c r="J3592" s="333"/>
      <c r="K3592" s="496"/>
    </row>
    <row r="3593" spans="1:11" x14ac:dyDescent="0.35">
      <c r="A3593" s="339"/>
      <c r="B3593" s="340"/>
      <c r="C3593" s="340"/>
      <c r="D3593" s="340"/>
      <c r="E3593" s="340"/>
      <c r="F3593" s="340"/>
      <c r="G3593" s="340"/>
      <c r="H3593" s="340"/>
      <c r="I3593" s="340"/>
      <c r="J3593" s="340"/>
      <c r="K3593" s="497"/>
    </row>
    <row r="3594" spans="1:11" x14ac:dyDescent="0.35">
      <c r="A3594" s="332"/>
      <c r="B3594" s="333"/>
      <c r="C3594" s="333"/>
      <c r="D3594" s="333"/>
      <c r="E3594" s="333"/>
      <c r="F3594" s="333"/>
      <c r="G3594" s="333"/>
      <c r="H3594" s="333"/>
      <c r="I3594" s="333"/>
      <c r="J3594" s="333"/>
      <c r="K3594" s="496"/>
    </row>
    <row r="3595" spans="1:11" x14ac:dyDescent="0.35">
      <c r="A3595" s="339"/>
      <c r="B3595" s="340"/>
      <c r="C3595" s="340"/>
      <c r="D3595" s="340"/>
      <c r="E3595" s="340"/>
      <c r="F3595" s="340"/>
      <c r="G3595" s="340"/>
      <c r="H3595" s="340"/>
      <c r="I3595" s="340"/>
      <c r="J3595" s="340"/>
      <c r="K3595" s="497"/>
    </row>
    <row r="3596" spans="1:11" x14ac:dyDescent="0.35">
      <c r="A3596" s="332"/>
      <c r="B3596" s="333"/>
      <c r="C3596" s="333"/>
      <c r="D3596" s="333"/>
      <c r="E3596" s="333"/>
      <c r="F3596" s="333"/>
      <c r="G3596" s="333"/>
      <c r="H3596" s="333"/>
      <c r="I3596" s="333"/>
      <c r="J3596" s="333"/>
      <c r="K3596" s="496"/>
    </row>
    <row r="3597" spans="1:11" x14ac:dyDescent="0.35">
      <c r="A3597" s="339"/>
      <c r="B3597" s="340"/>
      <c r="C3597" s="340"/>
      <c r="D3597" s="340"/>
      <c r="E3597" s="340"/>
      <c r="F3597" s="340"/>
      <c r="G3597" s="340"/>
      <c r="H3597" s="340"/>
      <c r="I3597" s="340"/>
      <c r="J3597" s="340"/>
      <c r="K3597" s="497"/>
    </row>
    <row r="3598" spans="1:11" x14ac:dyDescent="0.35">
      <c r="A3598" s="332"/>
      <c r="B3598" s="333"/>
      <c r="C3598" s="333"/>
      <c r="D3598" s="333"/>
      <c r="E3598" s="333"/>
      <c r="F3598" s="333"/>
      <c r="G3598" s="333"/>
      <c r="H3598" s="333"/>
      <c r="I3598" s="333"/>
      <c r="J3598" s="333"/>
      <c r="K3598" s="496"/>
    </row>
    <row r="3599" spans="1:11" x14ac:dyDescent="0.35">
      <c r="A3599" s="339"/>
      <c r="B3599" s="340"/>
      <c r="C3599" s="340"/>
      <c r="D3599" s="340"/>
      <c r="E3599" s="340"/>
      <c r="F3599" s="340"/>
      <c r="G3599" s="340"/>
      <c r="H3599" s="340"/>
      <c r="I3599" s="340"/>
      <c r="J3599" s="340"/>
      <c r="K3599" s="497"/>
    </row>
    <row r="3600" spans="1:11" x14ac:dyDescent="0.35">
      <c r="A3600" s="332"/>
      <c r="B3600" s="333"/>
      <c r="C3600" s="333"/>
      <c r="D3600" s="333"/>
      <c r="E3600" s="333"/>
      <c r="F3600" s="333"/>
      <c r="G3600" s="333"/>
      <c r="H3600" s="333"/>
      <c r="I3600" s="333"/>
      <c r="J3600" s="333"/>
      <c r="K3600" s="496"/>
    </row>
    <row r="3601" spans="1:11" x14ac:dyDescent="0.35">
      <c r="A3601" s="339"/>
      <c r="B3601" s="340"/>
      <c r="C3601" s="340"/>
      <c r="D3601" s="340"/>
      <c r="E3601" s="340"/>
      <c r="F3601" s="340"/>
      <c r="G3601" s="340"/>
      <c r="H3601" s="340"/>
      <c r="I3601" s="340"/>
      <c r="J3601" s="340"/>
      <c r="K3601" s="497"/>
    </row>
    <row r="3602" spans="1:11" x14ac:dyDescent="0.35">
      <c r="A3602" s="332"/>
      <c r="B3602" s="333"/>
      <c r="C3602" s="333"/>
      <c r="D3602" s="333"/>
      <c r="E3602" s="333"/>
      <c r="F3602" s="333"/>
      <c r="G3602" s="333"/>
      <c r="H3602" s="333"/>
      <c r="I3602" s="333"/>
      <c r="J3602" s="333"/>
      <c r="K3602" s="496"/>
    </row>
    <row r="3603" spans="1:11" x14ac:dyDescent="0.35">
      <c r="A3603" s="339"/>
      <c r="B3603" s="340"/>
      <c r="C3603" s="340"/>
      <c r="D3603" s="340"/>
      <c r="E3603" s="340"/>
      <c r="F3603" s="340"/>
      <c r="G3603" s="340"/>
      <c r="H3603" s="340"/>
      <c r="I3603" s="340"/>
      <c r="J3603" s="340"/>
      <c r="K3603" s="497"/>
    </row>
    <row r="3604" spans="1:11" x14ac:dyDescent="0.35">
      <c r="A3604" s="332"/>
      <c r="B3604" s="333"/>
      <c r="C3604" s="333"/>
      <c r="D3604" s="333"/>
      <c r="E3604" s="333"/>
      <c r="F3604" s="333"/>
      <c r="G3604" s="333"/>
      <c r="H3604" s="333"/>
      <c r="I3604" s="333"/>
      <c r="J3604" s="333"/>
      <c r="K3604" s="496"/>
    </row>
    <row r="3605" spans="1:11" x14ac:dyDescent="0.35">
      <c r="A3605" s="339"/>
      <c r="B3605" s="340"/>
      <c r="C3605" s="340"/>
      <c r="D3605" s="340"/>
      <c r="E3605" s="340"/>
      <c r="F3605" s="340"/>
      <c r="G3605" s="340"/>
      <c r="H3605" s="340"/>
      <c r="I3605" s="340"/>
      <c r="J3605" s="340"/>
      <c r="K3605" s="497"/>
    </row>
    <row r="3606" spans="1:11" x14ac:dyDescent="0.35">
      <c r="A3606" s="332"/>
      <c r="B3606" s="333"/>
      <c r="C3606" s="333"/>
      <c r="D3606" s="333"/>
      <c r="E3606" s="333"/>
      <c r="F3606" s="333"/>
      <c r="G3606" s="333"/>
      <c r="H3606" s="333"/>
      <c r="I3606" s="333"/>
      <c r="J3606" s="333"/>
      <c r="K3606" s="496"/>
    </row>
    <row r="3607" spans="1:11" x14ac:dyDescent="0.35">
      <c r="A3607" s="339"/>
      <c r="B3607" s="340"/>
      <c r="C3607" s="340"/>
      <c r="D3607" s="340"/>
      <c r="E3607" s="340"/>
      <c r="F3607" s="340"/>
      <c r="G3607" s="340"/>
      <c r="H3607" s="340"/>
      <c r="I3607" s="340"/>
      <c r="J3607" s="340"/>
      <c r="K3607" s="497"/>
    </row>
    <row r="3608" spans="1:11" x14ac:dyDescent="0.35">
      <c r="A3608" s="332"/>
      <c r="B3608" s="333"/>
      <c r="C3608" s="333"/>
      <c r="D3608" s="333"/>
      <c r="E3608" s="333"/>
      <c r="F3608" s="333"/>
      <c r="G3608" s="333"/>
      <c r="H3608" s="333"/>
      <c r="I3608" s="333"/>
      <c r="J3608" s="333"/>
      <c r="K3608" s="496"/>
    </row>
    <row r="3609" spans="1:11" x14ac:dyDescent="0.35">
      <c r="A3609" s="339"/>
      <c r="B3609" s="340"/>
      <c r="C3609" s="340"/>
      <c r="D3609" s="340"/>
      <c r="E3609" s="340"/>
      <c r="F3609" s="340"/>
      <c r="G3609" s="340"/>
      <c r="H3609" s="340"/>
      <c r="I3609" s="340"/>
      <c r="J3609" s="340"/>
      <c r="K3609" s="497"/>
    </row>
    <row r="3610" spans="1:11" x14ac:dyDescent="0.35">
      <c r="A3610" s="332"/>
      <c r="B3610" s="333"/>
      <c r="C3610" s="333"/>
      <c r="D3610" s="333"/>
      <c r="E3610" s="333"/>
      <c r="F3610" s="333"/>
      <c r="G3610" s="333"/>
      <c r="H3610" s="333"/>
      <c r="I3610" s="333"/>
      <c r="J3610" s="333"/>
      <c r="K3610" s="496"/>
    </row>
    <row r="3611" spans="1:11" x14ac:dyDescent="0.35">
      <c r="A3611" s="339"/>
      <c r="B3611" s="340"/>
      <c r="C3611" s="340"/>
      <c r="D3611" s="340"/>
      <c r="E3611" s="340"/>
      <c r="F3611" s="340"/>
      <c r="G3611" s="340"/>
      <c r="H3611" s="340"/>
      <c r="I3611" s="340"/>
      <c r="J3611" s="340"/>
      <c r="K3611" s="497"/>
    </row>
    <row r="3612" spans="1:11" x14ac:dyDescent="0.35">
      <c r="A3612" s="332"/>
      <c r="B3612" s="333"/>
      <c r="C3612" s="333"/>
      <c r="D3612" s="333"/>
      <c r="E3612" s="333"/>
      <c r="F3612" s="333"/>
      <c r="G3612" s="333"/>
      <c r="H3612" s="333"/>
      <c r="I3612" s="333"/>
      <c r="J3612" s="333"/>
      <c r="K3612" s="496"/>
    </row>
    <row r="3613" spans="1:11" x14ac:dyDescent="0.35">
      <c r="A3613" s="339"/>
      <c r="B3613" s="340"/>
      <c r="C3613" s="340"/>
      <c r="D3613" s="340"/>
      <c r="E3613" s="340"/>
      <c r="F3613" s="340"/>
      <c r="G3613" s="340"/>
      <c r="H3613" s="340"/>
      <c r="I3613" s="340"/>
      <c r="J3613" s="340"/>
      <c r="K3613" s="497"/>
    </row>
    <row r="3614" spans="1:11" x14ac:dyDescent="0.35">
      <c r="A3614" s="332"/>
      <c r="B3614" s="333"/>
      <c r="C3614" s="333"/>
      <c r="D3614" s="333"/>
      <c r="E3614" s="333"/>
      <c r="F3614" s="333"/>
      <c r="G3614" s="333"/>
      <c r="H3614" s="333"/>
      <c r="I3614" s="333"/>
      <c r="J3614" s="333"/>
      <c r="K3614" s="496"/>
    </row>
    <row r="3615" spans="1:11" x14ac:dyDescent="0.35">
      <c r="A3615" s="339"/>
      <c r="B3615" s="340"/>
      <c r="C3615" s="340"/>
      <c r="D3615" s="340"/>
      <c r="E3615" s="340"/>
      <c r="F3615" s="340"/>
      <c r="G3615" s="340"/>
      <c r="H3615" s="340"/>
      <c r="I3615" s="340"/>
      <c r="J3615" s="340"/>
      <c r="K3615" s="497"/>
    </row>
    <row r="3616" spans="1:11" x14ac:dyDescent="0.35">
      <c r="A3616" s="332"/>
      <c r="B3616" s="333"/>
      <c r="C3616" s="333"/>
      <c r="D3616" s="333"/>
      <c r="E3616" s="333"/>
      <c r="F3616" s="333"/>
      <c r="G3616" s="333"/>
      <c r="H3616" s="333"/>
      <c r="I3616" s="333"/>
      <c r="J3616" s="333"/>
      <c r="K3616" s="496"/>
    </row>
    <row r="3617" spans="1:11" x14ac:dyDescent="0.35">
      <c r="A3617" s="339"/>
      <c r="B3617" s="340"/>
      <c r="C3617" s="340"/>
      <c r="D3617" s="340"/>
      <c r="E3617" s="340"/>
      <c r="F3617" s="340"/>
      <c r="G3617" s="340"/>
      <c r="H3617" s="340"/>
      <c r="I3617" s="340"/>
      <c r="J3617" s="340"/>
      <c r="K3617" s="497"/>
    </row>
    <row r="3618" spans="1:11" x14ac:dyDescent="0.35">
      <c r="A3618" s="332"/>
      <c r="B3618" s="333"/>
      <c r="C3618" s="333"/>
      <c r="D3618" s="333"/>
      <c r="E3618" s="333"/>
      <c r="F3618" s="333"/>
      <c r="G3618" s="333"/>
      <c r="H3618" s="333"/>
      <c r="I3618" s="333"/>
      <c r="J3618" s="333"/>
      <c r="K3618" s="496"/>
    </row>
    <row r="3619" spans="1:11" x14ac:dyDescent="0.35">
      <c r="A3619" s="339"/>
      <c r="B3619" s="340"/>
      <c r="C3619" s="340"/>
      <c r="D3619" s="340"/>
      <c r="E3619" s="340"/>
      <c r="F3619" s="340"/>
      <c r="G3619" s="340"/>
      <c r="H3619" s="340"/>
      <c r="I3619" s="340"/>
      <c r="J3619" s="340"/>
      <c r="K3619" s="497"/>
    </row>
    <row r="3620" spans="1:11" x14ac:dyDescent="0.35">
      <c r="A3620" s="332"/>
      <c r="B3620" s="333"/>
      <c r="C3620" s="333"/>
      <c r="D3620" s="333"/>
      <c r="E3620" s="333"/>
      <c r="F3620" s="333"/>
      <c r="G3620" s="333"/>
      <c r="H3620" s="333"/>
      <c r="I3620" s="333"/>
      <c r="J3620" s="333"/>
      <c r="K3620" s="496"/>
    </row>
    <row r="3621" spans="1:11" x14ac:dyDescent="0.35">
      <c r="A3621" s="339"/>
      <c r="B3621" s="340"/>
      <c r="C3621" s="340"/>
      <c r="D3621" s="340"/>
      <c r="E3621" s="340"/>
      <c r="F3621" s="340"/>
      <c r="G3621" s="340"/>
      <c r="H3621" s="340"/>
      <c r="I3621" s="340"/>
      <c r="J3621" s="340"/>
      <c r="K3621" s="497"/>
    </row>
    <row r="3622" spans="1:11" x14ac:dyDescent="0.35">
      <c r="A3622" s="332"/>
      <c r="B3622" s="333"/>
      <c r="C3622" s="333"/>
      <c r="D3622" s="333"/>
      <c r="E3622" s="333"/>
      <c r="F3622" s="333"/>
      <c r="G3622" s="333"/>
      <c r="H3622" s="333"/>
      <c r="I3622" s="333"/>
      <c r="J3622" s="333"/>
      <c r="K3622" s="496"/>
    </row>
    <row r="3623" spans="1:11" x14ac:dyDescent="0.35">
      <c r="A3623" s="339"/>
      <c r="B3623" s="340"/>
      <c r="C3623" s="340"/>
      <c r="D3623" s="340"/>
      <c r="E3623" s="340"/>
      <c r="F3623" s="340"/>
      <c r="G3623" s="340"/>
      <c r="H3623" s="340"/>
      <c r="I3623" s="340"/>
      <c r="J3623" s="340"/>
      <c r="K3623" s="497"/>
    </row>
    <row r="3624" spans="1:11" x14ac:dyDescent="0.35">
      <c r="A3624" s="332"/>
      <c r="B3624" s="333"/>
      <c r="C3624" s="333"/>
      <c r="D3624" s="333"/>
      <c r="E3624" s="333"/>
      <c r="F3624" s="333"/>
      <c r="G3624" s="333"/>
      <c r="H3624" s="333"/>
      <c r="I3624" s="333"/>
      <c r="J3624" s="333"/>
      <c r="K3624" s="496"/>
    </row>
    <row r="3625" spans="1:11" x14ac:dyDescent="0.35">
      <c r="A3625" s="339"/>
      <c r="B3625" s="340"/>
      <c r="C3625" s="340"/>
      <c r="D3625" s="340"/>
      <c r="E3625" s="340"/>
      <c r="F3625" s="340"/>
      <c r="G3625" s="340"/>
      <c r="H3625" s="340"/>
      <c r="I3625" s="340"/>
      <c r="J3625" s="340"/>
      <c r="K3625" s="497"/>
    </row>
    <row r="3626" spans="1:11" x14ac:dyDescent="0.35">
      <c r="A3626" s="332"/>
      <c r="B3626" s="333"/>
      <c r="C3626" s="333"/>
      <c r="D3626" s="333"/>
      <c r="E3626" s="333"/>
      <c r="F3626" s="333"/>
      <c r="G3626" s="333"/>
      <c r="H3626" s="333"/>
      <c r="I3626" s="333"/>
      <c r="J3626" s="333"/>
      <c r="K3626" s="496"/>
    </row>
    <row r="3627" spans="1:11" x14ac:dyDescent="0.35">
      <c r="A3627" s="339"/>
      <c r="B3627" s="340"/>
      <c r="C3627" s="340"/>
      <c r="D3627" s="340"/>
      <c r="E3627" s="340"/>
      <c r="F3627" s="340"/>
      <c r="G3627" s="340"/>
      <c r="H3627" s="340"/>
      <c r="I3627" s="340"/>
      <c r="J3627" s="340"/>
      <c r="K3627" s="497"/>
    </row>
    <row r="3628" spans="1:11" x14ac:dyDescent="0.35">
      <c r="A3628" s="332"/>
      <c r="B3628" s="333"/>
      <c r="C3628" s="333"/>
      <c r="D3628" s="333"/>
      <c r="E3628" s="333"/>
      <c r="F3628" s="333"/>
      <c r="G3628" s="333"/>
      <c r="H3628" s="333"/>
      <c r="I3628" s="333"/>
      <c r="J3628" s="333"/>
      <c r="K3628" s="496"/>
    </row>
    <row r="3629" spans="1:11" x14ac:dyDescent="0.35">
      <c r="A3629" s="339"/>
      <c r="B3629" s="340"/>
      <c r="C3629" s="340"/>
      <c r="D3629" s="340"/>
      <c r="E3629" s="340"/>
      <c r="F3629" s="340"/>
      <c r="G3629" s="340"/>
      <c r="H3629" s="340"/>
      <c r="I3629" s="340"/>
      <c r="J3629" s="340"/>
      <c r="K3629" s="497"/>
    </row>
    <row r="3630" spans="1:11" x14ac:dyDescent="0.35">
      <c r="A3630" s="332"/>
      <c r="B3630" s="333"/>
      <c r="C3630" s="333"/>
      <c r="D3630" s="333"/>
      <c r="E3630" s="333"/>
      <c r="F3630" s="333"/>
      <c r="G3630" s="333"/>
      <c r="H3630" s="333"/>
      <c r="I3630" s="333"/>
      <c r="J3630" s="333"/>
      <c r="K3630" s="496"/>
    </row>
    <row r="3631" spans="1:11" x14ac:dyDescent="0.35">
      <c r="A3631" s="339"/>
      <c r="B3631" s="340"/>
      <c r="C3631" s="340"/>
      <c r="D3631" s="340"/>
      <c r="E3631" s="340"/>
      <c r="F3631" s="340"/>
      <c r="G3631" s="340"/>
      <c r="H3631" s="340"/>
      <c r="I3631" s="340"/>
      <c r="J3631" s="340"/>
      <c r="K3631" s="497"/>
    </row>
    <row r="3632" spans="1:11" x14ac:dyDescent="0.35">
      <c r="A3632" s="332"/>
      <c r="B3632" s="333"/>
      <c r="C3632" s="333"/>
      <c r="D3632" s="333"/>
      <c r="E3632" s="333"/>
      <c r="F3632" s="333"/>
      <c r="G3632" s="333"/>
      <c r="H3632" s="333"/>
      <c r="I3632" s="333"/>
      <c r="J3632" s="333"/>
      <c r="K3632" s="496"/>
    </row>
    <row r="3633" spans="1:11" x14ac:dyDescent="0.35">
      <c r="A3633" s="339"/>
      <c r="B3633" s="340"/>
      <c r="C3633" s="340"/>
      <c r="D3633" s="340"/>
      <c r="E3633" s="340"/>
      <c r="F3633" s="340"/>
      <c r="G3633" s="340"/>
      <c r="H3633" s="340"/>
      <c r="I3633" s="340"/>
      <c r="J3633" s="340"/>
      <c r="K3633" s="497"/>
    </row>
    <row r="3634" spans="1:11" x14ac:dyDescent="0.35">
      <c r="A3634" s="332"/>
      <c r="B3634" s="333"/>
      <c r="C3634" s="333"/>
      <c r="D3634" s="333"/>
      <c r="E3634" s="333"/>
      <c r="F3634" s="333"/>
      <c r="G3634" s="333"/>
      <c r="H3634" s="333"/>
      <c r="I3634" s="333"/>
      <c r="J3634" s="333"/>
      <c r="K3634" s="496"/>
    </row>
    <row r="3635" spans="1:11" x14ac:dyDescent="0.35">
      <c r="A3635" s="339"/>
      <c r="B3635" s="340"/>
      <c r="C3635" s="340"/>
      <c r="D3635" s="340"/>
      <c r="E3635" s="340"/>
      <c r="F3635" s="340"/>
      <c r="G3635" s="340"/>
      <c r="H3635" s="340"/>
      <c r="I3635" s="340"/>
      <c r="J3635" s="340"/>
      <c r="K3635" s="497"/>
    </row>
    <row r="3636" spans="1:11" x14ac:dyDescent="0.35">
      <c r="A3636" s="332"/>
      <c r="B3636" s="333"/>
      <c r="C3636" s="333"/>
      <c r="D3636" s="333"/>
      <c r="E3636" s="333"/>
      <c r="F3636" s="333"/>
      <c r="G3636" s="333"/>
      <c r="H3636" s="333"/>
      <c r="I3636" s="333"/>
      <c r="J3636" s="333"/>
      <c r="K3636" s="496"/>
    </row>
    <row r="3637" spans="1:11" x14ac:dyDescent="0.35">
      <c r="A3637" s="339"/>
      <c r="B3637" s="340"/>
      <c r="C3637" s="340"/>
      <c r="D3637" s="340"/>
      <c r="E3637" s="340"/>
      <c r="F3637" s="340"/>
      <c r="G3637" s="340"/>
      <c r="H3637" s="340"/>
      <c r="I3637" s="340"/>
      <c r="J3637" s="340"/>
      <c r="K3637" s="497"/>
    </row>
    <row r="3638" spans="1:11" x14ac:dyDescent="0.35">
      <c r="A3638" s="332"/>
      <c r="B3638" s="333"/>
      <c r="C3638" s="333"/>
      <c r="D3638" s="333"/>
      <c r="E3638" s="333"/>
      <c r="F3638" s="333"/>
      <c r="G3638" s="333"/>
      <c r="H3638" s="333"/>
      <c r="I3638" s="333"/>
      <c r="J3638" s="333"/>
      <c r="K3638" s="496"/>
    </row>
    <row r="3639" spans="1:11" x14ac:dyDescent="0.35">
      <c r="A3639" s="339"/>
      <c r="B3639" s="340"/>
      <c r="C3639" s="340"/>
      <c r="D3639" s="340"/>
      <c r="E3639" s="340"/>
      <c r="F3639" s="340"/>
      <c r="G3639" s="340"/>
      <c r="H3639" s="340"/>
      <c r="I3639" s="340"/>
      <c r="J3639" s="340"/>
      <c r="K3639" s="497"/>
    </row>
    <row r="3640" spans="1:11" x14ac:dyDescent="0.35">
      <c r="A3640" s="332"/>
      <c r="B3640" s="333"/>
      <c r="C3640" s="333"/>
      <c r="D3640" s="333"/>
      <c r="E3640" s="333"/>
      <c r="F3640" s="333"/>
      <c r="G3640" s="333"/>
      <c r="H3640" s="333"/>
      <c r="I3640" s="333"/>
      <c r="J3640" s="333"/>
      <c r="K3640" s="496"/>
    </row>
    <row r="3641" spans="1:11" x14ac:dyDescent="0.35">
      <c r="A3641" s="339"/>
      <c r="B3641" s="340"/>
      <c r="C3641" s="340"/>
      <c r="D3641" s="340"/>
      <c r="E3641" s="340"/>
      <c r="F3641" s="340"/>
      <c r="G3641" s="340"/>
      <c r="H3641" s="340"/>
      <c r="I3641" s="340"/>
      <c r="J3641" s="340"/>
      <c r="K3641" s="497"/>
    </row>
    <row r="3642" spans="1:11" x14ac:dyDescent="0.35">
      <c r="A3642" s="332"/>
      <c r="B3642" s="333"/>
      <c r="C3642" s="333"/>
      <c r="D3642" s="333"/>
      <c r="E3642" s="333"/>
      <c r="F3642" s="333"/>
      <c r="G3642" s="333"/>
      <c r="H3642" s="333"/>
      <c r="I3642" s="333"/>
      <c r="J3642" s="333"/>
      <c r="K3642" s="496"/>
    </row>
    <row r="3643" spans="1:11" x14ac:dyDescent="0.35">
      <c r="A3643" s="339"/>
      <c r="B3643" s="340"/>
      <c r="C3643" s="340"/>
      <c r="D3643" s="340"/>
      <c r="E3643" s="340"/>
      <c r="F3643" s="340"/>
      <c r="G3643" s="340"/>
      <c r="H3643" s="340"/>
      <c r="I3643" s="340"/>
      <c r="J3643" s="340"/>
      <c r="K3643" s="497"/>
    </row>
    <row r="3644" spans="1:11" x14ac:dyDescent="0.35">
      <c r="A3644" s="332"/>
      <c r="B3644" s="333"/>
      <c r="C3644" s="333"/>
      <c r="D3644" s="333"/>
      <c r="E3644" s="333"/>
      <c r="F3644" s="333"/>
      <c r="G3644" s="333"/>
      <c r="H3644" s="333"/>
      <c r="I3644" s="333"/>
      <c r="J3644" s="333"/>
      <c r="K3644" s="496"/>
    </row>
    <row r="3645" spans="1:11" x14ac:dyDescent="0.35">
      <c r="A3645" s="339"/>
      <c r="B3645" s="340"/>
      <c r="C3645" s="340"/>
      <c r="D3645" s="340"/>
      <c r="E3645" s="340"/>
      <c r="F3645" s="340"/>
      <c r="G3645" s="340"/>
      <c r="H3645" s="340"/>
      <c r="I3645" s="340"/>
      <c r="J3645" s="340"/>
      <c r="K3645" s="497"/>
    </row>
    <row r="3646" spans="1:11" x14ac:dyDescent="0.35">
      <c r="A3646" s="332"/>
      <c r="B3646" s="333"/>
      <c r="C3646" s="333"/>
      <c r="D3646" s="333"/>
      <c r="E3646" s="333"/>
      <c r="F3646" s="333"/>
      <c r="G3646" s="333"/>
      <c r="H3646" s="333"/>
      <c r="I3646" s="333"/>
      <c r="J3646" s="333"/>
      <c r="K3646" s="496"/>
    </row>
    <row r="3647" spans="1:11" x14ac:dyDescent="0.35">
      <c r="A3647" s="339"/>
      <c r="B3647" s="340"/>
      <c r="C3647" s="340"/>
      <c r="D3647" s="340"/>
      <c r="E3647" s="340"/>
      <c r="F3647" s="340"/>
      <c r="G3647" s="340"/>
      <c r="H3647" s="340"/>
      <c r="I3647" s="340"/>
      <c r="J3647" s="340"/>
      <c r="K3647" s="497"/>
    </row>
    <row r="3648" spans="1:11" x14ac:dyDescent="0.35">
      <c r="A3648" s="332"/>
      <c r="B3648" s="333"/>
      <c r="C3648" s="333"/>
      <c r="D3648" s="333"/>
      <c r="E3648" s="333"/>
      <c r="F3648" s="333"/>
      <c r="G3648" s="333"/>
      <c r="H3648" s="333"/>
      <c r="I3648" s="333"/>
      <c r="J3648" s="333"/>
      <c r="K3648" s="496"/>
    </row>
    <row r="3649" spans="1:11" x14ac:dyDescent="0.35">
      <c r="A3649" s="339"/>
      <c r="B3649" s="340"/>
      <c r="C3649" s="340"/>
      <c r="D3649" s="340"/>
      <c r="E3649" s="340"/>
      <c r="F3649" s="340"/>
      <c r="G3649" s="340"/>
      <c r="H3649" s="340"/>
      <c r="I3649" s="340"/>
      <c r="J3649" s="340"/>
      <c r="K3649" s="497"/>
    </row>
    <row r="3650" spans="1:11" x14ac:dyDescent="0.35">
      <c r="A3650" s="332"/>
      <c r="B3650" s="333"/>
      <c r="C3650" s="333"/>
      <c r="D3650" s="333"/>
      <c r="E3650" s="333"/>
      <c r="F3650" s="333"/>
      <c r="G3650" s="333"/>
      <c r="H3650" s="333"/>
      <c r="I3650" s="333"/>
      <c r="J3650" s="333"/>
      <c r="K3650" s="496"/>
    </row>
    <row r="3651" spans="1:11" x14ac:dyDescent="0.35">
      <c r="A3651" s="339"/>
      <c r="B3651" s="340"/>
      <c r="C3651" s="340"/>
      <c r="D3651" s="340"/>
      <c r="E3651" s="340"/>
      <c r="F3651" s="340"/>
      <c r="G3651" s="340"/>
      <c r="H3651" s="340"/>
      <c r="I3651" s="340"/>
      <c r="J3651" s="340"/>
      <c r="K3651" s="497"/>
    </row>
    <row r="3652" spans="1:11" x14ac:dyDescent="0.35">
      <c r="A3652" s="332"/>
      <c r="B3652" s="333"/>
      <c r="C3652" s="333"/>
      <c r="D3652" s="333"/>
      <c r="E3652" s="333"/>
      <c r="F3652" s="333"/>
      <c r="G3652" s="333"/>
      <c r="H3652" s="333"/>
      <c r="I3652" s="333"/>
      <c r="J3652" s="333"/>
      <c r="K3652" s="496"/>
    </row>
    <row r="3653" spans="1:11" x14ac:dyDescent="0.35">
      <c r="A3653" s="339"/>
      <c r="B3653" s="340"/>
      <c r="C3653" s="340"/>
      <c r="D3653" s="340"/>
      <c r="E3653" s="340"/>
      <c r="F3653" s="340"/>
      <c r="G3653" s="340"/>
      <c r="H3653" s="340"/>
      <c r="I3653" s="340"/>
      <c r="J3653" s="340"/>
      <c r="K3653" s="497"/>
    </row>
    <row r="3654" spans="1:11" x14ac:dyDescent="0.35">
      <c r="A3654" s="332"/>
      <c r="B3654" s="333"/>
      <c r="C3654" s="333"/>
      <c r="D3654" s="333"/>
      <c r="E3654" s="333"/>
      <c r="F3654" s="333"/>
      <c r="G3654" s="333"/>
      <c r="H3654" s="333"/>
      <c r="I3654" s="333"/>
      <c r="J3654" s="333"/>
      <c r="K3654" s="496"/>
    </row>
    <row r="3655" spans="1:11" x14ac:dyDescent="0.35">
      <c r="A3655" s="339"/>
      <c r="B3655" s="340"/>
      <c r="C3655" s="340"/>
      <c r="D3655" s="340"/>
      <c r="E3655" s="340"/>
      <c r="F3655" s="340"/>
      <c r="G3655" s="340"/>
      <c r="H3655" s="340"/>
      <c r="I3655" s="340"/>
      <c r="J3655" s="340"/>
      <c r="K3655" s="497"/>
    </row>
    <row r="3656" spans="1:11" x14ac:dyDescent="0.35">
      <c r="A3656" s="332"/>
      <c r="B3656" s="333"/>
      <c r="C3656" s="333"/>
      <c r="D3656" s="333"/>
      <c r="E3656" s="333"/>
      <c r="F3656" s="333"/>
      <c r="G3656" s="333"/>
      <c r="H3656" s="333"/>
      <c r="I3656" s="333"/>
      <c r="J3656" s="333"/>
      <c r="K3656" s="496"/>
    </row>
    <row r="3657" spans="1:11" x14ac:dyDescent="0.35">
      <c r="A3657" s="339"/>
      <c r="B3657" s="340"/>
      <c r="C3657" s="340"/>
      <c r="D3657" s="340"/>
      <c r="E3657" s="340"/>
      <c r="F3657" s="340"/>
      <c r="G3657" s="340"/>
      <c r="H3657" s="340"/>
      <c r="I3657" s="340"/>
      <c r="J3657" s="340"/>
      <c r="K3657" s="497"/>
    </row>
    <row r="3658" spans="1:11" x14ac:dyDescent="0.35">
      <c r="A3658" s="332"/>
      <c r="B3658" s="333"/>
      <c r="C3658" s="333"/>
      <c r="D3658" s="333"/>
      <c r="E3658" s="333"/>
      <c r="F3658" s="333"/>
      <c r="G3658" s="333"/>
      <c r="H3658" s="333"/>
      <c r="I3658" s="333"/>
      <c r="J3658" s="333"/>
      <c r="K3658" s="496"/>
    </row>
    <row r="3659" spans="1:11" x14ac:dyDescent="0.35">
      <c r="A3659" s="339"/>
      <c r="B3659" s="340"/>
      <c r="C3659" s="340"/>
      <c r="D3659" s="340"/>
      <c r="E3659" s="340"/>
      <c r="F3659" s="340"/>
      <c r="G3659" s="340"/>
      <c r="H3659" s="340"/>
      <c r="I3659" s="340"/>
      <c r="J3659" s="340"/>
      <c r="K3659" s="497"/>
    </row>
    <row r="3660" spans="1:11" x14ac:dyDescent="0.35">
      <c r="A3660" s="332"/>
      <c r="B3660" s="333"/>
      <c r="C3660" s="333"/>
      <c r="D3660" s="333"/>
      <c r="E3660" s="333"/>
      <c r="F3660" s="333"/>
      <c r="G3660" s="333"/>
      <c r="H3660" s="333"/>
      <c r="I3660" s="333"/>
      <c r="J3660" s="333"/>
      <c r="K3660" s="496"/>
    </row>
    <row r="3661" spans="1:11" x14ac:dyDescent="0.35">
      <c r="A3661" s="339"/>
      <c r="B3661" s="340"/>
      <c r="C3661" s="340"/>
      <c r="D3661" s="340"/>
      <c r="E3661" s="340"/>
      <c r="F3661" s="340"/>
      <c r="G3661" s="340"/>
      <c r="H3661" s="340"/>
      <c r="I3661" s="340"/>
      <c r="J3661" s="340"/>
      <c r="K3661" s="497"/>
    </row>
    <row r="3662" spans="1:11" x14ac:dyDescent="0.35">
      <c r="A3662" s="332"/>
      <c r="B3662" s="333"/>
      <c r="C3662" s="333"/>
      <c r="D3662" s="333"/>
      <c r="E3662" s="333"/>
      <c r="F3662" s="333"/>
      <c r="G3662" s="333"/>
      <c r="H3662" s="333"/>
      <c r="I3662" s="333"/>
      <c r="J3662" s="333"/>
      <c r="K3662" s="496"/>
    </row>
    <row r="3663" spans="1:11" x14ac:dyDescent="0.35">
      <c r="A3663" s="339"/>
      <c r="B3663" s="340"/>
      <c r="C3663" s="340"/>
      <c r="D3663" s="340"/>
      <c r="E3663" s="340"/>
      <c r="F3663" s="340"/>
      <c r="G3663" s="340"/>
      <c r="H3663" s="340"/>
      <c r="I3663" s="340"/>
      <c r="J3663" s="340"/>
      <c r="K3663" s="497"/>
    </row>
    <row r="3664" spans="1:11" x14ac:dyDescent="0.35">
      <c r="A3664" s="332"/>
      <c r="B3664" s="333"/>
      <c r="C3664" s="333"/>
      <c r="D3664" s="333"/>
      <c r="E3664" s="333"/>
      <c r="F3664" s="333"/>
      <c r="G3664" s="333"/>
      <c r="H3664" s="333"/>
      <c r="I3664" s="333"/>
      <c r="J3664" s="333"/>
      <c r="K3664" s="496"/>
    </row>
    <row r="3665" spans="1:11" x14ac:dyDescent="0.35">
      <c r="A3665" s="339"/>
      <c r="B3665" s="340"/>
      <c r="C3665" s="340"/>
      <c r="D3665" s="340"/>
      <c r="E3665" s="340"/>
      <c r="F3665" s="340"/>
      <c r="G3665" s="340"/>
      <c r="H3665" s="340"/>
      <c r="I3665" s="340"/>
      <c r="J3665" s="340"/>
      <c r="K3665" s="497"/>
    </row>
    <row r="3666" spans="1:11" x14ac:dyDescent="0.35">
      <c r="A3666" s="332"/>
      <c r="B3666" s="333"/>
      <c r="C3666" s="333"/>
      <c r="D3666" s="333"/>
      <c r="E3666" s="333"/>
      <c r="F3666" s="333"/>
      <c r="G3666" s="333"/>
      <c r="H3666" s="333"/>
      <c r="I3666" s="333"/>
      <c r="J3666" s="333"/>
      <c r="K3666" s="496"/>
    </row>
    <row r="3667" spans="1:11" x14ac:dyDescent="0.35">
      <c r="A3667" s="339"/>
      <c r="B3667" s="340"/>
      <c r="C3667" s="340"/>
      <c r="D3667" s="340"/>
      <c r="E3667" s="340"/>
      <c r="F3667" s="340"/>
      <c r="G3667" s="340"/>
      <c r="H3667" s="340"/>
      <c r="I3667" s="340"/>
      <c r="J3667" s="340"/>
      <c r="K3667" s="497"/>
    </row>
    <row r="3668" spans="1:11" x14ac:dyDescent="0.35">
      <c r="A3668" s="332"/>
      <c r="B3668" s="333"/>
      <c r="C3668" s="333"/>
      <c r="D3668" s="333"/>
      <c r="E3668" s="333"/>
      <c r="F3668" s="333"/>
      <c r="G3668" s="333"/>
      <c r="H3668" s="333"/>
      <c r="I3668" s="333"/>
      <c r="J3668" s="333"/>
      <c r="K3668" s="496"/>
    </row>
    <row r="3669" spans="1:11" x14ac:dyDescent="0.35">
      <c r="A3669" s="339"/>
      <c r="B3669" s="340"/>
      <c r="C3669" s="340"/>
      <c r="D3669" s="340"/>
      <c r="E3669" s="340"/>
      <c r="F3669" s="340"/>
      <c r="G3669" s="340"/>
      <c r="H3669" s="340"/>
      <c r="I3669" s="340"/>
      <c r="J3669" s="340"/>
      <c r="K3669" s="497"/>
    </row>
    <row r="3670" spans="1:11" x14ac:dyDescent="0.35">
      <c r="A3670" s="332"/>
      <c r="B3670" s="333"/>
      <c r="C3670" s="333"/>
      <c r="D3670" s="333"/>
      <c r="E3670" s="333"/>
      <c r="F3670" s="333"/>
      <c r="G3670" s="333"/>
      <c r="H3670" s="333"/>
      <c r="I3670" s="333"/>
      <c r="J3670" s="333"/>
      <c r="K3670" s="496"/>
    </row>
    <row r="3671" spans="1:11" x14ac:dyDescent="0.35">
      <c r="A3671" s="339"/>
      <c r="B3671" s="340"/>
      <c r="C3671" s="340"/>
      <c r="D3671" s="340"/>
      <c r="E3671" s="340"/>
      <c r="F3671" s="340"/>
      <c r="G3671" s="340"/>
      <c r="H3671" s="340"/>
      <c r="I3671" s="340"/>
      <c r="J3671" s="340"/>
      <c r="K3671" s="497"/>
    </row>
    <row r="3672" spans="1:11" x14ac:dyDescent="0.35">
      <c r="A3672" s="332"/>
      <c r="B3672" s="333"/>
      <c r="C3672" s="333"/>
      <c r="D3672" s="333"/>
      <c r="E3672" s="333"/>
      <c r="F3672" s="333"/>
      <c r="G3672" s="333"/>
      <c r="H3672" s="333"/>
      <c r="I3672" s="333"/>
      <c r="J3672" s="333"/>
      <c r="K3672" s="496"/>
    </row>
    <row r="3673" spans="1:11" x14ac:dyDescent="0.35">
      <c r="A3673" s="339"/>
      <c r="B3673" s="340"/>
      <c r="C3673" s="340"/>
      <c r="D3673" s="340"/>
      <c r="E3673" s="340"/>
      <c r="F3673" s="340"/>
      <c r="G3673" s="340"/>
      <c r="H3673" s="340"/>
      <c r="I3673" s="340"/>
      <c r="J3673" s="340"/>
      <c r="K3673" s="497"/>
    </row>
    <row r="3674" spans="1:11" x14ac:dyDescent="0.35">
      <c r="A3674" s="332"/>
      <c r="B3674" s="333"/>
      <c r="C3674" s="333"/>
      <c r="D3674" s="333"/>
      <c r="E3674" s="333"/>
      <c r="F3674" s="333"/>
      <c r="G3674" s="333"/>
      <c r="H3674" s="333"/>
      <c r="I3674" s="333"/>
      <c r="J3674" s="333"/>
      <c r="K3674" s="496"/>
    </row>
    <row r="3675" spans="1:11" x14ac:dyDescent="0.35">
      <c r="A3675" s="339"/>
      <c r="B3675" s="340"/>
      <c r="C3675" s="340"/>
      <c r="D3675" s="340"/>
      <c r="E3675" s="340"/>
      <c r="F3675" s="340"/>
      <c r="G3675" s="340"/>
      <c r="H3675" s="340"/>
      <c r="I3675" s="340"/>
      <c r="J3675" s="340"/>
      <c r="K3675" s="497"/>
    </row>
    <row r="3676" spans="1:11" x14ac:dyDescent="0.35">
      <c r="A3676" s="332"/>
      <c r="B3676" s="333"/>
      <c r="C3676" s="333"/>
      <c r="D3676" s="333"/>
      <c r="E3676" s="333"/>
      <c r="F3676" s="333"/>
      <c r="G3676" s="333"/>
      <c r="H3676" s="333"/>
      <c r="I3676" s="333"/>
      <c r="J3676" s="333"/>
      <c r="K3676" s="496"/>
    </row>
    <row r="3677" spans="1:11" x14ac:dyDescent="0.35">
      <c r="A3677" s="339"/>
      <c r="B3677" s="340"/>
      <c r="C3677" s="340"/>
      <c r="D3677" s="340"/>
      <c r="E3677" s="340"/>
      <c r="F3677" s="340"/>
      <c r="G3677" s="340"/>
      <c r="H3677" s="340"/>
      <c r="I3677" s="340"/>
      <c r="J3677" s="340"/>
      <c r="K3677" s="497"/>
    </row>
    <row r="3678" spans="1:11" x14ac:dyDescent="0.35">
      <c r="A3678" s="332"/>
      <c r="B3678" s="333"/>
      <c r="C3678" s="333"/>
      <c r="D3678" s="333"/>
      <c r="E3678" s="333"/>
      <c r="F3678" s="333"/>
      <c r="G3678" s="333"/>
      <c r="H3678" s="333"/>
      <c r="I3678" s="333"/>
      <c r="J3678" s="333"/>
      <c r="K3678" s="496"/>
    </row>
    <row r="3679" spans="1:11" x14ac:dyDescent="0.35">
      <c r="A3679" s="339"/>
      <c r="B3679" s="340"/>
      <c r="C3679" s="340"/>
      <c r="D3679" s="340"/>
      <c r="E3679" s="340"/>
      <c r="F3679" s="340"/>
      <c r="G3679" s="340"/>
      <c r="H3679" s="340"/>
      <c r="I3679" s="340"/>
      <c r="J3679" s="340"/>
      <c r="K3679" s="497"/>
    </row>
    <row r="3680" spans="1:11" x14ac:dyDescent="0.35">
      <c r="A3680" s="332"/>
      <c r="B3680" s="333"/>
      <c r="C3680" s="333"/>
      <c r="D3680" s="333"/>
      <c r="E3680" s="333"/>
      <c r="F3680" s="333"/>
      <c r="G3680" s="333"/>
      <c r="H3680" s="333"/>
      <c r="I3680" s="333"/>
      <c r="J3680" s="333"/>
      <c r="K3680" s="496"/>
    </row>
    <row r="3681" spans="1:11" x14ac:dyDescent="0.35">
      <c r="A3681" s="339"/>
      <c r="B3681" s="340"/>
      <c r="C3681" s="340"/>
      <c r="D3681" s="340"/>
      <c r="E3681" s="340"/>
      <c r="F3681" s="340"/>
      <c r="G3681" s="340"/>
      <c r="H3681" s="340"/>
      <c r="I3681" s="340"/>
      <c r="J3681" s="340"/>
      <c r="K3681" s="497"/>
    </row>
    <row r="3682" spans="1:11" x14ac:dyDescent="0.35">
      <c r="A3682" s="332"/>
      <c r="B3682" s="333"/>
      <c r="C3682" s="333"/>
      <c r="D3682" s="333"/>
      <c r="E3682" s="333"/>
      <c r="F3682" s="333"/>
      <c r="G3682" s="333"/>
      <c r="H3682" s="333"/>
      <c r="I3682" s="333"/>
      <c r="J3682" s="333"/>
      <c r="K3682" s="496"/>
    </row>
    <row r="3683" spans="1:11" x14ac:dyDescent="0.35">
      <c r="A3683" s="339"/>
      <c r="B3683" s="340"/>
      <c r="C3683" s="340"/>
      <c r="D3683" s="340"/>
      <c r="E3683" s="340"/>
      <c r="F3683" s="340"/>
      <c r="G3683" s="340"/>
      <c r="H3683" s="340"/>
      <c r="I3683" s="340"/>
      <c r="J3683" s="340"/>
      <c r="K3683" s="497"/>
    </row>
    <row r="3684" spans="1:11" x14ac:dyDescent="0.35">
      <c r="A3684" s="332"/>
      <c r="B3684" s="333"/>
      <c r="C3684" s="333"/>
      <c r="D3684" s="333"/>
      <c r="E3684" s="333"/>
      <c r="F3684" s="333"/>
      <c r="G3684" s="333"/>
      <c r="H3684" s="333"/>
      <c r="I3684" s="333"/>
      <c r="J3684" s="333"/>
      <c r="K3684" s="496"/>
    </row>
    <row r="3685" spans="1:11" x14ac:dyDescent="0.35">
      <c r="A3685" s="339"/>
      <c r="B3685" s="340"/>
      <c r="C3685" s="340"/>
      <c r="D3685" s="340"/>
      <c r="E3685" s="340"/>
      <c r="F3685" s="340"/>
      <c r="G3685" s="340"/>
      <c r="H3685" s="340"/>
      <c r="I3685" s="340"/>
      <c r="J3685" s="340"/>
      <c r="K3685" s="497"/>
    </row>
    <row r="3686" spans="1:11" x14ac:dyDescent="0.35">
      <c r="A3686" s="332"/>
      <c r="B3686" s="333"/>
      <c r="C3686" s="333"/>
      <c r="D3686" s="333"/>
      <c r="E3686" s="333"/>
      <c r="F3686" s="333"/>
      <c r="G3686" s="333"/>
      <c r="H3686" s="333"/>
      <c r="I3686" s="333"/>
      <c r="J3686" s="333"/>
      <c r="K3686" s="496"/>
    </row>
    <row r="3687" spans="1:11" x14ac:dyDescent="0.35">
      <c r="A3687" s="339"/>
      <c r="B3687" s="340"/>
      <c r="C3687" s="340"/>
      <c r="D3687" s="340"/>
      <c r="E3687" s="340"/>
      <c r="F3687" s="340"/>
      <c r="G3687" s="340"/>
      <c r="H3687" s="340"/>
      <c r="I3687" s="340"/>
      <c r="J3687" s="340"/>
      <c r="K3687" s="497"/>
    </row>
    <row r="3688" spans="1:11" x14ac:dyDescent="0.35">
      <c r="A3688" s="332"/>
      <c r="B3688" s="333"/>
      <c r="C3688" s="333"/>
      <c r="D3688" s="333"/>
      <c r="E3688" s="333"/>
      <c r="F3688" s="333"/>
      <c r="G3688" s="333"/>
      <c r="H3688" s="333"/>
      <c r="I3688" s="333"/>
      <c r="J3688" s="333"/>
      <c r="K3688" s="496"/>
    </row>
    <row r="3689" spans="1:11" x14ac:dyDescent="0.35">
      <c r="A3689" s="339"/>
      <c r="B3689" s="340"/>
      <c r="C3689" s="340"/>
      <c r="D3689" s="340"/>
      <c r="E3689" s="340"/>
      <c r="F3689" s="340"/>
      <c r="G3689" s="340"/>
      <c r="H3689" s="340"/>
      <c r="I3689" s="340"/>
      <c r="J3689" s="340"/>
      <c r="K3689" s="497"/>
    </row>
    <row r="3690" spans="1:11" x14ac:dyDescent="0.35">
      <c r="A3690" s="332"/>
      <c r="B3690" s="333"/>
      <c r="C3690" s="333"/>
      <c r="D3690" s="333"/>
      <c r="E3690" s="333"/>
      <c r="F3690" s="333"/>
      <c r="G3690" s="333"/>
      <c r="H3690" s="333"/>
      <c r="I3690" s="333"/>
      <c r="J3690" s="333"/>
      <c r="K3690" s="496"/>
    </row>
    <row r="3691" spans="1:11" x14ac:dyDescent="0.35">
      <c r="A3691" s="339"/>
      <c r="B3691" s="340"/>
      <c r="C3691" s="340"/>
      <c r="D3691" s="340"/>
      <c r="E3691" s="340"/>
      <c r="F3691" s="340"/>
      <c r="G3691" s="340"/>
      <c r="H3691" s="340"/>
      <c r="I3691" s="340"/>
      <c r="J3691" s="340"/>
      <c r="K3691" s="497"/>
    </row>
    <row r="3692" spans="1:11" x14ac:dyDescent="0.35">
      <c r="A3692" s="332"/>
      <c r="B3692" s="333"/>
      <c r="C3692" s="333"/>
      <c r="D3692" s="333"/>
      <c r="E3692" s="333"/>
      <c r="F3692" s="333"/>
      <c r="G3692" s="333"/>
      <c r="H3692" s="333"/>
      <c r="I3692" s="333"/>
      <c r="J3692" s="333"/>
      <c r="K3692" s="496"/>
    </row>
    <row r="3693" spans="1:11" x14ac:dyDescent="0.35">
      <c r="A3693" s="339"/>
      <c r="B3693" s="340"/>
      <c r="C3693" s="340"/>
      <c r="D3693" s="340"/>
      <c r="E3693" s="340"/>
      <c r="F3693" s="340"/>
      <c r="G3693" s="340"/>
      <c r="H3693" s="340"/>
      <c r="I3693" s="340"/>
      <c r="J3693" s="340"/>
      <c r="K3693" s="497"/>
    </row>
    <row r="3694" spans="1:11" x14ac:dyDescent="0.35">
      <c r="A3694" s="332"/>
      <c r="B3694" s="333"/>
      <c r="C3694" s="333"/>
      <c r="D3694" s="333"/>
      <c r="E3694" s="333"/>
      <c r="F3694" s="333"/>
      <c r="G3694" s="333"/>
      <c r="H3694" s="333"/>
      <c r="I3694" s="333"/>
      <c r="J3694" s="333"/>
      <c r="K3694" s="496"/>
    </row>
    <row r="3695" spans="1:11" x14ac:dyDescent="0.35">
      <c r="A3695" s="339"/>
      <c r="B3695" s="340"/>
      <c r="C3695" s="340"/>
      <c r="D3695" s="340"/>
      <c r="E3695" s="340"/>
      <c r="F3695" s="340"/>
      <c r="G3695" s="340"/>
      <c r="H3695" s="340"/>
      <c r="I3695" s="340"/>
      <c r="J3695" s="340"/>
      <c r="K3695" s="497"/>
    </row>
    <row r="3696" spans="1:11" x14ac:dyDescent="0.35">
      <c r="A3696" s="332"/>
      <c r="B3696" s="333"/>
      <c r="C3696" s="333"/>
      <c r="D3696" s="333"/>
      <c r="E3696" s="333"/>
      <c r="F3696" s="333"/>
      <c r="G3696" s="333"/>
      <c r="H3696" s="333"/>
      <c r="I3696" s="333"/>
      <c r="J3696" s="333"/>
      <c r="K3696" s="496"/>
    </row>
    <row r="3697" spans="1:11" x14ac:dyDescent="0.35">
      <c r="A3697" s="339"/>
      <c r="B3697" s="340"/>
      <c r="C3697" s="340"/>
      <c r="D3697" s="340"/>
      <c r="E3697" s="340"/>
      <c r="F3697" s="340"/>
      <c r="G3697" s="340"/>
      <c r="H3697" s="340"/>
      <c r="I3697" s="340"/>
      <c r="J3697" s="340"/>
      <c r="K3697" s="497"/>
    </row>
    <row r="3698" spans="1:11" x14ac:dyDescent="0.35">
      <c r="A3698" s="332"/>
      <c r="B3698" s="333"/>
      <c r="C3698" s="333"/>
      <c r="D3698" s="333"/>
      <c r="E3698" s="333"/>
      <c r="F3698" s="333"/>
      <c r="G3698" s="333"/>
      <c r="H3698" s="333"/>
      <c r="I3698" s="333"/>
      <c r="J3698" s="333"/>
      <c r="K3698" s="496"/>
    </row>
    <row r="3699" spans="1:11" x14ac:dyDescent="0.35">
      <c r="A3699" s="339"/>
      <c r="B3699" s="340"/>
      <c r="C3699" s="340"/>
      <c r="D3699" s="340"/>
      <c r="E3699" s="340"/>
      <c r="F3699" s="340"/>
      <c r="G3699" s="340"/>
      <c r="H3699" s="340"/>
      <c r="I3699" s="340"/>
      <c r="J3699" s="340"/>
      <c r="K3699" s="497"/>
    </row>
    <row r="3700" spans="1:11" x14ac:dyDescent="0.35">
      <c r="A3700" s="332"/>
      <c r="B3700" s="333"/>
      <c r="C3700" s="333"/>
      <c r="D3700" s="333"/>
      <c r="E3700" s="333"/>
      <c r="F3700" s="333"/>
      <c r="G3700" s="333"/>
      <c r="H3700" s="333"/>
      <c r="I3700" s="333"/>
      <c r="J3700" s="333"/>
      <c r="K3700" s="496"/>
    </row>
    <row r="3701" spans="1:11" x14ac:dyDescent="0.35">
      <c r="A3701" s="339"/>
      <c r="B3701" s="340"/>
      <c r="C3701" s="340"/>
      <c r="D3701" s="340"/>
      <c r="E3701" s="340"/>
      <c r="F3701" s="340"/>
      <c r="G3701" s="340"/>
      <c r="H3701" s="340"/>
      <c r="I3701" s="340"/>
      <c r="J3701" s="340"/>
      <c r="K3701" s="497"/>
    </row>
    <row r="3702" spans="1:11" x14ac:dyDescent="0.35">
      <c r="A3702" s="332"/>
      <c r="B3702" s="333"/>
      <c r="C3702" s="333"/>
      <c r="D3702" s="333"/>
      <c r="E3702" s="333"/>
      <c r="F3702" s="333"/>
      <c r="G3702" s="333"/>
      <c r="H3702" s="333"/>
      <c r="I3702" s="333"/>
      <c r="J3702" s="333"/>
      <c r="K3702" s="496"/>
    </row>
    <row r="3703" spans="1:11" x14ac:dyDescent="0.35">
      <c r="A3703" s="339"/>
      <c r="B3703" s="340"/>
      <c r="C3703" s="340"/>
      <c r="D3703" s="340"/>
      <c r="E3703" s="340"/>
      <c r="F3703" s="340"/>
      <c r="G3703" s="340"/>
      <c r="H3703" s="340"/>
      <c r="I3703" s="340"/>
      <c r="J3703" s="340"/>
      <c r="K3703" s="497"/>
    </row>
    <row r="3704" spans="1:11" x14ac:dyDescent="0.35">
      <c r="A3704" s="332"/>
      <c r="B3704" s="333"/>
      <c r="C3704" s="333"/>
      <c r="D3704" s="333"/>
      <c r="E3704" s="333"/>
      <c r="F3704" s="333"/>
      <c r="G3704" s="333"/>
      <c r="H3704" s="333"/>
      <c r="I3704" s="333"/>
      <c r="J3704" s="333"/>
      <c r="K3704" s="496"/>
    </row>
    <row r="3705" spans="1:11" x14ac:dyDescent="0.35">
      <c r="A3705" s="339"/>
      <c r="B3705" s="340"/>
      <c r="C3705" s="340"/>
      <c r="D3705" s="340"/>
      <c r="E3705" s="340"/>
      <c r="F3705" s="340"/>
      <c r="G3705" s="340"/>
      <c r="H3705" s="340"/>
      <c r="I3705" s="340"/>
      <c r="J3705" s="340"/>
      <c r="K3705" s="497"/>
    </row>
    <row r="3706" spans="1:11" x14ac:dyDescent="0.35">
      <c r="A3706" s="332"/>
      <c r="B3706" s="333"/>
      <c r="C3706" s="333"/>
      <c r="D3706" s="333"/>
      <c r="E3706" s="333"/>
      <c r="F3706" s="333"/>
      <c r="G3706" s="333"/>
      <c r="H3706" s="333"/>
      <c r="I3706" s="333"/>
      <c r="J3706" s="333"/>
      <c r="K3706" s="496"/>
    </row>
    <row r="3707" spans="1:11" x14ac:dyDescent="0.35">
      <c r="A3707" s="339"/>
      <c r="B3707" s="340"/>
      <c r="C3707" s="340"/>
      <c r="D3707" s="340"/>
      <c r="E3707" s="340"/>
      <c r="F3707" s="340"/>
      <c r="G3707" s="340"/>
      <c r="H3707" s="340"/>
      <c r="I3707" s="340"/>
      <c r="J3707" s="340"/>
      <c r="K3707" s="497"/>
    </row>
    <row r="3708" spans="1:11" x14ac:dyDescent="0.35">
      <c r="A3708" s="332"/>
      <c r="B3708" s="333"/>
      <c r="C3708" s="333"/>
      <c r="D3708" s="333"/>
      <c r="E3708" s="333"/>
      <c r="F3708" s="333"/>
      <c r="G3708" s="333"/>
      <c r="H3708" s="333"/>
      <c r="I3708" s="333"/>
      <c r="J3708" s="333"/>
      <c r="K3708" s="496"/>
    </row>
    <row r="3709" spans="1:11" x14ac:dyDescent="0.35">
      <c r="A3709" s="339"/>
      <c r="B3709" s="340"/>
      <c r="C3709" s="340"/>
      <c r="D3709" s="340"/>
      <c r="E3709" s="340"/>
      <c r="F3709" s="340"/>
      <c r="G3709" s="340"/>
      <c r="H3709" s="340"/>
      <c r="I3709" s="340"/>
      <c r="J3709" s="340"/>
      <c r="K3709" s="497"/>
    </row>
    <row r="3710" spans="1:11" x14ac:dyDescent="0.35">
      <c r="A3710" s="332"/>
      <c r="B3710" s="333"/>
      <c r="C3710" s="333"/>
      <c r="D3710" s="333"/>
      <c r="E3710" s="333"/>
      <c r="F3710" s="333"/>
      <c r="G3710" s="333"/>
      <c r="H3710" s="333"/>
      <c r="I3710" s="333"/>
      <c r="J3710" s="333"/>
      <c r="K3710" s="496"/>
    </row>
    <row r="3711" spans="1:11" x14ac:dyDescent="0.35">
      <c r="A3711" s="339"/>
      <c r="B3711" s="340"/>
      <c r="C3711" s="340"/>
      <c r="D3711" s="340"/>
      <c r="E3711" s="340"/>
      <c r="F3711" s="340"/>
      <c r="G3711" s="340"/>
      <c r="H3711" s="340"/>
      <c r="I3711" s="340"/>
      <c r="J3711" s="340"/>
      <c r="K3711" s="497"/>
    </row>
    <row r="3712" spans="1:11" x14ac:dyDescent="0.35">
      <c r="A3712" s="332"/>
      <c r="B3712" s="333"/>
      <c r="C3712" s="333"/>
      <c r="D3712" s="333"/>
      <c r="E3712" s="333"/>
      <c r="F3712" s="333"/>
      <c r="G3712" s="333"/>
      <c r="H3712" s="333"/>
      <c r="I3712" s="333"/>
      <c r="J3712" s="333"/>
      <c r="K3712" s="496"/>
    </row>
    <row r="3713" spans="1:11" x14ac:dyDescent="0.35">
      <c r="A3713" s="339"/>
      <c r="B3713" s="340"/>
      <c r="C3713" s="340"/>
      <c r="D3713" s="340"/>
      <c r="E3713" s="340"/>
      <c r="F3713" s="340"/>
      <c r="G3713" s="340"/>
      <c r="H3713" s="340"/>
      <c r="I3713" s="340"/>
      <c r="J3713" s="340"/>
      <c r="K3713" s="497"/>
    </row>
    <row r="3714" spans="1:11" x14ac:dyDescent="0.35">
      <c r="A3714" s="332"/>
      <c r="B3714" s="333"/>
      <c r="C3714" s="333"/>
      <c r="D3714" s="333"/>
      <c r="E3714" s="333"/>
      <c r="F3714" s="333"/>
      <c r="G3714" s="333"/>
      <c r="H3714" s="333"/>
      <c r="I3714" s="333"/>
      <c r="J3714" s="333"/>
      <c r="K3714" s="496"/>
    </row>
    <row r="3715" spans="1:11" x14ac:dyDescent="0.35">
      <c r="A3715" s="339"/>
      <c r="B3715" s="340"/>
      <c r="C3715" s="340"/>
      <c r="D3715" s="340"/>
      <c r="E3715" s="340"/>
      <c r="F3715" s="340"/>
      <c r="G3715" s="340"/>
      <c r="H3715" s="340"/>
      <c r="I3715" s="340"/>
      <c r="J3715" s="340"/>
      <c r="K3715" s="497"/>
    </row>
    <row r="3716" spans="1:11" x14ac:dyDescent="0.35">
      <c r="A3716" s="332"/>
      <c r="B3716" s="333"/>
      <c r="C3716" s="333"/>
      <c r="D3716" s="333"/>
      <c r="E3716" s="333"/>
      <c r="F3716" s="333"/>
      <c r="G3716" s="333"/>
      <c r="H3716" s="333"/>
      <c r="I3716" s="333"/>
      <c r="J3716" s="333"/>
      <c r="K3716" s="496"/>
    </row>
    <row r="3717" spans="1:11" x14ac:dyDescent="0.35">
      <c r="A3717" s="339"/>
      <c r="B3717" s="340"/>
      <c r="C3717" s="340"/>
      <c r="D3717" s="340"/>
      <c r="E3717" s="340"/>
      <c r="F3717" s="340"/>
      <c r="G3717" s="340"/>
      <c r="H3717" s="340"/>
      <c r="I3717" s="340"/>
      <c r="J3717" s="340"/>
      <c r="K3717" s="497"/>
    </row>
    <row r="3718" spans="1:11" x14ac:dyDescent="0.35">
      <c r="A3718" s="332"/>
      <c r="B3718" s="333"/>
      <c r="C3718" s="333"/>
      <c r="D3718" s="333"/>
      <c r="E3718" s="333"/>
      <c r="F3718" s="333"/>
      <c r="G3718" s="333"/>
      <c r="H3718" s="333"/>
      <c r="I3718" s="333"/>
      <c r="J3718" s="333"/>
      <c r="K3718" s="496"/>
    </row>
    <row r="3719" spans="1:11" x14ac:dyDescent="0.35">
      <c r="A3719" s="339"/>
      <c r="B3719" s="340"/>
      <c r="C3719" s="340"/>
      <c r="D3719" s="340"/>
      <c r="E3719" s="340"/>
      <c r="F3719" s="340"/>
      <c r="G3719" s="340"/>
      <c r="H3719" s="340"/>
      <c r="I3719" s="340"/>
      <c r="J3719" s="340"/>
      <c r="K3719" s="497"/>
    </row>
    <row r="3720" spans="1:11" x14ac:dyDescent="0.35">
      <c r="A3720" s="332"/>
      <c r="B3720" s="333"/>
      <c r="C3720" s="333"/>
      <c r="D3720" s="333"/>
      <c r="E3720" s="333"/>
      <c r="F3720" s="333"/>
      <c r="G3720" s="333"/>
      <c r="H3720" s="333"/>
      <c r="I3720" s="333"/>
      <c r="J3720" s="333"/>
      <c r="K3720" s="496"/>
    </row>
    <row r="3721" spans="1:11" x14ac:dyDescent="0.35">
      <c r="A3721" s="339"/>
      <c r="B3721" s="340"/>
      <c r="C3721" s="340"/>
      <c r="D3721" s="340"/>
      <c r="E3721" s="340"/>
      <c r="F3721" s="340"/>
      <c r="G3721" s="340"/>
      <c r="H3721" s="340"/>
      <c r="I3721" s="340"/>
      <c r="J3721" s="340"/>
      <c r="K3721" s="497"/>
    </row>
    <row r="3722" spans="1:11" x14ac:dyDescent="0.35">
      <c r="A3722" s="332"/>
      <c r="B3722" s="333"/>
      <c r="C3722" s="333"/>
      <c r="D3722" s="333"/>
      <c r="E3722" s="333"/>
      <c r="F3722" s="333"/>
      <c r="G3722" s="333"/>
      <c r="H3722" s="333"/>
      <c r="I3722" s="333"/>
      <c r="J3722" s="333"/>
      <c r="K3722" s="496"/>
    </row>
    <row r="3723" spans="1:11" x14ac:dyDescent="0.35">
      <c r="A3723" s="339"/>
      <c r="B3723" s="340"/>
      <c r="C3723" s="340"/>
      <c r="D3723" s="340"/>
      <c r="E3723" s="340"/>
      <c r="F3723" s="340"/>
      <c r="G3723" s="340"/>
      <c r="H3723" s="340"/>
      <c r="I3723" s="340"/>
      <c r="J3723" s="340"/>
      <c r="K3723" s="497"/>
    </row>
    <row r="3724" spans="1:11" x14ac:dyDescent="0.35">
      <c r="A3724" s="332"/>
      <c r="B3724" s="333"/>
      <c r="C3724" s="333"/>
      <c r="D3724" s="333"/>
      <c r="E3724" s="333"/>
      <c r="F3724" s="333"/>
      <c r="G3724" s="333"/>
      <c r="H3724" s="333"/>
      <c r="I3724" s="333"/>
      <c r="J3724" s="333"/>
      <c r="K3724" s="496"/>
    </row>
    <row r="3725" spans="1:11" x14ac:dyDescent="0.35">
      <c r="A3725" s="339"/>
      <c r="B3725" s="340"/>
      <c r="C3725" s="340"/>
      <c r="D3725" s="340"/>
      <c r="E3725" s="340"/>
      <c r="F3725" s="340"/>
      <c r="G3725" s="340"/>
      <c r="H3725" s="340"/>
      <c r="I3725" s="340"/>
      <c r="J3725" s="340"/>
      <c r="K3725" s="497"/>
    </row>
    <row r="3726" spans="1:11" x14ac:dyDescent="0.35">
      <c r="A3726" s="332"/>
      <c r="B3726" s="333"/>
      <c r="C3726" s="333"/>
      <c r="D3726" s="333"/>
      <c r="E3726" s="333"/>
      <c r="F3726" s="333"/>
      <c r="G3726" s="333"/>
      <c r="H3726" s="333"/>
      <c r="I3726" s="333"/>
      <c r="J3726" s="333"/>
      <c r="K3726" s="496"/>
    </row>
    <row r="3727" spans="1:11" x14ac:dyDescent="0.35">
      <c r="A3727" s="339"/>
      <c r="B3727" s="340"/>
      <c r="C3727" s="340"/>
      <c r="D3727" s="340"/>
      <c r="E3727" s="340"/>
      <c r="F3727" s="340"/>
      <c r="G3727" s="340"/>
      <c r="H3727" s="340"/>
      <c r="I3727" s="340"/>
      <c r="J3727" s="340"/>
      <c r="K3727" s="497"/>
    </row>
    <row r="3728" spans="1:11" x14ac:dyDescent="0.35">
      <c r="A3728" s="332"/>
      <c r="B3728" s="333"/>
      <c r="C3728" s="333"/>
      <c r="D3728" s="333"/>
      <c r="E3728" s="333"/>
      <c r="F3728" s="333"/>
      <c r="G3728" s="333"/>
      <c r="H3728" s="333"/>
      <c r="I3728" s="333"/>
      <c r="J3728" s="333"/>
      <c r="K3728" s="496"/>
    </row>
    <row r="3729" spans="1:11" x14ac:dyDescent="0.35">
      <c r="A3729" s="339"/>
      <c r="B3729" s="340"/>
      <c r="C3729" s="340"/>
      <c r="D3729" s="340"/>
      <c r="E3729" s="340"/>
      <c r="F3729" s="340"/>
      <c r="G3729" s="340"/>
      <c r="H3729" s="340"/>
      <c r="I3729" s="340"/>
      <c r="J3729" s="340"/>
      <c r="K3729" s="497"/>
    </row>
    <row r="3730" spans="1:11" x14ac:dyDescent="0.35">
      <c r="A3730" s="332"/>
      <c r="B3730" s="333"/>
      <c r="C3730" s="333"/>
      <c r="D3730" s="333"/>
      <c r="E3730" s="333"/>
      <c r="F3730" s="333"/>
      <c r="G3730" s="333"/>
      <c r="H3730" s="333"/>
      <c r="I3730" s="333"/>
      <c r="J3730" s="333"/>
      <c r="K3730" s="496"/>
    </row>
    <row r="3731" spans="1:11" x14ac:dyDescent="0.35">
      <c r="A3731" s="339"/>
      <c r="B3731" s="340"/>
      <c r="C3731" s="340"/>
      <c r="D3731" s="340"/>
      <c r="E3731" s="340"/>
      <c r="F3731" s="340"/>
      <c r="G3731" s="340"/>
      <c r="H3731" s="340"/>
      <c r="I3731" s="340"/>
      <c r="J3731" s="340"/>
      <c r="K3731" s="497"/>
    </row>
    <row r="3732" spans="1:11" x14ac:dyDescent="0.35">
      <c r="A3732" s="332"/>
      <c r="B3732" s="333"/>
      <c r="C3732" s="333"/>
      <c r="D3732" s="333"/>
      <c r="E3732" s="333"/>
      <c r="F3732" s="333"/>
      <c r="G3732" s="333"/>
      <c r="H3732" s="333"/>
      <c r="I3732" s="333"/>
      <c r="J3732" s="333"/>
      <c r="K3732" s="496"/>
    </row>
    <row r="3733" spans="1:11" x14ac:dyDescent="0.35">
      <c r="A3733" s="339"/>
      <c r="B3733" s="340"/>
      <c r="C3733" s="340"/>
      <c r="D3733" s="340"/>
      <c r="E3733" s="340"/>
      <c r="F3733" s="340"/>
      <c r="G3733" s="340"/>
      <c r="H3733" s="340"/>
      <c r="I3733" s="340"/>
      <c r="J3733" s="340"/>
      <c r="K3733" s="497"/>
    </row>
    <row r="3734" spans="1:11" x14ac:dyDescent="0.35">
      <c r="A3734" s="332"/>
      <c r="B3734" s="333"/>
      <c r="C3734" s="333"/>
      <c r="D3734" s="333"/>
      <c r="E3734" s="333"/>
      <c r="F3734" s="333"/>
      <c r="G3734" s="333"/>
      <c r="H3734" s="333"/>
      <c r="I3734" s="333"/>
      <c r="J3734" s="333"/>
      <c r="K3734" s="496"/>
    </row>
    <row r="3735" spans="1:11" x14ac:dyDescent="0.35">
      <c r="A3735" s="339"/>
      <c r="B3735" s="340"/>
      <c r="C3735" s="340"/>
      <c r="D3735" s="340"/>
      <c r="E3735" s="340"/>
      <c r="F3735" s="340"/>
      <c r="G3735" s="340"/>
      <c r="H3735" s="340"/>
      <c r="I3735" s="340"/>
      <c r="J3735" s="340"/>
      <c r="K3735" s="497"/>
    </row>
    <row r="3736" spans="1:11" x14ac:dyDescent="0.35">
      <c r="A3736" s="332"/>
      <c r="B3736" s="333"/>
      <c r="C3736" s="333"/>
      <c r="D3736" s="333"/>
      <c r="E3736" s="333"/>
      <c r="F3736" s="333"/>
      <c r="G3736" s="333"/>
      <c r="H3736" s="333"/>
      <c r="I3736" s="333"/>
      <c r="J3736" s="333"/>
      <c r="K3736" s="496"/>
    </row>
    <row r="3737" spans="1:11" x14ac:dyDescent="0.35">
      <c r="A3737" s="339"/>
      <c r="B3737" s="340"/>
      <c r="C3737" s="340"/>
      <c r="D3737" s="340"/>
      <c r="E3737" s="340"/>
      <c r="F3737" s="340"/>
      <c r="G3737" s="340"/>
      <c r="H3737" s="340"/>
      <c r="I3737" s="340"/>
      <c r="J3737" s="340"/>
      <c r="K3737" s="497"/>
    </row>
    <row r="3738" spans="1:11" x14ac:dyDescent="0.35">
      <c r="A3738" s="332"/>
      <c r="B3738" s="333"/>
      <c r="C3738" s="333"/>
      <c r="D3738" s="333"/>
      <c r="E3738" s="333"/>
      <c r="F3738" s="333"/>
      <c r="G3738" s="333"/>
      <c r="H3738" s="333"/>
      <c r="I3738" s="333"/>
      <c r="J3738" s="333"/>
      <c r="K3738" s="496"/>
    </row>
    <row r="3739" spans="1:11" x14ac:dyDescent="0.35">
      <c r="A3739" s="339"/>
      <c r="B3739" s="340"/>
      <c r="C3739" s="340"/>
      <c r="D3739" s="340"/>
      <c r="E3739" s="340"/>
      <c r="F3739" s="340"/>
      <c r="G3739" s="340"/>
      <c r="H3739" s="340"/>
      <c r="I3739" s="340"/>
      <c r="J3739" s="340"/>
      <c r="K3739" s="497"/>
    </row>
    <row r="3740" spans="1:11" x14ac:dyDescent="0.35">
      <c r="A3740" s="332"/>
      <c r="B3740" s="333"/>
      <c r="C3740" s="333"/>
      <c r="D3740" s="333"/>
      <c r="E3740" s="333"/>
      <c r="F3740" s="333"/>
      <c r="G3740" s="333"/>
      <c r="H3740" s="333"/>
      <c r="I3740" s="333"/>
      <c r="J3740" s="333"/>
      <c r="K3740" s="496"/>
    </row>
    <row r="3741" spans="1:11" x14ac:dyDescent="0.35">
      <c r="A3741" s="339"/>
      <c r="B3741" s="340"/>
      <c r="C3741" s="340"/>
      <c r="D3741" s="340"/>
      <c r="E3741" s="340"/>
      <c r="F3741" s="340"/>
      <c r="G3741" s="340"/>
      <c r="H3741" s="340"/>
      <c r="I3741" s="340"/>
      <c r="J3741" s="340"/>
      <c r="K3741" s="497"/>
    </row>
    <row r="3742" spans="1:11" x14ac:dyDescent="0.35">
      <c r="A3742" s="332"/>
      <c r="B3742" s="333"/>
      <c r="C3742" s="333"/>
      <c r="D3742" s="333"/>
      <c r="E3742" s="333"/>
      <c r="F3742" s="333"/>
      <c r="G3742" s="333"/>
      <c r="H3742" s="333"/>
      <c r="I3742" s="333"/>
      <c r="J3742" s="333"/>
      <c r="K3742" s="496"/>
    </row>
    <row r="3743" spans="1:11" x14ac:dyDescent="0.35">
      <c r="A3743" s="339"/>
      <c r="B3743" s="340"/>
      <c r="C3743" s="340"/>
      <c r="D3743" s="340"/>
      <c r="E3743" s="340"/>
      <c r="F3743" s="340"/>
      <c r="G3743" s="340"/>
      <c r="H3743" s="340"/>
      <c r="I3743" s="340"/>
      <c r="J3743" s="340"/>
      <c r="K3743" s="497"/>
    </row>
    <row r="3744" spans="1:11" x14ac:dyDescent="0.35">
      <c r="A3744" s="332"/>
      <c r="B3744" s="333"/>
      <c r="C3744" s="333"/>
      <c r="D3744" s="333"/>
      <c r="E3744" s="333"/>
      <c r="F3744" s="333"/>
      <c r="G3744" s="333"/>
      <c r="H3744" s="333"/>
      <c r="I3744" s="333"/>
      <c r="J3744" s="333"/>
      <c r="K3744" s="496"/>
    </row>
    <row r="3745" spans="1:11" x14ac:dyDescent="0.35">
      <c r="A3745" s="339"/>
      <c r="B3745" s="340"/>
      <c r="C3745" s="340"/>
      <c r="D3745" s="340"/>
      <c r="E3745" s="340"/>
      <c r="F3745" s="340"/>
      <c r="G3745" s="340"/>
      <c r="H3745" s="340"/>
      <c r="I3745" s="340"/>
      <c r="J3745" s="340"/>
      <c r="K3745" s="497"/>
    </row>
    <row r="3746" spans="1:11" x14ac:dyDescent="0.35">
      <c r="A3746" s="332"/>
      <c r="B3746" s="333"/>
      <c r="C3746" s="333"/>
      <c r="D3746" s="333"/>
      <c r="E3746" s="333"/>
      <c r="F3746" s="333"/>
      <c r="G3746" s="333"/>
      <c r="H3746" s="333"/>
      <c r="I3746" s="333"/>
      <c r="J3746" s="333"/>
      <c r="K3746" s="496"/>
    </row>
    <row r="3747" spans="1:11" x14ac:dyDescent="0.35">
      <c r="A3747" s="339"/>
      <c r="B3747" s="340"/>
      <c r="C3747" s="340"/>
      <c r="D3747" s="340"/>
      <c r="E3747" s="340"/>
      <c r="F3747" s="340"/>
      <c r="G3747" s="340"/>
      <c r="H3747" s="340"/>
      <c r="I3747" s="340"/>
      <c r="J3747" s="340"/>
      <c r="K3747" s="497"/>
    </row>
    <row r="3748" spans="1:11" x14ac:dyDescent="0.35">
      <c r="A3748" s="332"/>
      <c r="B3748" s="333"/>
      <c r="C3748" s="333"/>
      <c r="D3748" s="333"/>
      <c r="E3748" s="333"/>
      <c r="F3748" s="333"/>
      <c r="G3748" s="333"/>
      <c r="H3748" s="333"/>
      <c r="I3748" s="333"/>
      <c r="J3748" s="333"/>
      <c r="K3748" s="496"/>
    </row>
    <row r="3749" spans="1:11" x14ac:dyDescent="0.35">
      <c r="A3749" s="339"/>
      <c r="B3749" s="340"/>
      <c r="C3749" s="340"/>
      <c r="D3749" s="340"/>
      <c r="E3749" s="340"/>
      <c r="F3749" s="340"/>
      <c r="G3749" s="340"/>
      <c r="H3749" s="340"/>
      <c r="I3749" s="340"/>
      <c r="J3749" s="340"/>
      <c r="K3749" s="497"/>
    </row>
    <row r="3750" spans="1:11" x14ac:dyDescent="0.35">
      <c r="A3750" s="332"/>
      <c r="B3750" s="333"/>
      <c r="C3750" s="333"/>
      <c r="D3750" s="333"/>
      <c r="E3750" s="333"/>
      <c r="F3750" s="333"/>
      <c r="G3750" s="333"/>
      <c r="H3750" s="333"/>
      <c r="I3750" s="333"/>
      <c r="J3750" s="333"/>
      <c r="K3750" s="496"/>
    </row>
    <row r="3751" spans="1:11" x14ac:dyDescent="0.35">
      <c r="A3751" s="339"/>
      <c r="B3751" s="340"/>
      <c r="C3751" s="340"/>
      <c r="D3751" s="340"/>
      <c r="E3751" s="340"/>
      <c r="F3751" s="340"/>
      <c r="G3751" s="340"/>
      <c r="H3751" s="340"/>
      <c r="I3751" s="340"/>
      <c r="J3751" s="340"/>
      <c r="K3751" s="497"/>
    </row>
    <row r="3752" spans="1:11" x14ac:dyDescent="0.35">
      <c r="A3752" s="332"/>
      <c r="B3752" s="333"/>
      <c r="C3752" s="333"/>
      <c r="D3752" s="333"/>
      <c r="E3752" s="333"/>
      <c r="F3752" s="333"/>
      <c r="G3752" s="333"/>
      <c r="H3752" s="333"/>
      <c r="I3752" s="333"/>
      <c r="J3752" s="333"/>
      <c r="K3752" s="496"/>
    </row>
    <row r="3753" spans="1:11" x14ac:dyDescent="0.35">
      <c r="A3753" s="339"/>
      <c r="B3753" s="340"/>
      <c r="C3753" s="340"/>
      <c r="D3753" s="340"/>
      <c r="E3753" s="340"/>
      <c r="F3753" s="340"/>
      <c r="G3753" s="340"/>
      <c r="H3753" s="340"/>
      <c r="I3753" s="340"/>
      <c r="J3753" s="340"/>
      <c r="K3753" s="497"/>
    </row>
    <row r="3754" spans="1:11" x14ac:dyDescent="0.35">
      <c r="A3754" s="332"/>
      <c r="B3754" s="333"/>
      <c r="C3754" s="333"/>
      <c r="D3754" s="333"/>
      <c r="E3754" s="333"/>
      <c r="F3754" s="333"/>
      <c r="G3754" s="333"/>
      <c r="H3754" s="333"/>
      <c r="I3754" s="333"/>
      <c r="J3754" s="333"/>
      <c r="K3754" s="496"/>
    </row>
    <row r="3755" spans="1:11" x14ac:dyDescent="0.35">
      <c r="A3755" s="339"/>
      <c r="B3755" s="340"/>
      <c r="C3755" s="340"/>
      <c r="D3755" s="340"/>
      <c r="E3755" s="340"/>
      <c r="F3755" s="340"/>
      <c r="G3755" s="340"/>
      <c r="H3755" s="340"/>
      <c r="I3755" s="340"/>
      <c r="J3755" s="340"/>
      <c r="K3755" s="497"/>
    </row>
    <row r="3756" spans="1:11" x14ac:dyDescent="0.35">
      <c r="A3756" s="332"/>
      <c r="B3756" s="333"/>
      <c r="C3756" s="333"/>
      <c r="D3756" s="333"/>
      <c r="E3756" s="333"/>
      <c r="F3756" s="333"/>
      <c r="G3756" s="333"/>
      <c r="H3756" s="333"/>
      <c r="I3756" s="333"/>
      <c r="J3756" s="333"/>
      <c r="K3756" s="496"/>
    </row>
    <row r="3757" spans="1:11" x14ac:dyDescent="0.35">
      <c r="A3757" s="339"/>
      <c r="B3757" s="340"/>
      <c r="C3757" s="340"/>
      <c r="D3757" s="340"/>
      <c r="E3757" s="340"/>
      <c r="F3757" s="340"/>
      <c r="G3757" s="340"/>
      <c r="H3757" s="340"/>
      <c r="I3757" s="340"/>
      <c r="J3757" s="340"/>
      <c r="K3757" s="497"/>
    </row>
    <row r="3758" spans="1:11" x14ac:dyDescent="0.35">
      <c r="A3758" s="332"/>
      <c r="B3758" s="333"/>
      <c r="C3758" s="333"/>
      <c r="D3758" s="333"/>
      <c r="E3758" s="333"/>
      <c r="F3758" s="333"/>
      <c r="G3758" s="333"/>
      <c r="H3758" s="333"/>
      <c r="I3758" s="333"/>
      <c r="J3758" s="333"/>
      <c r="K3758" s="496"/>
    </row>
    <row r="3759" spans="1:11" x14ac:dyDescent="0.35">
      <c r="A3759" s="339"/>
      <c r="B3759" s="340"/>
      <c r="C3759" s="340"/>
      <c r="D3759" s="340"/>
      <c r="E3759" s="340"/>
      <c r="F3759" s="340"/>
      <c r="G3759" s="340"/>
      <c r="H3759" s="340"/>
      <c r="I3759" s="340"/>
      <c r="J3759" s="340"/>
      <c r="K3759" s="497"/>
    </row>
    <row r="3760" spans="1:11" x14ac:dyDescent="0.35">
      <c r="A3760" s="332"/>
      <c r="B3760" s="333"/>
      <c r="C3760" s="333"/>
      <c r="D3760" s="333"/>
      <c r="E3760" s="333"/>
      <c r="F3760" s="333"/>
      <c r="G3760" s="333"/>
      <c r="H3760" s="333"/>
      <c r="I3760" s="333"/>
      <c r="J3760" s="333"/>
      <c r="K3760" s="496"/>
    </row>
    <row r="3761" spans="1:11" x14ac:dyDescent="0.35">
      <c r="A3761" s="339"/>
      <c r="B3761" s="340"/>
      <c r="C3761" s="340"/>
      <c r="D3761" s="340"/>
      <c r="E3761" s="340"/>
      <c r="F3761" s="340"/>
      <c r="G3761" s="340"/>
      <c r="H3761" s="340"/>
      <c r="I3761" s="340"/>
      <c r="J3761" s="340"/>
      <c r="K3761" s="497"/>
    </row>
    <row r="3762" spans="1:11" x14ac:dyDescent="0.35">
      <c r="A3762" s="332"/>
      <c r="B3762" s="333"/>
      <c r="C3762" s="333"/>
      <c r="D3762" s="333"/>
      <c r="E3762" s="333"/>
      <c r="F3762" s="333"/>
      <c r="G3762" s="333"/>
      <c r="H3762" s="333"/>
      <c r="I3762" s="333"/>
      <c r="J3762" s="333"/>
      <c r="K3762" s="496"/>
    </row>
    <row r="3763" spans="1:11" x14ac:dyDescent="0.35">
      <c r="A3763" s="339"/>
      <c r="B3763" s="340"/>
      <c r="C3763" s="340"/>
      <c r="D3763" s="340"/>
      <c r="E3763" s="340"/>
      <c r="F3763" s="340"/>
      <c r="G3763" s="340"/>
      <c r="H3763" s="340"/>
      <c r="I3763" s="340"/>
      <c r="J3763" s="340"/>
      <c r="K3763" s="497"/>
    </row>
    <row r="3764" spans="1:11" x14ac:dyDescent="0.35">
      <c r="A3764" s="332"/>
      <c r="B3764" s="333"/>
      <c r="C3764" s="333"/>
      <c r="D3764" s="333"/>
      <c r="E3764" s="333"/>
      <c r="F3764" s="333"/>
      <c r="G3764" s="333"/>
      <c r="H3764" s="333"/>
      <c r="I3764" s="333"/>
      <c r="J3764" s="333"/>
      <c r="K3764" s="496"/>
    </row>
    <row r="3765" spans="1:11" x14ac:dyDescent="0.35">
      <c r="A3765" s="339"/>
      <c r="B3765" s="340"/>
      <c r="C3765" s="340"/>
      <c r="D3765" s="340"/>
      <c r="E3765" s="340"/>
      <c r="F3765" s="340"/>
      <c r="G3765" s="340"/>
      <c r="H3765" s="340"/>
      <c r="I3765" s="340"/>
      <c r="J3765" s="340"/>
      <c r="K3765" s="497"/>
    </row>
    <row r="3766" spans="1:11" x14ac:dyDescent="0.35">
      <c r="A3766" s="332"/>
      <c r="B3766" s="333"/>
      <c r="C3766" s="333"/>
      <c r="D3766" s="333"/>
      <c r="E3766" s="333"/>
      <c r="F3766" s="333"/>
      <c r="G3766" s="333"/>
      <c r="H3766" s="333"/>
      <c r="I3766" s="333"/>
      <c r="J3766" s="333"/>
      <c r="K3766" s="496"/>
    </row>
    <row r="3767" spans="1:11" x14ac:dyDescent="0.35">
      <c r="A3767" s="339"/>
      <c r="B3767" s="340"/>
      <c r="C3767" s="340"/>
      <c r="D3767" s="340"/>
      <c r="E3767" s="340"/>
      <c r="F3767" s="340"/>
      <c r="G3767" s="340"/>
      <c r="H3767" s="340"/>
      <c r="I3767" s="340"/>
      <c r="J3767" s="340"/>
      <c r="K3767" s="497"/>
    </row>
    <row r="3768" spans="1:11" x14ac:dyDescent="0.35">
      <c r="A3768" s="332"/>
      <c r="B3768" s="333"/>
      <c r="C3768" s="333"/>
      <c r="D3768" s="333"/>
      <c r="E3768" s="333"/>
      <c r="F3768" s="333"/>
      <c r="G3768" s="333"/>
      <c r="H3768" s="333"/>
      <c r="I3768" s="333"/>
      <c r="J3768" s="333"/>
      <c r="K3768" s="496"/>
    </row>
    <row r="3769" spans="1:11" x14ac:dyDescent="0.35">
      <c r="A3769" s="339"/>
      <c r="B3769" s="340"/>
      <c r="C3769" s="340"/>
      <c r="D3769" s="340"/>
      <c r="E3769" s="340"/>
      <c r="F3769" s="340"/>
      <c r="G3769" s="340"/>
      <c r="H3769" s="340"/>
      <c r="I3769" s="340"/>
      <c r="J3769" s="340"/>
      <c r="K3769" s="497"/>
    </row>
    <row r="3770" spans="1:11" x14ac:dyDescent="0.35">
      <c r="A3770" s="332"/>
      <c r="B3770" s="333"/>
      <c r="C3770" s="333"/>
      <c r="D3770" s="333"/>
      <c r="E3770" s="333"/>
      <c r="F3770" s="333"/>
      <c r="G3770" s="333"/>
      <c r="H3770" s="333"/>
      <c r="I3770" s="333"/>
      <c r="J3770" s="333"/>
      <c r="K3770" s="496"/>
    </row>
    <row r="3771" spans="1:11" x14ac:dyDescent="0.35">
      <c r="A3771" s="339"/>
      <c r="B3771" s="340"/>
      <c r="C3771" s="340"/>
      <c r="D3771" s="340"/>
      <c r="E3771" s="340"/>
      <c r="F3771" s="340"/>
      <c r="G3771" s="340"/>
      <c r="H3771" s="340"/>
      <c r="I3771" s="340"/>
      <c r="J3771" s="340"/>
      <c r="K3771" s="497"/>
    </row>
    <row r="3772" spans="1:11" x14ac:dyDescent="0.35">
      <c r="A3772" s="332"/>
      <c r="B3772" s="333"/>
      <c r="C3772" s="333"/>
      <c r="D3772" s="333"/>
      <c r="E3772" s="333"/>
      <c r="F3772" s="333"/>
      <c r="G3772" s="333"/>
      <c r="H3772" s="333"/>
      <c r="I3772" s="333"/>
      <c r="J3772" s="333"/>
      <c r="K3772" s="496"/>
    </row>
    <row r="3773" spans="1:11" x14ac:dyDescent="0.35">
      <c r="A3773" s="339"/>
      <c r="B3773" s="340"/>
      <c r="C3773" s="340"/>
      <c r="D3773" s="340"/>
      <c r="E3773" s="340"/>
      <c r="F3773" s="340"/>
      <c r="G3773" s="340"/>
      <c r="H3773" s="340"/>
      <c r="I3773" s="340"/>
      <c r="J3773" s="340"/>
      <c r="K3773" s="497"/>
    </row>
    <row r="3774" spans="1:11" x14ac:dyDescent="0.35">
      <c r="A3774" s="332"/>
      <c r="B3774" s="333"/>
      <c r="C3774" s="333"/>
      <c r="D3774" s="333"/>
      <c r="E3774" s="333"/>
      <c r="F3774" s="333"/>
      <c r="G3774" s="333"/>
      <c r="H3774" s="333"/>
      <c r="I3774" s="333"/>
      <c r="J3774" s="333"/>
      <c r="K3774" s="496"/>
    </row>
    <row r="3775" spans="1:11" x14ac:dyDescent="0.35">
      <c r="A3775" s="339"/>
      <c r="B3775" s="340"/>
      <c r="C3775" s="340"/>
      <c r="D3775" s="340"/>
      <c r="E3775" s="340"/>
      <c r="F3775" s="340"/>
      <c r="G3775" s="340"/>
      <c r="H3775" s="340"/>
      <c r="I3775" s="340"/>
      <c r="J3775" s="340"/>
      <c r="K3775" s="497"/>
    </row>
    <row r="3776" spans="1:11" x14ac:dyDescent="0.35">
      <c r="A3776" s="332"/>
      <c r="B3776" s="333"/>
      <c r="C3776" s="333"/>
      <c r="D3776" s="333"/>
      <c r="E3776" s="333"/>
      <c r="F3776" s="333"/>
      <c r="G3776" s="333"/>
      <c r="H3776" s="333"/>
      <c r="I3776" s="333"/>
      <c r="J3776" s="333"/>
      <c r="K3776" s="496"/>
    </row>
    <row r="3777" spans="1:11" x14ac:dyDescent="0.35">
      <c r="A3777" s="339"/>
      <c r="B3777" s="340"/>
      <c r="C3777" s="340"/>
      <c r="D3777" s="340"/>
      <c r="E3777" s="340"/>
      <c r="F3777" s="340"/>
      <c r="G3777" s="340"/>
      <c r="H3777" s="340"/>
      <c r="I3777" s="340"/>
      <c r="J3777" s="340"/>
      <c r="K3777" s="497"/>
    </row>
    <row r="3778" spans="1:11" x14ac:dyDescent="0.35">
      <c r="A3778" s="332"/>
      <c r="B3778" s="333"/>
      <c r="C3778" s="333"/>
      <c r="D3778" s="333"/>
      <c r="E3778" s="333"/>
      <c r="F3778" s="333"/>
      <c r="G3778" s="333"/>
      <c r="H3778" s="333"/>
      <c r="I3778" s="333"/>
      <c r="J3778" s="333"/>
      <c r="K3778" s="496"/>
    </row>
    <row r="3779" spans="1:11" x14ac:dyDescent="0.35">
      <c r="A3779" s="339"/>
      <c r="B3779" s="340"/>
      <c r="C3779" s="340"/>
      <c r="D3779" s="340"/>
      <c r="E3779" s="340"/>
      <c r="F3779" s="340"/>
      <c r="G3779" s="340"/>
      <c r="H3779" s="340"/>
      <c r="I3779" s="340"/>
      <c r="J3779" s="340"/>
      <c r="K3779" s="497"/>
    </row>
    <row r="3780" spans="1:11" x14ac:dyDescent="0.35">
      <c r="A3780" s="332"/>
      <c r="B3780" s="333"/>
      <c r="C3780" s="333"/>
      <c r="D3780" s="333"/>
      <c r="E3780" s="333"/>
      <c r="F3780" s="333"/>
      <c r="G3780" s="333"/>
      <c r="H3780" s="333"/>
      <c r="I3780" s="333"/>
      <c r="J3780" s="333"/>
      <c r="K3780" s="496"/>
    </row>
    <row r="3781" spans="1:11" x14ac:dyDescent="0.35">
      <c r="A3781" s="339"/>
      <c r="B3781" s="340"/>
      <c r="C3781" s="340"/>
      <c r="D3781" s="340"/>
      <c r="E3781" s="340"/>
      <c r="F3781" s="340"/>
      <c r="G3781" s="340"/>
      <c r="H3781" s="340"/>
      <c r="I3781" s="340"/>
      <c r="J3781" s="340"/>
      <c r="K3781" s="497"/>
    </row>
    <row r="3782" spans="1:11" x14ac:dyDescent="0.35">
      <c r="A3782" s="332"/>
      <c r="B3782" s="333"/>
      <c r="C3782" s="333"/>
      <c r="D3782" s="333"/>
      <c r="E3782" s="333"/>
      <c r="F3782" s="333"/>
      <c r="G3782" s="333"/>
      <c r="H3782" s="333"/>
      <c r="I3782" s="333"/>
      <c r="J3782" s="333"/>
      <c r="K3782" s="496"/>
    </row>
    <row r="3783" spans="1:11" x14ac:dyDescent="0.35">
      <c r="A3783" s="339"/>
      <c r="B3783" s="340"/>
      <c r="C3783" s="340"/>
      <c r="D3783" s="340"/>
      <c r="E3783" s="340"/>
      <c r="F3783" s="340"/>
      <c r="G3783" s="340"/>
      <c r="H3783" s="340"/>
      <c r="I3783" s="340"/>
      <c r="J3783" s="340"/>
      <c r="K3783" s="497"/>
    </row>
    <row r="3784" spans="1:11" x14ac:dyDescent="0.35">
      <c r="A3784" s="332"/>
      <c r="B3784" s="333"/>
      <c r="C3784" s="333"/>
      <c r="D3784" s="333"/>
      <c r="E3784" s="333"/>
      <c r="F3784" s="333"/>
      <c r="G3784" s="333"/>
      <c r="H3784" s="333"/>
      <c r="I3784" s="333"/>
      <c r="J3784" s="333"/>
      <c r="K3784" s="496"/>
    </row>
    <row r="3785" spans="1:11" x14ac:dyDescent="0.35">
      <c r="A3785" s="339"/>
      <c r="B3785" s="340"/>
      <c r="C3785" s="340"/>
      <c r="D3785" s="340"/>
      <c r="E3785" s="340"/>
      <c r="F3785" s="340"/>
      <c r="G3785" s="340"/>
      <c r="H3785" s="340"/>
      <c r="I3785" s="340"/>
      <c r="J3785" s="340"/>
      <c r="K3785" s="497"/>
    </row>
    <row r="3786" spans="1:11" x14ac:dyDescent="0.35">
      <c r="A3786" s="332"/>
      <c r="B3786" s="333"/>
      <c r="C3786" s="333"/>
      <c r="D3786" s="333"/>
      <c r="E3786" s="333"/>
      <c r="F3786" s="333"/>
      <c r="G3786" s="333"/>
      <c r="H3786" s="333"/>
      <c r="I3786" s="333"/>
      <c r="J3786" s="333"/>
      <c r="K3786" s="496"/>
    </row>
    <row r="3787" spans="1:11" x14ac:dyDescent="0.35">
      <c r="A3787" s="339"/>
      <c r="B3787" s="340"/>
      <c r="C3787" s="340"/>
      <c r="D3787" s="340"/>
      <c r="E3787" s="340"/>
      <c r="F3787" s="340"/>
      <c r="G3787" s="340"/>
      <c r="H3787" s="340"/>
      <c r="I3787" s="340"/>
      <c r="J3787" s="340"/>
      <c r="K3787" s="497"/>
    </row>
    <row r="3788" spans="1:11" x14ac:dyDescent="0.35">
      <c r="A3788" s="332"/>
      <c r="B3788" s="333"/>
      <c r="C3788" s="333"/>
      <c r="D3788" s="333"/>
      <c r="E3788" s="333"/>
      <c r="F3788" s="333"/>
      <c r="G3788" s="333"/>
      <c r="H3788" s="333"/>
      <c r="I3788" s="333"/>
      <c r="J3788" s="333"/>
      <c r="K3788" s="496"/>
    </row>
    <row r="3789" spans="1:11" x14ac:dyDescent="0.35">
      <c r="A3789" s="339"/>
      <c r="B3789" s="340"/>
      <c r="C3789" s="340"/>
      <c r="D3789" s="340"/>
      <c r="E3789" s="340"/>
      <c r="F3789" s="340"/>
      <c r="G3789" s="340"/>
      <c r="H3789" s="340"/>
      <c r="I3789" s="340"/>
      <c r="J3789" s="340"/>
      <c r="K3789" s="497"/>
    </row>
    <row r="3790" spans="1:11" x14ac:dyDescent="0.35">
      <c r="A3790" s="332"/>
      <c r="B3790" s="333"/>
      <c r="C3790" s="333"/>
      <c r="D3790" s="333"/>
      <c r="E3790" s="333"/>
      <c r="F3790" s="333"/>
      <c r="G3790" s="333"/>
      <c r="H3790" s="333"/>
      <c r="I3790" s="333"/>
      <c r="J3790" s="333"/>
      <c r="K3790" s="496"/>
    </row>
    <row r="3791" spans="1:11" x14ac:dyDescent="0.35">
      <c r="A3791" s="339"/>
      <c r="B3791" s="340"/>
      <c r="C3791" s="340"/>
      <c r="D3791" s="340"/>
      <c r="E3791" s="340"/>
      <c r="F3791" s="340"/>
      <c r="G3791" s="340"/>
      <c r="H3791" s="340"/>
      <c r="I3791" s="340"/>
      <c r="J3791" s="340"/>
      <c r="K3791" s="497"/>
    </row>
    <row r="3792" spans="1:11" x14ac:dyDescent="0.35">
      <c r="A3792" s="332"/>
      <c r="B3792" s="333"/>
      <c r="C3792" s="333"/>
      <c r="D3792" s="333"/>
      <c r="E3792" s="333"/>
      <c r="F3792" s="333"/>
      <c r="G3792" s="333"/>
      <c r="H3792" s="333"/>
      <c r="I3792" s="333"/>
      <c r="J3792" s="333"/>
      <c r="K3792" s="496"/>
    </row>
    <row r="3793" spans="1:11" x14ac:dyDescent="0.35">
      <c r="A3793" s="339"/>
      <c r="B3793" s="340"/>
      <c r="C3793" s="340"/>
      <c r="D3793" s="340"/>
      <c r="E3793" s="340"/>
      <c r="F3793" s="340"/>
      <c r="G3793" s="340"/>
      <c r="H3793" s="340"/>
      <c r="I3793" s="340"/>
      <c r="J3793" s="340"/>
      <c r="K3793" s="497"/>
    </row>
    <row r="3794" spans="1:11" x14ac:dyDescent="0.35">
      <c r="A3794" s="332"/>
      <c r="B3794" s="333"/>
      <c r="C3794" s="333"/>
      <c r="D3794" s="333"/>
      <c r="E3794" s="333"/>
      <c r="F3794" s="333"/>
      <c r="G3794" s="333"/>
      <c r="H3794" s="333"/>
      <c r="I3794" s="333"/>
      <c r="J3794" s="333"/>
      <c r="K3794" s="496"/>
    </row>
    <row r="3795" spans="1:11" x14ac:dyDescent="0.35">
      <c r="A3795" s="339"/>
      <c r="B3795" s="340"/>
      <c r="C3795" s="340"/>
      <c r="D3795" s="340"/>
      <c r="E3795" s="340"/>
      <c r="F3795" s="340"/>
      <c r="G3795" s="340"/>
      <c r="H3795" s="340"/>
      <c r="I3795" s="340"/>
      <c r="J3795" s="340"/>
      <c r="K3795" s="497"/>
    </row>
    <row r="3796" spans="1:11" x14ac:dyDescent="0.35">
      <c r="A3796" s="332"/>
      <c r="B3796" s="333"/>
      <c r="C3796" s="333"/>
      <c r="D3796" s="333"/>
      <c r="E3796" s="333"/>
      <c r="F3796" s="333"/>
      <c r="G3796" s="333"/>
      <c r="H3796" s="333"/>
      <c r="I3796" s="333"/>
      <c r="J3796" s="333"/>
      <c r="K3796" s="496"/>
    </row>
    <row r="3797" spans="1:11" x14ac:dyDescent="0.35">
      <c r="A3797" s="339"/>
      <c r="B3797" s="340"/>
      <c r="C3797" s="340"/>
      <c r="D3797" s="340"/>
      <c r="E3797" s="340"/>
      <c r="F3797" s="340"/>
      <c r="G3797" s="340"/>
      <c r="H3797" s="340"/>
      <c r="I3797" s="340"/>
      <c r="J3797" s="340"/>
      <c r="K3797" s="497"/>
    </row>
    <row r="3798" spans="1:11" x14ac:dyDescent="0.35">
      <c r="A3798" s="332"/>
      <c r="B3798" s="333"/>
      <c r="C3798" s="333"/>
      <c r="D3798" s="333"/>
      <c r="E3798" s="333"/>
      <c r="F3798" s="333"/>
      <c r="G3798" s="333"/>
      <c r="H3798" s="333"/>
      <c r="I3798" s="333"/>
      <c r="J3798" s="333"/>
      <c r="K3798" s="496"/>
    </row>
    <row r="3799" spans="1:11" x14ac:dyDescent="0.35">
      <c r="A3799" s="339"/>
      <c r="B3799" s="340"/>
      <c r="C3799" s="340"/>
      <c r="D3799" s="340"/>
      <c r="E3799" s="340"/>
      <c r="F3799" s="340"/>
      <c r="G3799" s="340"/>
      <c r="H3799" s="340"/>
      <c r="I3799" s="340"/>
      <c r="J3799" s="340"/>
      <c r="K3799" s="497"/>
    </row>
    <row r="3800" spans="1:11" x14ac:dyDescent="0.35">
      <c r="A3800" s="332"/>
      <c r="B3800" s="333"/>
      <c r="C3800" s="333"/>
      <c r="D3800" s="333"/>
      <c r="E3800" s="333"/>
      <c r="F3800" s="333"/>
      <c r="G3800" s="333"/>
      <c r="H3800" s="333"/>
      <c r="I3800" s="333"/>
      <c r="J3800" s="333"/>
      <c r="K3800" s="496"/>
    </row>
    <row r="3801" spans="1:11" x14ac:dyDescent="0.35">
      <c r="A3801" s="339"/>
      <c r="B3801" s="340"/>
      <c r="C3801" s="340"/>
      <c r="D3801" s="340"/>
      <c r="E3801" s="340"/>
      <c r="F3801" s="340"/>
      <c r="G3801" s="340"/>
      <c r="H3801" s="340"/>
      <c r="I3801" s="340"/>
      <c r="J3801" s="340"/>
      <c r="K3801" s="497"/>
    </row>
    <row r="3802" spans="1:11" x14ac:dyDescent="0.35">
      <c r="A3802" s="332"/>
      <c r="B3802" s="333"/>
      <c r="C3802" s="333"/>
      <c r="D3802" s="333"/>
      <c r="E3802" s="333"/>
      <c r="F3802" s="333"/>
      <c r="G3802" s="333"/>
      <c r="H3802" s="333"/>
      <c r="I3802" s="333"/>
      <c r="J3802" s="333"/>
      <c r="K3802" s="496"/>
    </row>
    <row r="3803" spans="1:11" x14ac:dyDescent="0.35">
      <c r="A3803" s="339"/>
      <c r="B3803" s="340"/>
      <c r="C3803" s="340"/>
      <c r="D3803" s="340"/>
      <c r="E3803" s="340"/>
      <c r="F3803" s="340"/>
      <c r="G3803" s="340"/>
      <c r="H3803" s="340"/>
      <c r="I3803" s="340"/>
      <c r="J3803" s="340"/>
      <c r="K3803" s="497"/>
    </row>
    <row r="3804" spans="1:11" x14ac:dyDescent="0.35">
      <c r="A3804" s="332"/>
      <c r="B3804" s="333"/>
      <c r="C3804" s="333"/>
      <c r="D3804" s="333"/>
      <c r="E3804" s="333"/>
      <c r="F3804" s="333"/>
      <c r="G3804" s="333"/>
      <c r="H3804" s="333"/>
      <c r="I3804" s="333"/>
      <c r="J3804" s="333"/>
      <c r="K3804" s="496"/>
    </row>
    <row r="3805" spans="1:11" x14ac:dyDescent="0.35">
      <c r="A3805" s="339"/>
      <c r="B3805" s="340"/>
      <c r="C3805" s="340"/>
      <c r="D3805" s="340"/>
      <c r="E3805" s="340"/>
      <c r="F3805" s="340"/>
      <c r="G3805" s="340"/>
      <c r="H3805" s="340"/>
      <c r="I3805" s="340"/>
      <c r="J3805" s="340"/>
      <c r="K3805" s="497"/>
    </row>
    <row r="3806" spans="1:11" x14ac:dyDescent="0.35">
      <c r="A3806" s="332"/>
      <c r="B3806" s="333"/>
      <c r="C3806" s="333"/>
      <c r="D3806" s="333"/>
      <c r="E3806" s="333"/>
      <c r="F3806" s="333"/>
      <c r="G3806" s="333"/>
      <c r="H3806" s="333"/>
      <c r="I3806" s="333"/>
      <c r="J3806" s="333"/>
      <c r="K3806" s="496"/>
    </row>
    <row r="3807" spans="1:11" x14ac:dyDescent="0.35">
      <c r="A3807" s="339"/>
      <c r="B3807" s="340"/>
      <c r="C3807" s="340"/>
      <c r="D3807" s="340"/>
      <c r="E3807" s="340"/>
      <c r="F3807" s="340"/>
      <c r="G3807" s="340"/>
      <c r="H3807" s="340"/>
      <c r="I3807" s="340"/>
      <c r="J3807" s="340"/>
      <c r="K3807" s="497"/>
    </row>
    <row r="3808" spans="1:11" x14ac:dyDescent="0.35">
      <c r="A3808" s="332"/>
      <c r="B3808" s="333"/>
      <c r="C3808" s="333"/>
      <c r="D3808" s="333"/>
      <c r="E3808" s="333"/>
      <c r="F3808" s="333"/>
      <c r="G3808" s="333"/>
      <c r="H3808" s="333"/>
      <c r="I3808" s="333"/>
      <c r="J3808" s="333"/>
      <c r="K3808" s="496"/>
    </row>
    <row r="3809" spans="1:11" x14ac:dyDescent="0.35">
      <c r="A3809" s="339"/>
      <c r="B3809" s="340"/>
      <c r="C3809" s="340"/>
      <c r="D3809" s="340"/>
      <c r="E3809" s="340"/>
      <c r="F3809" s="340"/>
      <c r="G3809" s="340"/>
      <c r="H3809" s="340"/>
      <c r="I3809" s="340"/>
      <c r="J3809" s="340"/>
      <c r="K3809" s="497"/>
    </row>
    <row r="3810" spans="1:11" x14ac:dyDescent="0.35">
      <c r="A3810" s="332"/>
      <c r="B3810" s="333"/>
      <c r="C3810" s="333"/>
      <c r="D3810" s="333"/>
      <c r="E3810" s="333"/>
      <c r="F3810" s="333"/>
      <c r="G3810" s="333"/>
      <c r="H3810" s="333"/>
      <c r="I3810" s="333"/>
      <c r="J3810" s="333"/>
      <c r="K3810" s="496"/>
    </row>
    <row r="3811" spans="1:11" x14ac:dyDescent="0.35">
      <c r="A3811" s="339"/>
      <c r="B3811" s="340"/>
      <c r="C3811" s="340"/>
      <c r="D3811" s="340"/>
      <c r="E3811" s="340"/>
      <c r="F3811" s="340"/>
      <c r="G3811" s="340"/>
      <c r="H3811" s="340"/>
      <c r="I3811" s="340"/>
      <c r="J3811" s="340"/>
      <c r="K3811" s="497"/>
    </row>
    <row r="3812" spans="1:11" x14ac:dyDescent="0.35">
      <c r="A3812" s="332"/>
      <c r="B3812" s="333"/>
      <c r="C3812" s="333"/>
      <c r="D3812" s="333"/>
      <c r="E3812" s="333"/>
      <c r="F3812" s="333"/>
      <c r="G3812" s="333"/>
      <c r="H3812" s="333"/>
      <c r="I3812" s="333"/>
      <c r="J3812" s="333"/>
      <c r="K3812" s="496"/>
    </row>
    <row r="3813" spans="1:11" x14ac:dyDescent="0.35">
      <c r="A3813" s="339"/>
      <c r="B3813" s="340"/>
      <c r="C3813" s="340"/>
      <c r="D3813" s="340"/>
      <c r="E3813" s="340"/>
      <c r="F3813" s="340"/>
      <c r="G3813" s="340"/>
      <c r="H3813" s="340"/>
      <c r="I3813" s="340"/>
      <c r="J3813" s="340"/>
      <c r="K3813" s="497"/>
    </row>
    <row r="3814" spans="1:11" x14ac:dyDescent="0.35">
      <c r="A3814" s="332"/>
      <c r="B3814" s="333"/>
      <c r="C3814" s="333"/>
      <c r="D3814" s="333"/>
      <c r="E3814" s="333"/>
      <c r="F3814" s="333"/>
      <c r="G3814" s="333"/>
      <c r="H3814" s="333"/>
      <c r="I3814" s="333"/>
      <c r="J3814" s="333"/>
      <c r="K3814" s="496"/>
    </row>
    <row r="3815" spans="1:11" x14ac:dyDescent="0.35">
      <c r="A3815" s="339"/>
      <c r="B3815" s="340"/>
      <c r="C3815" s="340"/>
      <c r="D3815" s="340"/>
      <c r="E3815" s="340"/>
      <c r="F3815" s="340"/>
      <c r="G3815" s="340"/>
      <c r="H3815" s="340"/>
      <c r="I3815" s="340"/>
      <c r="J3815" s="340"/>
      <c r="K3815" s="497"/>
    </row>
    <row r="3816" spans="1:11" x14ac:dyDescent="0.35">
      <c r="A3816" s="332"/>
      <c r="B3816" s="333"/>
      <c r="C3816" s="333"/>
      <c r="D3816" s="333"/>
      <c r="E3816" s="333"/>
      <c r="F3816" s="333"/>
      <c r="G3816" s="333"/>
      <c r="H3816" s="333"/>
      <c r="I3816" s="333"/>
      <c r="J3816" s="333"/>
      <c r="K3816" s="496"/>
    </row>
    <row r="3817" spans="1:11" x14ac:dyDescent="0.35">
      <c r="A3817" s="339"/>
      <c r="B3817" s="340"/>
      <c r="C3817" s="340"/>
      <c r="D3817" s="340"/>
      <c r="E3817" s="340"/>
      <c r="F3817" s="340"/>
      <c r="G3817" s="340"/>
      <c r="H3817" s="340"/>
      <c r="I3817" s="340"/>
      <c r="J3817" s="340"/>
      <c r="K3817" s="497"/>
    </row>
    <row r="3818" spans="1:11" x14ac:dyDescent="0.35">
      <c r="A3818" s="332"/>
      <c r="B3818" s="333"/>
      <c r="C3818" s="333"/>
      <c r="D3818" s="333"/>
      <c r="E3818" s="333"/>
      <c r="F3818" s="333"/>
      <c r="G3818" s="333"/>
      <c r="H3818" s="333"/>
      <c r="I3818" s="333"/>
      <c r="J3818" s="333"/>
      <c r="K3818" s="496"/>
    </row>
    <row r="3819" spans="1:11" x14ac:dyDescent="0.35">
      <c r="A3819" s="339"/>
      <c r="B3819" s="340"/>
      <c r="C3819" s="340"/>
      <c r="D3819" s="340"/>
      <c r="E3819" s="340"/>
      <c r="F3819" s="340"/>
      <c r="G3819" s="340"/>
      <c r="H3819" s="340"/>
      <c r="I3819" s="340"/>
      <c r="J3819" s="340"/>
      <c r="K3819" s="497"/>
    </row>
    <row r="3820" spans="1:11" x14ac:dyDescent="0.35">
      <c r="A3820" s="332"/>
      <c r="B3820" s="333"/>
      <c r="C3820" s="333"/>
      <c r="D3820" s="333"/>
      <c r="E3820" s="333"/>
      <c r="F3820" s="333"/>
      <c r="G3820" s="333"/>
      <c r="H3820" s="333"/>
      <c r="I3820" s="333"/>
      <c r="J3820" s="333"/>
      <c r="K3820" s="496"/>
    </row>
    <row r="3821" spans="1:11" x14ac:dyDescent="0.35">
      <c r="A3821" s="339"/>
      <c r="B3821" s="340"/>
      <c r="C3821" s="340"/>
      <c r="D3821" s="340"/>
      <c r="E3821" s="340"/>
      <c r="F3821" s="340"/>
      <c r="G3821" s="340"/>
      <c r="H3821" s="340"/>
      <c r="I3821" s="340"/>
      <c r="J3821" s="340"/>
      <c r="K3821" s="497"/>
    </row>
    <row r="3822" spans="1:11" x14ac:dyDescent="0.35">
      <c r="A3822" s="332"/>
      <c r="B3822" s="333"/>
      <c r="C3822" s="333"/>
      <c r="D3822" s="333"/>
      <c r="E3822" s="333"/>
      <c r="F3822" s="333"/>
      <c r="G3822" s="333"/>
      <c r="H3822" s="333"/>
      <c r="I3822" s="333"/>
      <c r="J3822" s="333"/>
      <c r="K3822" s="496"/>
    </row>
    <row r="3823" spans="1:11" x14ac:dyDescent="0.35">
      <c r="A3823" s="339"/>
      <c r="B3823" s="340"/>
      <c r="C3823" s="340"/>
      <c r="D3823" s="340"/>
      <c r="E3823" s="340"/>
      <c r="F3823" s="340"/>
      <c r="G3823" s="340"/>
      <c r="H3823" s="340"/>
      <c r="I3823" s="340"/>
      <c r="J3823" s="340"/>
      <c r="K3823" s="497"/>
    </row>
    <row r="3824" spans="1:11" x14ac:dyDescent="0.35">
      <c r="A3824" s="332"/>
      <c r="B3824" s="333"/>
      <c r="C3824" s="333"/>
      <c r="D3824" s="333"/>
      <c r="E3824" s="333"/>
      <c r="F3824" s="333"/>
      <c r="G3824" s="333"/>
      <c r="H3824" s="333"/>
      <c r="I3824" s="333"/>
      <c r="J3824" s="333"/>
      <c r="K3824" s="496"/>
    </row>
    <row r="3825" spans="1:11" x14ac:dyDescent="0.35">
      <c r="A3825" s="339"/>
      <c r="B3825" s="340"/>
      <c r="C3825" s="340"/>
      <c r="D3825" s="340"/>
      <c r="E3825" s="340"/>
      <c r="F3825" s="340"/>
      <c r="G3825" s="340"/>
      <c r="H3825" s="340"/>
      <c r="I3825" s="340"/>
      <c r="J3825" s="340"/>
      <c r="K3825" s="497"/>
    </row>
    <row r="3826" spans="1:11" x14ac:dyDescent="0.35">
      <c r="A3826" s="332"/>
      <c r="B3826" s="333"/>
      <c r="C3826" s="333"/>
      <c r="D3826" s="333"/>
      <c r="E3826" s="333"/>
      <c r="F3826" s="333"/>
      <c r="G3826" s="333"/>
      <c r="H3826" s="333"/>
      <c r="I3826" s="333"/>
      <c r="J3826" s="333"/>
      <c r="K3826" s="496"/>
    </row>
    <row r="3827" spans="1:11" x14ac:dyDescent="0.35">
      <c r="A3827" s="339"/>
      <c r="B3827" s="340"/>
      <c r="C3827" s="340"/>
      <c r="D3827" s="340"/>
      <c r="E3827" s="340"/>
      <c r="F3827" s="340"/>
      <c r="G3827" s="340"/>
      <c r="H3827" s="340"/>
      <c r="I3827" s="340"/>
      <c r="J3827" s="340"/>
      <c r="K3827" s="497"/>
    </row>
    <row r="3828" spans="1:11" x14ac:dyDescent="0.35">
      <c r="A3828" s="332"/>
      <c r="B3828" s="333"/>
      <c r="C3828" s="333"/>
      <c r="D3828" s="333"/>
      <c r="E3828" s="333"/>
      <c r="F3828" s="333"/>
      <c r="G3828" s="333"/>
      <c r="H3828" s="333"/>
      <c r="I3828" s="333"/>
      <c r="J3828" s="333"/>
      <c r="K3828" s="496"/>
    </row>
    <row r="3829" spans="1:11" x14ac:dyDescent="0.35">
      <c r="A3829" s="339"/>
      <c r="B3829" s="340"/>
      <c r="C3829" s="340"/>
      <c r="D3829" s="340"/>
      <c r="E3829" s="340"/>
      <c r="F3829" s="340"/>
      <c r="G3829" s="340"/>
      <c r="H3829" s="340"/>
      <c r="I3829" s="340"/>
      <c r="J3829" s="340"/>
      <c r="K3829" s="497"/>
    </row>
    <row r="3830" spans="1:11" x14ac:dyDescent="0.35">
      <c r="A3830" s="332"/>
      <c r="B3830" s="333"/>
      <c r="C3830" s="333"/>
      <c r="D3830" s="333"/>
      <c r="E3830" s="333"/>
      <c r="F3830" s="333"/>
      <c r="G3830" s="333"/>
      <c r="H3830" s="333"/>
      <c r="I3830" s="333"/>
      <c r="J3830" s="333"/>
      <c r="K3830" s="496"/>
    </row>
    <row r="3831" spans="1:11" x14ac:dyDescent="0.35">
      <c r="A3831" s="339"/>
      <c r="B3831" s="340"/>
      <c r="C3831" s="340"/>
      <c r="D3831" s="340"/>
      <c r="E3831" s="340"/>
      <c r="F3831" s="340"/>
      <c r="G3831" s="340"/>
      <c r="H3831" s="340"/>
      <c r="I3831" s="340"/>
      <c r="J3831" s="340"/>
      <c r="K3831" s="497"/>
    </row>
    <row r="3832" spans="1:11" x14ac:dyDescent="0.35">
      <c r="A3832" s="332"/>
      <c r="B3832" s="333"/>
      <c r="C3832" s="333"/>
      <c r="D3832" s="333"/>
      <c r="E3832" s="333"/>
      <c r="F3832" s="333"/>
      <c r="G3832" s="333"/>
      <c r="H3832" s="333"/>
      <c r="I3832" s="333"/>
      <c r="J3832" s="333"/>
      <c r="K3832" s="496"/>
    </row>
    <row r="3833" spans="1:11" x14ac:dyDescent="0.35">
      <c r="A3833" s="339"/>
      <c r="B3833" s="340"/>
      <c r="C3833" s="340"/>
      <c r="D3833" s="340"/>
      <c r="E3833" s="340"/>
      <c r="F3833" s="340"/>
      <c r="G3833" s="340"/>
      <c r="H3833" s="340"/>
      <c r="I3833" s="340"/>
      <c r="J3833" s="340"/>
      <c r="K3833" s="497"/>
    </row>
    <row r="3834" spans="1:11" x14ac:dyDescent="0.35">
      <c r="A3834" s="332"/>
      <c r="B3834" s="333"/>
      <c r="C3834" s="333"/>
      <c r="D3834" s="333"/>
      <c r="E3834" s="333"/>
      <c r="F3834" s="333"/>
      <c r="G3834" s="333"/>
      <c r="H3834" s="333"/>
      <c r="I3834" s="333"/>
      <c r="J3834" s="333"/>
      <c r="K3834" s="496"/>
    </row>
    <row r="3835" spans="1:11" x14ac:dyDescent="0.35">
      <c r="A3835" s="339"/>
      <c r="B3835" s="340"/>
      <c r="C3835" s="340"/>
      <c r="D3835" s="340"/>
      <c r="E3835" s="340"/>
      <c r="F3835" s="340"/>
      <c r="G3835" s="340"/>
      <c r="H3835" s="340"/>
      <c r="I3835" s="340"/>
      <c r="J3835" s="340"/>
      <c r="K3835" s="497"/>
    </row>
    <row r="3836" spans="1:11" x14ac:dyDescent="0.35">
      <c r="A3836" s="332"/>
      <c r="B3836" s="333"/>
      <c r="C3836" s="333"/>
      <c r="D3836" s="333"/>
      <c r="E3836" s="333"/>
      <c r="F3836" s="333"/>
      <c r="G3836" s="333"/>
      <c r="H3836" s="333"/>
      <c r="I3836" s="333"/>
      <c r="J3836" s="333"/>
      <c r="K3836" s="496"/>
    </row>
    <row r="3837" spans="1:11" x14ac:dyDescent="0.35">
      <c r="A3837" s="339"/>
      <c r="B3837" s="340"/>
      <c r="C3837" s="340"/>
      <c r="D3837" s="340"/>
      <c r="E3837" s="340"/>
      <c r="F3837" s="340"/>
      <c r="G3837" s="340"/>
      <c r="H3837" s="340"/>
      <c r="I3837" s="340"/>
      <c r="J3837" s="340"/>
      <c r="K3837" s="497"/>
    </row>
    <row r="3838" spans="1:11" x14ac:dyDescent="0.35">
      <c r="A3838" s="332"/>
      <c r="B3838" s="333"/>
      <c r="C3838" s="333"/>
      <c r="D3838" s="333"/>
      <c r="E3838" s="333"/>
      <c r="F3838" s="333"/>
      <c r="G3838" s="333"/>
      <c r="H3838" s="333"/>
      <c r="I3838" s="333"/>
      <c r="J3838" s="333"/>
      <c r="K3838" s="496"/>
    </row>
    <row r="3839" spans="1:11" x14ac:dyDescent="0.35">
      <c r="A3839" s="339"/>
      <c r="B3839" s="340"/>
      <c r="C3839" s="340"/>
      <c r="D3839" s="340"/>
      <c r="E3839" s="340"/>
      <c r="F3839" s="340"/>
      <c r="G3839" s="340"/>
      <c r="H3839" s="340"/>
      <c r="I3839" s="340"/>
      <c r="J3839" s="340"/>
      <c r="K3839" s="497"/>
    </row>
    <row r="3840" spans="1:11" x14ac:dyDescent="0.35">
      <c r="A3840" s="332"/>
      <c r="B3840" s="333"/>
      <c r="C3840" s="333"/>
      <c r="D3840" s="333"/>
      <c r="E3840" s="333"/>
      <c r="F3840" s="333"/>
      <c r="G3840" s="333"/>
      <c r="H3840" s="333"/>
      <c r="I3840" s="333"/>
      <c r="J3840" s="333"/>
      <c r="K3840" s="496"/>
    </row>
    <row r="3841" spans="1:11" x14ac:dyDescent="0.35">
      <c r="A3841" s="339"/>
      <c r="B3841" s="340"/>
      <c r="C3841" s="340"/>
      <c r="D3841" s="340"/>
      <c r="E3841" s="340"/>
      <c r="F3841" s="340"/>
      <c r="G3841" s="340"/>
      <c r="H3841" s="340"/>
      <c r="I3841" s="340"/>
      <c r="J3841" s="340"/>
      <c r="K3841" s="497"/>
    </row>
    <row r="3842" spans="1:11" x14ac:dyDescent="0.35">
      <c r="A3842" s="332"/>
      <c r="B3842" s="333"/>
      <c r="C3842" s="333"/>
      <c r="D3842" s="333"/>
      <c r="E3842" s="333"/>
      <c r="F3842" s="333"/>
      <c r="G3842" s="333"/>
      <c r="H3842" s="333"/>
      <c r="I3842" s="333"/>
      <c r="J3842" s="333"/>
      <c r="K3842" s="496"/>
    </row>
    <row r="3843" spans="1:11" x14ac:dyDescent="0.35">
      <c r="A3843" s="339"/>
      <c r="B3843" s="340"/>
      <c r="C3843" s="340"/>
      <c r="D3843" s="340"/>
      <c r="E3843" s="340"/>
      <c r="F3843" s="340"/>
      <c r="G3843" s="340"/>
      <c r="H3843" s="340"/>
      <c r="I3843" s="340"/>
      <c r="J3843" s="340"/>
      <c r="K3843" s="497"/>
    </row>
    <row r="3844" spans="1:11" x14ac:dyDescent="0.35">
      <c r="A3844" s="332"/>
      <c r="B3844" s="333"/>
      <c r="C3844" s="333"/>
      <c r="D3844" s="333"/>
      <c r="E3844" s="333"/>
      <c r="F3844" s="333"/>
      <c r="G3844" s="333"/>
      <c r="H3844" s="333"/>
      <c r="I3844" s="333"/>
      <c r="J3844" s="333"/>
      <c r="K3844" s="496"/>
    </row>
    <row r="3845" spans="1:11" x14ac:dyDescent="0.35">
      <c r="A3845" s="339"/>
      <c r="B3845" s="340"/>
      <c r="C3845" s="340"/>
      <c r="D3845" s="340"/>
      <c r="E3845" s="340"/>
      <c r="F3845" s="340"/>
      <c r="G3845" s="340"/>
      <c r="H3845" s="340"/>
      <c r="I3845" s="340"/>
      <c r="J3845" s="340"/>
      <c r="K3845" s="497"/>
    </row>
    <row r="3846" spans="1:11" x14ac:dyDescent="0.35">
      <c r="A3846" s="332"/>
      <c r="B3846" s="333"/>
      <c r="C3846" s="333"/>
      <c r="D3846" s="333"/>
      <c r="E3846" s="333"/>
      <c r="F3846" s="333"/>
      <c r="G3846" s="333"/>
      <c r="H3846" s="333"/>
      <c r="I3846" s="333"/>
      <c r="J3846" s="333"/>
      <c r="K3846" s="496"/>
    </row>
    <row r="3847" spans="1:11" x14ac:dyDescent="0.35">
      <c r="A3847" s="339"/>
      <c r="B3847" s="340"/>
      <c r="C3847" s="340"/>
      <c r="D3847" s="340"/>
      <c r="E3847" s="340"/>
      <c r="F3847" s="340"/>
      <c r="G3847" s="340"/>
      <c r="H3847" s="340"/>
      <c r="I3847" s="340"/>
      <c r="J3847" s="340"/>
      <c r="K3847" s="497"/>
    </row>
    <row r="3848" spans="1:11" x14ac:dyDescent="0.35">
      <c r="A3848" s="332"/>
      <c r="B3848" s="333"/>
      <c r="C3848" s="333"/>
      <c r="D3848" s="333"/>
      <c r="E3848" s="333"/>
      <c r="F3848" s="333"/>
      <c r="G3848" s="333"/>
      <c r="H3848" s="333"/>
      <c r="I3848" s="333"/>
      <c r="J3848" s="333"/>
      <c r="K3848" s="496"/>
    </row>
    <row r="3849" spans="1:11" x14ac:dyDescent="0.35">
      <c r="A3849" s="339"/>
      <c r="B3849" s="340"/>
      <c r="C3849" s="340"/>
      <c r="D3849" s="340"/>
      <c r="E3849" s="340"/>
      <c r="F3849" s="340"/>
      <c r="G3849" s="340"/>
      <c r="H3849" s="340"/>
      <c r="I3849" s="340"/>
      <c r="J3849" s="340"/>
      <c r="K3849" s="497"/>
    </row>
    <row r="3850" spans="1:11" x14ac:dyDescent="0.35">
      <c r="A3850" s="332"/>
      <c r="B3850" s="333"/>
      <c r="C3850" s="333"/>
      <c r="D3850" s="333"/>
      <c r="E3850" s="333"/>
      <c r="F3850" s="333"/>
      <c r="G3850" s="333"/>
      <c r="H3850" s="333"/>
      <c r="I3850" s="333"/>
      <c r="J3850" s="333"/>
      <c r="K3850" s="496"/>
    </row>
    <row r="3851" spans="1:11" x14ac:dyDescent="0.35">
      <c r="A3851" s="339"/>
      <c r="B3851" s="340"/>
      <c r="C3851" s="340"/>
      <c r="D3851" s="340"/>
      <c r="E3851" s="340"/>
      <c r="F3851" s="340"/>
      <c r="G3851" s="340"/>
      <c r="H3851" s="340"/>
      <c r="I3851" s="340"/>
      <c r="J3851" s="340"/>
      <c r="K3851" s="497"/>
    </row>
    <row r="3852" spans="1:11" x14ac:dyDescent="0.35">
      <c r="A3852" s="332"/>
      <c r="B3852" s="333"/>
      <c r="C3852" s="333"/>
      <c r="D3852" s="333"/>
      <c r="E3852" s="333"/>
      <c r="F3852" s="333"/>
      <c r="G3852" s="333"/>
      <c r="H3852" s="333"/>
      <c r="I3852" s="333"/>
      <c r="J3852" s="333"/>
      <c r="K3852" s="496"/>
    </row>
    <row r="3853" spans="1:11" x14ac:dyDescent="0.35">
      <c r="A3853" s="339"/>
      <c r="B3853" s="340"/>
      <c r="C3853" s="340"/>
      <c r="D3853" s="340"/>
      <c r="E3853" s="340"/>
      <c r="F3853" s="340"/>
      <c r="G3853" s="340"/>
      <c r="H3853" s="340"/>
      <c r="I3853" s="340"/>
      <c r="J3853" s="340"/>
      <c r="K3853" s="497"/>
    </row>
    <row r="3854" spans="1:11" x14ac:dyDescent="0.35">
      <c r="A3854" s="332"/>
      <c r="B3854" s="333"/>
      <c r="C3854" s="333"/>
      <c r="D3854" s="333"/>
      <c r="E3854" s="333"/>
      <c r="F3854" s="333"/>
      <c r="G3854" s="333"/>
      <c r="H3854" s="333"/>
      <c r="I3854" s="333"/>
      <c r="J3854" s="333"/>
      <c r="K3854" s="496"/>
    </row>
    <row r="3855" spans="1:11" x14ac:dyDescent="0.35">
      <c r="A3855" s="339"/>
      <c r="B3855" s="340"/>
      <c r="C3855" s="340"/>
      <c r="D3855" s="340"/>
      <c r="E3855" s="340"/>
      <c r="F3855" s="340"/>
      <c r="G3855" s="340"/>
      <c r="H3855" s="340"/>
      <c r="I3855" s="340"/>
      <c r="J3855" s="340"/>
      <c r="K3855" s="497"/>
    </row>
    <row r="3856" spans="1:11" x14ac:dyDescent="0.35">
      <c r="A3856" s="332"/>
      <c r="B3856" s="333"/>
      <c r="C3856" s="333"/>
      <c r="D3856" s="333"/>
      <c r="E3856" s="333"/>
      <c r="F3856" s="333"/>
      <c r="G3856" s="333"/>
      <c r="H3856" s="333"/>
      <c r="I3856" s="333"/>
      <c r="J3856" s="333"/>
      <c r="K3856" s="496"/>
    </row>
    <row r="3857" spans="1:11" x14ac:dyDescent="0.35">
      <c r="A3857" s="339"/>
      <c r="B3857" s="340"/>
      <c r="C3857" s="340"/>
      <c r="D3857" s="340"/>
      <c r="E3857" s="340"/>
      <c r="F3857" s="340"/>
      <c r="G3857" s="340"/>
      <c r="H3857" s="340"/>
      <c r="I3857" s="340"/>
      <c r="J3857" s="340"/>
      <c r="K3857" s="497"/>
    </row>
    <row r="3858" spans="1:11" x14ac:dyDescent="0.35">
      <c r="A3858" s="332"/>
      <c r="B3858" s="333"/>
      <c r="C3858" s="333"/>
      <c r="D3858" s="333"/>
      <c r="E3858" s="333"/>
      <c r="F3858" s="333"/>
      <c r="G3858" s="333"/>
      <c r="H3858" s="333"/>
      <c r="I3858" s="333"/>
      <c r="J3858" s="333"/>
      <c r="K3858" s="496"/>
    </row>
    <row r="3859" spans="1:11" x14ac:dyDescent="0.35">
      <c r="A3859" s="339"/>
      <c r="B3859" s="340"/>
      <c r="C3859" s="340"/>
      <c r="D3859" s="340"/>
      <c r="E3859" s="340"/>
      <c r="F3859" s="340"/>
      <c r="G3859" s="340"/>
      <c r="H3859" s="340"/>
      <c r="I3859" s="340"/>
      <c r="J3859" s="340"/>
      <c r="K3859" s="497"/>
    </row>
    <row r="3860" spans="1:11" x14ac:dyDescent="0.35">
      <c r="A3860" s="332"/>
      <c r="B3860" s="333"/>
      <c r="C3860" s="333"/>
      <c r="D3860" s="333"/>
      <c r="E3860" s="333"/>
      <c r="F3860" s="333"/>
      <c r="G3860" s="333"/>
      <c r="H3860" s="333"/>
      <c r="I3860" s="333"/>
      <c r="J3860" s="333"/>
      <c r="K3860" s="496"/>
    </row>
    <row r="3861" spans="1:11" x14ac:dyDescent="0.35">
      <c r="A3861" s="339"/>
      <c r="B3861" s="340"/>
      <c r="C3861" s="340"/>
      <c r="D3861" s="340"/>
      <c r="E3861" s="340"/>
      <c r="F3861" s="340"/>
      <c r="G3861" s="340"/>
      <c r="H3861" s="340"/>
      <c r="I3861" s="340"/>
      <c r="J3861" s="340"/>
      <c r="K3861" s="497"/>
    </row>
    <row r="3862" spans="1:11" x14ac:dyDescent="0.35">
      <c r="A3862" s="332"/>
      <c r="B3862" s="333"/>
      <c r="C3862" s="333"/>
      <c r="D3862" s="333"/>
      <c r="E3862" s="333"/>
      <c r="F3862" s="333"/>
      <c r="G3862" s="333"/>
      <c r="H3862" s="333"/>
      <c r="I3862" s="333"/>
      <c r="J3862" s="333"/>
      <c r="K3862" s="496"/>
    </row>
    <row r="3863" spans="1:11" x14ac:dyDescent="0.35">
      <c r="A3863" s="339"/>
      <c r="B3863" s="340"/>
      <c r="C3863" s="340"/>
      <c r="D3863" s="340"/>
      <c r="E3863" s="340"/>
      <c r="F3863" s="340"/>
      <c r="G3863" s="340"/>
      <c r="H3863" s="340"/>
      <c r="I3863" s="340"/>
      <c r="J3863" s="340"/>
      <c r="K3863" s="497"/>
    </row>
    <row r="3864" spans="1:11" x14ac:dyDescent="0.35">
      <c r="A3864" s="332"/>
      <c r="B3864" s="333"/>
      <c r="C3864" s="333"/>
      <c r="D3864" s="333"/>
      <c r="E3864" s="333"/>
      <c r="F3864" s="333"/>
      <c r="G3864" s="333"/>
      <c r="H3864" s="333"/>
      <c r="I3864" s="333"/>
      <c r="J3864" s="333"/>
      <c r="K3864" s="496"/>
    </row>
    <row r="3865" spans="1:11" x14ac:dyDescent="0.35">
      <c r="A3865" s="339"/>
      <c r="B3865" s="340"/>
      <c r="C3865" s="340"/>
      <c r="D3865" s="340"/>
      <c r="E3865" s="340"/>
      <c r="F3865" s="340"/>
      <c r="G3865" s="340"/>
      <c r="H3865" s="340"/>
      <c r="I3865" s="340"/>
      <c r="J3865" s="340"/>
      <c r="K3865" s="497"/>
    </row>
    <row r="3866" spans="1:11" x14ac:dyDescent="0.35">
      <c r="A3866" s="332"/>
      <c r="B3866" s="333"/>
      <c r="C3866" s="333"/>
      <c r="D3866" s="333"/>
      <c r="E3866" s="333"/>
      <c r="F3866" s="333"/>
      <c r="G3866" s="333"/>
      <c r="H3866" s="333"/>
      <c r="I3866" s="333"/>
      <c r="J3866" s="333"/>
      <c r="K3866" s="496"/>
    </row>
    <row r="3867" spans="1:11" x14ac:dyDescent="0.35">
      <c r="A3867" s="339"/>
      <c r="B3867" s="340"/>
      <c r="C3867" s="340"/>
      <c r="D3867" s="340"/>
      <c r="E3867" s="340"/>
      <c r="F3867" s="340"/>
      <c r="G3867" s="340"/>
      <c r="H3867" s="340"/>
      <c r="I3867" s="340"/>
      <c r="J3867" s="340"/>
      <c r="K3867" s="497"/>
    </row>
    <row r="3868" spans="1:11" x14ac:dyDescent="0.35">
      <c r="A3868" s="332"/>
      <c r="B3868" s="333"/>
      <c r="C3868" s="333"/>
      <c r="D3868" s="333"/>
      <c r="E3868" s="333"/>
      <c r="F3868" s="333"/>
      <c r="G3868" s="333"/>
      <c r="H3868" s="333"/>
      <c r="I3868" s="333"/>
      <c r="J3868" s="333"/>
      <c r="K3868" s="496"/>
    </row>
    <row r="3869" spans="1:11" x14ac:dyDescent="0.35">
      <c r="A3869" s="339"/>
      <c r="B3869" s="340"/>
      <c r="C3869" s="340"/>
      <c r="D3869" s="340"/>
      <c r="E3869" s="340"/>
      <c r="F3869" s="340"/>
      <c r="G3869" s="340"/>
      <c r="H3869" s="340"/>
      <c r="I3869" s="340"/>
      <c r="J3869" s="340"/>
      <c r="K3869" s="497"/>
    </row>
    <row r="3870" spans="1:11" x14ac:dyDescent="0.35">
      <c r="A3870" s="332"/>
      <c r="B3870" s="333"/>
      <c r="C3870" s="333"/>
      <c r="D3870" s="333"/>
      <c r="E3870" s="333"/>
      <c r="F3870" s="333"/>
      <c r="G3870" s="333"/>
      <c r="H3870" s="333"/>
      <c r="I3870" s="333"/>
      <c r="J3870" s="333"/>
      <c r="K3870" s="496"/>
    </row>
    <row r="3871" spans="1:11" x14ac:dyDescent="0.35">
      <c r="A3871" s="339"/>
      <c r="B3871" s="340"/>
      <c r="C3871" s="340"/>
      <c r="D3871" s="340"/>
      <c r="E3871" s="340"/>
      <c r="F3871" s="340"/>
      <c r="G3871" s="340"/>
      <c r="H3871" s="340"/>
      <c r="I3871" s="340"/>
      <c r="J3871" s="340"/>
      <c r="K3871" s="497"/>
    </row>
    <row r="3872" spans="1:11" x14ac:dyDescent="0.35">
      <c r="A3872" s="332"/>
      <c r="B3872" s="333"/>
      <c r="C3872" s="333"/>
      <c r="D3872" s="333"/>
      <c r="E3872" s="333"/>
      <c r="F3872" s="333"/>
      <c r="G3872" s="333"/>
      <c r="H3872" s="333"/>
      <c r="I3872" s="333"/>
      <c r="J3872" s="333"/>
      <c r="K3872" s="496"/>
    </row>
    <row r="3873" spans="1:11" x14ac:dyDescent="0.35">
      <c r="A3873" s="339"/>
      <c r="B3873" s="340"/>
      <c r="C3873" s="340"/>
      <c r="D3873" s="340"/>
      <c r="E3873" s="340"/>
      <c r="F3873" s="340"/>
      <c r="G3873" s="340"/>
      <c r="H3873" s="340"/>
      <c r="I3873" s="340"/>
      <c r="J3873" s="340"/>
      <c r="K3873" s="497"/>
    </row>
    <row r="3874" spans="1:11" x14ac:dyDescent="0.35">
      <c r="A3874" s="332"/>
      <c r="B3874" s="333"/>
      <c r="C3874" s="333"/>
      <c r="D3874" s="333"/>
      <c r="E3874" s="333"/>
      <c r="F3874" s="333"/>
      <c r="G3874" s="333"/>
      <c r="H3874" s="333"/>
      <c r="I3874" s="333"/>
      <c r="J3874" s="333"/>
      <c r="K3874" s="496"/>
    </row>
    <row r="3875" spans="1:11" x14ac:dyDescent="0.35">
      <c r="A3875" s="339"/>
      <c r="B3875" s="340"/>
      <c r="C3875" s="340"/>
      <c r="D3875" s="340"/>
      <c r="E3875" s="340"/>
      <c r="F3875" s="340"/>
      <c r="G3875" s="340"/>
      <c r="H3875" s="340"/>
      <c r="I3875" s="340"/>
      <c r="J3875" s="340"/>
      <c r="K3875" s="497"/>
    </row>
    <row r="3876" spans="1:11" x14ac:dyDescent="0.35">
      <c r="A3876" s="332"/>
      <c r="B3876" s="333"/>
      <c r="C3876" s="333"/>
      <c r="D3876" s="333"/>
      <c r="E3876" s="333"/>
      <c r="F3876" s="333"/>
      <c r="G3876" s="333"/>
      <c r="H3876" s="333"/>
      <c r="I3876" s="333"/>
      <c r="J3876" s="333"/>
      <c r="K3876" s="496"/>
    </row>
    <row r="3877" spans="1:11" x14ac:dyDescent="0.35">
      <c r="A3877" s="339"/>
      <c r="B3877" s="340"/>
      <c r="C3877" s="340"/>
      <c r="D3877" s="340"/>
      <c r="E3877" s="340"/>
      <c r="F3877" s="340"/>
      <c r="G3877" s="340"/>
      <c r="H3877" s="340"/>
      <c r="I3877" s="340"/>
      <c r="J3877" s="340"/>
      <c r="K3877" s="497"/>
    </row>
    <row r="3878" spans="1:11" x14ac:dyDescent="0.35">
      <c r="A3878" s="332"/>
      <c r="B3878" s="333"/>
      <c r="C3878" s="333"/>
      <c r="D3878" s="333"/>
      <c r="E3878" s="333"/>
      <c r="F3878" s="333"/>
      <c r="G3878" s="333"/>
      <c r="H3878" s="333"/>
      <c r="I3878" s="333"/>
      <c r="J3878" s="333"/>
      <c r="K3878" s="496"/>
    </row>
    <row r="3879" spans="1:11" x14ac:dyDescent="0.35">
      <c r="A3879" s="339"/>
      <c r="B3879" s="340"/>
      <c r="C3879" s="340"/>
      <c r="D3879" s="340"/>
      <c r="E3879" s="340"/>
      <c r="F3879" s="340"/>
      <c r="G3879" s="340"/>
      <c r="H3879" s="340"/>
      <c r="I3879" s="340"/>
      <c r="J3879" s="340"/>
      <c r="K3879" s="497"/>
    </row>
    <row r="3880" spans="1:11" x14ac:dyDescent="0.35">
      <c r="A3880" s="332"/>
      <c r="B3880" s="333"/>
      <c r="C3880" s="333"/>
      <c r="D3880" s="333"/>
      <c r="E3880" s="333"/>
      <c r="F3880" s="333"/>
      <c r="G3880" s="333"/>
      <c r="H3880" s="333"/>
      <c r="I3880" s="333"/>
      <c r="J3880" s="333"/>
      <c r="K3880" s="496"/>
    </row>
    <row r="3881" spans="1:11" x14ac:dyDescent="0.35">
      <c r="A3881" s="339"/>
      <c r="B3881" s="340"/>
      <c r="C3881" s="340"/>
      <c r="D3881" s="340"/>
      <c r="E3881" s="340"/>
      <c r="F3881" s="340"/>
      <c r="G3881" s="340"/>
      <c r="H3881" s="340"/>
      <c r="I3881" s="340"/>
      <c r="J3881" s="340"/>
      <c r="K3881" s="497"/>
    </row>
    <row r="3882" spans="1:11" x14ac:dyDescent="0.35">
      <c r="A3882" s="332"/>
      <c r="B3882" s="333"/>
      <c r="C3882" s="333"/>
      <c r="D3882" s="333"/>
      <c r="E3882" s="333"/>
      <c r="F3882" s="333"/>
      <c r="G3882" s="333"/>
      <c r="H3882" s="333"/>
      <c r="I3882" s="333"/>
      <c r="J3882" s="333"/>
      <c r="K3882" s="496"/>
    </row>
    <row r="3883" spans="1:11" x14ac:dyDescent="0.35">
      <c r="A3883" s="339"/>
      <c r="B3883" s="340"/>
      <c r="C3883" s="340"/>
      <c r="D3883" s="340"/>
      <c r="E3883" s="340"/>
      <c r="F3883" s="340"/>
      <c r="G3883" s="340"/>
      <c r="H3883" s="340"/>
      <c r="I3883" s="340"/>
      <c r="J3883" s="340"/>
      <c r="K3883" s="497"/>
    </row>
    <row r="3884" spans="1:11" x14ac:dyDescent="0.35">
      <c r="A3884" s="332"/>
      <c r="B3884" s="333"/>
      <c r="C3884" s="333"/>
      <c r="D3884" s="333"/>
      <c r="E3884" s="333"/>
      <c r="F3884" s="333"/>
      <c r="G3884" s="333"/>
      <c r="H3884" s="333"/>
      <c r="I3884" s="333"/>
      <c r="J3884" s="333"/>
      <c r="K3884" s="496"/>
    </row>
    <row r="3885" spans="1:11" x14ac:dyDescent="0.35">
      <c r="A3885" s="339"/>
      <c r="B3885" s="340"/>
      <c r="C3885" s="340"/>
      <c r="D3885" s="340"/>
      <c r="E3885" s="340"/>
      <c r="F3885" s="340"/>
      <c r="G3885" s="340"/>
      <c r="H3885" s="340"/>
      <c r="I3885" s="340"/>
      <c r="J3885" s="340"/>
      <c r="K3885" s="497"/>
    </row>
    <row r="3886" spans="1:11" x14ac:dyDescent="0.35">
      <c r="A3886" s="332"/>
      <c r="B3886" s="333"/>
      <c r="C3886" s="333"/>
      <c r="D3886" s="333"/>
      <c r="E3886" s="333"/>
      <c r="F3886" s="333"/>
      <c r="G3886" s="333"/>
      <c r="H3886" s="333"/>
      <c r="I3886" s="333"/>
      <c r="J3886" s="333"/>
      <c r="K3886" s="496"/>
    </row>
    <row r="3887" spans="1:11" x14ac:dyDescent="0.35">
      <c r="A3887" s="339"/>
      <c r="B3887" s="340"/>
      <c r="C3887" s="340"/>
      <c r="D3887" s="340"/>
      <c r="E3887" s="340"/>
      <c r="F3887" s="340"/>
      <c r="G3887" s="340"/>
      <c r="H3887" s="340"/>
      <c r="I3887" s="340"/>
      <c r="J3887" s="340"/>
      <c r="K3887" s="497"/>
    </row>
    <row r="3888" spans="1:11" x14ac:dyDescent="0.35">
      <c r="A3888" s="332"/>
      <c r="B3888" s="333"/>
      <c r="C3888" s="333"/>
      <c r="D3888" s="333"/>
      <c r="E3888" s="333"/>
      <c r="F3888" s="333"/>
      <c r="G3888" s="333"/>
      <c r="H3888" s="333"/>
      <c r="I3888" s="333"/>
      <c r="J3888" s="333"/>
      <c r="K3888" s="496"/>
    </row>
    <row r="3889" spans="1:11" x14ac:dyDescent="0.35">
      <c r="A3889" s="339"/>
      <c r="B3889" s="340"/>
      <c r="C3889" s="340"/>
      <c r="D3889" s="340"/>
      <c r="E3889" s="340"/>
      <c r="F3889" s="340"/>
      <c r="G3889" s="340"/>
      <c r="H3889" s="340"/>
      <c r="I3889" s="340"/>
      <c r="J3889" s="340"/>
      <c r="K3889" s="497"/>
    </row>
    <row r="3890" spans="1:11" x14ac:dyDescent="0.35">
      <c r="A3890" s="332"/>
      <c r="B3890" s="333"/>
      <c r="C3890" s="333"/>
      <c r="D3890" s="333"/>
      <c r="E3890" s="333"/>
      <c r="F3890" s="333"/>
      <c r="G3890" s="333"/>
      <c r="H3890" s="333"/>
      <c r="I3890" s="333"/>
      <c r="J3890" s="333"/>
      <c r="K3890" s="496"/>
    </row>
    <row r="3891" spans="1:11" x14ac:dyDescent="0.35">
      <c r="A3891" s="339"/>
      <c r="B3891" s="340"/>
      <c r="C3891" s="340"/>
      <c r="D3891" s="340"/>
      <c r="E3891" s="340"/>
      <c r="F3891" s="340"/>
      <c r="G3891" s="340"/>
      <c r="H3891" s="340"/>
      <c r="I3891" s="340"/>
      <c r="J3891" s="340"/>
      <c r="K3891" s="497"/>
    </row>
    <row r="3892" spans="1:11" x14ac:dyDescent="0.35">
      <c r="A3892" s="332"/>
      <c r="B3892" s="333"/>
      <c r="C3892" s="333"/>
      <c r="D3892" s="333"/>
      <c r="E3892" s="333"/>
      <c r="F3892" s="333"/>
      <c r="G3892" s="333"/>
      <c r="H3892" s="333"/>
      <c r="I3892" s="333"/>
      <c r="J3892" s="333"/>
      <c r="K3892" s="496"/>
    </row>
    <row r="3893" spans="1:11" x14ac:dyDescent="0.35">
      <c r="A3893" s="339"/>
      <c r="B3893" s="340"/>
      <c r="C3893" s="340"/>
      <c r="D3893" s="340"/>
      <c r="E3893" s="340"/>
      <c r="F3893" s="340"/>
      <c r="G3893" s="340"/>
      <c r="H3893" s="340"/>
      <c r="I3893" s="340"/>
      <c r="J3893" s="340"/>
      <c r="K3893" s="497"/>
    </row>
    <row r="3894" spans="1:11" x14ac:dyDescent="0.35">
      <c r="A3894" s="332"/>
      <c r="B3894" s="333"/>
      <c r="C3894" s="333"/>
      <c r="D3894" s="333"/>
      <c r="E3894" s="333"/>
      <c r="F3894" s="333"/>
      <c r="G3894" s="333"/>
      <c r="H3894" s="333"/>
      <c r="I3894" s="333"/>
      <c r="J3894" s="333"/>
      <c r="K3894" s="496"/>
    </row>
    <row r="3895" spans="1:11" x14ac:dyDescent="0.35">
      <c r="A3895" s="339"/>
      <c r="B3895" s="340"/>
      <c r="C3895" s="340"/>
      <c r="D3895" s="340"/>
      <c r="E3895" s="340"/>
      <c r="F3895" s="340"/>
      <c r="G3895" s="340"/>
      <c r="H3895" s="340"/>
      <c r="I3895" s="340"/>
      <c r="J3895" s="340"/>
      <c r="K3895" s="497"/>
    </row>
    <row r="3896" spans="1:11" x14ac:dyDescent="0.35">
      <c r="A3896" s="332"/>
      <c r="B3896" s="333"/>
      <c r="C3896" s="333"/>
      <c r="D3896" s="333"/>
      <c r="E3896" s="333"/>
      <c r="F3896" s="333"/>
      <c r="G3896" s="333"/>
      <c r="H3896" s="333"/>
      <c r="I3896" s="333"/>
      <c r="J3896" s="333"/>
      <c r="K3896" s="496"/>
    </row>
    <row r="3897" spans="1:11" x14ac:dyDescent="0.35">
      <c r="A3897" s="339"/>
      <c r="B3897" s="340"/>
      <c r="C3897" s="340"/>
      <c r="D3897" s="340"/>
      <c r="E3897" s="340"/>
      <c r="F3897" s="340"/>
      <c r="G3897" s="340"/>
      <c r="H3897" s="340"/>
      <c r="I3897" s="340"/>
      <c r="J3897" s="340"/>
      <c r="K3897" s="497"/>
    </row>
    <row r="3898" spans="1:11" x14ac:dyDescent="0.35">
      <c r="A3898" s="332"/>
      <c r="B3898" s="333"/>
      <c r="C3898" s="333"/>
      <c r="D3898" s="333"/>
      <c r="E3898" s="333"/>
      <c r="F3898" s="333"/>
      <c r="G3898" s="333"/>
      <c r="H3898" s="333"/>
      <c r="I3898" s="333"/>
      <c r="J3898" s="333"/>
      <c r="K3898" s="496"/>
    </row>
    <row r="3899" spans="1:11" x14ac:dyDescent="0.35">
      <c r="A3899" s="339"/>
      <c r="B3899" s="340"/>
      <c r="C3899" s="340"/>
      <c r="D3899" s="340"/>
      <c r="E3899" s="340"/>
      <c r="F3899" s="340"/>
      <c r="G3899" s="340"/>
      <c r="H3899" s="340"/>
      <c r="I3899" s="340"/>
      <c r="J3899" s="340"/>
      <c r="K3899" s="497"/>
    </row>
    <row r="3900" spans="1:11" x14ac:dyDescent="0.35">
      <c r="A3900" s="332"/>
      <c r="B3900" s="333"/>
      <c r="C3900" s="333"/>
      <c r="D3900" s="333"/>
      <c r="E3900" s="333"/>
      <c r="F3900" s="333"/>
      <c r="G3900" s="333"/>
      <c r="H3900" s="333"/>
      <c r="I3900" s="333"/>
      <c r="J3900" s="333"/>
      <c r="K3900" s="496"/>
    </row>
    <row r="3901" spans="1:11" x14ac:dyDescent="0.35">
      <c r="A3901" s="339"/>
      <c r="B3901" s="340"/>
      <c r="C3901" s="340"/>
      <c r="D3901" s="340"/>
      <c r="E3901" s="340"/>
      <c r="F3901" s="340"/>
      <c r="G3901" s="340"/>
      <c r="H3901" s="340"/>
      <c r="I3901" s="340"/>
      <c r="J3901" s="340"/>
      <c r="K3901" s="497"/>
    </row>
    <row r="3902" spans="1:11" x14ac:dyDescent="0.35">
      <c r="A3902" s="332"/>
      <c r="B3902" s="333"/>
      <c r="C3902" s="333"/>
      <c r="D3902" s="333"/>
      <c r="E3902" s="333"/>
      <c r="F3902" s="333"/>
      <c r="G3902" s="333"/>
      <c r="H3902" s="333"/>
      <c r="I3902" s="333"/>
      <c r="J3902" s="333"/>
      <c r="K3902" s="496"/>
    </row>
    <row r="3903" spans="1:11" x14ac:dyDescent="0.35">
      <c r="A3903" s="339"/>
      <c r="B3903" s="340"/>
      <c r="C3903" s="340"/>
      <c r="D3903" s="340"/>
      <c r="E3903" s="340"/>
      <c r="F3903" s="340"/>
      <c r="G3903" s="340"/>
      <c r="H3903" s="340"/>
      <c r="I3903" s="340"/>
      <c r="J3903" s="340"/>
      <c r="K3903" s="497"/>
    </row>
    <row r="3904" spans="1:11" x14ac:dyDescent="0.35">
      <c r="A3904" s="332"/>
      <c r="B3904" s="333"/>
      <c r="C3904" s="333"/>
      <c r="D3904" s="333"/>
      <c r="E3904" s="333"/>
      <c r="F3904" s="333"/>
      <c r="G3904" s="333"/>
      <c r="H3904" s="333"/>
      <c r="I3904" s="333"/>
      <c r="J3904" s="333"/>
      <c r="K3904" s="496"/>
    </row>
    <row r="3905" spans="1:11" x14ac:dyDescent="0.35">
      <c r="A3905" s="339"/>
      <c r="B3905" s="340"/>
      <c r="C3905" s="340"/>
      <c r="D3905" s="340"/>
      <c r="E3905" s="340"/>
      <c r="F3905" s="340"/>
      <c r="G3905" s="340"/>
      <c r="H3905" s="340"/>
      <c r="I3905" s="340"/>
      <c r="J3905" s="340"/>
      <c r="K3905" s="497"/>
    </row>
    <row r="3906" spans="1:11" x14ac:dyDescent="0.35">
      <c r="A3906" s="332"/>
      <c r="B3906" s="333"/>
      <c r="C3906" s="333"/>
      <c r="D3906" s="333"/>
      <c r="E3906" s="333"/>
      <c r="F3906" s="333"/>
      <c r="G3906" s="333"/>
      <c r="H3906" s="333"/>
      <c r="I3906" s="333"/>
      <c r="J3906" s="333"/>
      <c r="K3906" s="496"/>
    </row>
    <row r="3907" spans="1:11" x14ac:dyDescent="0.35">
      <c r="A3907" s="339"/>
      <c r="B3907" s="340"/>
      <c r="C3907" s="340"/>
      <c r="D3907" s="340"/>
      <c r="E3907" s="340"/>
      <c r="F3907" s="340"/>
      <c r="G3907" s="340"/>
      <c r="H3907" s="340"/>
      <c r="I3907" s="340"/>
      <c r="J3907" s="340"/>
      <c r="K3907" s="497"/>
    </row>
    <row r="3908" spans="1:11" x14ac:dyDescent="0.35">
      <c r="A3908" s="332"/>
      <c r="B3908" s="333"/>
      <c r="C3908" s="333"/>
      <c r="D3908" s="333"/>
      <c r="E3908" s="333"/>
      <c r="F3908" s="333"/>
      <c r="G3908" s="333"/>
      <c r="H3908" s="333"/>
      <c r="I3908" s="333"/>
      <c r="J3908" s="333"/>
      <c r="K3908" s="496"/>
    </row>
    <row r="3909" spans="1:11" x14ac:dyDescent="0.35">
      <c r="A3909" s="339"/>
      <c r="B3909" s="340"/>
      <c r="C3909" s="340"/>
      <c r="D3909" s="340"/>
      <c r="E3909" s="340"/>
      <c r="F3909" s="340"/>
      <c r="G3909" s="340"/>
      <c r="H3909" s="340"/>
      <c r="I3909" s="340"/>
      <c r="J3909" s="340"/>
      <c r="K3909" s="497"/>
    </row>
    <row r="3910" spans="1:11" x14ac:dyDescent="0.35">
      <c r="A3910" s="332"/>
      <c r="B3910" s="333"/>
      <c r="C3910" s="333"/>
      <c r="D3910" s="333"/>
      <c r="E3910" s="333"/>
      <c r="F3910" s="333"/>
      <c r="G3910" s="333"/>
      <c r="H3910" s="333"/>
      <c r="I3910" s="333"/>
      <c r="J3910" s="333"/>
      <c r="K3910" s="496"/>
    </row>
    <row r="3911" spans="1:11" x14ac:dyDescent="0.35">
      <c r="A3911" s="339"/>
      <c r="B3911" s="340"/>
      <c r="C3911" s="340"/>
      <c r="D3911" s="340"/>
      <c r="E3911" s="340"/>
      <c r="F3911" s="340"/>
      <c r="G3911" s="340"/>
      <c r="H3911" s="340"/>
      <c r="I3911" s="340"/>
      <c r="J3911" s="340"/>
      <c r="K3911" s="497"/>
    </row>
    <row r="3912" spans="1:11" x14ac:dyDescent="0.35">
      <c r="A3912" s="332"/>
      <c r="B3912" s="333"/>
      <c r="C3912" s="333"/>
      <c r="D3912" s="333"/>
      <c r="E3912" s="333"/>
      <c r="F3912" s="333"/>
      <c r="G3912" s="333"/>
      <c r="H3912" s="333"/>
      <c r="I3912" s="333"/>
      <c r="J3912" s="333"/>
      <c r="K3912" s="496"/>
    </row>
    <row r="3913" spans="1:11" x14ac:dyDescent="0.35">
      <c r="A3913" s="339"/>
      <c r="B3913" s="340"/>
      <c r="C3913" s="340"/>
      <c r="D3913" s="340"/>
      <c r="E3913" s="340"/>
      <c r="F3913" s="340"/>
      <c r="G3913" s="340"/>
      <c r="H3913" s="340"/>
      <c r="I3913" s="340"/>
      <c r="J3913" s="340"/>
      <c r="K3913" s="497"/>
    </row>
    <row r="3914" spans="1:11" x14ac:dyDescent="0.35">
      <c r="A3914" s="332"/>
      <c r="B3914" s="333"/>
      <c r="C3914" s="333"/>
      <c r="D3914" s="333"/>
      <c r="E3914" s="333"/>
      <c r="F3914" s="333"/>
      <c r="G3914" s="333"/>
      <c r="H3914" s="333"/>
      <c r="I3914" s="333"/>
      <c r="J3914" s="333"/>
      <c r="K3914" s="496"/>
    </row>
    <row r="3915" spans="1:11" x14ac:dyDescent="0.35">
      <c r="A3915" s="339"/>
      <c r="B3915" s="340"/>
      <c r="C3915" s="340"/>
      <c r="D3915" s="340"/>
      <c r="E3915" s="340"/>
      <c r="F3915" s="340"/>
      <c r="G3915" s="340"/>
      <c r="H3915" s="340"/>
      <c r="I3915" s="340"/>
      <c r="J3915" s="340"/>
      <c r="K3915" s="497"/>
    </row>
    <row r="3916" spans="1:11" x14ac:dyDescent="0.35">
      <c r="A3916" s="332"/>
      <c r="B3916" s="333"/>
      <c r="C3916" s="333"/>
      <c r="D3916" s="333"/>
      <c r="E3916" s="333"/>
      <c r="F3916" s="333"/>
      <c r="G3916" s="333"/>
      <c r="H3916" s="333"/>
      <c r="I3916" s="333"/>
      <c r="J3916" s="333"/>
      <c r="K3916" s="496"/>
    </row>
    <row r="3917" spans="1:11" x14ac:dyDescent="0.35">
      <c r="A3917" s="339"/>
      <c r="B3917" s="340"/>
      <c r="C3917" s="340"/>
      <c r="D3917" s="340"/>
      <c r="E3917" s="340"/>
      <c r="F3917" s="340"/>
      <c r="G3917" s="340"/>
      <c r="H3917" s="340"/>
      <c r="I3917" s="340"/>
      <c r="J3917" s="340"/>
      <c r="K3917" s="497"/>
    </row>
    <row r="3918" spans="1:11" x14ac:dyDescent="0.35">
      <c r="A3918" s="332"/>
      <c r="B3918" s="333"/>
      <c r="C3918" s="333"/>
      <c r="D3918" s="333"/>
      <c r="E3918" s="333"/>
      <c r="F3918" s="333"/>
      <c r="G3918" s="333"/>
      <c r="H3918" s="333"/>
      <c r="I3918" s="333"/>
      <c r="J3918" s="333"/>
      <c r="K3918" s="496"/>
    </row>
    <row r="3919" spans="1:11" x14ac:dyDescent="0.35">
      <c r="A3919" s="339"/>
      <c r="B3919" s="340"/>
      <c r="C3919" s="340"/>
      <c r="D3919" s="340"/>
      <c r="E3919" s="340"/>
      <c r="F3919" s="340"/>
      <c r="G3919" s="340"/>
      <c r="H3919" s="340"/>
      <c r="I3919" s="340"/>
      <c r="J3919" s="340"/>
      <c r="K3919" s="497"/>
    </row>
    <row r="3920" spans="1:11" x14ac:dyDescent="0.35">
      <c r="A3920" s="332"/>
      <c r="B3920" s="333"/>
      <c r="C3920" s="333"/>
      <c r="D3920" s="333"/>
      <c r="E3920" s="333"/>
      <c r="F3920" s="333"/>
      <c r="G3920" s="333"/>
      <c r="H3920" s="333"/>
      <c r="I3920" s="333"/>
      <c r="J3920" s="333"/>
      <c r="K3920" s="496"/>
    </row>
    <row r="3921" spans="1:11" x14ac:dyDescent="0.35">
      <c r="A3921" s="339"/>
      <c r="B3921" s="340"/>
      <c r="C3921" s="340"/>
      <c r="D3921" s="340"/>
      <c r="E3921" s="340"/>
      <c r="F3921" s="340"/>
      <c r="G3921" s="340"/>
      <c r="H3921" s="340"/>
      <c r="I3921" s="340"/>
      <c r="J3921" s="340"/>
      <c r="K3921" s="497"/>
    </row>
    <row r="3922" spans="1:11" x14ac:dyDescent="0.35">
      <c r="A3922" s="332"/>
      <c r="B3922" s="333"/>
      <c r="C3922" s="333"/>
      <c r="D3922" s="333"/>
      <c r="E3922" s="333"/>
      <c r="F3922" s="333"/>
      <c r="G3922" s="333"/>
      <c r="H3922" s="333"/>
      <c r="I3922" s="333"/>
      <c r="J3922" s="333"/>
      <c r="K3922" s="496"/>
    </row>
    <row r="3923" spans="1:11" x14ac:dyDescent="0.35">
      <c r="A3923" s="339"/>
      <c r="B3923" s="340"/>
      <c r="C3923" s="340"/>
      <c r="D3923" s="340"/>
      <c r="E3923" s="340"/>
      <c r="F3923" s="340"/>
      <c r="G3923" s="340"/>
      <c r="H3923" s="340"/>
      <c r="I3923" s="340"/>
      <c r="J3923" s="340"/>
      <c r="K3923" s="497"/>
    </row>
    <row r="3924" spans="1:11" x14ac:dyDescent="0.35">
      <c r="A3924" s="332"/>
      <c r="B3924" s="333"/>
      <c r="C3924" s="333"/>
      <c r="D3924" s="333"/>
      <c r="E3924" s="333"/>
      <c r="F3924" s="333"/>
      <c r="G3924" s="333"/>
      <c r="H3924" s="333"/>
      <c r="I3924" s="333"/>
      <c r="J3924" s="333"/>
      <c r="K3924" s="496"/>
    </row>
    <row r="3925" spans="1:11" x14ac:dyDescent="0.35">
      <c r="A3925" s="339"/>
      <c r="B3925" s="340"/>
      <c r="C3925" s="340"/>
      <c r="D3925" s="340"/>
      <c r="E3925" s="340"/>
      <c r="F3925" s="340"/>
      <c r="G3925" s="340"/>
      <c r="H3925" s="340"/>
      <c r="I3925" s="340"/>
      <c r="J3925" s="340"/>
      <c r="K3925" s="497"/>
    </row>
    <row r="3926" spans="1:11" x14ac:dyDescent="0.35">
      <c r="A3926" s="332"/>
      <c r="B3926" s="333"/>
      <c r="C3926" s="333"/>
      <c r="D3926" s="333"/>
      <c r="E3926" s="333"/>
      <c r="F3926" s="333"/>
      <c r="G3926" s="333"/>
      <c r="H3926" s="333"/>
      <c r="I3926" s="333"/>
      <c r="J3926" s="333"/>
      <c r="K3926" s="496"/>
    </row>
    <row r="3927" spans="1:11" x14ac:dyDescent="0.35">
      <c r="A3927" s="339"/>
      <c r="B3927" s="340"/>
      <c r="C3927" s="340"/>
      <c r="D3927" s="340"/>
      <c r="E3927" s="340"/>
      <c r="F3927" s="340"/>
      <c r="G3927" s="340"/>
      <c r="H3927" s="340"/>
      <c r="I3927" s="340"/>
      <c r="J3927" s="340"/>
      <c r="K3927" s="497"/>
    </row>
    <row r="3928" spans="1:11" x14ac:dyDescent="0.35">
      <c r="A3928" s="332"/>
      <c r="B3928" s="333"/>
      <c r="C3928" s="333"/>
      <c r="D3928" s="333"/>
      <c r="E3928" s="333"/>
      <c r="F3928" s="333"/>
      <c r="G3928" s="333"/>
      <c r="H3928" s="333"/>
      <c r="I3928" s="333"/>
      <c r="J3928" s="333"/>
      <c r="K3928" s="496"/>
    </row>
    <row r="3929" spans="1:11" x14ac:dyDescent="0.35">
      <c r="A3929" s="339"/>
      <c r="B3929" s="340"/>
      <c r="C3929" s="340"/>
      <c r="D3929" s="340"/>
      <c r="E3929" s="340"/>
      <c r="F3929" s="340"/>
      <c r="G3929" s="340"/>
      <c r="H3929" s="340"/>
      <c r="I3929" s="340"/>
      <c r="J3929" s="340"/>
      <c r="K3929" s="497"/>
    </row>
    <row r="3930" spans="1:11" x14ac:dyDescent="0.35">
      <c r="A3930" s="332"/>
      <c r="B3930" s="333"/>
      <c r="C3930" s="333"/>
      <c r="D3930" s="333"/>
      <c r="E3930" s="333"/>
      <c r="F3930" s="333"/>
      <c r="G3930" s="333"/>
      <c r="H3930" s="333"/>
      <c r="I3930" s="333"/>
      <c r="J3930" s="333"/>
      <c r="K3930" s="496"/>
    </row>
    <row r="3931" spans="1:11" x14ac:dyDescent="0.35">
      <c r="A3931" s="339"/>
      <c r="B3931" s="340"/>
      <c r="C3931" s="340"/>
      <c r="D3931" s="340"/>
      <c r="E3931" s="340"/>
      <c r="F3931" s="340"/>
      <c r="G3931" s="340"/>
      <c r="H3931" s="340"/>
      <c r="I3931" s="340"/>
      <c r="J3931" s="340"/>
      <c r="K3931" s="497"/>
    </row>
    <row r="3932" spans="1:11" x14ac:dyDescent="0.35">
      <c r="A3932" s="332"/>
      <c r="B3932" s="333"/>
      <c r="C3932" s="333"/>
      <c r="D3932" s="333"/>
      <c r="E3932" s="333"/>
      <c r="F3932" s="333"/>
      <c r="G3932" s="333"/>
      <c r="H3932" s="333"/>
      <c r="I3932" s="333"/>
      <c r="J3932" s="333"/>
      <c r="K3932" s="496"/>
    </row>
    <row r="3933" spans="1:11" x14ac:dyDescent="0.35">
      <c r="A3933" s="339"/>
      <c r="B3933" s="340"/>
      <c r="C3933" s="340"/>
      <c r="D3933" s="340"/>
      <c r="E3933" s="340"/>
      <c r="F3933" s="340"/>
      <c r="G3933" s="340"/>
      <c r="H3933" s="340"/>
      <c r="I3933" s="340"/>
      <c r="J3933" s="340"/>
      <c r="K3933" s="497"/>
    </row>
    <row r="3934" spans="1:11" x14ac:dyDescent="0.35">
      <c r="A3934" s="332"/>
      <c r="B3934" s="333"/>
      <c r="C3934" s="333"/>
      <c r="D3934" s="333"/>
      <c r="E3934" s="333"/>
      <c r="F3934" s="333"/>
      <c r="G3934" s="333"/>
      <c r="H3934" s="333"/>
      <c r="I3934" s="333"/>
      <c r="J3934" s="333"/>
      <c r="K3934" s="496"/>
    </row>
    <row r="3935" spans="1:11" x14ac:dyDescent="0.35">
      <c r="A3935" s="339"/>
      <c r="B3935" s="340"/>
      <c r="C3935" s="340"/>
      <c r="D3935" s="340"/>
      <c r="E3935" s="340"/>
      <c r="F3935" s="340"/>
      <c r="G3935" s="340"/>
      <c r="H3935" s="340"/>
      <c r="I3935" s="340"/>
      <c r="J3935" s="340"/>
      <c r="K3935" s="497"/>
    </row>
    <row r="3936" spans="1:11" x14ac:dyDescent="0.35">
      <c r="A3936" s="332"/>
      <c r="B3936" s="333"/>
      <c r="C3936" s="333"/>
      <c r="D3936" s="333"/>
      <c r="E3936" s="333"/>
      <c r="F3936" s="333"/>
      <c r="G3936" s="333"/>
      <c r="H3936" s="333"/>
      <c r="I3936" s="333"/>
      <c r="J3936" s="333"/>
      <c r="K3936" s="496"/>
    </row>
    <row r="3937" spans="1:11" x14ac:dyDescent="0.35">
      <c r="A3937" s="339"/>
      <c r="B3937" s="340"/>
      <c r="C3937" s="340"/>
      <c r="D3937" s="340"/>
      <c r="E3937" s="340"/>
      <c r="F3937" s="340"/>
      <c r="G3937" s="340"/>
      <c r="H3937" s="340"/>
      <c r="I3937" s="340"/>
      <c r="J3937" s="340"/>
      <c r="K3937" s="497"/>
    </row>
    <row r="3938" spans="1:11" x14ac:dyDescent="0.35">
      <c r="A3938" s="332"/>
      <c r="B3938" s="333"/>
      <c r="C3938" s="333"/>
      <c r="D3938" s="333"/>
      <c r="E3938" s="333"/>
      <c r="F3938" s="333"/>
      <c r="G3938" s="333"/>
      <c r="H3938" s="333"/>
      <c r="I3938" s="333"/>
      <c r="J3938" s="333"/>
      <c r="K3938" s="496"/>
    </row>
    <row r="3939" spans="1:11" x14ac:dyDescent="0.35">
      <c r="A3939" s="339"/>
      <c r="B3939" s="340"/>
      <c r="C3939" s="340"/>
      <c r="D3939" s="340"/>
      <c r="E3939" s="340"/>
      <c r="F3939" s="340"/>
      <c r="G3939" s="340"/>
      <c r="H3939" s="340"/>
      <c r="I3939" s="340"/>
      <c r="J3939" s="340"/>
      <c r="K3939" s="497"/>
    </row>
    <row r="3940" spans="1:11" x14ac:dyDescent="0.35">
      <c r="A3940" s="332"/>
      <c r="B3940" s="333"/>
      <c r="C3940" s="333"/>
      <c r="D3940" s="333"/>
      <c r="E3940" s="333"/>
      <c r="F3940" s="333"/>
      <c r="G3940" s="333"/>
      <c r="H3940" s="333"/>
      <c r="I3940" s="333"/>
      <c r="J3940" s="333"/>
      <c r="K3940" s="496"/>
    </row>
    <row r="3941" spans="1:11" x14ac:dyDescent="0.35">
      <c r="A3941" s="339"/>
      <c r="B3941" s="340"/>
      <c r="C3941" s="340"/>
      <c r="D3941" s="340"/>
      <c r="E3941" s="340"/>
      <c r="F3941" s="340"/>
      <c r="G3941" s="340"/>
      <c r="H3941" s="340"/>
      <c r="I3941" s="340"/>
      <c r="J3941" s="340"/>
      <c r="K3941" s="497"/>
    </row>
    <row r="3942" spans="1:11" x14ac:dyDescent="0.35">
      <c r="A3942" s="332"/>
      <c r="B3942" s="333"/>
      <c r="C3942" s="333"/>
      <c r="D3942" s="333"/>
      <c r="E3942" s="333"/>
      <c r="F3942" s="333"/>
      <c r="G3942" s="333"/>
      <c r="H3942" s="333"/>
      <c r="I3942" s="333"/>
      <c r="J3942" s="333"/>
      <c r="K3942" s="496"/>
    </row>
    <row r="3943" spans="1:11" x14ac:dyDescent="0.35">
      <c r="A3943" s="339"/>
      <c r="B3943" s="340"/>
      <c r="C3943" s="340"/>
      <c r="D3943" s="340"/>
      <c r="E3943" s="340"/>
      <c r="F3943" s="340"/>
      <c r="G3943" s="340"/>
      <c r="H3943" s="340"/>
      <c r="I3943" s="340"/>
      <c r="J3943" s="340"/>
      <c r="K3943" s="497"/>
    </row>
    <row r="3944" spans="1:11" x14ac:dyDescent="0.35">
      <c r="A3944" s="332"/>
      <c r="B3944" s="333"/>
      <c r="C3944" s="333"/>
      <c r="D3944" s="333"/>
      <c r="E3944" s="333"/>
      <c r="F3944" s="333"/>
      <c r="G3944" s="333"/>
      <c r="H3944" s="333"/>
      <c r="I3944" s="333"/>
      <c r="J3944" s="333"/>
      <c r="K3944" s="496"/>
    </row>
    <row r="3945" spans="1:11" x14ac:dyDescent="0.35">
      <c r="A3945" s="339"/>
      <c r="B3945" s="340"/>
      <c r="C3945" s="340"/>
      <c r="D3945" s="340"/>
      <c r="E3945" s="340"/>
      <c r="F3945" s="340"/>
      <c r="G3945" s="340"/>
      <c r="H3945" s="340"/>
      <c r="I3945" s="340"/>
      <c r="J3945" s="340"/>
      <c r="K3945" s="497"/>
    </row>
    <row r="3946" spans="1:11" x14ac:dyDescent="0.35">
      <c r="A3946" s="332"/>
      <c r="B3946" s="333"/>
      <c r="C3946" s="333"/>
      <c r="D3946" s="333"/>
      <c r="E3946" s="333"/>
      <c r="F3946" s="333"/>
      <c r="G3946" s="333"/>
      <c r="H3946" s="333"/>
      <c r="I3946" s="333"/>
      <c r="J3946" s="333"/>
      <c r="K3946" s="496"/>
    </row>
    <row r="3947" spans="1:11" x14ac:dyDescent="0.35">
      <c r="A3947" s="339"/>
      <c r="B3947" s="340"/>
      <c r="C3947" s="340"/>
      <c r="D3947" s="340"/>
      <c r="E3947" s="340"/>
      <c r="F3947" s="340"/>
      <c r="G3947" s="340"/>
      <c r="H3947" s="340"/>
      <c r="I3947" s="340"/>
      <c r="J3947" s="340"/>
      <c r="K3947" s="497"/>
    </row>
    <row r="3948" spans="1:11" x14ac:dyDescent="0.35">
      <c r="A3948" s="332"/>
      <c r="B3948" s="333"/>
      <c r="C3948" s="333"/>
      <c r="D3948" s="333"/>
      <c r="E3948" s="333"/>
      <c r="F3948" s="333"/>
      <c r="G3948" s="333"/>
      <c r="H3948" s="333"/>
      <c r="I3948" s="333"/>
      <c r="J3948" s="333"/>
      <c r="K3948" s="496"/>
    </row>
    <row r="3949" spans="1:11" x14ac:dyDescent="0.35">
      <c r="A3949" s="339"/>
      <c r="B3949" s="340"/>
      <c r="C3949" s="340"/>
      <c r="D3949" s="340"/>
      <c r="E3949" s="340"/>
      <c r="F3949" s="340"/>
      <c r="G3949" s="340"/>
      <c r="H3949" s="340"/>
      <c r="I3949" s="340"/>
      <c r="J3949" s="340"/>
      <c r="K3949" s="497"/>
    </row>
    <row r="3950" spans="1:11" x14ac:dyDescent="0.35">
      <c r="A3950" s="332"/>
      <c r="B3950" s="333"/>
      <c r="C3950" s="333"/>
      <c r="D3950" s="333"/>
      <c r="E3950" s="333"/>
      <c r="F3950" s="333"/>
      <c r="G3950" s="333"/>
      <c r="H3950" s="333"/>
      <c r="I3950" s="333"/>
      <c r="J3950" s="333"/>
      <c r="K3950" s="496"/>
    </row>
    <row r="3951" spans="1:11" x14ac:dyDescent="0.35">
      <c r="A3951" s="339"/>
      <c r="B3951" s="340"/>
      <c r="C3951" s="340"/>
      <c r="D3951" s="340"/>
      <c r="E3951" s="340"/>
      <c r="F3951" s="340"/>
      <c r="G3951" s="340"/>
      <c r="H3951" s="340"/>
      <c r="I3951" s="340"/>
      <c r="J3951" s="340"/>
      <c r="K3951" s="497"/>
    </row>
    <row r="3952" spans="1:11" x14ac:dyDescent="0.35">
      <c r="A3952" s="332"/>
      <c r="B3952" s="333"/>
      <c r="C3952" s="333"/>
      <c r="D3952" s="333"/>
      <c r="E3952" s="333"/>
      <c r="F3952" s="333"/>
      <c r="G3952" s="333"/>
      <c r="H3952" s="333"/>
      <c r="I3952" s="333"/>
      <c r="J3952" s="333"/>
      <c r="K3952" s="496"/>
    </row>
    <row r="3953" spans="1:11" x14ac:dyDescent="0.35">
      <c r="A3953" s="339"/>
      <c r="B3953" s="340"/>
      <c r="C3953" s="340"/>
      <c r="D3953" s="340"/>
      <c r="E3953" s="340"/>
      <c r="F3953" s="340"/>
      <c r="G3953" s="340"/>
      <c r="H3953" s="340"/>
      <c r="I3953" s="340"/>
      <c r="J3953" s="340"/>
      <c r="K3953" s="497"/>
    </row>
    <row r="3954" spans="1:11" x14ac:dyDescent="0.35">
      <c r="A3954" s="332"/>
      <c r="B3954" s="333"/>
      <c r="C3954" s="333"/>
      <c r="D3954" s="333"/>
      <c r="E3954" s="333"/>
      <c r="F3954" s="333"/>
      <c r="G3954" s="333"/>
      <c r="H3954" s="333"/>
      <c r="I3954" s="333"/>
      <c r="J3954" s="333"/>
      <c r="K3954" s="496"/>
    </row>
    <row r="3955" spans="1:11" x14ac:dyDescent="0.35">
      <c r="A3955" s="339"/>
      <c r="B3955" s="340"/>
      <c r="C3955" s="340"/>
      <c r="D3955" s="340"/>
      <c r="E3955" s="340"/>
      <c r="F3955" s="340"/>
      <c r="G3955" s="340"/>
      <c r="H3955" s="340"/>
      <c r="I3955" s="340"/>
      <c r="J3955" s="340"/>
      <c r="K3955" s="497"/>
    </row>
    <row r="3956" spans="1:11" x14ac:dyDescent="0.35">
      <c r="A3956" s="332"/>
      <c r="B3956" s="333"/>
      <c r="C3956" s="333"/>
      <c r="D3956" s="333"/>
      <c r="E3956" s="333"/>
      <c r="F3956" s="333"/>
      <c r="G3956" s="333"/>
      <c r="H3956" s="333"/>
      <c r="I3956" s="333"/>
      <c r="J3956" s="333"/>
      <c r="K3956" s="496"/>
    </row>
    <row r="3957" spans="1:11" x14ac:dyDescent="0.35">
      <c r="A3957" s="339"/>
      <c r="B3957" s="340"/>
      <c r="C3957" s="340"/>
      <c r="D3957" s="340"/>
      <c r="E3957" s="340"/>
      <c r="F3957" s="340"/>
      <c r="G3957" s="340"/>
      <c r="H3957" s="340"/>
      <c r="I3957" s="340"/>
      <c r="J3957" s="340"/>
      <c r="K3957" s="497"/>
    </row>
    <row r="3958" spans="1:11" x14ac:dyDescent="0.35">
      <c r="A3958" s="332"/>
      <c r="B3958" s="333"/>
      <c r="C3958" s="333"/>
      <c r="D3958" s="333"/>
      <c r="E3958" s="333"/>
      <c r="F3958" s="333"/>
      <c r="G3958" s="333"/>
      <c r="H3958" s="333"/>
      <c r="I3958" s="333"/>
      <c r="J3958" s="333"/>
      <c r="K3958" s="496"/>
    </row>
    <row r="3959" spans="1:11" x14ac:dyDescent="0.35">
      <c r="A3959" s="339"/>
      <c r="B3959" s="340"/>
      <c r="C3959" s="340"/>
      <c r="D3959" s="340"/>
      <c r="E3959" s="340"/>
      <c r="F3959" s="340"/>
      <c r="G3959" s="340"/>
      <c r="H3959" s="340"/>
      <c r="I3959" s="340"/>
      <c r="J3959" s="340"/>
      <c r="K3959" s="497"/>
    </row>
    <row r="3960" spans="1:11" x14ac:dyDescent="0.35">
      <c r="A3960" s="332"/>
      <c r="B3960" s="333"/>
      <c r="C3960" s="333"/>
      <c r="D3960" s="333"/>
      <c r="E3960" s="333"/>
      <c r="F3960" s="333"/>
      <c r="G3960" s="333"/>
      <c r="H3960" s="333"/>
      <c r="I3960" s="333"/>
      <c r="J3960" s="333"/>
      <c r="K3960" s="496"/>
    </row>
    <row r="3961" spans="1:11" x14ac:dyDescent="0.35">
      <c r="A3961" s="339"/>
      <c r="B3961" s="340"/>
      <c r="C3961" s="340"/>
      <c r="D3961" s="340"/>
      <c r="E3961" s="340"/>
      <c r="F3961" s="340"/>
      <c r="G3961" s="340"/>
      <c r="H3961" s="340"/>
      <c r="I3961" s="340"/>
      <c r="J3961" s="340"/>
      <c r="K3961" s="497"/>
    </row>
    <row r="3962" spans="1:11" x14ac:dyDescent="0.35">
      <c r="A3962" s="332"/>
      <c r="B3962" s="333"/>
      <c r="C3962" s="333"/>
      <c r="D3962" s="333"/>
      <c r="E3962" s="333"/>
      <c r="F3962" s="333"/>
      <c r="G3962" s="333"/>
      <c r="H3962" s="333"/>
      <c r="I3962" s="333"/>
      <c r="J3962" s="333"/>
      <c r="K3962" s="496"/>
    </row>
    <row r="3963" spans="1:11" x14ac:dyDescent="0.35">
      <c r="A3963" s="339"/>
      <c r="B3963" s="340"/>
      <c r="C3963" s="340"/>
      <c r="D3963" s="340"/>
      <c r="E3963" s="340"/>
      <c r="F3963" s="340"/>
      <c r="G3963" s="340"/>
      <c r="H3963" s="340"/>
      <c r="I3963" s="340"/>
      <c r="J3963" s="340"/>
      <c r="K3963" s="497"/>
    </row>
    <row r="3964" spans="1:11" x14ac:dyDescent="0.35">
      <c r="A3964" s="332"/>
      <c r="B3964" s="333"/>
      <c r="C3964" s="333"/>
      <c r="D3964" s="333"/>
      <c r="E3964" s="333"/>
      <c r="F3964" s="333"/>
      <c r="G3964" s="333"/>
      <c r="H3964" s="333"/>
      <c r="I3964" s="333"/>
      <c r="J3964" s="333"/>
      <c r="K3964" s="496"/>
    </row>
    <row r="3965" spans="1:11" x14ac:dyDescent="0.35">
      <c r="A3965" s="339"/>
      <c r="B3965" s="340"/>
      <c r="C3965" s="340"/>
      <c r="D3965" s="340"/>
      <c r="E3965" s="340"/>
      <c r="F3965" s="340"/>
      <c r="G3965" s="340"/>
      <c r="H3965" s="340"/>
      <c r="I3965" s="340"/>
      <c r="J3965" s="340"/>
      <c r="K3965" s="497"/>
    </row>
    <row r="3966" spans="1:11" x14ac:dyDescent="0.35">
      <c r="A3966" s="332"/>
      <c r="B3966" s="333"/>
      <c r="C3966" s="333"/>
      <c r="D3966" s="333"/>
      <c r="E3966" s="333"/>
      <c r="F3966" s="333"/>
      <c r="G3966" s="333"/>
      <c r="H3966" s="333"/>
      <c r="I3966" s="333"/>
      <c r="J3966" s="333"/>
      <c r="K3966" s="496"/>
    </row>
    <row r="3967" spans="1:11" x14ac:dyDescent="0.35">
      <c r="A3967" s="339"/>
      <c r="B3967" s="340"/>
      <c r="C3967" s="340"/>
      <c r="D3967" s="340"/>
      <c r="E3967" s="340"/>
      <c r="F3967" s="340"/>
      <c r="G3967" s="340"/>
      <c r="H3967" s="340"/>
      <c r="I3967" s="340"/>
      <c r="J3967" s="340"/>
      <c r="K3967" s="497"/>
    </row>
    <row r="3968" spans="1:11" x14ac:dyDescent="0.35">
      <c r="A3968" s="332"/>
      <c r="B3968" s="333"/>
      <c r="C3968" s="333"/>
      <c r="D3968" s="333"/>
      <c r="E3968" s="333"/>
      <c r="F3968" s="333"/>
      <c r="G3968" s="333"/>
      <c r="H3968" s="333"/>
      <c r="I3968" s="333"/>
      <c r="J3968" s="333"/>
      <c r="K3968" s="496"/>
    </row>
    <row r="3969" spans="1:11" x14ac:dyDescent="0.35">
      <c r="A3969" s="339"/>
      <c r="B3969" s="340"/>
      <c r="C3969" s="340"/>
      <c r="D3969" s="340"/>
      <c r="E3969" s="340"/>
      <c r="F3969" s="340"/>
      <c r="G3969" s="340"/>
      <c r="H3969" s="340"/>
      <c r="I3969" s="340"/>
      <c r="J3969" s="340"/>
      <c r="K3969" s="497"/>
    </row>
    <row r="3970" spans="1:11" x14ac:dyDescent="0.35">
      <c r="A3970" s="332"/>
      <c r="B3970" s="333"/>
      <c r="C3970" s="333"/>
      <c r="D3970" s="333"/>
      <c r="E3970" s="333"/>
      <c r="F3970" s="333"/>
      <c r="G3970" s="333"/>
      <c r="H3970" s="333"/>
      <c r="I3970" s="333"/>
      <c r="J3970" s="333"/>
      <c r="K3970" s="496"/>
    </row>
    <row r="3971" spans="1:11" x14ac:dyDescent="0.35">
      <c r="A3971" s="339"/>
      <c r="B3971" s="340"/>
      <c r="C3971" s="340"/>
      <c r="D3971" s="340"/>
      <c r="E3971" s="340"/>
      <c r="F3971" s="340"/>
      <c r="G3971" s="340"/>
      <c r="H3971" s="340"/>
      <c r="I3971" s="340"/>
      <c r="J3971" s="340"/>
      <c r="K3971" s="497"/>
    </row>
    <row r="3972" spans="1:11" x14ac:dyDescent="0.35">
      <c r="A3972" s="332"/>
      <c r="B3972" s="333"/>
      <c r="C3972" s="333"/>
      <c r="D3972" s="333"/>
      <c r="E3972" s="333"/>
      <c r="F3972" s="333"/>
      <c r="G3972" s="333"/>
      <c r="H3972" s="333"/>
      <c r="I3972" s="333"/>
      <c r="J3972" s="333"/>
      <c r="K3972" s="496"/>
    </row>
    <row r="3973" spans="1:11" x14ac:dyDescent="0.35">
      <c r="A3973" s="339"/>
      <c r="B3973" s="340"/>
      <c r="C3973" s="340"/>
      <c r="D3973" s="340"/>
      <c r="E3973" s="340"/>
      <c r="F3973" s="340"/>
      <c r="G3973" s="340"/>
      <c r="H3973" s="340"/>
      <c r="I3973" s="340"/>
      <c r="J3973" s="340"/>
      <c r="K3973" s="497"/>
    </row>
    <row r="3974" spans="1:11" x14ac:dyDescent="0.35">
      <c r="A3974" s="332"/>
      <c r="B3974" s="333"/>
      <c r="C3974" s="333"/>
      <c r="D3974" s="333"/>
      <c r="E3974" s="333"/>
      <c r="F3974" s="333"/>
      <c r="G3974" s="333"/>
      <c r="H3974" s="333"/>
      <c r="I3974" s="333"/>
      <c r="J3974" s="333"/>
      <c r="K3974" s="496"/>
    </row>
    <row r="3975" spans="1:11" x14ac:dyDescent="0.35">
      <c r="A3975" s="339"/>
      <c r="B3975" s="340"/>
      <c r="C3975" s="340"/>
      <c r="D3975" s="340"/>
      <c r="E3975" s="340"/>
      <c r="F3975" s="340"/>
      <c r="G3975" s="340"/>
      <c r="H3975" s="340"/>
      <c r="I3975" s="340"/>
      <c r="J3975" s="340"/>
      <c r="K3975" s="497"/>
    </row>
    <row r="3976" spans="1:11" x14ac:dyDescent="0.35">
      <c r="A3976" s="332"/>
      <c r="B3976" s="333"/>
      <c r="C3976" s="333"/>
      <c r="D3976" s="333"/>
      <c r="E3976" s="333"/>
      <c r="F3976" s="333"/>
      <c r="G3976" s="333"/>
      <c r="H3976" s="333"/>
      <c r="I3976" s="333"/>
      <c r="J3976" s="333"/>
      <c r="K3976" s="496"/>
    </row>
    <row r="3977" spans="1:11" x14ac:dyDescent="0.35">
      <c r="A3977" s="339"/>
      <c r="B3977" s="340"/>
      <c r="C3977" s="340"/>
      <c r="D3977" s="340"/>
      <c r="E3977" s="340"/>
      <c r="F3977" s="340"/>
      <c r="G3977" s="340"/>
      <c r="H3977" s="340"/>
      <c r="I3977" s="340"/>
      <c r="J3977" s="340"/>
      <c r="K3977" s="497"/>
    </row>
    <row r="3978" spans="1:11" x14ac:dyDescent="0.35">
      <c r="A3978" s="332"/>
      <c r="B3978" s="333"/>
      <c r="C3978" s="333"/>
      <c r="D3978" s="333"/>
      <c r="E3978" s="333"/>
      <c r="F3978" s="333"/>
      <c r="G3978" s="333"/>
      <c r="H3978" s="333"/>
      <c r="I3978" s="333"/>
      <c r="J3978" s="333"/>
      <c r="K3978" s="496"/>
    </row>
    <row r="3979" spans="1:11" x14ac:dyDescent="0.35">
      <c r="A3979" s="339"/>
      <c r="B3979" s="340"/>
      <c r="C3979" s="340"/>
      <c r="D3979" s="340"/>
      <c r="E3979" s="340"/>
      <c r="F3979" s="340"/>
      <c r="G3979" s="340"/>
      <c r="H3979" s="340"/>
      <c r="I3979" s="340"/>
      <c r="J3979" s="340"/>
      <c r="K3979" s="497"/>
    </row>
    <row r="3980" spans="1:11" x14ac:dyDescent="0.35">
      <c r="A3980" s="332"/>
      <c r="B3980" s="333"/>
      <c r="C3980" s="333"/>
      <c r="D3980" s="333"/>
      <c r="E3980" s="333"/>
      <c r="F3980" s="333"/>
      <c r="G3980" s="333"/>
      <c r="H3980" s="333"/>
      <c r="I3980" s="333"/>
      <c r="J3980" s="333"/>
      <c r="K3980" s="496"/>
    </row>
    <row r="3981" spans="1:11" x14ac:dyDescent="0.35">
      <c r="A3981" s="339"/>
      <c r="B3981" s="340"/>
      <c r="C3981" s="340"/>
      <c r="D3981" s="340"/>
      <c r="E3981" s="340"/>
      <c r="F3981" s="340"/>
      <c r="G3981" s="340"/>
      <c r="H3981" s="340"/>
      <c r="I3981" s="340"/>
      <c r="J3981" s="340"/>
      <c r="K3981" s="497"/>
    </row>
    <row r="3982" spans="1:11" x14ac:dyDescent="0.35">
      <c r="A3982" s="332"/>
      <c r="B3982" s="333"/>
      <c r="C3982" s="333"/>
      <c r="D3982" s="333"/>
      <c r="E3982" s="333"/>
      <c r="F3982" s="333"/>
      <c r="G3982" s="333"/>
      <c r="H3982" s="333"/>
      <c r="I3982" s="333"/>
      <c r="J3982" s="333"/>
      <c r="K3982" s="496"/>
    </row>
    <row r="3983" spans="1:11" x14ac:dyDescent="0.35">
      <c r="A3983" s="339"/>
      <c r="B3983" s="340"/>
      <c r="C3983" s="340"/>
      <c r="D3983" s="340"/>
      <c r="E3983" s="340"/>
      <c r="F3983" s="340"/>
      <c r="G3983" s="340"/>
      <c r="H3983" s="340"/>
      <c r="I3983" s="340"/>
      <c r="J3983" s="340"/>
      <c r="K3983" s="497"/>
    </row>
    <row r="3984" spans="1:11" x14ac:dyDescent="0.35">
      <c r="A3984" s="332"/>
      <c r="B3984" s="333"/>
      <c r="C3984" s="333"/>
      <c r="D3984" s="333"/>
      <c r="E3984" s="333"/>
      <c r="F3984" s="333"/>
      <c r="G3984" s="333"/>
      <c r="H3984" s="333"/>
      <c r="I3984" s="333"/>
      <c r="J3984" s="333"/>
      <c r="K3984" s="496"/>
    </row>
    <row r="3985" spans="1:11" x14ac:dyDescent="0.35">
      <c r="A3985" s="339"/>
      <c r="B3985" s="340"/>
      <c r="C3985" s="340"/>
      <c r="D3985" s="340"/>
      <c r="E3985" s="340"/>
      <c r="F3985" s="340"/>
      <c r="G3985" s="340"/>
      <c r="H3985" s="340"/>
      <c r="I3985" s="340"/>
      <c r="J3985" s="340"/>
      <c r="K3985" s="497"/>
    </row>
    <row r="3986" spans="1:11" x14ac:dyDescent="0.35">
      <c r="A3986" s="332"/>
      <c r="B3986" s="333"/>
      <c r="C3986" s="333"/>
      <c r="D3986" s="333"/>
      <c r="E3986" s="333"/>
      <c r="F3986" s="333"/>
      <c r="G3986" s="333"/>
      <c r="H3986" s="333"/>
      <c r="I3986" s="333"/>
      <c r="J3986" s="333"/>
      <c r="K3986" s="496"/>
    </row>
    <row r="3987" spans="1:11" x14ac:dyDescent="0.35">
      <c r="A3987" s="339"/>
      <c r="B3987" s="340"/>
      <c r="C3987" s="340"/>
      <c r="D3987" s="340"/>
      <c r="E3987" s="340"/>
      <c r="F3987" s="340"/>
      <c r="G3987" s="340"/>
      <c r="H3987" s="340"/>
      <c r="I3987" s="340"/>
      <c r="J3987" s="340"/>
      <c r="K3987" s="497"/>
    </row>
    <row r="3988" spans="1:11" x14ac:dyDescent="0.35">
      <c r="A3988" s="332"/>
      <c r="B3988" s="333"/>
      <c r="C3988" s="333"/>
      <c r="D3988" s="333"/>
      <c r="E3988" s="333"/>
      <c r="F3988" s="333"/>
      <c r="G3988" s="333"/>
      <c r="H3988" s="333"/>
      <c r="I3988" s="333"/>
      <c r="J3988" s="333"/>
      <c r="K3988" s="496"/>
    </row>
    <row r="3989" spans="1:11" x14ac:dyDescent="0.35">
      <c r="A3989" s="339"/>
      <c r="B3989" s="340"/>
      <c r="C3989" s="340"/>
      <c r="D3989" s="340"/>
      <c r="E3989" s="340"/>
      <c r="F3989" s="340"/>
      <c r="G3989" s="340"/>
      <c r="H3989" s="340"/>
      <c r="I3989" s="340"/>
      <c r="J3989" s="340"/>
      <c r="K3989" s="497"/>
    </row>
    <row r="3990" spans="1:11" x14ac:dyDescent="0.35">
      <c r="A3990" s="332"/>
      <c r="B3990" s="333"/>
      <c r="C3990" s="333"/>
      <c r="D3990" s="333"/>
      <c r="E3990" s="333"/>
      <c r="F3990" s="333"/>
      <c r="G3990" s="333"/>
      <c r="H3990" s="333"/>
      <c r="I3990" s="333"/>
      <c r="J3990" s="333"/>
      <c r="K3990" s="496"/>
    </row>
    <row r="3991" spans="1:11" x14ac:dyDescent="0.35">
      <c r="A3991" s="339"/>
      <c r="B3991" s="340"/>
      <c r="C3991" s="340"/>
      <c r="D3991" s="340"/>
      <c r="E3991" s="340"/>
      <c r="F3991" s="340"/>
      <c r="G3991" s="340"/>
      <c r="H3991" s="340"/>
      <c r="I3991" s="340"/>
      <c r="J3991" s="340"/>
      <c r="K3991" s="497"/>
    </row>
    <row r="3992" spans="1:11" x14ac:dyDescent="0.35">
      <c r="A3992" s="332"/>
      <c r="B3992" s="333"/>
      <c r="C3992" s="333"/>
      <c r="D3992" s="333"/>
      <c r="E3992" s="333"/>
      <c r="F3992" s="333"/>
      <c r="G3992" s="333"/>
      <c r="H3992" s="333"/>
      <c r="I3992" s="333"/>
      <c r="J3992" s="333"/>
      <c r="K3992" s="496"/>
    </row>
    <row r="3993" spans="1:11" x14ac:dyDescent="0.35">
      <c r="A3993" s="339"/>
      <c r="B3993" s="340"/>
      <c r="C3993" s="340"/>
      <c r="D3993" s="340"/>
      <c r="E3993" s="340"/>
      <c r="F3993" s="340"/>
      <c r="G3993" s="340"/>
      <c r="H3993" s="340"/>
      <c r="I3993" s="340"/>
      <c r="J3993" s="340"/>
      <c r="K3993" s="497"/>
    </row>
    <row r="3994" spans="1:11" x14ac:dyDescent="0.35">
      <c r="A3994" s="332"/>
      <c r="B3994" s="333"/>
      <c r="C3994" s="333"/>
      <c r="D3994" s="333"/>
      <c r="E3994" s="333"/>
      <c r="F3994" s="333"/>
      <c r="G3994" s="333"/>
      <c r="H3994" s="333"/>
      <c r="I3994" s="333"/>
      <c r="J3994" s="333"/>
      <c r="K3994" s="496"/>
    </row>
    <row r="3995" spans="1:11" x14ac:dyDescent="0.35">
      <c r="A3995" s="339"/>
      <c r="B3995" s="340"/>
      <c r="C3995" s="340"/>
      <c r="D3995" s="340"/>
      <c r="E3995" s="340"/>
      <c r="F3995" s="340"/>
      <c r="G3995" s="340"/>
      <c r="H3995" s="340"/>
      <c r="I3995" s="340"/>
      <c r="J3995" s="340"/>
      <c r="K3995" s="497"/>
    </row>
    <row r="3996" spans="1:11" x14ac:dyDescent="0.35">
      <c r="A3996" s="332"/>
      <c r="B3996" s="333"/>
      <c r="C3996" s="333"/>
      <c r="D3996" s="333"/>
      <c r="E3996" s="333"/>
      <c r="F3996" s="333"/>
      <c r="G3996" s="333"/>
      <c r="H3996" s="333"/>
      <c r="I3996" s="333"/>
      <c r="J3996" s="333"/>
      <c r="K3996" s="496"/>
    </row>
    <row r="3997" spans="1:11" x14ac:dyDescent="0.35">
      <c r="A3997" s="339"/>
      <c r="B3997" s="340"/>
      <c r="C3997" s="340"/>
      <c r="D3997" s="340"/>
      <c r="E3997" s="340"/>
      <c r="F3997" s="340"/>
      <c r="G3997" s="340"/>
      <c r="H3997" s="340"/>
      <c r="I3997" s="340"/>
      <c r="J3997" s="340"/>
      <c r="K3997" s="497"/>
    </row>
    <row r="3998" spans="1:11" x14ac:dyDescent="0.35">
      <c r="A3998" s="332"/>
      <c r="B3998" s="333"/>
      <c r="C3998" s="333"/>
      <c r="D3998" s="333"/>
      <c r="E3998" s="333"/>
      <c r="F3998" s="333"/>
      <c r="G3998" s="333"/>
      <c r="H3998" s="333"/>
      <c r="I3998" s="333"/>
      <c r="J3998" s="333"/>
      <c r="K3998" s="496"/>
    </row>
    <row r="3999" spans="1:11" x14ac:dyDescent="0.35">
      <c r="A3999" s="339"/>
      <c r="B3999" s="340"/>
      <c r="C3999" s="340"/>
      <c r="D3999" s="340"/>
      <c r="E3999" s="340"/>
      <c r="F3999" s="340"/>
      <c r="G3999" s="340"/>
      <c r="H3999" s="340"/>
      <c r="I3999" s="340"/>
      <c r="J3999" s="340"/>
      <c r="K3999" s="497"/>
    </row>
    <row r="4000" spans="1:11" x14ac:dyDescent="0.35">
      <c r="A4000" s="332"/>
      <c r="B4000" s="333"/>
      <c r="C4000" s="333"/>
      <c r="D4000" s="333"/>
      <c r="E4000" s="333"/>
      <c r="F4000" s="333"/>
      <c r="G4000" s="333"/>
      <c r="H4000" s="333"/>
      <c r="I4000" s="333"/>
      <c r="J4000" s="333"/>
      <c r="K4000" s="496"/>
    </row>
    <row r="4001" spans="1:11" x14ac:dyDescent="0.35">
      <c r="A4001" s="339"/>
      <c r="B4001" s="340"/>
      <c r="C4001" s="340"/>
      <c r="D4001" s="340"/>
      <c r="E4001" s="340"/>
      <c r="F4001" s="340"/>
      <c r="G4001" s="340"/>
      <c r="H4001" s="340"/>
      <c r="I4001" s="340"/>
      <c r="J4001" s="340"/>
      <c r="K4001" s="497"/>
    </row>
    <row r="4002" spans="1:11" x14ac:dyDescent="0.35">
      <c r="A4002" s="332"/>
      <c r="B4002" s="333"/>
      <c r="C4002" s="333"/>
      <c r="D4002" s="333"/>
      <c r="E4002" s="333"/>
      <c r="F4002" s="333"/>
      <c r="G4002" s="333"/>
      <c r="H4002" s="333"/>
      <c r="I4002" s="333"/>
      <c r="J4002" s="333"/>
      <c r="K4002" s="496"/>
    </row>
    <row r="4003" spans="1:11" x14ac:dyDescent="0.35">
      <c r="A4003" s="339"/>
      <c r="B4003" s="340"/>
      <c r="C4003" s="340"/>
      <c r="D4003" s="340"/>
      <c r="E4003" s="340"/>
      <c r="F4003" s="340"/>
      <c r="G4003" s="340"/>
      <c r="H4003" s="340"/>
      <c r="I4003" s="340"/>
      <c r="J4003" s="340"/>
      <c r="K4003" s="497"/>
    </row>
    <row r="4004" spans="1:11" x14ac:dyDescent="0.35">
      <c r="A4004" s="332"/>
      <c r="B4004" s="333"/>
      <c r="C4004" s="333"/>
      <c r="D4004" s="333"/>
      <c r="E4004" s="333"/>
      <c r="F4004" s="333"/>
      <c r="G4004" s="333"/>
      <c r="H4004" s="333"/>
      <c r="I4004" s="333"/>
      <c r="J4004" s="333"/>
      <c r="K4004" s="496"/>
    </row>
    <row r="4005" spans="1:11" x14ac:dyDescent="0.35">
      <c r="A4005" s="339"/>
      <c r="B4005" s="340"/>
      <c r="C4005" s="340"/>
      <c r="D4005" s="340"/>
      <c r="E4005" s="340"/>
      <c r="F4005" s="340"/>
      <c r="G4005" s="340"/>
      <c r="H4005" s="340"/>
      <c r="I4005" s="340"/>
      <c r="J4005" s="340"/>
      <c r="K4005" s="497"/>
    </row>
    <row r="4006" spans="1:11" x14ac:dyDescent="0.35">
      <c r="A4006" s="332"/>
      <c r="B4006" s="333"/>
      <c r="C4006" s="333"/>
      <c r="D4006" s="333"/>
      <c r="E4006" s="333"/>
      <c r="F4006" s="333"/>
      <c r="G4006" s="333"/>
      <c r="H4006" s="333"/>
      <c r="I4006" s="333"/>
      <c r="J4006" s="333"/>
      <c r="K4006" s="496"/>
    </row>
    <row r="4007" spans="1:11" x14ac:dyDescent="0.35">
      <c r="A4007" s="339"/>
      <c r="B4007" s="340"/>
      <c r="C4007" s="340"/>
      <c r="D4007" s="340"/>
      <c r="E4007" s="340"/>
      <c r="F4007" s="340"/>
      <c r="G4007" s="340"/>
      <c r="H4007" s="340"/>
      <c r="I4007" s="340"/>
      <c r="J4007" s="340"/>
      <c r="K4007" s="497"/>
    </row>
    <row r="4008" spans="1:11" x14ac:dyDescent="0.35">
      <c r="A4008" s="332"/>
      <c r="B4008" s="333"/>
      <c r="C4008" s="333"/>
      <c r="D4008" s="333"/>
      <c r="E4008" s="333"/>
      <c r="F4008" s="333"/>
      <c r="G4008" s="333"/>
      <c r="H4008" s="333"/>
      <c r="I4008" s="333"/>
      <c r="J4008" s="333"/>
      <c r="K4008" s="496"/>
    </row>
    <row r="4009" spans="1:11" x14ac:dyDescent="0.35">
      <c r="A4009" s="339"/>
      <c r="B4009" s="340"/>
      <c r="C4009" s="340"/>
      <c r="D4009" s="340"/>
      <c r="E4009" s="340"/>
      <c r="F4009" s="340"/>
      <c r="G4009" s="340"/>
      <c r="H4009" s="340"/>
      <c r="I4009" s="340"/>
      <c r="J4009" s="340"/>
      <c r="K4009" s="497"/>
    </row>
    <row r="4010" spans="1:11" x14ac:dyDescent="0.35">
      <c r="A4010" s="332"/>
      <c r="B4010" s="333"/>
      <c r="C4010" s="333"/>
      <c r="D4010" s="333"/>
      <c r="E4010" s="333"/>
      <c r="F4010" s="333"/>
      <c r="G4010" s="333"/>
      <c r="H4010" s="333"/>
      <c r="I4010" s="333"/>
      <c r="J4010" s="333"/>
      <c r="K4010" s="496"/>
    </row>
    <row r="4011" spans="1:11" x14ac:dyDescent="0.35">
      <c r="A4011" s="339"/>
      <c r="B4011" s="340"/>
      <c r="C4011" s="340"/>
      <c r="D4011" s="340"/>
      <c r="E4011" s="340"/>
      <c r="F4011" s="340"/>
      <c r="G4011" s="340"/>
      <c r="H4011" s="340"/>
      <c r="I4011" s="340"/>
      <c r="J4011" s="340"/>
      <c r="K4011" s="497"/>
    </row>
    <row r="4012" spans="1:11" x14ac:dyDescent="0.35">
      <c r="A4012" s="332"/>
      <c r="B4012" s="333"/>
      <c r="C4012" s="333"/>
      <c r="D4012" s="333"/>
      <c r="E4012" s="333"/>
      <c r="F4012" s="333"/>
      <c r="G4012" s="333"/>
      <c r="H4012" s="333"/>
      <c r="I4012" s="333"/>
      <c r="J4012" s="333"/>
      <c r="K4012" s="496"/>
    </row>
    <row r="4013" spans="1:11" x14ac:dyDescent="0.35">
      <c r="A4013" s="339"/>
      <c r="B4013" s="340"/>
      <c r="C4013" s="340"/>
      <c r="D4013" s="340"/>
      <c r="E4013" s="340"/>
      <c r="F4013" s="340"/>
      <c r="G4013" s="340"/>
      <c r="H4013" s="340"/>
      <c r="I4013" s="340"/>
      <c r="J4013" s="340"/>
      <c r="K4013" s="497"/>
    </row>
    <row r="4014" spans="1:11" x14ac:dyDescent="0.35">
      <c r="A4014" s="332"/>
      <c r="B4014" s="333"/>
      <c r="C4014" s="333"/>
      <c r="D4014" s="333"/>
      <c r="E4014" s="333"/>
      <c r="F4014" s="333"/>
      <c r="G4014" s="333"/>
      <c r="H4014" s="333"/>
      <c r="I4014" s="333"/>
      <c r="J4014" s="333"/>
      <c r="K4014" s="496"/>
    </row>
    <row r="4015" spans="1:11" x14ac:dyDescent="0.35">
      <c r="A4015" s="339"/>
      <c r="B4015" s="340"/>
      <c r="C4015" s="340"/>
      <c r="D4015" s="340"/>
      <c r="E4015" s="340"/>
      <c r="F4015" s="340"/>
      <c r="G4015" s="340"/>
      <c r="H4015" s="340"/>
      <c r="I4015" s="340"/>
      <c r="J4015" s="340"/>
      <c r="K4015" s="497"/>
    </row>
    <row r="4016" spans="1:11" x14ac:dyDescent="0.35">
      <c r="A4016" s="332"/>
      <c r="B4016" s="333"/>
      <c r="C4016" s="333"/>
      <c r="D4016" s="333"/>
      <c r="E4016" s="333"/>
      <c r="F4016" s="333"/>
      <c r="G4016" s="333"/>
      <c r="H4016" s="333"/>
      <c r="I4016" s="333"/>
      <c r="J4016" s="333"/>
      <c r="K4016" s="496"/>
    </row>
    <row r="4017" spans="1:11" x14ac:dyDescent="0.35">
      <c r="A4017" s="339"/>
      <c r="B4017" s="340"/>
      <c r="C4017" s="340"/>
      <c r="D4017" s="340"/>
      <c r="E4017" s="340"/>
      <c r="F4017" s="340"/>
      <c r="G4017" s="340"/>
      <c r="H4017" s="340"/>
      <c r="I4017" s="340"/>
      <c r="J4017" s="340"/>
      <c r="K4017" s="497"/>
    </row>
    <row r="4018" spans="1:11" x14ac:dyDescent="0.35">
      <c r="A4018" s="332"/>
      <c r="B4018" s="333"/>
      <c r="C4018" s="333"/>
      <c r="D4018" s="333"/>
      <c r="E4018" s="333"/>
      <c r="F4018" s="333"/>
      <c r="G4018" s="333"/>
      <c r="H4018" s="333"/>
      <c r="I4018" s="333"/>
      <c r="J4018" s="333"/>
      <c r="K4018" s="496"/>
    </row>
    <row r="4019" spans="1:11" x14ac:dyDescent="0.35">
      <c r="A4019" s="339"/>
      <c r="B4019" s="340"/>
      <c r="C4019" s="340"/>
      <c r="D4019" s="340"/>
      <c r="E4019" s="340"/>
      <c r="F4019" s="340"/>
      <c r="G4019" s="340"/>
      <c r="H4019" s="340"/>
      <c r="I4019" s="340"/>
      <c r="J4019" s="340"/>
      <c r="K4019" s="497"/>
    </row>
    <row r="4020" spans="1:11" x14ac:dyDescent="0.35">
      <c r="A4020" s="332"/>
      <c r="B4020" s="333"/>
      <c r="C4020" s="333"/>
      <c r="D4020" s="333"/>
      <c r="E4020" s="333"/>
      <c r="F4020" s="333"/>
      <c r="G4020" s="333"/>
      <c r="H4020" s="333"/>
      <c r="I4020" s="333"/>
      <c r="J4020" s="333"/>
      <c r="K4020" s="496"/>
    </row>
    <row r="4021" spans="1:11" x14ac:dyDescent="0.35">
      <c r="A4021" s="339"/>
      <c r="B4021" s="340"/>
      <c r="C4021" s="340"/>
      <c r="D4021" s="340"/>
      <c r="E4021" s="340"/>
      <c r="F4021" s="340"/>
      <c r="G4021" s="340"/>
      <c r="H4021" s="340"/>
      <c r="I4021" s="340"/>
      <c r="J4021" s="340"/>
      <c r="K4021" s="497"/>
    </row>
    <row r="4022" spans="1:11" x14ac:dyDescent="0.35">
      <c r="A4022" s="332"/>
      <c r="B4022" s="333"/>
      <c r="C4022" s="333"/>
      <c r="D4022" s="333"/>
      <c r="E4022" s="333"/>
      <c r="F4022" s="333"/>
      <c r="G4022" s="333"/>
      <c r="H4022" s="333"/>
      <c r="I4022" s="333"/>
      <c r="J4022" s="333"/>
      <c r="K4022" s="496"/>
    </row>
    <row r="4023" spans="1:11" x14ac:dyDescent="0.35">
      <c r="A4023" s="339"/>
      <c r="B4023" s="340"/>
      <c r="C4023" s="340"/>
      <c r="D4023" s="340"/>
      <c r="E4023" s="340"/>
      <c r="F4023" s="340"/>
      <c r="G4023" s="340"/>
      <c r="H4023" s="340"/>
      <c r="I4023" s="340"/>
      <c r="J4023" s="340"/>
      <c r="K4023" s="497"/>
    </row>
    <row r="4024" spans="1:11" x14ac:dyDescent="0.35">
      <c r="A4024" s="332"/>
      <c r="B4024" s="333"/>
      <c r="C4024" s="333"/>
      <c r="D4024" s="333"/>
      <c r="E4024" s="333"/>
      <c r="F4024" s="333"/>
      <c r="G4024" s="333"/>
      <c r="H4024" s="333"/>
      <c r="I4024" s="333"/>
      <c r="J4024" s="333"/>
      <c r="K4024" s="496"/>
    </row>
    <row r="4025" spans="1:11" x14ac:dyDescent="0.35">
      <c r="A4025" s="339"/>
      <c r="B4025" s="340"/>
      <c r="C4025" s="340"/>
      <c r="D4025" s="340"/>
      <c r="E4025" s="340"/>
      <c r="F4025" s="340"/>
      <c r="G4025" s="340"/>
      <c r="H4025" s="340"/>
      <c r="I4025" s="340"/>
      <c r="J4025" s="340"/>
      <c r="K4025" s="497"/>
    </row>
    <row r="4026" spans="1:11" x14ac:dyDescent="0.35">
      <c r="A4026" s="332"/>
      <c r="B4026" s="333"/>
      <c r="C4026" s="333"/>
      <c r="D4026" s="333"/>
      <c r="E4026" s="333"/>
      <c r="F4026" s="333"/>
      <c r="G4026" s="333"/>
      <c r="H4026" s="333"/>
      <c r="I4026" s="333"/>
      <c r="J4026" s="333"/>
      <c r="K4026" s="496"/>
    </row>
    <row r="4027" spans="1:11" x14ac:dyDescent="0.35">
      <c r="A4027" s="339"/>
      <c r="B4027" s="340"/>
      <c r="C4027" s="340"/>
      <c r="D4027" s="340"/>
      <c r="E4027" s="340"/>
      <c r="F4027" s="340"/>
      <c r="G4027" s="340"/>
      <c r="H4027" s="340"/>
      <c r="I4027" s="340"/>
      <c r="J4027" s="340"/>
      <c r="K4027" s="497"/>
    </row>
    <row r="4028" spans="1:11" x14ac:dyDescent="0.35">
      <c r="A4028" s="332"/>
      <c r="B4028" s="333"/>
      <c r="C4028" s="333"/>
      <c r="D4028" s="333"/>
      <c r="E4028" s="333"/>
      <c r="F4028" s="333"/>
      <c r="G4028" s="333"/>
      <c r="H4028" s="333"/>
      <c r="I4028" s="333"/>
      <c r="J4028" s="333"/>
      <c r="K4028" s="496"/>
    </row>
    <row r="4029" spans="1:11" x14ac:dyDescent="0.35">
      <c r="A4029" s="339"/>
      <c r="B4029" s="340"/>
      <c r="C4029" s="340"/>
      <c r="D4029" s="340"/>
      <c r="E4029" s="340"/>
      <c r="F4029" s="340"/>
      <c r="G4029" s="340"/>
      <c r="H4029" s="340"/>
      <c r="I4029" s="340"/>
      <c r="J4029" s="340"/>
      <c r="K4029" s="497"/>
    </row>
    <row r="4030" spans="1:11" x14ac:dyDescent="0.35">
      <c r="A4030" s="332"/>
      <c r="B4030" s="333"/>
      <c r="C4030" s="333"/>
      <c r="D4030" s="333"/>
      <c r="E4030" s="333"/>
      <c r="F4030" s="333"/>
      <c r="G4030" s="333"/>
      <c r="H4030" s="333"/>
      <c r="I4030" s="333"/>
      <c r="J4030" s="333"/>
      <c r="K4030" s="496"/>
    </row>
    <row r="4031" spans="1:11" x14ac:dyDescent="0.35">
      <c r="A4031" s="339"/>
      <c r="B4031" s="340"/>
      <c r="C4031" s="340"/>
      <c r="D4031" s="340"/>
      <c r="E4031" s="340"/>
      <c r="F4031" s="340"/>
      <c r="G4031" s="340"/>
      <c r="H4031" s="340"/>
      <c r="I4031" s="340"/>
      <c r="J4031" s="340"/>
      <c r="K4031" s="497"/>
    </row>
    <row r="4032" spans="1:11" x14ac:dyDescent="0.35">
      <c r="A4032" s="332"/>
      <c r="B4032" s="333"/>
      <c r="C4032" s="333"/>
      <c r="D4032" s="333"/>
      <c r="E4032" s="333"/>
      <c r="F4032" s="333"/>
      <c r="G4032" s="333"/>
      <c r="H4032" s="333"/>
      <c r="I4032" s="333"/>
      <c r="J4032" s="333"/>
      <c r="K4032" s="496"/>
    </row>
    <row r="4033" spans="1:11" x14ac:dyDescent="0.35">
      <c r="A4033" s="339"/>
      <c r="B4033" s="340"/>
      <c r="C4033" s="340"/>
      <c r="D4033" s="340"/>
      <c r="E4033" s="340"/>
      <c r="F4033" s="340"/>
      <c r="G4033" s="340"/>
      <c r="H4033" s="340"/>
      <c r="I4033" s="340"/>
      <c r="J4033" s="340"/>
      <c r="K4033" s="497"/>
    </row>
    <row r="4034" spans="1:11" x14ac:dyDescent="0.35">
      <c r="A4034" s="332"/>
      <c r="B4034" s="333"/>
      <c r="C4034" s="333"/>
      <c r="D4034" s="333"/>
      <c r="E4034" s="333"/>
      <c r="F4034" s="333"/>
      <c r="G4034" s="333"/>
      <c r="H4034" s="333"/>
      <c r="I4034" s="333"/>
      <c r="J4034" s="333"/>
      <c r="K4034" s="496"/>
    </row>
    <row r="4035" spans="1:11" x14ac:dyDescent="0.35">
      <c r="A4035" s="339"/>
      <c r="B4035" s="340"/>
      <c r="C4035" s="340"/>
      <c r="D4035" s="340"/>
      <c r="E4035" s="340"/>
      <c r="F4035" s="340"/>
      <c r="G4035" s="340"/>
      <c r="H4035" s="340"/>
      <c r="I4035" s="340"/>
      <c r="J4035" s="340"/>
      <c r="K4035" s="497"/>
    </row>
    <row r="4036" spans="1:11" x14ac:dyDescent="0.35">
      <c r="A4036" s="332"/>
      <c r="B4036" s="333"/>
      <c r="C4036" s="333"/>
      <c r="D4036" s="333"/>
      <c r="E4036" s="333"/>
      <c r="F4036" s="333"/>
      <c r="G4036" s="333"/>
      <c r="H4036" s="333"/>
      <c r="I4036" s="333"/>
      <c r="J4036" s="333"/>
      <c r="K4036" s="496"/>
    </row>
    <row r="4037" spans="1:11" x14ac:dyDescent="0.35">
      <c r="A4037" s="339"/>
      <c r="B4037" s="340"/>
      <c r="C4037" s="340"/>
      <c r="D4037" s="340"/>
      <c r="E4037" s="340"/>
      <c r="F4037" s="340"/>
      <c r="G4037" s="340"/>
      <c r="H4037" s="340"/>
      <c r="I4037" s="340"/>
      <c r="J4037" s="340"/>
      <c r="K4037" s="497"/>
    </row>
    <row r="4038" spans="1:11" x14ac:dyDescent="0.35">
      <c r="A4038" s="332"/>
      <c r="B4038" s="333"/>
      <c r="C4038" s="333"/>
      <c r="D4038" s="333"/>
      <c r="E4038" s="333"/>
      <c r="F4038" s="333"/>
      <c r="G4038" s="333"/>
      <c r="H4038" s="333"/>
      <c r="I4038" s="333"/>
      <c r="J4038" s="333"/>
      <c r="K4038" s="496"/>
    </row>
    <row r="4039" spans="1:11" x14ac:dyDescent="0.35">
      <c r="A4039" s="339"/>
      <c r="B4039" s="340"/>
      <c r="C4039" s="340"/>
      <c r="D4039" s="340"/>
      <c r="E4039" s="340"/>
      <c r="F4039" s="340"/>
      <c r="G4039" s="340"/>
      <c r="H4039" s="340"/>
      <c r="I4039" s="340"/>
      <c r="J4039" s="340"/>
      <c r="K4039" s="497"/>
    </row>
    <row r="4040" spans="1:11" x14ac:dyDescent="0.35">
      <c r="A4040" s="332"/>
      <c r="B4040" s="333"/>
      <c r="C4040" s="333"/>
      <c r="D4040" s="333"/>
      <c r="E4040" s="333"/>
      <c r="F4040" s="333"/>
      <c r="G4040" s="333"/>
      <c r="H4040" s="333"/>
      <c r="I4040" s="333"/>
      <c r="J4040" s="333"/>
      <c r="K4040" s="496"/>
    </row>
    <row r="4041" spans="1:11" x14ac:dyDescent="0.35">
      <c r="A4041" s="339"/>
      <c r="B4041" s="340"/>
      <c r="C4041" s="340"/>
      <c r="D4041" s="340"/>
      <c r="E4041" s="340"/>
      <c r="F4041" s="340"/>
      <c r="G4041" s="340"/>
      <c r="H4041" s="340"/>
      <c r="I4041" s="340"/>
      <c r="J4041" s="340"/>
      <c r="K4041" s="497"/>
    </row>
    <row r="4042" spans="1:11" x14ac:dyDescent="0.35">
      <c r="A4042" s="332"/>
      <c r="B4042" s="333"/>
      <c r="C4042" s="333"/>
      <c r="D4042" s="333"/>
      <c r="E4042" s="333"/>
      <c r="F4042" s="333"/>
      <c r="G4042" s="333"/>
      <c r="H4042" s="333"/>
      <c r="I4042" s="333"/>
      <c r="J4042" s="333"/>
      <c r="K4042" s="496"/>
    </row>
    <row r="4043" spans="1:11" x14ac:dyDescent="0.35">
      <c r="A4043" s="339"/>
      <c r="B4043" s="340"/>
      <c r="C4043" s="340"/>
      <c r="D4043" s="340"/>
      <c r="E4043" s="340"/>
      <c r="F4043" s="340"/>
      <c r="G4043" s="340"/>
      <c r="H4043" s="340"/>
      <c r="I4043" s="340"/>
      <c r="J4043" s="340"/>
      <c r="K4043" s="497"/>
    </row>
    <row r="4044" spans="1:11" x14ac:dyDescent="0.35">
      <c r="A4044" s="332"/>
      <c r="B4044" s="333"/>
      <c r="C4044" s="333"/>
      <c r="D4044" s="333"/>
      <c r="E4044" s="333"/>
      <c r="F4044" s="333"/>
      <c r="G4044" s="333"/>
      <c r="H4044" s="333"/>
      <c r="I4044" s="333"/>
      <c r="J4044" s="333"/>
      <c r="K4044" s="496"/>
    </row>
    <row r="4045" spans="1:11" x14ac:dyDescent="0.35">
      <c r="A4045" s="339"/>
      <c r="B4045" s="340"/>
      <c r="C4045" s="340"/>
      <c r="D4045" s="340"/>
      <c r="E4045" s="340"/>
      <c r="F4045" s="340"/>
      <c r="G4045" s="340"/>
      <c r="H4045" s="340"/>
      <c r="I4045" s="340"/>
      <c r="J4045" s="340"/>
      <c r="K4045" s="497"/>
    </row>
    <row r="4046" spans="1:11" x14ac:dyDescent="0.35">
      <c r="A4046" s="332"/>
      <c r="B4046" s="333"/>
      <c r="C4046" s="333"/>
      <c r="D4046" s="333"/>
      <c r="E4046" s="333"/>
      <c r="F4046" s="333"/>
      <c r="G4046" s="333"/>
      <c r="H4046" s="333"/>
      <c r="I4046" s="333"/>
      <c r="J4046" s="333"/>
      <c r="K4046" s="496"/>
    </row>
    <row r="4047" spans="1:11" x14ac:dyDescent="0.35">
      <c r="A4047" s="339"/>
      <c r="B4047" s="340"/>
      <c r="C4047" s="340"/>
      <c r="D4047" s="340"/>
      <c r="E4047" s="340"/>
      <c r="F4047" s="340"/>
      <c r="G4047" s="340"/>
      <c r="H4047" s="340"/>
      <c r="I4047" s="340"/>
      <c r="J4047" s="340"/>
      <c r="K4047" s="497"/>
    </row>
    <row r="4048" spans="1:11" x14ac:dyDescent="0.35">
      <c r="A4048" s="332"/>
      <c r="B4048" s="333"/>
      <c r="C4048" s="333"/>
      <c r="D4048" s="333"/>
      <c r="E4048" s="333"/>
      <c r="F4048" s="333"/>
      <c r="G4048" s="333"/>
      <c r="H4048" s="333"/>
      <c r="I4048" s="333"/>
      <c r="J4048" s="333"/>
      <c r="K4048" s="496"/>
    </row>
    <row r="4049" spans="1:11" x14ac:dyDescent="0.35">
      <c r="A4049" s="339"/>
      <c r="B4049" s="340"/>
      <c r="C4049" s="340"/>
      <c r="D4049" s="340"/>
      <c r="E4049" s="340"/>
      <c r="F4049" s="340"/>
      <c r="G4049" s="340"/>
      <c r="H4049" s="340"/>
      <c r="I4049" s="340"/>
      <c r="J4049" s="340"/>
      <c r="K4049" s="497"/>
    </row>
    <row r="4050" spans="1:11" x14ac:dyDescent="0.35">
      <c r="A4050" s="332"/>
      <c r="B4050" s="333"/>
      <c r="C4050" s="333"/>
      <c r="D4050" s="333"/>
      <c r="E4050" s="333"/>
      <c r="F4050" s="333"/>
      <c r="G4050" s="333"/>
      <c r="H4050" s="333"/>
      <c r="I4050" s="333"/>
      <c r="J4050" s="333"/>
      <c r="K4050" s="496"/>
    </row>
    <row r="4051" spans="1:11" x14ac:dyDescent="0.35">
      <c r="A4051" s="339"/>
      <c r="B4051" s="340"/>
      <c r="C4051" s="340"/>
      <c r="D4051" s="340"/>
      <c r="E4051" s="340"/>
      <c r="F4051" s="340"/>
      <c r="G4051" s="340"/>
      <c r="H4051" s="340"/>
      <c r="I4051" s="340"/>
      <c r="J4051" s="340"/>
      <c r="K4051" s="497"/>
    </row>
    <row r="4052" spans="1:11" x14ac:dyDescent="0.35">
      <c r="A4052" s="332"/>
      <c r="B4052" s="333"/>
      <c r="C4052" s="333"/>
      <c r="D4052" s="333"/>
      <c r="E4052" s="333"/>
      <c r="F4052" s="333"/>
      <c r="G4052" s="333"/>
      <c r="H4052" s="333"/>
      <c r="I4052" s="333"/>
      <c r="J4052" s="333"/>
      <c r="K4052" s="496"/>
    </row>
    <row r="4053" spans="1:11" x14ac:dyDescent="0.35">
      <c r="A4053" s="339"/>
      <c r="B4053" s="340"/>
      <c r="C4053" s="340"/>
      <c r="D4053" s="340"/>
      <c r="E4053" s="340"/>
      <c r="F4053" s="340"/>
      <c r="G4053" s="340"/>
      <c r="H4053" s="340"/>
      <c r="I4053" s="340"/>
      <c r="J4053" s="340"/>
      <c r="K4053" s="497"/>
    </row>
    <row r="4054" spans="1:11" x14ac:dyDescent="0.35">
      <c r="A4054" s="332"/>
      <c r="B4054" s="333"/>
      <c r="C4054" s="333"/>
      <c r="D4054" s="333"/>
      <c r="E4054" s="333"/>
      <c r="F4054" s="333"/>
      <c r="G4054" s="333"/>
      <c r="H4054" s="333"/>
      <c r="I4054" s="333"/>
      <c r="J4054" s="333"/>
      <c r="K4054" s="496"/>
    </row>
    <row r="4055" spans="1:11" x14ac:dyDescent="0.35">
      <c r="A4055" s="339"/>
      <c r="B4055" s="340"/>
      <c r="C4055" s="340"/>
      <c r="D4055" s="340"/>
      <c r="E4055" s="340"/>
      <c r="F4055" s="340"/>
      <c r="G4055" s="340"/>
      <c r="H4055" s="340"/>
      <c r="I4055" s="340"/>
      <c r="J4055" s="340"/>
      <c r="K4055" s="497"/>
    </row>
    <row r="4056" spans="1:11" x14ac:dyDescent="0.35">
      <c r="A4056" s="332"/>
      <c r="B4056" s="333"/>
      <c r="C4056" s="333"/>
      <c r="D4056" s="333"/>
      <c r="E4056" s="333"/>
      <c r="F4056" s="333"/>
      <c r="G4056" s="333"/>
      <c r="H4056" s="333"/>
      <c r="I4056" s="333"/>
      <c r="J4056" s="333"/>
      <c r="K4056" s="496"/>
    </row>
    <row r="4057" spans="1:11" x14ac:dyDescent="0.35">
      <c r="A4057" s="339"/>
      <c r="B4057" s="340"/>
      <c r="C4057" s="340"/>
      <c r="D4057" s="340"/>
      <c r="E4057" s="340"/>
      <c r="F4057" s="340"/>
      <c r="G4057" s="340"/>
      <c r="H4057" s="340"/>
      <c r="I4057" s="340"/>
      <c r="J4057" s="340"/>
      <c r="K4057" s="497"/>
    </row>
    <row r="4058" spans="1:11" x14ac:dyDescent="0.35">
      <c r="A4058" s="332"/>
      <c r="B4058" s="333"/>
      <c r="C4058" s="333"/>
      <c r="D4058" s="333"/>
      <c r="E4058" s="333"/>
      <c r="F4058" s="333"/>
      <c r="G4058" s="333"/>
      <c r="H4058" s="333"/>
      <c r="I4058" s="333"/>
      <c r="J4058" s="333"/>
      <c r="K4058" s="496"/>
    </row>
    <row r="4059" spans="1:11" x14ac:dyDescent="0.35">
      <c r="A4059" s="339"/>
      <c r="B4059" s="340"/>
      <c r="C4059" s="340"/>
      <c r="D4059" s="340"/>
      <c r="E4059" s="340"/>
      <c r="F4059" s="340"/>
      <c r="G4059" s="340"/>
      <c r="H4059" s="340"/>
      <c r="I4059" s="340"/>
      <c r="J4059" s="340"/>
      <c r="K4059" s="497"/>
    </row>
    <row r="4060" spans="1:11" x14ac:dyDescent="0.35">
      <c r="A4060" s="332"/>
      <c r="B4060" s="333"/>
      <c r="C4060" s="333"/>
      <c r="D4060" s="333"/>
      <c r="E4060" s="333"/>
      <c r="F4060" s="333"/>
      <c r="G4060" s="333"/>
      <c r="H4060" s="333"/>
      <c r="I4060" s="333"/>
      <c r="J4060" s="333"/>
      <c r="K4060" s="496"/>
    </row>
    <row r="4061" spans="1:11" x14ac:dyDescent="0.35">
      <c r="A4061" s="339"/>
      <c r="B4061" s="340"/>
      <c r="C4061" s="340"/>
      <c r="D4061" s="340"/>
      <c r="E4061" s="340"/>
      <c r="F4061" s="340"/>
      <c r="G4061" s="340"/>
      <c r="H4061" s="340"/>
      <c r="I4061" s="340"/>
      <c r="J4061" s="340"/>
      <c r="K4061" s="497"/>
    </row>
    <row r="4062" spans="1:11" x14ac:dyDescent="0.35">
      <c r="A4062" s="332"/>
      <c r="B4062" s="333"/>
      <c r="C4062" s="333"/>
      <c r="D4062" s="333"/>
      <c r="E4062" s="333"/>
      <c r="F4062" s="333"/>
      <c r="G4062" s="333"/>
      <c r="H4062" s="333"/>
      <c r="I4062" s="333"/>
      <c r="J4062" s="333"/>
      <c r="K4062" s="496"/>
    </row>
    <row r="4063" spans="1:11" x14ac:dyDescent="0.35">
      <c r="A4063" s="339"/>
      <c r="B4063" s="340"/>
      <c r="C4063" s="340"/>
      <c r="D4063" s="340"/>
      <c r="E4063" s="340"/>
      <c r="F4063" s="340"/>
      <c r="G4063" s="340"/>
      <c r="H4063" s="340"/>
      <c r="I4063" s="340"/>
      <c r="J4063" s="340"/>
      <c r="K4063" s="497"/>
    </row>
    <row r="4064" spans="1:11" x14ac:dyDescent="0.35">
      <c r="A4064" s="332"/>
      <c r="B4064" s="333"/>
      <c r="C4064" s="333"/>
      <c r="D4064" s="333"/>
      <c r="E4064" s="333"/>
      <c r="F4064" s="333"/>
      <c r="G4064" s="333"/>
      <c r="H4064" s="333"/>
      <c r="I4064" s="333"/>
      <c r="J4064" s="333"/>
      <c r="K4064" s="496"/>
    </row>
    <row r="4065" spans="1:11" x14ac:dyDescent="0.35">
      <c r="A4065" s="339"/>
      <c r="B4065" s="340"/>
      <c r="C4065" s="340"/>
      <c r="D4065" s="340"/>
      <c r="E4065" s="340"/>
      <c r="F4065" s="340"/>
      <c r="G4065" s="340"/>
      <c r="H4065" s="340"/>
      <c r="I4065" s="340"/>
      <c r="J4065" s="340"/>
      <c r="K4065" s="497"/>
    </row>
    <row r="4066" spans="1:11" x14ac:dyDescent="0.35">
      <c r="A4066" s="332"/>
      <c r="B4066" s="333"/>
      <c r="C4066" s="333"/>
      <c r="D4066" s="333"/>
      <c r="E4066" s="333"/>
      <c r="F4066" s="333"/>
      <c r="G4066" s="333"/>
      <c r="H4066" s="333"/>
      <c r="I4066" s="333"/>
      <c r="J4066" s="333"/>
      <c r="K4066" s="496"/>
    </row>
    <row r="4067" spans="1:11" x14ac:dyDescent="0.35">
      <c r="A4067" s="339"/>
      <c r="B4067" s="340"/>
      <c r="C4067" s="340"/>
      <c r="D4067" s="340"/>
      <c r="E4067" s="340"/>
      <c r="F4067" s="340"/>
      <c r="G4067" s="340"/>
      <c r="H4067" s="340"/>
      <c r="I4067" s="340"/>
      <c r="J4067" s="340"/>
      <c r="K4067" s="497"/>
    </row>
    <row r="4068" spans="1:11" x14ac:dyDescent="0.35">
      <c r="A4068" s="332"/>
      <c r="B4068" s="333"/>
      <c r="C4068" s="333"/>
      <c r="D4068" s="333"/>
      <c r="E4068" s="333"/>
      <c r="F4068" s="333"/>
      <c r="G4068" s="333"/>
      <c r="H4068" s="333"/>
      <c r="I4068" s="333"/>
      <c r="J4068" s="333"/>
      <c r="K4068" s="496"/>
    </row>
    <row r="4069" spans="1:11" x14ac:dyDescent="0.35">
      <c r="A4069" s="339"/>
      <c r="B4069" s="340"/>
      <c r="C4069" s="340"/>
      <c r="D4069" s="340"/>
      <c r="E4069" s="340"/>
      <c r="F4069" s="340"/>
      <c r="G4069" s="340"/>
      <c r="H4069" s="340"/>
      <c r="I4069" s="340"/>
      <c r="J4069" s="340"/>
      <c r="K4069" s="497"/>
    </row>
    <row r="4070" spans="1:11" x14ac:dyDescent="0.35">
      <c r="A4070" s="332"/>
      <c r="B4070" s="333"/>
      <c r="C4070" s="333"/>
      <c r="D4070" s="333"/>
      <c r="E4070" s="333"/>
      <c r="F4070" s="333"/>
      <c r="G4070" s="333"/>
      <c r="H4070" s="333"/>
      <c r="I4070" s="333"/>
      <c r="J4070" s="333"/>
      <c r="K4070" s="496"/>
    </row>
    <row r="4071" spans="1:11" x14ac:dyDescent="0.35">
      <c r="A4071" s="339"/>
      <c r="B4071" s="340"/>
      <c r="C4071" s="340"/>
      <c r="D4071" s="340"/>
      <c r="E4071" s="340"/>
      <c r="F4071" s="340"/>
      <c r="G4071" s="340"/>
      <c r="H4071" s="340"/>
      <c r="I4071" s="340"/>
      <c r="J4071" s="340"/>
      <c r="K4071" s="497"/>
    </row>
    <row r="4072" spans="1:11" x14ac:dyDescent="0.35">
      <c r="A4072" s="332"/>
      <c r="B4072" s="333"/>
      <c r="C4072" s="333"/>
      <c r="D4072" s="333"/>
      <c r="E4072" s="333"/>
      <c r="F4072" s="333"/>
      <c r="G4072" s="333"/>
      <c r="H4072" s="333"/>
      <c r="I4072" s="333"/>
      <c r="J4072" s="333"/>
      <c r="K4072" s="496"/>
    </row>
    <row r="4073" spans="1:11" x14ac:dyDescent="0.35">
      <c r="A4073" s="339"/>
      <c r="B4073" s="340"/>
      <c r="C4073" s="340"/>
      <c r="D4073" s="340"/>
      <c r="E4073" s="340"/>
      <c r="F4073" s="340"/>
      <c r="G4073" s="340"/>
      <c r="H4073" s="340"/>
      <c r="I4073" s="340"/>
      <c r="J4073" s="340"/>
      <c r="K4073" s="497"/>
    </row>
    <row r="4074" spans="1:11" x14ac:dyDescent="0.35">
      <c r="A4074" s="332"/>
      <c r="B4074" s="333"/>
      <c r="C4074" s="333"/>
      <c r="D4074" s="333"/>
      <c r="E4074" s="333"/>
      <c r="F4074" s="333"/>
      <c r="G4074" s="333"/>
      <c r="H4074" s="333"/>
      <c r="I4074" s="333"/>
      <c r="J4074" s="333"/>
      <c r="K4074" s="496"/>
    </row>
    <row r="4075" spans="1:11" x14ac:dyDescent="0.35">
      <c r="A4075" s="339"/>
      <c r="B4075" s="340"/>
      <c r="C4075" s="340"/>
      <c r="D4075" s="340"/>
      <c r="E4075" s="340"/>
      <c r="F4075" s="340"/>
      <c r="G4075" s="340"/>
      <c r="H4075" s="340"/>
      <c r="I4075" s="340"/>
      <c r="J4075" s="340"/>
      <c r="K4075" s="497"/>
    </row>
    <row r="4076" spans="1:11" x14ac:dyDescent="0.35">
      <c r="A4076" s="332"/>
      <c r="B4076" s="333"/>
      <c r="C4076" s="333"/>
      <c r="D4076" s="333"/>
      <c r="E4076" s="333"/>
      <c r="F4076" s="333"/>
      <c r="G4076" s="333"/>
      <c r="H4076" s="333"/>
      <c r="I4076" s="333"/>
      <c r="J4076" s="333"/>
      <c r="K4076" s="496"/>
    </row>
    <row r="4077" spans="1:11" x14ac:dyDescent="0.35">
      <c r="A4077" s="339"/>
      <c r="B4077" s="340"/>
      <c r="C4077" s="340"/>
      <c r="D4077" s="340"/>
      <c r="E4077" s="340"/>
      <c r="F4077" s="340"/>
      <c r="G4077" s="340"/>
      <c r="H4077" s="340"/>
      <c r="I4077" s="340"/>
      <c r="J4077" s="340"/>
      <c r="K4077" s="497"/>
    </row>
    <row r="4078" spans="1:11" x14ac:dyDescent="0.35">
      <c r="A4078" s="332"/>
      <c r="B4078" s="333"/>
      <c r="C4078" s="333"/>
      <c r="D4078" s="333"/>
      <c r="E4078" s="333"/>
      <c r="F4078" s="333"/>
      <c r="G4078" s="333"/>
      <c r="H4078" s="333"/>
      <c r="I4078" s="333"/>
      <c r="J4078" s="333"/>
      <c r="K4078" s="496"/>
    </row>
    <row r="4079" spans="1:11" x14ac:dyDescent="0.35">
      <c r="A4079" s="339"/>
      <c r="B4079" s="340"/>
      <c r="C4079" s="340"/>
      <c r="D4079" s="340"/>
      <c r="E4079" s="340"/>
      <c r="F4079" s="340"/>
      <c r="G4079" s="340"/>
      <c r="H4079" s="340"/>
      <c r="I4079" s="340"/>
      <c r="J4079" s="340"/>
      <c r="K4079" s="497"/>
    </row>
    <row r="4080" spans="1:11" x14ac:dyDescent="0.35">
      <c r="A4080" s="332"/>
      <c r="B4080" s="333"/>
      <c r="C4080" s="333"/>
      <c r="D4080" s="333"/>
      <c r="E4080" s="333"/>
      <c r="F4080" s="333"/>
      <c r="G4080" s="333"/>
      <c r="H4080" s="333"/>
      <c r="I4080" s="333"/>
      <c r="J4080" s="333"/>
      <c r="K4080" s="496"/>
    </row>
    <row r="4081" spans="1:11" x14ac:dyDescent="0.35">
      <c r="A4081" s="339"/>
      <c r="B4081" s="340"/>
      <c r="C4081" s="340"/>
      <c r="D4081" s="340"/>
      <c r="E4081" s="340"/>
      <c r="F4081" s="340"/>
      <c r="G4081" s="340"/>
      <c r="H4081" s="340"/>
      <c r="I4081" s="340"/>
      <c r="J4081" s="340"/>
      <c r="K4081" s="497"/>
    </row>
    <row r="4082" spans="1:11" x14ac:dyDescent="0.35">
      <c r="A4082" s="332"/>
      <c r="B4082" s="333"/>
      <c r="C4082" s="333"/>
      <c r="D4082" s="333"/>
      <c r="E4082" s="333"/>
      <c r="F4082" s="333"/>
      <c r="G4082" s="333"/>
      <c r="H4082" s="333"/>
      <c r="I4082" s="333"/>
      <c r="J4082" s="333"/>
      <c r="K4082" s="496"/>
    </row>
    <row r="4083" spans="1:11" x14ac:dyDescent="0.35">
      <c r="A4083" s="339"/>
      <c r="B4083" s="340"/>
      <c r="C4083" s="340"/>
      <c r="D4083" s="340"/>
      <c r="E4083" s="340"/>
      <c r="F4083" s="340"/>
      <c r="G4083" s="340"/>
      <c r="H4083" s="340"/>
      <c r="I4083" s="340"/>
      <c r="J4083" s="340"/>
      <c r="K4083" s="497"/>
    </row>
    <row r="4084" spans="1:11" x14ac:dyDescent="0.35">
      <c r="A4084" s="332"/>
      <c r="B4084" s="333"/>
      <c r="C4084" s="333"/>
      <c r="D4084" s="333"/>
      <c r="E4084" s="333"/>
      <c r="F4084" s="333"/>
      <c r="G4084" s="333"/>
      <c r="H4084" s="333"/>
      <c r="I4084" s="333"/>
      <c r="J4084" s="333"/>
      <c r="K4084" s="496"/>
    </row>
    <row r="4085" spans="1:11" x14ac:dyDescent="0.35">
      <c r="A4085" s="339"/>
      <c r="B4085" s="340"/>
      <c r="C4085" s="340"/>
      <c r="D4085" s="340"/>
      <c r="E4085" s="340"/>
      <c r="F4085" s="340"/>
      <c r="G4085" s="340"/>
      <c r="H4085" s="340"/>
      <c r="I4085" s="340"/>
      <c r="J4085" s="340"/>
      <c r="K4085" s="497"/>
    </row>
    <row r="4086" spans="1:11" x14ac:dyDescent="0.35">
      <c r="A4086" s="332"/>
      <c r="B4086" s="333"/>
      <c r="C4086" s="333"/>
      <c r="D4086" s="333"/>
      <c r="E4086" s="333"/>
      <c r="F4086" s="333"/>
      <c r="G4086" s="333"/>
      <c r="H4086" s="333"/>
      <c r="I4086" s="333"/>
      <c r="J4086" s="333"/>
      <c r="K4086" s="496"/>
    </row>
    <row r="4087" spans="1:11" x14ac:dyDescent="0.35">
      <c r="A4087" s="339"/>
      <c r="B4087" s="340"/>
      <c r="C4087" s="340"/>
      <c r="D4087" s="340"/>
      <c r="E4087" s="340"/>
      <c r="F4087" s="340"/>
      <c r="G4087" s="340"/>
      <c r="H4087" s="340"/>
      <c r="I4087" s="340"/>
      <c r="J4087" s="340"/>
      <c r="K4087" s="497"/>
    </row>
    <row r="4088" spans="1:11" x14ac:dyDescent="0.35">
      <c r="A4088" s="332"/>
      <c r="B4088" s="333"/>
      <c r="C4088" s="333"/>
      <c r="D4088" s="333"/>
      <c r="E4088" s="333"/>
      <c r="F4088" s="333"/>
      <c r="G4088" s="333"/>
      <c r="H4088" s="333"/>
      <c r="I4088" s="333"/>
      <c r="J4088" s="333"/>
      <c r="K4088" s="496"/>
    </row>
    <row r="4089" spans="1:11" x14ac:dyDescent="0.35">
      <c r="A4089" s="339"/>
      <c r="B4089" s="340"/>
      <c r="C4089" s="340"/>
      <c r="D4089" s="340"/>
      <c r="E4089" s="340"/>
      <c r="F4089" s="340"/>
      <c r="G4089" s="340"/>
      <c r="H4089" s="340"/>
      <c r="I4089" s="340"/>
      <c r="J4089" s="340"/>
      <c r="K4089" s="497"/>
    </row>
    <row r="4090" spans="1:11" x14ac:dyDescent="0.35">
      <c r="A4090" s="332"/>
      <c r="B4090" s="333"/>
      <c r="C4090" s="333"/>
      <c r="D4090" s="333"/>
      <c r="E4090" s="333"/>
      <c r="F4090" s="333"/>
      <c r="G4090" s="333"/>
      <c r="H4090" s="333"/>
      <c r="I4090" s="333"/>
      <c r="J4090" s="333"/>
      <c r="K4090" s="496"/>
    </row>
    <row r="4091" spans="1:11" x14ac:dyDescent="0.35">
      <c r="A4091" s="339"/>
      <c r="B4091" s="340"/>
      <c r="C4091" s="340"/>
      <c r="D4091" s="340"/>
      <c r="E4091" s="340"/>
      <c r="F4091" s="340"/>
      <c r="G4091" s="340"/>
      <c r="H4091" s="340"/>
      <c r="I4091" s="340"/>
      <c r="J4091" s="340"/>
      <c r="K4091" s="497"/>
    </row>
    <row r="4092" spans="1:11" x14ac:dyDescent="0.35">
      <c r="A4092" s="332"/>
      <c r="B4092" s="333"/>
      <c r="C4092" s="333"/>
      <c r="D4092" s="333"/>
      <c r="E4092" s="333"/>
      <c r="F4092" s="333"/>
      <c r="G4092" s="333"/>
      <c r="H4092" s="333"/>
      <c r="I4092" s="333"/>
      <c r="J4092" s="333"/>
      <c r="K4092" s="496"/>
    </row>
    <row r="4093" spans="1:11" x14ac:dyDescent="0.35">
      <c r="A4093" s="339"/>
      <c r="B4093" s="340"/>
      <c r="C4093" s="340"/>
      <c r="D4093" s="340"/>
      <c r="E4093" s="340"/>
      <c r="F4093" s="340"/>
      <c r="G4093" s="340"/>
      <c r="H4093" s="340"/>
      <c r="I4093" s="340"/>
      <c r="J4093" s="340"/>
      <c r="K4093" s="497"/>
    </row>
    <row r="4094" spans="1:11" x14ac:dyDescent="0.35">
      <c r="A4094" s="332"/>
      <c r="B4094" s="333"/>
      <c r="C4094" s="333"/>
      <c r="D4094" s="333"/>
      <c r="E4094" s="333"/>
      <c r="F4094" s="333"/>
      <c r="G4094" s="333"/>
      <c r="H4094" s="333"/>
      <c r="I4094" s="333"/>
      <c r="J4094" s="333"/>
      <c r="K4094" s="496"/>
    </row>
    <row r="4095" spans="1:11" x14ac:dyDescent="0.35">
      <c r="A4095" s="339"/>
      <c r="B4095" s="340"/>
      <c r="C4095" s="340"/>
      <c r="D4095" s="340"/>
      <c r="E4095" s="340"/>
      <c r="F4095" s="340"/>
      <c r="G4095" s="340"/>
      <c r="H4095" s="340"/>
      <c r="I4095" s="340"/>
      <c r="J4095" s="340"/>
      <c r="K4095" s="497"/>
    </row>
    <row r="4096" spans="1:11" x14ac:dyDescent="0.35">
      <c r="A4096" s="332"/>
      <c r="B4096" s="333"/>
      <c r="C4096" s="333"/>
      <c r="D4096" s="333"/>
      <c r="E4096" s="333"/>
      <c r="F4096" s="333"/>
      <c r="G4096" s="333"/>
      <c r="H4096" s="333"/>
      <c r="I4096" s="333"/>
      <c r="J4096" s="333"/>
      <c r="K4096" s="496"/>
    </row>
    <row r="4097" spans="1:11" x14ac:dyDescent="0.35">
      <c r="A4097" s="339"/>
      <c r="B4097" s="340"/>
      <c r="C4097" s="340"/>
      <c r="D4097" s="340"/>
      <c r="E4097" s="340"/>
      <c r="F4097" s="340"/>
      <c r="G4097" s="340"/>
      <c r="H4097" s="340"/>
      <c r="I4097" s="340"/>
      <c r="J4097" s="340"/>
      <c r="K4097" s="497"/>
    </row>
    <row r="4098" spans="1:11" x14ac:dyDescent="0.35">
      <c r="A4098" s="332"/>
      <c r="B4098" s="333"/>
      <c r="C4098" s="333"/>
      <c r="D4098" s="333"/>
      <c r="E4098" s="333"/>
      <c r="F4098" s="333"/>
      <c r="G4098" s="333"/>
      <c r="H4098" s="333"/>
      <c r="I4098" s="333"/>
      <c r="J4098" s="333"/>
      <c r="K4098" s="496"/>
    </row>
    <row r="4099" spans="1:11" x14ac:dyDescent="0.35">
      <c r="A4099" s="339"/>
      <c r="B4099" s="340"/>
      <c r="C4099" s="340"/>
      <c r="D4099" s="340"/>
      <c r="E4099" s="340"/>
      <c r="F4099" s="340"/>
      <c r="G4099" s="340"/>
      <c r="H4099" s="340"/>
      <c r="I4099" s="340"/>
      <c r="J4099" s="340"/>
      <c r="K4099" s="497"/>
    </row>
    <row r="4100" spans="1:11" x14ac:dyDescent="0.35">
      <c r="A4100" s="332"/>
      <c r="B4100" s="333"/>
      <c r="C4100" s="333"/>
      <c r="D4100" s="333"/>
      <c r="E4100" s="333"/>
      <c r="F4100" s="333"/>
      <c r="G4100" s="333"/>
      <c r="H4100" s="333"/>
      <c r="I4100" s="333"/>
      <c r="J4100" s="333"/>
      <c r="K4100" s="496"/>
    </row>
    <row r="4101" spans="1:11" x14ac:dyDescent="0.35">
      <c r="A4101" s="339"/>
      <c r="B4101" s="340"/>
      <c r="C4101" s="340"/>
      <c r="D4101" s="340"/>
      <c r="E4101" s="340"/>
      <c r="F4101" s="340"/>
      <c r="G4101" s="340"/>
      <c r="H4101" s="340"/>
      <c r="I4101" s="340"/>
      <c r="J4101" s="340"/>
      <c r="K4101" s="497"/>
    </row>
    <row r="4102" spans="1:11" x14ac:dyDescent="0.35">
      <c r="A4102" s="332"/>
      <c r="B4102" s="333"/>
      <c r="C4102" s="333"/>
      <c r="D4102" s="333"/>
      <c r="E4102" s="333"/>
      <c r="F4102" s="333"/>
      <c r="G4102" s="333"/>
      <c r="H4102" s="333"/>
      <c r="I4102" s="333"/>
      <c r="J4102" s="333"/>
      <c r="K4102" s="496"/>
    </row>
    <row r="4103" spans="1:11" x14ac:dyDescent="0.35">
      <c r="A4103" s="339"/>
      <c r="B4103" s="340"/>
      <c r="C4103" s="340"/>
      <c r="D4103" s="340"/>
      <c r="E4103" s="340"/>
      <c r="F4103" s="340"/>
      <c r="G4103" s="340"/>
      <c r="H4103" s="340"/>
      <c r="I4103" s="340"/>
      <c r="J4103" s="340"/>
      <c r="K4103" s="497"/>
    </row>
    <row r="4104" spans="1:11" x14ac:dyDescent="0.35">
      <c r="A4104" s="332"/>
      <c r="B4104" s="333"/>
      <c r="C4104" s="333"/>
      <c r="D4104" s="333"/>
      <c r="E4104" s="333"/>
      <c r="F4104" s="333"/>
      <c r="G4104" s="333"/>
      <c r="H4104" s="333"/>
      <c r="I4104" s="333"/>
      <c r="J4104" s="333"/>
      <c r="K4104" s="496"/>
    </row>
    <row r="4105" spans="1:11" x14ac:dyDescent="0.35">
      <c r="A4105" s="339"/>
      <c r="B4105" s="340"/>
      <c r="C4105" s="340"/>
      <c r="D4105" s="340"/>
      <c r="E4105" s="340"/>
      <c r="F4105" s="340"/>
      <c r="G4105" s="340"/>
      <c r="H4105" s="340"/>
      <c r="I4105" s="340"/>
      <c r="J4105" s="340"/>
      <c r="K4105" s="497"/>
    </row>
    <row r="4106" spans="1:11" x14ac:dyDescent="0.35">
      <c r="A4106" s="332"/>
      <c r="B4106" s="333"/>
      <c r="C4106" s="333"/>
      <c r="D4106" s="333"/>
      <c r="E4106" s="333"/>
      <c r="F4106" s="333"/>
      <c r="G4106" s="333"/>
      <c r="H4106" s="333"/>
      <c r="I4106" s="333"/>
      <c r="J4106" s="333"/>
      <c r="K4106" s="496"/>
    </row>
    <row r="4107" spans="1:11" x14ac:dyDescent="0.35">
      <c r="A4107" s="339"/>
      <c r="B4107" s="340"/>
      <c r="C4107" s="340"/>
      <c r="D4107" s="340"/>
      <c r="E4107" s="340"/>
      <c r="F4107" s="340"/>
      <c r="G4107" s="340"/>
      <c r="H4107" s="340"/>
      <c r="I4107" s="340"/>
      <c r="J4107" s="340"/>
      <c r="K4107" s="497"/>
    </row>
    <row r="4108" spans="1:11" x14ac:dyDescent="0.35">
      <c r="A4108" s="332"/>
      <c r="B4108" s="333"/>
      <c r="C4108" s="333"/>
      <c r="D4108" s="333"/>
      <c r="E4108" s="333"/>
      <c r="F4108" s="333"/>
      <c r="G4108" s="333"/>
      <c r="H4108" s="333"/>
      <c r="I4108" s="333"/>
      <c r="J4108" s="333"/>
      <c r="K4108" s="496"/>
    </row>
    <row r="4109" spans="1:11" x14ac:dyDescent="0.35">
      <c r="A4109" s="339"/>
      <c r="B4109" s="340"/>
      <c r="C4109" s="340"/>
      <c r="D4109" s="340"/>
      <c r="E4109" s="340"/>
      <c r="F4109" s="340"/>
      <c r="G4109" s="340"/>
      <c r="H4109" s="340"/>
      <c r="I4109" s="340"/>
      <c r="J4109" s="340"/>
      <c r="K4109" s="497"/>
    </row>
    <row r="4110" spans="1:11" x14ac:dyDescent="0.35">
      <c r="A4110" s="332"/>
      <c r="B4110" s="333"/>
      <c r="C4110" s="333"/>
      <c r="D4110" s="333"/>
      <c r="E4110" s="333"/>
      <c r="F4110" s="333"/>
      <c r="G4110" s="333"/>
      <c r="H4110" s="333"/>
      <c r="I4110" s="333"/>
      <c r="J4110" s="333"/>
      <c r="K4110" s="496"/>
    </row>
    <row r="4111" spans="1:11" x14ac:dyDescent="0.35">
      <c r="A4111" s="339"/>
      <c r="B4111" s="340"/>
      <c r="C4111" s="340"/>
      <c r="D4111" s="340"/>
      <c r="E4111" s="340"/>
      <c r="F4111" s="340"/>
      <c r="G4111" s="340"/>
      <c r="H4111" s="340"/>
      <c r="I4111" s="340"/>
      <c r="J4111" s="340"/>
      <c r="K4111" s="497"/>
    </row>
    <row r="4112" spans="1:11" x14ac:dyDescent="0.35">
      <c r="A4112" s="332"/>
      <c r="B4112" s="333"/>
      <c r="C4112" s="333"/>
      <c r="D4112" s="333"/>
      <c r="E4112" s="333"/>
      <c r="F4112" s="333"/>
      <c r="G4112" s="333"/>
      <c r="H4112" s="333"/>
      <c r="I4112" s="333"/>
      <c r="J4112" s="333"/>
      <c r="K4112" s="496"/>
    </row>
    <row r="4113" spans="1:11" x14ac:dyDescent="0.35">
      <c r="A4113" s="339"/>
      <c r="B4113" s="340"/>
      <c r="C4113" s="340"/>
      <c r="D4113" s="340"/>
      <c r="E4113" s="340"/>
      <c r="F4113" s="340"/>
      <c r="G4113" s="340"/>
      <c r="H4113" s="340"/>
      <c r="I4113" s="340"/>
      <c r="J4113" s="340"/>
      <c r="K4113" s="497"/>
    </row>
    <row r="4114" spans="1:11" x14ac:dyDescent="0.35">
      <c r="A4114" s="332"/>
      <c r="B4114" s="333"/>
      <c r="C4114" s="333"/>
      <c r="D4114" s="333"/>
      <c r="E4114" s="333"/>
      <c r="F4114" s="333"/>
      <c r="G4114" s="333"/>
      <c r="H4114" s="333"/>
      <c r="I4114" s="333"/>
      <c r="J4114" s="333"/>
      <c r="K4114" s="496"/>
    </row>
    <row r="4115" spans="1:11" x14ac:dyDescent="0.35">
      <c r="A4115" s="339"/>
      <c r="B4115" s="340"/>
      <c r="C4115" s="340"/>
      <c r="D4115" s="340"/>
      <c r="E4115" s="340"/>
      <c r="F4115" s="340"/>
      <c r="G4115" s="340"/>
      <c r="H4115" s="340"/>
      <c r="I4115" s="340"/>
      <c r="J4115" s="340"/>
      <c r="K4115" s="497"/>
    </row>
    <row r="4116" spans="1:11" x14ac:dyDescent="0.35">
      <c r="A4116" s="332"/>
      <c r="B4116" s="333"/>
      <c r="C4116" s="333"/>
      <c r="D4116" s="333"/>
      <c r="E4116" s="333"/>
      <c r="F4116" s="333"/>
      <c r="G4116" s="333"/>
      <c r="H4116" s="333"/>
      <c r="I4116" s="333"/>
      <c r="J4116" s="333"/>
      <c r="K4116" s="496"/>
    </row>
    <row r="4117" spans="1:11" x14ac:dyDescent="0.35">
      <c r="A4117" s="339"/>
      <c r="B4117" s="340"/>
      <c r="C4117" s="340"/>
      <c r="D4117" s="340"/>
      <c r="E4117" s="340"/>
      <c r="F4117" s="340"/>
      <c r="G4117" s="340"/>
      <c r="H4117" s="340"/>
      <c r="I4117" s="340"/>
      <c r="J4117" s="340"/>
      <c r="K4117" s="497"/>
    </row>
    <row r="4118" spans="1:11" x14ac:dyDescent="0.35">
      <c r="A4118" s="332"/>
      <c r="B4118" s="333"/>
      <c r="C4118" s="333"/>
      <c r="D4118" s="333"/>
      <c r="E4118" s="333"/>
      <c r="F4118" s="333"/>
      <c r="G4118" s="333"/>
      <c r="H4118" s="333"/>
      <c r="I4118" s="333"/>
      <c r="J4118" s="333"/>
      <c r="K4118" s="496"/>
    </row>
    <row r="4119" spans="1:11" x14ac:dyDescent="0.35">
      <c r="A4119" s="339"/>
      <c r="B4119" s="340"/>
      <c r="C4119" s="340"/>
      <c r="D4119" s="340"/>
      <c r="E4119" s="340"/>
      <c r="F4119" s="340"/>
      <c r="G4119" s="340"/>
      <c r="H4119" s="340"/>
      <c r="I4119" s="340"/>
      <c r="J4119" s="340"/>
      <c r="K4119" s="497"/>
    </row>
    <row r="4120" spans="1:11" x14ac:dyDescent="0.35">
      <c r="A4120" s="332"/>
      <c r="B4120" s="333"/>
      <c r="C4120" s="333"/>
      <c r="D4120" s="333"/>
      <c r="E4120" s="333"/>
      <c r="F4120" s="333"/>
      <c r="G4120" s="333"/>
      <c r="H4120" s="333"/>
      <c r="I4120" s="333"/>
      <c r="J4120" s="333"/>
      <c r="K4120" s="496"/>
    </row>
    <row r="4121" spans="1:11" x14ac:dyDescent="0.35">
      <c r="A4121" s="339"/>
      <c r="B4121" s="340"/>
      <c r="C4121" s="340"/>
      <c r="D4121" s="340"/>
      <c r="E4121" s="340"/>
      <c r="F4121" s="340"/>
      <c r="G4121" s="340"/>
      <c r="H4121" s="340"/>
      <c r="I4121" s="340"/>
      <c r="J4121" s="340"/>
      <c r="K4121" s="497"/>
    </row>
    <row r="4122" spans="1:11" x14ac:dyDescent="0.35">
      <c r="A4122" s="332"/>
      <c r="B4122" s="333"/>
      <c r="C4122" s="333"/>
      <c r="D4122" s="333"/>
      <c r="E4122" s="333"/>
      <c r="F4122" s="333"/>
      <c r="G4122" s="333"/>
      <c r="H4122" s="333"/>
      <c r="I4122" s="333"/>
      <c r="J4122" s="333"/>
      <c r="K4122" s="496"/>
    </row>
    <row r="4123" spans="1:11" x14ac:dyDescent="0.35">
      <c r="A4123" s="339"/>
      <c r="B4123" s="340"/>
      <c r="C4123" s="340"/>
      <c r="D4123" s="340"/>
      <c r="E4123" s="340"/>
      <c r="F4123" s="340"/>
      <c r="G4123" s="340"/>
      <c r="H4123" s="340"/>
      <c r="I4123" s="340"/>
      <c r="J4123" s="340"/>
      <c r="K4123" s="497"/>
    </row>
    <row r="4124" spans="1:11" x14ac:dyDescent="0.35">
      <c r="A4124" s="332"/>
      <c r="B4124" s="333"/>
      <c r="C4124" s="333"/>
      <c r="D4124" s="333"/>
      <c r="E4124" s="333"/>
      <c r="F4124" s="333"/>
      <c r="G4124" s="333"/>
      <c r="H4124" s="333"/>
      <c r="I4124" s="333"/>
      <c r="J4124" s="333"/>
      <c r="K4124" s="496"/>
    </row>
    <row r="4125" spans="1:11" x14ac:dyDescent="0.35">
      <c r="A4125" s="339"/>
      <c r="B4125" s="340"/>
      <c r="C4125" s="340"/>
      <c r="D4125" s="340"/>
      <c r="E4125" s="340"/>
      <c r="F4125" s="340"/>
      <c r="G4125" s="340"/>
      <c r="H4125" s="340"/>
      <c r="I4125" s="340"/>
      <c r="J4125" s="340"/>
      <c r="K4125" s="497"/>
    </row>
    <row r="4126" spans="1:11" x14ac:dyDescent="0.35">
      <c r="A4126" s="332"/>
      <c r="B4126" s="333"/>
      <c r="C4126" s="333"/>
      <c r="D4126" s="333"/>
      <c r="E4126" s="333"/>
      <c r="F4126" s="333"/>
      <c r="G4126" s="333"/>
      <c r="H4126" s="333"/>
      <c r="I4126" s="333"/>
      <c r="J4126" s="333"/>
      <c r="K4126" s="496"/>
    </row>
    <row r="4127" spans="1:11" x14ac:dyDescent="0.35">
      <c r="A4127" s="339"/>
      <c r="B4127" s="340"/>
      <c r="C4127" s="340"/>
      <c r="D4127" s="340"/>
      <c r="E4127" s="340"/>
      <c r="F4127" s="340"/>
      <c r="G4127" s="340"/>
      <c r="H4127" s="340"/>
      <c r="I4127" s="340"/>
      <c r="J4127" s="340"/>
      <c r="K4127" s="497"/>
    </row>
    <row r="4128" spans="1:11" x14ac:dyDescent="0.35">
      <c r="A4128" s="332"/>
      <c r="B4128" s="333"/>
      <c r="C4128" s="333"/>
      <c r="D4128" s="333"/>
      <c r="E4128" s="333"/>
      <c r="F4128" s="333"/>
      <c r="G4128" s="333"/>
      <c r="H4128" s="333"/>
      <c r="I4128" s="333"/>
      <c r="J4128" s="333"/>
      <c r="K4128" s="496"/>
    </row>
    <row r="4129" spans="1:11" x14ac:dyDescent="0.35">
      <c r="A4129" s="339"/>
      <c r="B4129" s="340"/>
      <c r="C4129" s="340"/>
      <c r="D4129" s="340"/>
      <c r="E4129" s="340"/>
      <c r="F4129" s="340"/>
      <c r="G4129" s="340"/>
      <c r="H4129" s="340"/>
      <c r="I4129" s="340"/>
      <c r="J4129" s="340"/>
      <c r="K4129" s="497"/>
    </row>
    <row r="4130" spans="1:11" x14ac:dyDescent="0.35">
      <c r="A4130" s="332"/>
      <c r="B4130" s="333"/>
      <c r="C4130" s="333"/>
      <c r="D4130" s="333"/>
      <c r="E4130" s="333"/>
      <c r="F4130" s="333"/>
      <c r="G4130" s="333"/>
      <c r="H4130" s="333"/>
      <c r="I4130" s="333"/>
      <c r="J4130" s="333"/>
      <c r="K4130" s="496"/>
    </row>
    <row r="4131" spans="1:11" x14ac:dyDescent="0.35">
      <c r="A4131" s="339"/>
      <c r="B4131" s="340"/>
      <c r="C4131" s="340"/>
      <c r="D4131" s="340"/>
      <c r="E4131" s="340"/>
      <c r="F4131" s="340"/>
      <c r="G4131" s="340"/>
      <c r="H4131" s="340"/>
      <c r="I4131" s="340"/>
      <c r="J4131" s="340"/>
      <c r="K4131" s="497"/>
    </row>
    <row r="4132" spans="1:11" x14ac:dyDescent="0.35">
      <c r="A4132" s="332"/>
      <c r="B4132" s="333"/>
      <c r="C4132" s="333"/>
      <c r="D4132" s="333"/>
      <c r="E4132" s="333"/>
      <c r="F4132" s="333"/>
      <c r="G4132" s="333"/>
      <c r="H4132" s="333"/>
      <c r="I4132" s="333"/>
      <c r="J4132" s="333"/>
      <c r="K4132" s="496"/>
    </row>
    <row r="4133" spans="1:11" x14ac:dyDescent="0.35">
      <c r="A4133" s="339"/>
      <c r="B4133" s="340"/>
      <c r="C4133" s="340"/>
      <c r="D4133" s="340"/>
      <c r="E4133" s="340"/>
      <c r="F4133" s="340"/>
      <c r="G4133" s="340"/>
      <c r="H4133" s="340"/>
      <c r="I4133" s="340"/>
      <c r="J4133" s="340"/>
      <c r="K4133" s="497"/>
    </row>
    <row r="4134" spans="1:11" x14ac:dyDescent="0.35">
      <c r="A4134" s="332"/>
      <c r="B4134" s="333"/>
      <c r="C4134" s="333"/>
      <c r="D4134" s="333"/>
      <c r="E4134" s="333"/>
      <c r="F4134" s="333"/>
      <c r="G4134" s="333"/>
      <c r="H4134" s="333"/>
      <c r="I4134" s="333"/>
      <c r="J4134" s="333"/>
      <c r="K4134" s="496"/>
    </row>
    <row r="4135" spans="1:11" x14ac:dyDescent="0.35">
      <c r="A4135" s="339"/>
      <c r="B4135" s="340"/>
      <c r="C4135" s="340"/>
      <c r="D4135" s="340"/>
      <c r="E4135" s="340"/>
      <c r="F4135" s="340"/>
      <c r="G4135" s="340"/>
      <c r="H4135" s="340"/>
      <c r="I4135" s="340"/>
      <c r="J4135" s="340"/>
      <c r="K4135" s="497"/>
    </row>
    <row r="4136" spans="1:11" x14ac:dyDescent="0.35">
      <c r="A4136" s="332"/>
      <c r="B4136" s="333"/>
      <c r="C4136" s="333"/>
      <c r="D4136" s="333"/>
      <c r="E4136" s="333"/>
      <c r="F4136" s="333"/>
      <c r="G4136" s="333"/>
      <c r="H4136" s="333"/>
      <c r="I4136" s="333"/>
      <c r="J4136" s="333"/>
      <c r="K4136" s="496"/>
    </row>
    <row r="4137" spans="1:11" x14ac:dyDescent="0.35">
      <c r="A4137" s="339"/>
      <c r="B4137" s="340"/>
      <c r="C4137" s="340"/>
      <c r="D4137" s="340"/>
      <c r="E4137" s="340"/>
      <c r="F4137" s="340"/>
      <c r="G4137" s="340"/>
      <c r="H4137" s="340"/>
      <c r="I4137" s="340"/>
      <c r="J4137" s="340"/>
      <c r="K4137" s="497"/>
    </row>
    <row r="4138" spans="1:11" x14ac:dyDescent="0.35">
      <c r="A4138" s="332"/>
      <c r="B4138" s="333"/>
      <c r="C4138" s="333"/>
      <c r="D4138" s="333"/>
      <c r="E4138" s="333"/>
      <c r="F4138" s="333"/>
      <c r="G4138" s="333"/>
      <c r="H4138" s="333"/>
      <c r="I4138" s="333"/>
      <c r="J4138" s="333"/>
      <c r="K4138" s="496"/>
    </row>
    <row r="4139" spans="1:11" x14ac:dyDescent="0.35">
      <c r="A4139" s="339"/>
      <c r="B4139" s="340"/>
      <c r="C4139" s="340"/>
      <c r="D4139" s="340"/>
      <c r="E4139" s="340"/>
      <c r="F4139" s="340"/>
      <c r="G4139" s="340"/>
      <c r="H4139" s="340"/>
      <c r="I4139" s="340"/>
      <c r="J4139" s="340"/>
      <c r="K4139" s="497"/>
    </row>
    <row r="4140" spans="1:11" x14ac:dyDescent="0.35">
      <c r="A4140" s="332"/>
      <c r="B4140" s="333"/>
      <c r="C4140" s="333"/>
      <c r="D4140" s="333"/>
      <c r="E4140" s="333"/>
      <c r="F4140" s="333"/>
      <c r="G4140" s="333"/>
      <c r="H4140" s="333"/>
      <c r="I4140" s="333"/>
      <c r="J4140" s="333"/>
      <c r="K4140" s="496"/>
    </row>
    <row r="4141" spans="1:11" x14ac:dyDescent="0.35">
      <c r="A4141" s="339"/>
      <c r="B4141" s="340"/>
      <c r="C4141" s="340"/>
      <c r="D4141" s="340"/>
      <c r="E4141" s="340"/>
      <c r="F4141" s="340"/>
      <c r="G4141" s="340"/>
      <c r="H4141" s="340"/>
      <c r="I4141" s="340"/>
      <c r="J4141" s="340"/>
      <c r="K4141" s="497"/>
    </row>
    <row r="4142" spans="1:11" x14ac:dyDescent="0.35">
      <c r="A4142" s="332"/>
      <c r="B4142" s="333"/>
      <c r="C4142" s="333"/>
      <c r="D4142" s="333"/>
      <c r="E4142" s="333"/>
      <c r="F4142" s="333"/>
      <c r="G4142" s="333"/>
      <c r="H4142" s="333"/>
      <c r="I4142" s="333"/>
      <c r="J4142" s="333"/>
      <c r="K4142" s="496"/>
    </row>
    <row r="4143" spans="1:11" x14ac:dyDescent="0.35">
      <c r="A4143" s="339"/>
      <c r="B4143" s="340"/>
      <c r="C4143" s="340"/>
      <c r="D4143" s="340"/>
      <c r="E4143" s="340"/>
      <c r="F4143" s="340"/>
      <c r="G4143" s="340"/>
      <c r="H4143" s="340"/>
      <c r="I4143" s="340"/>
      <c r="J4143" s="340"/>
      <c r="K4143" s="497"/>
    </row>
    <row r="4144" spans="1:11" x14ac:dyDescent="0.35">
      <c r="A4144" s="332"/>
      <c r="B4144" s="333"/>
      <c r="C4144" s="333"/>
      <c r="D4144" s="333"/>
      <c r="E4144" s="333"/>
      <c r="F4144" s="333"/>
      <c r="G4144" s="333"/>
      <c r="H4144" s="333"/>
      <c r="I4144" s="333"/>
      <c r="J4144" s="333"/>
      <c r="K4144" s="496"/>
    </row>
    <row r="4145" spans="1:11" x14ac:dyDescent="0.35">
      <c r="A4145" s="339"/>
      <c r="B4145" s="340"/>
      <c r="C4145" s="340"/>
      <c r="D4145" s="340"/>
      <c r="E4145" s="340"/>
      <c r="F4145" s="340"/>
      <c r="G4145" s="340"/>
      <c r="H4145" s="340"/>
      <c r="I4145" s="340"/>
      <c r="J4145" s="340"/>
      <c r="K4145" s="497"/>
    </row>
    <row r="4146" spans="1:11" x14ac:dyDescent="0.35">
      <c r="A4146" s="332"/>
      <c r="B4146" s="333"/>
      <c r="C4146" s="333"/>
      <c r="D4146" s="333"/>
      <c r="E4146" s="333"/>
      <c r="F4146" s="333"/>
      <c r="G4146" s="333"/>
      <c r="H4146" s="333"/>
      <c r="I4146" s="333"/>
      <c r="J4146" s="333"/>
      <c r="K4146" s="496"/>
    </row>
    <row r="4147" spans="1:11" x14ac:dyDescent="0.35">
      <c r="A4147" s="339"/>
      <c r="B4147" s="340"/>
      <c r="C4147" s="340"/>
      <c r="D4147" s="340"/>
      <c r="E4147" s="340"/>
      <c r="F4147" s="340"/>
      <c r="G4147" s="340"/>
      <c r="H4147" s="340"/>
      <c r="I4147" s="340"/>
      <c r="J4147" s="340"/>
      <c r="K4147" s="497"/>
    </row>
    <row r="4148" spans="1:11" x14ac:dyDescent="0.35">
      <c r="A4148" s="332"/>
      <c r="B4148" s="333"/>
      <c r="C4148" s="333"/>
      <c r="D4148" s="333"/>
      <c r="E4148" s="333"/>
      <c r="F4148" s="333"/>
      <c r="G4148" s="333"/>
      <c r="H4148" s="333"/>
      <c r="I4148" s="333"/>
      <c r="J4148" s="333"/>
      <c r="K4148" s="496"/>
    </row>
    <row r="4149" spans="1:11" x14ac:dyDescent="0.35">
      <c r="A4149" s="339"/>
      <c r="B4149" s="340"/>
      <c r="C4149" s="340"/>
      <c r="D4149" s="340"/>
      <c r="E4149" s="340"/>
      <c r="F4149" s="340"/>
      <c r="G4149" s="340"/>
      <c r="H4149" s="340"/>
      <c r="I4149" s="340"/>
      <c r="J4149" s="340"/>
      <c r="K4149" s="497"/>
    </row>
    <row r="4150" spans="1:11" x14ac:dyDescent="0.35">
      <c r="A4150" s="332"/>
      <c r="B4150" s="333"/>
      <c r="C4150" s="333"/>
      <c r="D4150" s="333"/>
      <c r="E4150" s="333"/>
      <c r="F4150" s="333"/>
      <c r="G4150" s="333"/>
      <c r="H4150" s="333"/>
      <c r="I4150" s="333"/>
      <c r="J4150" s="333"/>
      <c r="K4150" s="496"/>
    </row>
    <row r="4151" spans="1:11" x14ac:dyDescent="0.35">
      <c r="A4151" s="339"/>
      <c r="B4151" s="340"/>
      <c r="C4151" s="340"/>
      <c r="D4151" s="340"/>
      <c r="E4151" s="340"/>
      <c r="F4151" s="340"/>
      <c r="G4151" s="340"/>
      <c r="H4151" s="340"/>
      <c r="I4151" s="340"/>
      <c r="J4151" s="340"/>
      <c r="K4151" s="497"/>
    </row>
    <row r="4152" spans="1:11" x14ac:dyDescent="0.35">
      <c r="A4152" s="332"/>
      <c r="B4152" s="333"/>
      <c r="C4152" s="333"/>
      <c r="D4152" s="333"/>
      <c r="E4152" s="333"/>
      <c r="F4152" s="333"/>
      <c r="G4152" s="333"/>
      <c r="H4152" s="333"/>
      <c r="I4152" s="333"/>
      <c r="J4152" s="333"/>
      <c r="K4152" s="496"/>
    </row>
    <row r="4153" spans="1:11" x14ac:dyDescent="0.35">
      <c r="A4153" s="339"/>
      <c r="B4153" s="340"/>
      <c r="C4153" s="340"/>
      <c r="D4153" s="340"/>
      <c r="E4153" s="340"/>
      <c r="F4153" s="340"/>
      <c r="G4153" s="340"/>
      <c r="H4153" s="340"/>
      <c r="I4153" s="340"/>
      <c r="J4153" s="340"/>
      <c r="K4153" s="497"/>
    </row>
    <row r="4154" spans="1:11" x14ac:dyDescent="0.35">
      <c r="A4154" s="332"/>
      <c r="B4154" s="333"/>
      <c r="C4154" s="333"/>
      <c r="D4154" s="333"/>
      <c r="E4154" s="333"/>
      <c r="F4154" s="333"/>
      <c r="G4154" s="333"/>
      <c r="H4154" s="333"/>
      <c r="I4154" s="333"/>
      <c r="J4154" s="333"/>
      <c r="K4154" s="496"/>
    </row>
    <row r="4155" spans="1:11" x14ac:dyDescent="0.35">
      <c r="A4155" s="339"/>
      <c r="B4155" s="340"/>
      <c r="C4155" s="340"/>
      <c r="D4155" s="340"/>
      <c r="E4155" s="340"/>
      <c r="F4155" s="340"/>
      <c r="G4155" s="340"/>
      <c r="H4155" s="340"/>
      <c r="I4155" s="340"/>
      <c r="J4155" s="340"/>
      <c r="K4155" s="497"/>
    </row>
    <row r="4156" spans="1:11" x14ac:dyDescent="0.35">
      <c r="A4156" s="332"/>
      <c r="B4156" s="333"/>
      <c r="C4156" s="333"/>
      <c r="D4156" s="333"/>
      <c r="E4156" s="333"/>
      <c r="F4156" s="333"/>
      <c r="G4156" s="333"/>
      <c r="H4156" s="333"/>
      <c r="I4156" s="333"/>
      <c r="J4156" s="333"/>
      <c r="K4156" s="496"/>
    </row>
    <row r="4157" spans="1:11" x14ac:dyDescent="0.35">
      <c r="A4157" s="339"/>
      <c r="B4157" s="340"/>
      <c r="C4157" s="340"/>
      <c r="D4157" s="340"/>
      <c r="E4157" s="340"/>
      <c r="F4157" s="340"/>
      <c r="G4157" s="340"/>
      <c r="H4157" s="340"/>
      <c r="I4157" s="340"/>
      <c r="J4157" s="340"/>
      <c r="K4157" s="497"/>
    </row>
    <row r="4158" spans="1:11" x14ac:dyDescent="0.35">
      <c r="A4158" s="332"/>
      <c r="B4158" s="333"/>
      <c r="C4158" s="333"/>
      <c r="D4158" s="333"/>
      <c r="E4158" s="333"/>
      <c r="F4158" s="333"/>
      <c r="G4158" s="333"/>
      <c r="H4158" s="333"/>
      <c r="I4158" s="333"/>
      <c r="J4158" s="333"/>
      <c r="K4158" s="496"/>
    </row>
    <row r="4159" spans="1:11" x14ac:dyDescent="0.35">
      <c r="A4159" s="339"/>
      <c r="B4159" s="340"/>
      <c r="C4159" s="340"/>
      <c r="D4159" s="340"/>
      <c r="E4159" s="340"/>
      <c r="F4159" s="340"/>
      <c r="G4159" s="340"/>
      <c r="H4159" s="340"/>
      <c r="I4159" s="340"/>
      <c r="J4159" s="340"/>
      <c r="K4159" s="497"/>
    </row>
    <row r="4160" spans="1:11" x14ac:dyDescent="0.35">
      <c r="A4160" s="332"/>
      <c r="B4160" s="333"/>
      <c r="C4160" s="333"/>
      <c r="D4160" s="333"/>
      <c r="E4160" s="333"/>
      <c r="F4160" s="333"/>
      <c r="G4160" s="333"/>
      <c r="H4160" s="333"/>
      <c r="I4160" s="333"/>
      <c r="J4160" s="333"/>
      <c r="K4160" s="496"/>
    </row>
    <row r="4161" spans="1:11" x14ac:dyDescent="0.35">
      <c r="A4161" s="339"/>
      <c r="B4161" s="340"/>
      <c r="C4161" s="340"/>
      <c r="D4161" s="340"/>
      <c r="E4161" s="340"/>
      <c r="F4161" s="340"/>
      <c r="G4161" s="340"/>
      <c r="H4161" s="340"/>
      <c r="I4161" s="340"/>
      <c r="J4161" s="340"/>
      <c r="K4161" s="497"/>
    </row>
    <row r="4162" spans="1:11" x14ac:dyDescent="0.35">
      <c r="A4162" s="332"/>
      <c r="B4162" s="333"/>
      <c r="C4162" s="333"/>
      <c r="D4162" s="333"/>
      <c r="E4162" s="333"/>
      <c r="F4162" s="333"/>
      <c r="G4162" s="333"/>
      <c r="H4162" s="333"/>
      <c r="I4162" s="333"/>
      <c r="J4162" s="333"/>
      <c r="K4162" s="496"/>
    </row>
    <row r="4163" spans="1:11" x14ac:dyDescent="0.35">
      <c r="A4163" s="339"/>
      <c r="B4163" s="340"/>
      <c r="C4163" s="340"/>
      <c r="D4163" s="340"/>
      <c r="E4163" s="340"/>
      <c r="F4163" s="340"/>
      <c r="G4163" s="340"/>
      <c r="H4163" s="340"/>
      <c r="I4163" s="340"/>
      <c r="J4163" s="340"/>
      <c r="K4163" s="497"/>
    </row>
    <row r="4164" spans="1:11" x14ac:dyDescent="0.35">
      <c r="A4164" s="332"/>
      <c r="B4164" s="333"/>
      <c r="C4164" s="333"/>
      <c r="D4164" s="333"/>
      <c r="E4164" s="333"/>
      <c r="F4164" s="333"/>
      <c r="G4164" s="333"/>
      <c r="H4164" s="333"/>
      <c r="I4164" s="333"/>
      <c r="J4164" s="333"/>
      <c r="K4164" s="496"/>
    </row>
    <row r="4165" spans="1:11" x14ac:dyDescent="0.35">
      <c r="A4165" s="339"/>
      <c r="B4165" s="340"/>
      <c r="C4165" s="340"/>
      <c r="D4165" s="340"/>
      <c r="E4165" s="340"/>
      <c r="F4165" s="340"/>
      <c r="G4165" s="340"/>
      <c r="H4165" s="340"/>
      <c r="I4165" s="340"/>
      <c r="J4165" s="340"/>
      <c r="K4165" s="497"/>
    </row>
    <row r="4166" spans="1:11" x14ac:dyDescent="0.35">
      <c r="A4166" s="332"/>
      <c r="B4166" s="333"/>
      <c r="C4166" s="333"/>
      <c r="D4166" s="333"/>
      <c r="E4166" s="333"/>
      <c r="F4166" s="333"/>
      <c r="G4166" s="333"/>
      <c r="H4166" s="333"/>
      <c r="I4166" s="333"/>
      <c r="J4166" s="333"/>
      <c r="K4166" s="496"/>
    </row>
    <row r="4167" spans="1:11" x14ac:dyDescent="0.35">
      <c r="A4167" s="339"/>
      <c r="B4167" s="340"/>
      <c r="C4167" s="340"/>
      <c r="D4167" s="340"/>
      <c r="E4167" s="340"/>
      <c r="F4167" s="340"/>
      <c r="G4167" s="340"/>
      <c r="H4167" s="340"/>
      <c r="I4167" s="340"/>
      <c r="J4167" s="340"/>
      <c r="K4167" s="497"/>
    </row>
    <row r="4168" spans="1:11" x14ac:dyDescent="0.35">
      <c r="A4168" s="332"/>
      <c r="B4168" s="333"/>
      <c r="C4168" s="333"/>
      <c r="D4168" s="333"/>
      <c r="E4168" s="333"/>
      <c r="F4168" s="333"/>
      <c r="G4168" s="333"/>
      <c r="H4168" s="333"/>
      <c r="I4168" s="333"/>
      <c r="J4168" s="333"/>
      <c r="K4168" s="496"/>
    </row>
    <row r="4169" spans="1:11" x14ac:dyDescent="0.35">
      <c r="A4169" s="339"/>
      <c r="B4169" s="340"/>
      <c r="C4169" s="340"/>
      <c r="D4169" s="340"/>
      <c r="E4169" s="340"/>
      <c r="F4169" s="340"/>
      <c r="G4169" s="340"/>
      <c r="H4169" s="340"/>
      <c r="I4169" s="340"/>
      <c r="J4169" s="340"/>
      <c r="K4169" s="497"/>
    </row>
    <row r="4170" spans="1:11" x14ac:dyDescent="0.35">
      <c r="A4170" s="332"/>
      <c r="B4170" s="333"/>
      <c r="C4170" s="333"/>
      <c r="D4170" s="333"/>
      <c r="E4170" s="333"/>
      <c r="F4170" s="333"/>
      <c r="G4170" s="333"/>
      <c r="H4170" s="333"/>
      <c r="I4170" s="333"/>
      <c r="J4170" s="333"/>
      <c r="K4170" s="496"/>
    </row>
    <row r="4171" spans="1:11" x14ac:dyDescent="0.35">
      <c r="A4171" s="339"/>
      <c r="B4171" s="340"/>
      <c r="C4171" s="340"/>
      <c r="D4171" s="340"/>
      <c r="E4171" s="340"/>
      <c r="F4171" s="340"/>
      <c r="G4171" s="340"/>
      <c r="H4171" s="340"/>
      <c r="I4171" s="340"/>
      <c r="J4171" s="340"/>
      <c r="K4171" s="497"/>
    </row>
    <row r="4172" spans="1:11" x14ac:dyDescent="0.35">
      <c r="A4172" s="332"/>
      <c r="B4172" s="333"/>
      <c r="C4172" s="333"/>
      <c r="D4172" s="333"/>
      <c r="E4172" s="333"/>
      <c r="F4172" s="333"/>
      <c r="G4172" s="333"/>
      <c r="H4172" s="333"/>
      <c r="I4172" s="333"/>
      <c r="J4172" s="333"/>
      <c r="K4172" s="496"/>
    </row>
    <row r="4173" spans="1:11" x14ac:dyDescent="0.35">
      <c r="A4173" s="339"/>
      <c r="B4173" s="340"/>
      <c r="C4173" s="340"/>
      <c r="D4173" s="340"/>
      <c r="E4173" s="340"/>
      <c r="F4173" s="340"/>
      <c r="G4173" s="340"/>
      <c r="H4173" s="340"/>
      <c r="I4173" s="340"/>
      <c r="J4173" s="340"/>
      <c r="K4173" s="497"/>
    </row>
    <row r="4174" spans="1:11" x14ac:dyDescent="0.35">
      <c r="A4174" s="332"/>
      <c r="B4174" s="333"/>
      <c r="C4174" s="333"/>
      <c r="D4174" s="333"/>
      <c r="E4174" s="333"/>
      <c r="F4174" s="333"/>
      <c r="G4174" s="333"/>
      <c r="H4174" s="333"/>
      <c r="I4174" s="333"/>
      <c r="J4174" s="333"/>
      <c r="K4174" s="496"/>
    </row>
    <row r="4175" spans="1:11" x14ac:dyDescent="0.35">
      <c r="A4175" s="339"/>
      <c r="B4175" s="340"/>
      <c r="C4175" s="340"/>
      <c r="D4175" s="340"/>
      <c r="E4175" s="340"/>
      <c r="F4175" s="340"/>
      <c r="G4175" s="340"/>
      <c r="H4175" s="340"/>
      <c r="I4175" s="340"/>
      <c r="J4175" s="340"/>
      <c r="K4175" s="497"/>
    </row>
    <row r="4176" spans="1:11" x14ac:dyDescent="0.35">
      <c r="A4176" s="332"/>
      <c r="B4176" s="333"/>
      <c r="C4176" s="333"/>
      <c r="D4176" s="333"/>
      <c r="E4176" s="333"/>
      <c r="F4176" s="333"/>
      <c r="G4176" s="333"/>
      <c r="H4176" s="333"/>
      <c r="I4176" s="333"/>
      <c r="J4176" s="333"/>
      <c r="K4176" s="496"/>
    </row>
    <row r="4177" spans="1:11" x14ac:dyDescent="0.35">
      <c r="A4177" s="339"/>
      <c r="B4177" s="340"/>
      <c r="C4177" s="340"/>
      <c r="D4177" s="340"/>
      <c r="E4177" s="340"/>
      <c r="F4177" s="340"/>
      <c r="G4177" s="340"/>
      <c r="H4177" s="340"/>
      <c r="I4177" s="340"/>
      <c r="J4177" s="340"/>
      <c r="K4177" s="497"/>
    </row>
    <row r="4178" spans="1:11" x14ac:dyDescent="0.35">
      <c r="A4178" s="332"/>
      <c r="B4178" s="333"/>
      <c r="C4178" s="333"/>
      <c r="D4178" s="333"/>
      <c r="E4178" s="333"/>
      <c r="F4178" s="333"/>
      <c r="G4178" s="333"/>
      <c r="H4178" s="333"/>
      <c r="I4178" s="333"/>
      <c r="J4178" s="333"/>
      <c r="K4178" s="496"/>
    </row>
    <row r="4179" spans="1:11" x14ac:dyDescent="0.35">
      <c r="A4179" s="339"/>
      <c r="B4179" s="340"/>
      <c r="C4179" s="340"/>
      <c r="D4179" s="340"/>
      <c r="E4179" s="340"/>
      <c r="F4179" s="340"/>
      <c r="G4179" s="340"/>
      <c r="H4179" s="340"/>
      <c r="I4179" s="340"/>
      <c r="J4179" s="340"/>
      <c r="K4179" s="497"/>
    </row>
    <row r="4180" spans="1:11" x14ac:dyDescent="0.35">
      <c r="A4180" s="332"/>
      <c r="B4180" s="333"/>
      <c r="C4180" s="333"/>
      <c r="D4180" s="333"/>
      <c r="E4180" s="333"/>
      <c r="F4180" s="333"/>
      <c r="G4180" s="333"/>
      <c r="H4180" s="333"/>
      <c r="I4180" s="333"/>
      <c r="J4180" s="333"/>
      <c r="K4180" s="496"/>
    </row>
    <row r="4181" spans="1:11" x14ac:dyDescent="0.35">
      <c r="A4181" s="339"/>
      <c r="B4181" s="340"/>
      <c r="C4181" s="340"/>
      <c r="D4181" s="340"/>
      <c r="E4181" s="340"/>
      <c r="F4181" s="340"/>
      <c r="G4181" s="340"/>
      <c r="H4181" s="340"/>
      <c r="I4181" s="340"/>
      <c r="J4181" s="340"/>
      <c r="K4181" s="497"/>
    </row>
    <row r="4182" spans="1:11" x14ac:dyDescent="0.35">
      <c r="A4182" s="332"/>
      <c r="B4182" s="333"/>
      <c r="C4182" s="333"/>
      <c r="D4182" s="333"/>
      <c r="E4182" s="333"/>
      <c r="F4182" s="333"/>
      <c r="G4182" s="333"/>
      <c r="H4182" s="333"/>
      <c r="I4182" s="333"/>
      <c r="J4182" s="333"/>
      <c r="K4182" s="496"/>
    </row>
    <row r="4183" spans="1:11" x14ac:dyDescent="0.35">
      <c r="A4183" s="339"/>
      <c r="B4183" s="340"/>
      <c r="C4183" s="340"/>
      <c r="D4183" s="340"/>
      <c r="E4183" s="340"/>
      <c r="F4183" s="340"/>
      <c r="G4183" s="340"/>
      <c r="H4183" s="340"/>
      <c r="I4183" s="340"/>
      <c r="J4183" s="340"/>
      <c r="K4183" s="497"/>
    </row>
    <row r="4184" spans="1:11" x14ac:dyDescent="0.35">
      <c r="A4184" s="332"/>
      <c r="B4184" s="333"/>
      <c r="C4184" s="333"/>
      <c r="D4184" s="333"/>
      <c r="E4184" s="333"/>
      <c r="F4184" s="333"/>
      <c r="G4184" s="333"/>
      <c r="H4184" s="333"/>
      <c r="I4184" s="333"/>
      <c r="J4184" s="333"/>
      <c r="K4184" s="496"/>
    </row>
    <row r="4185" spans="1:11" x14ac:dyDescent="0.35">
      <c r="A4185" s="339"/>
      <c r="B4185" s="340"/>
      <c r="C4185" s="340"/>
      <c r="D4185" s="340"/>
      <c r="E4185" s="340"/>
      <c r="F4185" s="340"/>
      <c r="G4185" s="340"/>
      <c r="H4185" s="340"/>
      <c r="I4185" s="340"/>
      <c r="J4185" s="340"/>
      <c r="K4185" s="497"/>
    </row>
    <row r="4186" spans="1:11" x14ac:dyDescent="0.35">
      <c r="A4186" s="332"/>
      <c r="B4186" s="333"/>
      <c r="C4186" s="333"/>
      <c r="D4186" s="333"/>
      <c r="E4186" s="333"/>
      <c r="F4186" s="333"/>
      <c r="G4186" s="333"/>
      <c r="H4186" s="333"/>
      <c r="I4186" s="333"/>
      <c r="J4186" s="333"/>
      <c r="K4186" s="496"/>
    </row>
    <row r="4187" spans="1:11" x14ac:dyDescent="0.35">
      <c r="A4187" s="339"/>
      <c r="B4187" s="340"/>
      <c r="C4187" s="340"/>
      <c r="D4187" s="340"/>
      <c r="E4187" s="340"/>
      <c r="F4187" s="340"/>
      <c r="G4187" s="340"/>
      <c r="H4187" s="340"/>
      <c r="I4187" s="340"/>
      <c r="J4187" s="340"/>
      <c r="K4187" s="497"/>
    </row>
    <row r="4188" spans="1:11" x14ac:dyDescent="0.35">
      <c r="A4188" s="332"/>
      <c r="B4188" s="333"/>
      <c r="C4188" s="333"/>
      <c r="D4188" s="333"/>
      <c r="E4188" s="333"/>
      <c r="F4188" s="333"/>
      <c r="G4188" s="333"/>
      <c r="H4188" s="333"/>
      <c r="I4188" s="333"/>
      <c r="J4188" s="333"/>
      <c r="K4188" s="496"/>
    </row>
    <row r="4189" spans="1:11" x14ac:dyDescent="0.35">
      <c r="A4189" s="339"/>
      <c r="B4189" s="340"/>
      <c r="C4189" s="340"/>
      <c r="D4189" s="340"/>
      <c r="E4189" s="340"/>
      <c r="F4189" s="340"/>
      <c r="G4189" s="340"/>
      <c r="H4189" s="340"/>
      <c r="I4189" s="340"/>
      <c r="J4189" s="340"/>
      <c r="K4189" s="497"/>
    </row>
    <row r="4190" spans="1:11" x14ac:dyDescent="0.35">
      <c r="A4190" s="332"/>
      <c r="B4190" s="333"/>
      <c r="C4190" s="333"/>
      <c r="D4190" s="333"/>
      <c r="E4190" s="333"/>
      <c r="F4190" s="333"/>
      <c r="G4190" s="333"/>
      <c r="H4190" s="333"/>
      <c r="I4190" s="333"/>
      <c r="J4190" s="333"/>
      <c r="K4190" s="496"/>
    </row>
    <row r="4191" spans="1:11" x14ac:dyDescent="0.35">
      <c r="A4191" s="339"/>
      <c r="B4191" s="340"/>
      <c r="C4191" s="340"/>
      <c r="D4191" s="340"/>
      <c r="E4191" s="340"/>
      <c r="F4191" s="340"/>
      <c r="G4191" s="340"/>
      <c r="H4191" s="340"/>
      <c r="I4191" s="340"/>
      <c r="J4191" s="340"/>
      <c r="K4191" s="497"/>
    </row>
    <row r="4192" spans="1:11" x14ac:dyDescent="0.35">
      <c r="A4192" s="332"/>
      <c r="B4192" s="333"/>
      <c r="C4192" s="333"/>
      <c r="D4192" s="333"/>
      <c r="E4192" s="333"/>
      <c r="F4192" s="333"/>
      <c r="G4192" s="333"/>
      <c r="H4192" s="333"/>
      <c r="I4192" s="333"/>
      <c r="J4192" s="333"/>
      <c r="K4192" s="496"/>
    </row>
    <row r="4193" spans="1:11" x14ac:dyDescent="0.35">
      <c r="A4193" s="339"/>
      <c r="B4193" s="340"/>
      <c r="C4193" s="340"/>
      <c r="D4193" s="340"/>
      <c r="E4193" s="340"/>
      <c r="F4193" s="340"/>
      <c r="G4193" s="340"/>
      <c r="H4193" s="340"/>
      <c r="I4193" s="340"/>
      <c r="J4193" s="340"/>
      <c r="K4193" s="497"/>
    </row>
    <row r="4194" spans="1:11" x14ac:dyDescent="0.35">
      <c r="A4194" s="332"/>
      <c r="B4194" s="333"/>
      <c r="C4194" s="333"/>
      <c r="D4194" s="333"/>
      <c r="E4194" s="333"/>
      <c r="F4194" s="333"/>
      <c r="G4194" s="333"/>
      <c r="H4194" s="333"/>
      <c r="I4194" s="333"/>
      <c r="J4194" s="333"/>
      <c r="K4194" s="496"/>
    </row>
    <row r="4195" spans="1:11" x14ac:dyDescent="0.35">
      <c r="A4195" s="339"/>
      <c r="B4195" s="340"/>
      <c r="C4195" s="340"/>
      <c r="D4195" s="340"/>
      <c r="E4195" s="340"/>
      <c r="F4195" s="340"/>
      <c r="G4195" s="340"/>
      <c r="H4195" s="340"/>
      <c r="I4195" s="340"/>
      <c r="J4195" s="340"/>
      <c r="K4195" s="497"/>
    </row>
    <row r="4196" spans="1:11" x14ac:dyDescent="0.35">
      <c r="A4196" s="332"/>
      <c r="B4196" s="333"/>
      <c r="C4196" s="333"/>
      <c r="D4196" s="333"/>
      <c r="E4196" s="333"/>
      <c r="F4196" s="333"/>
      <c r="G4196" s="333"/>
      <c r="H4196" s="333"/>
      <c r="I4196" s="333"/>
      <c r="J4196" s="333"/>
      <c r="K4196" s="496"/>
    </row>
    <row r="4197" spans="1:11" x14ac:dyDescent="0.35">
      <c r="A4197" s="339"/>
      <c r="B4197" s="340"/>
      <c r="C4197" s="340"/>
      <c r="D4197" s="340"/>
      <c r="E4197" s="340"/>
      <c r="F4197" s="340"/>
      <c r="G4197" s="340"/>
      <c r="H4197" s="340"/>
      <c r="I4197" s="340"/>
      <c r="J4197" s="340"/>
      <c r="K4197" s="497"/>
    </row>
    <row r="4198" spans="1:11" x14ac:dyDescent="0.35">
      <c r="A4198" s="332"/>
      <c r="B4198" s="333"/>
      <c r="C4198" s="333"/>
      <c r="D4198" s="333"/>
      <c r="E4198" s="333"/>
      <c r="F4198" s="333"/>
      <c r="G4198" s="333"/>
      <c r="H4198" s="333"/>
      <c r="I4198" s="333"/>
      <c r="J4198" s="333"/>
      <c r="K4198" s="496"/>
    </row>
    <row r="4199" spans="1:11" x14ac:dyDescent="0.35">
      <c r="A4199" s="339"/>
      <c r="B4199" s="340"/>
      <c r="C4199" s="340"/>
      <c r="D4199" s="340"/>
      <c r="E4199" s="340"/>
      <c r="F4199" s="340"/>
      <c r="G4199" s="340"/>
      <c r="H4199" s="340"/>
      <c r="I4199" s="340"/>
      <c r="J4199" s="340"/>
      <c r="K4199" s="497"/>
    </row>
    <row r="4200" spans="1:11" x14ac:dyDescent="0.35">
      <c r="A4200" s="332"/>
      <c r="B4200" s="333"/>
      <c r="C4200" s="333"/>
      <c r="D4200" s="333"/>
      <c r="E4200" s="333"/>
      <c r="F4200" s="333"/>
      <c r="G4200" s="333"/>
      <c r="H4200" s="333"/>
      <c r="I4200" s="333"/>
      <c r="J4200" s="333"/>
      <c r="K4200" s="496"/>
    </row>
    <row r="4201" spans="1:11" x14ac:dyDescent="0.35">
      <c r="A4201" s="339"/>
      <c r="B4201" s="340"/>
      <c r="C4201" s="340"/>
      <c r="D4201" s="340"/>
      <c r="E4201" s="340"/>
      <c r="F4201" s="340"/>
      <c r="G4201" s="340"/>
      <c r="H4201" s="340"/>
      <c r="I4201" s="340"/>
      <c r="J4201" s="340"/>
      <c r="K4201" s="497"/>
    </row>
    <row r="4202" spans="1:11" x14ac:dyDescent="0.35">
      <c r="A4202" s="332"/>
      <c r="B4202" s="333"/>
      <c r="C4202" s="333"/>
      <c r="D4202" s="333"/>
      <c r="E4202" s="333"/>
      <c r="F4202" s="333"/>
      <c r="G4202" s="333"/>
      <c r="H4202" s="333"/>
      <c r="I4202" s="333"/>
      <c r="J4202" s="333"/>
      <c r="K4202" s="496"/>
    </row>
    <row r="4203" spans="1:11" x14ac:dyDescent="0.35">
      <c r="A4203" s="339"/>
      <c r="B4203" s="340"/>
      <c r="C4203" s="340"/>
      <c r="D4203" s="340"/>
      <c r="E4203" s="340"/>
      <c r="F4203" s="340"/>
      <c r="G4203" s="340"/>
      <c r="H4203" s="340"/>
      <c r="I4203" s="340"/>
      <c r="J4203" s="340"/>
      <c r="K4203" s="497"/>
    </row>
    <row r="4204" spans="1:11" x14ac:dyDescent="0.35">
      <c r="A4204" s="332"/>
      <c r="B4204" s="333"/>
      <c r="C4204" s="333"/>
      <c r="D4204" s="333"/>
      <c r="E4204" s="333"/>
      <c r="F4204" s="333"/>
      <c r="G4204" s="333"/>
      <c r="H4204" s="333"/>
      <c r="I4204" s="333"/>
      <c r="J4204" s="333"/>
      <c r="K4204" s="496"/>
    </row>
    <row r="4205" spans="1:11" x14ac:dyDescent="0.35">
      <c r="A4205" s="339"/>
      <c r="B4205" s="340"/>
      <c r="C4205" s="340"/>
      <c r="D4205" s="340"/>
      <c r="E4205" s="340"/>
      <c r="F4205" s="340"/>
      <c r="G4205" s="340"/>
      <c r="H4205" s="340"/>
      <c r="I4205" s="340"/>
      <c r="J4205" s="340"/>
      <c r="K4205" s="497"/>
    </row>
    <row r="4206" spans="1:11" x14ac:dyDescent="0.35">
      <c r="A4206" s="332"/>
      <c r="B4206" s="333"/>
      <c r="C4206" s="333"/>
      <c r="D4206" s="333"/>
      <c r="E4206" s="333"/>
      <c r="F4206" s="333"/>
      <c r="G4206" s="333"/>
      <c r="H4206" s="333"/>
      <c r="I4206" s="333"/>
      <c r="J4206" s="333"/>
      <c r="K4206" s="496"/>
    </row>
    <row r="4207" spans="1:11" x14ac:dyDescent="0.35">
      <c r="A4207" s="339"/>
      <c r="B4207" s="340"/>
      <c r="C4207" s="340"/>
      <c r="D4207" s="340"/>
      <c r="E4207" s="340"/>
      <c r="F4207" s="340"/>
      <c r="G4207" s="340"/>
      <c r="H4207" s="340"/>
      <c r="I4207" s="340"/>
      <c r="J4207" s="340"/>
      <c r="K4207" s="497"/>
    </row>
    <row r="4208" spans="1:11" x14ac:dyDescent="0.35">
      <c r="A4208" s="332"/>
      <c r="B4208" s="333"/>
      <c r="C4208" s="333"/>
      <c r="D4208" s="333"/>
      <c r="E4208" s="333"/>
      <c r="F4208" s="333"/>
      <c r="G4208" s="333"/>
      <c r="H4208" s="333"/>
      <c r="I4208" s="333"/>
      <c r="J4208" s="333"/>
      <c r="K4208" s="496"/>
    </row>
    <row r="4209" spans="1:11" x14ac:dyDescent="0.35">
      <c r="A4209" s="339"/>
      <c r="B4209" s="340"/>
      <c r="C4209" s="340"/>
      <c r="D4209" s="340"/>
      <c r="E4209" s="340"/>
      <c r="F4209" s="340"/>
      <c r="G4209" s="340"/>
      <c r="H4209" s="340"/>
      <c r="I4209" s="340"/>
      <c r="J4209" s="340"/>
      <c r="K4209" s="497"/>
    </row>
    <row r="4210" spans="1:11" x14ac:dyDescent="0.35">
      <c r="A4210" s="332"/>
      <c r="B4210" s="333"/>
      <c r="C4210" s="333"/>
      <c r="D4210" s="333"/>
      <c r="E4210" s="333"/>
      <c r="F4210" s="333"/>
      <c r="G4210" s="333"/>
      <c r="H4210" s="333"/>
      <c r="I4210" s="333"/>
      <c r="J4210" s="333"/>
      <c r="K4210" s="496"/>
    </row>
    <row r="4211" spans="1:11" x14ac:dyDescent="0.35">
      <c r="A4211" s="339"/>
      <c r="B4211" s="340"/>
      <c r="C4211" s="340"/>
      <c r="D4211" s="340"/>
      <c r="E4211" s="340"/>
      <c r="F4211" s="340"/>
      <c r="G4211" s="340"/>
      <c r="H4211" s="340"/>
      <c r="I4211" s="340"/>
      <c r="J4211" s="340"/>
      <c r="K4211" s="497"/>
    </row>
    <row r="4212" spans="1:11" x14ac:dyDescent="0.35">
      <c r="A4212" s="332"/>
      <c r="B4212" s="333"/>
      <c r="C4212" s="333"/>
      <c r="D4212" s="333"/>
      <c r="E4212" s="333"/>
      <c r="F4212" s="333"/>
      <c r="G4212" s="333"/>
      <c r="H4212" s="333"/>
      <c r="I4212" s="333"/>
      <c r="J4212" s="333"/>
      <c r="K4212" s="496"/>
    </row>
    <row r="4213" spans="1:11" x14ac:dyDescent="0.35">
      <c r="A4213" s="339"/>
      <c r="B4213" s="340"/>
      <c r="C4213" s="340"/>
      <c r="D4213" s="340"/>
      <c r="E4213" s="340"/>
      <c r="F4213" s="340"/>
      <c r="G4213" s="340"/>
      <c r="H4213" s="340"/>
      <c r="I4213" s="340"/>
      <c r="J4213" s="340"/>
      <c r="K4213" s="497"/>
    </row>
    <row r="4214" spans="1:11" x14ac:dyDescent="0.35">
      <c r="A4214" s="332"/>
      <c r="B4214" s="333"/>
      <c r="C4214" s="333"/>
      <c r="D4214" s="333"/>
      <c r="E4214" s="333"/>
      <c r="F4214" s="333"/>
      <c r="G4214" s="333"/>
      <c r="H4214" s="333"/>
      <c r="I4214" s="333"/>
      <c r="J4214" s="333"/>
      <c r="K4214" s="496"/>
    </row>
    <row r="4215" spans="1:11" x14ac:dyDescent="0.35">
      <c r="A4215" s="339"/>
      <c r="B4215" s="340"/>
      <c r="C4215" s="340"/>
      <c r="D4215" s="340"/>
      <c r="E4215" s="340"/>
      <c r="F4215" s="340"/>
      <c r="G4215" s="340"/>
      <c r="H4215" s="340"/>
      <c r="I4215" s="340"/>
      <c r="J4215" s="340"/>
      <c r="K4215" s="497"/>
    </row>
    <row r="4216" spans="1:11" x14ac:dyDescent="0.35">
      <c r="A4216" s="332"/>
      <c r="B4216" s="333"/>
      <c r="C4216" s="333"/>
      <c r="D4216" s="333"/>
      <c r="E4216" s="333"/>
      <c r="F4216" s="333"/>
      <c r="G4216" s="333"/>
      <c r="H4216" s="333"/>
      <c r="I4216" s="333"/>
      <c r="J4216" s="333"/>
      <c r="K4216" s="496"/>
    </row>
    <row r="4217" spans="1:11" x14ac:dyDescent="0.35">
      <c r="A4217" s="339"/>
      <c r="B4217" s="340"/>
      <c r="C4217" s="340"/>
      <c r="D4217" s="340"/>
      <c r="E4217" s="340"/>
      <c r="F4217" s="340"/>
      <c r="G4217" s="340"/>
      <c r="H4217" s="340"/>
      <c r="I4217" s="340"/>
      <c r="J4217" s="340"/>
      <c r="K4217" s="497"/>
    </row>
    <row r="4218" spans="1:11" x14ac:dyDescent="0.35">
      <c r="A4218" s="332"/>
      <c r="B4218" s="333"/>
      <c r="C4218" s="333"/>
      <c r="D4218" s="333"/>
      <c r="E4218" s="333"/>
      <c r="F4218" s="333"/>
      <c r="G4218" s="333"/>
      <c r="H4218" s="333"/>
      <c r="I4218" s="333"/>
      <c r="J4218" s="333"/>
      <c r="K4218" s="496"/>
    </row>
    <row r="4219" spans="1:11" x14ac:dyDescent="0.35">
      <c r="A4219" s="339"/>
      <c r="B4219" s="340"/>
      <c r="C4219" s="340"/>
      <c r="D4219" s="340"/>
      <c r="E4219" s="340"/>
      <c r="F4219" s="340"/>
      <c r="G4219" s="340"/>
      <c r="H4219" s="340"/>
      <c r="I4219" s="340"/>
      <c r="J4219" s="340"/>
      <c r="K4219" s="497"/>
    </row>
    <row r="4220" spans="1:11" x14ac:dyDescent="0.35">
      <c r="A4220" s="332"/>
      <c r="B4220" s="333"/>
      <c r="C4220" s="333"/>
      <c r="D4220" s="333"/>
      <c r="E4220" s="333"/>
      <c r="F4220" s="333"/>
      <c r="G4220" s="333"/>
      <c r="H4220" s="333"/>
      <c r="I4220" s="333"/>
      <c r="J4220" s="333"/>
      <c r="K4220" s="496"/>
    </row>
    <row r="4221" spans="1:11" x14ac:dyDescent="0.35">
      <c r="A4221" s="339"/>
      <c r="B4221" s="340"/>
      <c r="C4221" s="340"/>
      <c r="D4221" s="340"/>
      <c r="E4221" s="340"/>
      <c r="F4221" s="340"/>
      <c r="G4221" s="340"/>
      <c r="H4221" s="340"/>
      <c r="I4221" s="340"/>
      <c r="J4221" s="340"/>
      <c r="K4221" s="497"/>
    </row>
    <row r="4222" spans="1:11" x14ac:dyDescent="0.35">
      <c r="A4222" s="332"/>
      <c r="B4222" s="333"/>
      <c r="C4222" s="333"/>
      <c r="D4222" s="333"/>
      <c r="E4222" s="333"/>
      <c r="F4222" s="333"/>
      <c r="G4222" s="333"/>
      <c r="H4222" s="333"/>
      <c r="I4222" s="333"/>
      <c r="J4222" s="333"/>
      <c r="K4222" s="496"/>
    </row>
    <row r="4223" spans="1:11" x14ac:dyDescent="0.35">
      <c r="A4223" s="339"/>
      <c r="B4223" s="340"/>
      <c r="C4223" s="340"/>
      <c r="D4223" s="340"/>
      <c r="E4223" s="340"/>
      <c r="F4223" s="340"/>
      <c r="G4223" s="340"/>
      <c r="H4223" s="340"/>
      <c r="I4223" s="340"/>
      <c r="J4223" s="340"/>
      <c r="K4223" s="497"/>
    </row>
    <row r="4224" spans="1:11" x14ac:dyDescent="0.35">
      <c r="A4224" s="332"/>
      <c r="B4224" s="333"/>
      <c r="C4224" s="333"/>
      <c r="D4224" s="333"/>
      <c r="E4224" s="333"/>
      <c r="F4224" s="333"/>
      <c r="G4224" s="333"/>
      <c r="H4224" s="333"/>
      <c r="I4224" s="333"/>
      <c r="J4224" s="333"/>
      <c r="K4224" s="496"/>
    </row>
    <row r="4225" spans="1:11" x14ac:dyDescent="0.35">
      <c r="A4225" s="339"/>
      <c r="B4225" s="340"/>
      <c r="C4225" s="340"/>
      <c r="D4225" s="340"/>
      <c r="E4225" s="340"/>
      <c r="F4225" s="340"/>
      <c r="G4225" s="340"/>
      <c r="H4225" s="340"/>
      <c r="I4225" s="340"/>
      <c r="J4225" s="340"/>
      <c r="K4225" s="497"/>
    </row>
    <row r="4226" spans="1:11" x14ac:dyDescent="0.35">
      <c r="A4226" s="332"/>
      <c r="B4226" s="333"/>
      <c r="C4226" s="333"/>
      <c r="D4226" s="333"/>
      <c r="E4226" s="333"/>
      <c r="F4226" s="333"/>
      <c r="G4226" s="333"/>
      <c r="H4226" s="333"/>
      <c r="I4226" s="333"/>
      <c r="J4226" s="333"/>
      <c r="K4226" s="496"/>
    </row>
    <row r="4227" spans="1:11" x14ac:dyDescent="0.35">
      <c r="A4227" s="339"/>
      <c r="B4227" s="340"/>
      <c r="C4227" s="340"/>
      <c r="D4227" s="340"/>
      <c r="E4227" s="340"/>
      <c r="F4227" s="340"/>
      <c r="G4227" s="340"/>
      <c r="H4227" s="340"/>
      <c r="I4227" s="340"/>
      <c r="J4227" s="340"/>
      <c r="K4227" s="497"/>
    </row>
    <row r="4228" spans="1:11" x14ac:dyDescent="0.35">
      <c r="A4228" s="332"/>
      <c r="B4228" s="333"/>
      <c r="C4228" s="333"/>
      <c r="D4228" s="333"/>
      <c r="E4228" s="333"/>
      <c r="F4228" s="333"/>
      <c r="G4228" s="333"/>
      <c r="H4228" s="333"/>
      <c r="I4228" s="333"/>
      <c r="J4228" s="333"/>
      <c r="K4228" s="496"/>
    </row>
    <row r="4229" spans="1:11" x14ac:dyDescent="0.35">
      <c r="A4229" s="339"/>
      <c r="B4229" s="340"/>
      <c r="C4229" s="340"/>
      <c r="D4229" s="340"/>
      <c r="E4229" s="340"/>
      <c r="F4229" s="340"/>
      <c r="G4229" s="340"/>
      <c r="H4229" s="340"/>
      <c r="I4229" s="340"/>
      <c r="J4229" s="340"/>
      <c r="K4229" s="497"/>
    </row>
    <row r="4230" spans="1:11" x14ac:dyDescent="0.35">
      <c r="A4230" s="332"/>
      <c r="B4230" s="333"/>
      <c r="C4230" s="333"/>
      <c r="D4230" s="333"/>
      <c r="E4230" s="333"/>
      <c r="F4230" s="333"/>
      <c r="G4230" s="333"/>
      <c r="H4230" s="333"/>
      <c r="I4230" s="333"/>
      <c r="J4230" s="333"/>
      <c r="K4230" s="496"/>
    </row>
    <row r="4231" spans="1:11" x14ac:dyDescent="0.35">
      <c r="A4231" s="339"/>
      <c r="B4231" s="340"/>
      <c r="C4231" s="340"/>
      <c r="D4231" s="340"/>
      <c r="E4231" s="340"/>
      <c r="F4231" s="340"/>
      <c r="G4231" s="340"/>
      <c r="H4231" s="340"/>
      <c r="I4231" s="340"/>
      <c r="J4231" s="340"/>
      <c r="K4231" s="497"/>
    </row>
    <row r="4232" spans="1:11" x14ac:dyDescent="0.35">
      <c r="A4232" s="332"/>
      <c r="B4232" s="333"/>
      <c r="C4232" s="333"/>
      <c r="D4232" s="333"/>
      <c r="E4232" s="333"/>
      <c r="F4232" s="333"/>
      <c r="G4232" s="333"/>
      <c r="H4232" s="333"/>
      <c r="I4232" s="333"/>
      <c r="J4232" s="333"/>
      <c r="K4232" s="496"/>
    </row>
    <row r="4233" spans="1:11" x14ac:dyDescent="0.35">
      <c r="A4233" s="339"/>
      <c r="B4233" s="340"/>
      <c r="C4233" s="340"/>
      <c r="D4233" s="340"/>
      <c r="E4233" s="340"/>
      <c r="F4233" s="340"/>
      <c r="G4233" s="340"/>
      <c r="H4233" s="340"/>
      <c r="I4233" s="340"/>
      <c r="J4233" s="340"/>
      <c r="K4233" s="497"/>
    </row>
    <row r="4234" spans="1:11" x14ac:dyDescent="0.35">
      <c r="A4234" s="332"/>
      <c r="B4234" s="333"/>
      <c r="C4234" s="333"/>
      <c r="D4234" s="333"/>
      <c r="E4234" s="333"/>
      <c r="F4234" s="333"/>
      <c r="G4234" s="333"/>
      <c r="H4234" s="333"/>
      <c r="I4234" s="333"/>
      <c r="J4234" s="333"/>
      <c r="K4234" s="496"/>
    </row>
    <row r="4235" spans="1:11" x14ac:dyDescent="0.35">
      <c r="A4235" s="339"/>
      <c r="B4235" s="340"/>
      <c r="C4235" s="340"/>
      <c r="D4235" s="340"/>
      <c r="E4235" s="340"/>
      <c r="F4235" s="340"/>
      <c r="G4235" s="340"/>
      <c r="H4235" s="340"/>
      <c r="I4235" s="340"/>
      <c r="J4235" s="340"/>
      <c r="K4235" s="497"/>
    </row>
    <row r="4236" spans="1:11" x14ac:dyDescent="0.35">
      <c r="A4236" s="332"/>
      <c r="B4236" s="333"/>
      <c r="C4236" s="333"/>
      <c r="D4236" s="333"/>
      <c r="E4236" s="333"/>
      <c r="F4236" s="333"/>
      <c r="G4236" s="333"/>
      <c r="H4236" s="333"/>
      <c r="I4236" s="333"/>
      <c r="J4236" s="333"/>
      <c r="K4236" s="496"/>
    </row>
    <row r="4237" spans="1:11" x14ac:dyDescent="0.35">
      <c r="A4237" s="339"/>
      <c r="B4237" s="340"/>
      <c r="C4237" s="340"/>
      <c r="D4237" s="340"/>
      <c r="E4237" s="340"/>
      <c r="F4237" s="340"/>
      <c r="G4237" s="340"/>
      <c r="H4237" s="340"/>
      <c r="I4237" s="340"/>
      <c r="J4237" s="340"/>
      <c r="K4237" s="497"/>
    </row>
    <row r="4238" spans="1:11" x14ac:dyDescent="0.35">
      <c r="A4238" s="332"/>
      <c r="B4238" s="333"/>
      <c r="C4238" s="333"/>
      <c r="D4238" s="333"/>
      <c r="E4238" s="333"/>
      <c r="F4238" s="333"/>
      <c r="G4238" s="333"/>
      <c r="H4238" s="333"/>
      <c r="I4238" s="333"/>
      <c r="J4238" s="333"/>
      <c r="K4238" s="496"/>
    </row>
    <row r="4239" spans="1:11" x14ac:dyDescent="0.35">
      <c r="A4239" s="339"/>
      <c r="B4239" s="340"/>
      <c r="C4239" s="340"/>
      <c r="D4239" s="340"/>
      <c r="E4239" s="340"/>
      <c r="F4239" s="340"/>
      <c r="G4239" s="340"/>
      <c r="H4239" s="340"/>
      <c r="I4239" s="340"/>
      <c r="J4239" s="340"/>
      <c r="K4239" s="497"/>
    </row>
    <row r="4240" spans="1:11" x14ac:dyDescent="0.35">
      <c r="A4240" s="332"/>
      <c r="B4240" s="333"/>
      <c r="C4240" s="333"/>
      <c r="D4240" s="333"/>
      <c r="E4240" s="333"/>
      <c r="F4240" s="333"/>
      <c r="G4240" s="333"/>
      <c r="H4240" s="333"/>
      <c r="I4240" s="333"/>
      <c r="J4240" s="333"/>
      <c r="K4240" s="496"/>
    </row>
    <row r="4241" spans="1:11" x14ac:dyDescent="0.35">
      <c r="A4241" s="339"/>
      <c r="B4241" s="340"/>
      <c r="C4241" s="340"/>
      <c r="D4241" s="340"/>
      <c r="E4241" s="340"/>
      <c r="F4241" s="340"/>
      <c r="G4241" s="340"/>
      <c r="H4241" s="340"/>
      <c r="I4241" s="340"/>
      <c r="J4241" s="340"/>
      <c r="K4241" s="497"/>
    </row>
    <row r="4242" spans="1:11" x14ac:dyDescent="0.35">
      <c r="A4242" s="332"/>
      <c r="B4242" s="333"/>
      <c r="C4242" s="333"/>
      <c r="D4242" s="333"/>
      <c r="E4242" s="333"/>
      <c r="F4242" s="333"/>
      <c r="G4242" s="333"/>
      <c r="H4242" s="333"/>
      <c r="I4242" s="333"/>
      <c r="J4242" s="333"/>
      <c r="K4242" s="496"/>
    </row>
    <row r="4243" spans="1:11" x14ac:dyDescent="0.35">
      <c r="A4243" s="339"/>
      <c r="B4243" s="340"/>
      <c r="C4243" s="340"/>
      <c r="D4243" s="340"/>
      <c r="E4243" s="340"/>
      <c r="F4243" s="340"/>
      <c r="G4243" s="340"/>
      <c r="H4243" s="340"/>
      <c r="I4243" s="340"/>
      <c r="J4243" s="340"/>
      <c r="K4243" s="497"/>
    </row>
    <row r="4244" spans="1:11" x14ac:dyDescent="0.35">
      <c r="A4244" s="332"/>
      <c r="B4244" s="333"/>
      <c r="C4244" s="333"/>
      <c r="D4244" s="333"/>
      <c r="E4244" s="333"/>
      <c r="F4244" s="333"/>
      <c r="G4244" s="333"/>
      <c r="H4244" s="333"/>
      <c r="I4244" s="333"/>
      <c r="J4244" s="333"/>
      <c r="K4244" s="496"/>
    </row>
    <row r="4245" spans="1:11" x14ac:dyDescent="0.35">
      <c r="A4245" s="339"/>
      <c r="B4245" s="340"/>
      <c r="C4245" s="340"/>
      <c r="D4245" s="340"/>
      <c r="E4245" s="340"/>
      <c r="F4245" s="340"/>
      <c r="G4245" s="340"/>
      <c r="H4245" s="340"/>
      <c r="I4245" s="340"/>
      <c r="J4245" s="340"/>
      <c r="K4245" s="497"/>
    </row>
    <row r="4246" spans="1:11" x14ac:dyDescent="0.35">
      <c r="A4246" s="332"/>
      <c r="B4246" s="333"/>
      <c r="C4246" s="333"/>
      <c r="D4246" s="333"/>
      <c r="E4246" s="333"/>
      <c r="F4246" s="333"/>
      <c r="G4246" s="333"/>
      <c r="H4246" s="333"/>
      <c r="I4246" s="333"/>
      <c r="J4246" s="333"/>
      <c r="K4246" s="496"/>
    </row>
    <row r="4247" spans="1:11" x14ac:dyDescent="0.35">
      <c r="A4247" s="339"/>
      <c r="B4247" s="340"/>
      <c r="C4247" s="340"/>
      <c r="D4247" s="340"/>
      <c r="E4247" s="340"/>
      <c r="F4247" s="340"/>
      <c r="G4247" s="340"/>
      <c r="H4247" s="340"/>
      <c r="I4247" s="340"/>
      <c r="J4247" s="340"/>
      <c r="K4247" s="497"/>
    </row>
    <row r="4248" spans="1:11" x14ac:dyDescent="0.35">
      <c r="A4248" s="332"/>
      <c r="B4248" s="333"/>
      <c r="C4248" s="333"/>
      <c r="D4248" s="333"/>
      <c r="E4248" s="333"/>
      <c r="F4248" s="333"/>
      <c r="G4248" s="333"/>
      <c r="H4248" s="333"/>
      <c r="I4248" s="333"/>
      <c r="J4248" s="333"/>
      <c r="K4248" s="496"/>
    </row>
    <row r="4249" spans="1:11" x14ac:dyDescent="0.35">
      <c r="A4249" s="339"/>
      <c r="B4249" s="340"/>
      <c r="C4249" s="340"/>
      <c r="D4249" s="340"/>
      <c r="E4249" s="340"/>
      <c r="F4249" s="340"/>
      <c r="G4249" s="340"/>
      <c r="H4249" s="340"/>
      <c r="I4249" s="340"/>
      <c r="J4249" s="340"/>
      <c r="K4249" s="497"/>
    </row>
    <row r="4250" spans="1:11" x14ac:dyDescent="0.35">
      <c r="A4250" s="332"/>
      <c r="B4250" s="333"/>
      <c r="C4250" s="333"/>
      <c r="D4250" s="333"/>
      <c r="E4250" s="333"/>
      <c r="F4250" s="333"/>
      <c r="G4250" s="333"/>
      <c r="H4250" s="333"/>
      <c r="I4250" s="333"/>
      <c r="J4250" s="333"/>
      <c r="K4250" s="496"/>
    </row>
    <row r="4251" spans="1:11" x14ac:dyDescent="0.35">
      <c r="A4251" s="339"/>
      <c r="B4251" s="340"/>
      <c r="C4251" s="340"/>
      <c r="D4251" s="340"/>
      <c r="E4251" s="340"/>
      <c r="F4251" s="340"/>
      <c r="G4251" s="340"/>
      <c r="H4251" s="340"/>
      <c r="I4251" s="340"/>
      <c r="J4251" s="340"/>
      <c r="K4251" s="497"/>
    </row>
    <row r="4252" spans="1:11" x14ac:dyDescent="0.35">
      <c r="A4252" s="332"/>
      <c r="B4252" s="333"/>
      <c r="C4252" s="333"/>
      <c r="D4252" s="333"/>
      <c r="E4252" s="333"/>
      <c r="F4252" s="333"/>
      <c r="G4252" s="333"/>
      <c r="H4252" s="333"/>
      <c r="I4252" s="333"/>
      <c r="J4252" s="333"/>
      <c r="K4252" s="496"/>
    </row>
    <row r="4253" spans="1:11" x14ac:dyDescent="0.35">
      <c r="A4253" s="339"/>
      <c r="B4253" s="340"/>
      <c r="C4253" s="340"/>
      <c r="D4253" s="340"/>
      <c r="E4253" s="340"/>
      <c r="F4253" s="340"/>
      <c r="G4253" s="340"/>
      <c r="H4253" s="340"/>
      <c r="I4253" s="340"/>
      <c r="J4253" s="340"/>
      <c r="K4253" s="497"/>
    </row>
    <row r="4254" spans="1:11" x14ac:dyDescent="0.35">
      <c r="A4254" s="332"/>
      <c r="B4254" s="333"/>
      <c r="C4254" s="333"/>
      <c r="D4254" s="333"/>
      <c r="E4254" s="333"/>
      <c r="F4254" s="333"/>
      <c r="G4254" s="333"/>
      <c r="H4254" s="333"/>
      <c r="I4254" s="333"/>
      <c r="J4254" s="333"/>
      <c r="K4254" s="496"/>
    </row>
    <row r="4255" spans="1:11" x14ac:dyDescent="0.35">
      <c r="A4255" s="339"/>
      <c r="B4255" s="340"/>
      <c r="C4255" s="340"/>
      <c r="D4255" s="340"/>
      <c r="E4255" s="340"/>
      <c r="F4255" s="340"/>
      <c r="G4255" s="340"/>
      <c r="H4255" s="340"/>
      <c r="I4255" s="340"/>
      <c r="J4255" s="340"/>
      <c r="K4255" s="497"/>
    </row>
    <row r="4256" spans="1:11" x14ac:dyDescent="0.35">
      <c r="A4256" s="332"/>
      <c r="B4256" s="333"/>
      <c r="C4256" s="333"/>
      <c r="D4256" s="333"/>
      <c r="E4256" s="333"/>
      <c r="F4256" s="333"/>
      <c r="G4256" s="333"/>
      <c r="H4256" s="333"/>
      <c r="I4256" s="333"/>
      <c r="J4256" s="333"/>
      <c r="K4256" s="496"/>
    </row>
    <row r="4257" spans="1:11" x14ac:dyDescent="0.35">
      <c r="A4257" s="339"/>
      <c r="B4257" s="340"/>
      <c r="C4257" s="340"/>
      <c r="D4257" s="340"/>
      <c r="E4257" s="340"/>
      <c r="F4257" s="340"/>
      <c r="G4257" s="340"/>
      <c r="H4257" s="340"/>
      <c r="I4257" s="340"/>
      <c r="J4257" s="340"/>
      <c r="K4257" s="497"/>
    </row>
    <row r="4258" spans="1:11" x14ac:dyDescent="0.35">
      <c r="A4258" s="332"/>
      <c r="B4258" s="333"/>
      <c r="C4258" s="333"/>
      <c r="D4258" s="333"/>
      <c r="E4258" s="333"/>
      <c r="F4258" s="333"/>
      <c r="G4258" s="333"/>
      <c r="H4258" s="333"/>
      <c r="I4258" s="333"/>
      <c r="J4258" s="333"/>
      <c r="K4258" s="496"/>
    </row>
    <row r="4259" spans="1:11" x14ac:dyDescent="0.35">
      <c r="A4259" s="339"/>
      <c r="B4259" s="340"/>
      <c r="C4259" s="340"/>
      <c r="D4259" s="340"/>
      <c r="E4259" s="340"/>
      <c r="F4259" s="340"/>
      <c r="G4259" s="340"/>
      <c r="H4259" s="340"/>
      <c r="I4259" s="340"/>
      <c r="J4259" s="340"/>
      <c r="K4259" s="497"/>
    </row>
    <row r="4260" spans="1:11" x14ac:dyDescent="0.35">
      <c r="A4260" s="332"/>
      <c r="B4260" s="333"/>
      <c r="C4260" s="333"/>
      <c r="D4260" s="333"/>
      <c r="E4260" s="333"/>
      <c r="F4260" s="333"/>
      <c r="G4260" s="333"/>
      <c r="H4260" s="333"/>
      <c r="I4260" s="333"/>
      <c r="J4260" s="333"/>
      <c r="K4260" s="496"/>
    </row>
    <row r="4261" spans="1:11" x14ac:dyDescent="0.35">
      <c r="A4261" s="339"/>
      <c r="B4261" s="340"/>
      <c r="C4261" s="340"/>
      <c r="D4261" s="340"/>
      <c r="E4261" s="340"/>
      <c r="F4261" s="340"/>
      <c r="G4261" s="340"/>
      <c r="H4261" s="340"/>
      <c r="I4261" s="340"/>
      <c r="J4261" s="340"/>
      <c r="K4261" s="497"/>
    </row>
    <row r="4262" spans="1:11" x14ac:dyDescent="0.35">
      <c r="A4262" s="332"/>
      <c r="B4262" s="333"/>
      <c r="C4262" s="333"/>
      <c r="D4262" s="333"/>
      <c r="E4262" s="333"/>
      <c r="F4262" s="333"/>
      <c r="G4262" s="333"/>
      <c r="H4262" s="333"/>
      <c r="I4262" s="333"/>
      <c r="J4262" s="333"/>
      <c r="K4262" s="496"/>
    </row>
    <row r="4263" spans="1:11" x14ac:dyDescent="0.35">
      <c r="A4263" s="339"/>
      <c r="B4263" s="340"/>
      <c r="C4263" s="340"/>
      <c r="D4263" s="340"/>
      <c r="E4263" s="340"/>
      <c r="F4263" s="340"/>
      <c r="G4263" s="340"/>
      <c r="H4263" s="340"/>
      <c r="I4263" s="340"/>
      <c r="J4263" s="340"/>
      <c r="K4263" s="497"/>
    </row>
    <row r="4264" spans="1:11" x14ac:dyDescent="0.35">
      <c r="A4264" s="332"/>
      <c r="B4264" s="333"/>
      <c r="C4264" s="333"/>
      <c r="D4264" s="333"/>
      <c r="E4264" s="333"/>
      <c r="F4264" s="333"/>
      <c r="G4264" s="333"/>
      <c r="H4264" s="333"/>
      <c r="I4264" s="333"/>
      <c r="J4264" s="333"/>
      <c r="K4264" s="496"/>
    </row>
    <row r="4265" spans="1:11" x14ac:dyDescent="0.35">
      <c r="A4265" s="339"/>
      <c r="B4265" s="340"/>
      <c r="C4265" s="340"/>
      <c r="D4265" s="340"/>
      <c r="E4265" s="340"/>
      <c r="F4265" s="340"/>
      <c r="G4265" s="340"/>
      <c r="H4265" s="340"/>
      <c r="I4265" s="340"/>
      <c r="J4265" s="340"/>
      <c r="K4265" s="497"/>
    </row>
    <row r="4266" spans="1:11" x14ac:dyDescent="0.35">
      <c r="A4266" s="332"/>
      <c r="B4266" s="333"/>
      <c r="C4266" s="333"/>
      <c r="D4266" s="333"/>
      <c r="E4266" s="333"/>
      <c r="F4266" s="333"/>
      <c r="G4266" s="333"/>
      <c r="H4266" s="333"/>
      <c r="I4266" s="333"/>
      <c r="J4266" s="333"/>
      <c r="K4266" s="496"/>
    </row>
    <row r="4267" spans="1:11" x14ac:dyDescent="0.35">
      <c r="A4267" s="339"/>
      <c r="B4267" s="340"/>
      <c r="C4267" s="340"/>
      <c r="D4267" s="340"/>
      <c r="E4267" s="340"/>
      <c r="F4267" s="340"/>
      <c r="G4267" s="340"/>
      <c r="H4267" s="340"/>
      <c r="I4267" s="340"/>
      <c r="J4267" s="340"/>
      <c r="K4267" s="497"/>
    </row>
    <row r="4268" spans="1:11" x14ac:dyDescent="0.35">
      <c r="A4268" s="332"/>
      <c r="B4268" s="333"/>
      <c r="C4268" s="333"/>
      <c r="D4268" s="333"/>
      <c r="E4268" s="333"/>
      <c r="F4268" s="333"/>
      <c r="G4268" s="333"/>
      <c r="H4268" s="333"/>
      <c r="I4268" s="333"/>
      <c r="J4268" s="333"/>
      <c r="K4268" s="496"/>
    </row>
    <row r="4269" spans="1:11" x14ac:dyDescent="0.35">
      <c r="A4269" s="339"/>
      <c r="B4269" s="340"/>
      <c r="C4269" s="340"/>
      <c r="D4269" s="340"/>
      <c r="E4269" s="340"/>
      <c r="F4269" s="340"/>
      <c r="G4269" s="340"/>
      <c r="H4269" s="340"/>
      <c r="I4269" s="340"/>
      <c r="J4269" s="340"/>
      <c r="K4269" s="497"/>
    </row>
    <row r="4270" spans="1:11" x14ac:dyDescent="0.35">
      <c r="A4270" s="332"/>
      <c r="B4270" s="333"/>
      <c r="C4270" s="333"/>
      <c r="D4270" s="333"/>
      <c r="E4270" s="333"/>
      <c r="F4270" s="333"/>
      <c r="G4270" s="333"/>
      <c r="H4270" s="333"/>
      <c r="I4270" s="333"/>
      <c r="J4270" s="333"/>
      <c r="K4270" s="496"/>
    </row>
    <row r="4271" spans="1:11" x14ac:dyDescent="0.35">
      <c r="A4271" s="339"/>
      <c r="B4271" s="340"/>
      <c r="C4271" s="340"/>
      <c r="D4271" s="340"/>
      <c r="E4271" s="340"/>
      <c r="F4271" s="340"/>
      <c r="G4271" s="340"/>
      <c r="H4271" s="340"/>
      <c r="I4271" s="340"/>
      <c r="J4271" s="340"/>
      <c r="K4271" s="497"/>
    </row>
    <row r="4272" spans="1:11" x14ac:dyDescent="0.35">
      <c r="A4272" s="332"/>
      <c r="B4272" s="333"/>
      <c r="C4272" s="333"/>
      <c r="D4272" s="333"/>
      <c r="E4272" s="333"/>
      <c r="F4272" s="333"/>
      <c r="G4272" s="333"/>
      <c r="H4272" s="333"/>
      <c r="I4272" s="333"/>
      <c r="J4272" s="333"/>
      <c r="K4272" s="496"/>
    </row>
    <row r="4273" spans="1:11" x14ac:dyDescent="0.35">
      <c r="A4273" s="339"/>
      <c r="B4273" s="340"/>
      <c r="C4273" s="340"/>
      <c r="D4273" s="340"/>
      <c r="E4273" s="340"/>
      <c r="F4273" s="340"/>
      <c r="G4273" s="340"/>
      <c r="H4273" s="340"/>
      <c r="I4273" s="340"/>
      <c r="J4273" s="340"/>
      <c r="K4273" s="497"/>
    </row>
    <row r="4274" spans="1:11" x14ac:dyDescent="0.35">
      <c r="A4274" s="332"/>
      <c r="B4274" s="333"/>
      <c r="C4274" s="333"/>
      <c r="D4274" s="333"/>
      <c r="E4274" s="333"/>
      <c r="F4274" s="333"/>
      <c r="G4274" s="333"/>
      <c r="H4274" s="333"/>
      <c r="I4274" s="333"/>
      <c r="J4274" s="333"/>
      <c r="K4274" s="496"/>
    </row>
    <row r="4275" spans="1:11" x14ac:dyDescent="0.35">
      <c r="A4275" s="339"/>
      <c r="B4275" s="340"/>
      <c r="C4275" s="340"/>
      <c r="D4275" s="340"/>
      <c r="E4275" s="340"/>
      <c r="F4275" s="340"/>
      <c r="G4275" s="340"/>
      <c r="H4275" s="340"/>
      <c r="I4275" s="340"/>
      <c r="J4275" s="340"/>
      <c r="K4275" s="497"/>
    </row>
    <row r="4276" spans="1:11" x14ac:dyDescent="0.35">
      <c r="A4276" s="332"/>
      <c r="B4276" s="333"/>
      <c r="C4276" s="333"/>
      <c r="D4276" s="333"/>
      <c r="E4276" s="333"/>
      <c r="F4276" s="333"/>
      <c r="G4276" s="333"/>
      <c r="H4276" s="333"/>
      <c r="I4276" s="333"/>
      <c r="J4276" s="333"/>
      <c r="K4276" s="496"/>
    </row>
    <row r="4277" spans="1:11" x14ac:dyDescent="0.35">
      <c r="A4277" s="339"/>
      <c r="B4277" s="340"/>
      <c r="C4277" s="340"/>
      <c r="D4277" s="340"/>
      <c r="E4277" s="340"/>
      <c r="F4277" s="340"/>
      <c r="G4277" s="340"/>
      <c r="H4277" s="340"/>
      <c r="I4277" s="340"/>
      <c r="J4277" s="340"/>
      <c r="K4277" s="497"/>
    </row>
    <row r="4278" spans="1:11" x14ac:dyDescent="0.35">
      <c r="A4278" s="332"/>
      <c r="B4278" s="333"/>
      <c r="C4278" s="333"/>
      <c r="D4278" s="333"/>
      <c r="E4278" s="333"/>
      <c r="F4278" s="333"/>
      <c r="G4278" s="333"/>
      <c r="H4278" s="333"/>
      <c r="I4278" s="333"/>
      <c r="J4278" s="333"/>
      <c r="K4278" s="496"/>
    </row>
    <row r="4279" spans="1:11" x14ac:dyDescent="0.35">
      <c r="A4279" s="339"/>
      <c r="B4279" s="340"/>
      <c r="C4279" s="340"/>
      <c r="D4279" s="340"/>
      <c r="E4279" s="340"/>
      <c r="F4279" s="340"/>
      <c r="G4279" s="340"/>
      <c r="H4279" s="340"/>
      <c r="I4279" s="340"/>
      <c r="J4279" s="340"/>
      <c r="K4279" s="497"/>
    </row>
    <row r="4280" spans="1:11" x14ac:dyDescent="0.35">
      <c r="A4280" s="332"/>
      <c r="B4280" s="333"/>
      <c r="C4280" s="333"/>
      <c r="D4280" s="333"/>
      <c r="E4280" s="333"/>
      <c r="F4280" s="333"/>
      <c r="G4280" s="333"/>
      <c r="H4280" s="333"/>
      <c r="I4280" s="333"/>
      <c r="J4280" s="333"/>
      <c r="K4280" s="496"/>
    </row>
    <row r="4281" spans="1:11" x14ac:dyDescent="0.35">
      <c r="A4281" s="339"/>
      <c r="B4281" s="340"/>
      <c r="C4281" s="340"/>
      <c r="D4281" s="340"/>
      <c r="E4281" s="340"/>
      <c r="F4281" s="340"/>
      <c r="G4281" s="340"/>
      <c r="H4281" s="340"/>
      <c r="I4281" s="340"/>
      <c r="J4281" s="340"/>
      <c r="K4281" s="497"/>
    </row>
    <row r="4282" spans="1:11" x14ac:dyDescent="0.35">
      <c r="A4282" s="332"/>
      <c r="B4282" s="333"/>
      <c r="C4282" s="333"/>
      <c r="D4282" s="333"/>
      <c r="E4282" s="333"/>
      <c r="F4282" s="333"/>
      <c r="G4282" s="333"/>
      <c r="H4282" s="333"/>
      <c r="I4282" s="333"/>
      <c r="J4282" s="333"/>
      <c r="K4282" s="496"/>
    </row>
    <row r="4283" spans="1:11" x14ac:dyDescent="0.35">
      <c r="A4283" s="339"/>
      <c r="B4283" s="340"/>
      <c r="C4283" s="340"/>
      <c r="D4283" s="340"/>
      <c r="E4283" s="340"/>
      <c r="F4283" s="340"/>
      <c r="G4283" s="340"/>
      <c r="H4283" s="340"/>
      <c r="I4283" s="340"/>
      <c r="J4283" s="340"/>
      <c r="K4283" s="497"/>
    </row>
    <row r="4284" spans="1:11" x14ac:dyDescent="0.35">
      <c r="A4284" s="332"/>
      <c r="B4284" s="333"/>
      <c r="C4284" s="333"/>
      <c r="D4284" s="333"/>
      <c r="E4284" s="333"/>
      <c r="F4284" s="333"/>
      <c r="G4284" s="333"/>
      <c r="H4284" s="333"/>
      <c r="I4284" s="333"/>
      <c r="J4284" s="333"/>
      <c r="K4284" s="496"/>
    </row>
    <row r="4285" spans="1:11" x14ac:dyDescent="0.35">
      <c r="A4285" s="339"/>
      <c r="B4285" s="340"/>
      <c r="C4285" s="340"/>
      <c r="D4285" s="340"/>
      <c r="E4285" s="340"/>
      <c r="F4285" s="340"/>
      <c r="G4285" s="340"/>
      <c r="H4285" s="340"/>
      <c r="I4285" s="340"/>
      <c r="J4285" s="340"/>
      <c r="K4285" s="497"/>
    </row>
    <row r="4286" spans="1:11" x14ac:dyDescent="0.35">
      <c r="A4286" s="332"/>
      <c r="B4286" s="333"/>
      <c r="C4286" s="333"/>
      <c r="D4286" s="333"/>
      <c r="E4286" s="333"/>
      <c r="F4286" s="333"/>
      <c r="G4286" s="333"/>
      <c r="H4286" s="333"/>
      <c r="I4286" s="333"/>
      <c r="J4286" s="333"/>
      <c r="K4286" s="496"/>
    </row>
    <row r="4287" spans="1:11" x14ac:dyDescent="0.35">
      <c r="A4287" s="339"/>
      <c r="B4287" s="340"/>
      <c r="C4287" s="340"/>
      <c r="D4287" s="340"/>
      <c r="E4287" s="340"/>
      <c r="F4287" s="340"/>
      <c r="G4287" s="340"/>
      <c r="H4287" s="340"/>
      <c r="I4287" s="340"/>
      <c r="J4287" s="340"/>
      <c r="K4287" s="497"/>
    </row>
    <row r="4288" spans="1:11" x14ac:dyDescent="0.35">
      <c r="A4288" s="332"/>
      <c r="B4288" s="333"/>
      <c r="C4288" s="333"/>
      <c r="D4288" s="333"/>
      <c r="E4288" s="333"/>
      <c r="F4288" s="333"/>
      <c r="G4288" s="333"/>
      <c r="H4288" s="333"/>
      <c r="I4288" s="333"/>
      <c r="J4288" s="333"/>
      <c r="K4288" s="496"/>
    </row>
    <row r="4289" spans="1:11" x14ac:dyDescent="0.35">
      <c r="A4289" s="339"/>
      <c r="B4289" s="340"/>
      <c r="C4289" s="340"/>
      <c r="D4289" s="340"/>
      <c r="E4289" s="340"/>
      <c r="F4289" s="340"/>
      <c r="G4289" s="340"/>
      <c r="H4289" s="340"/>
      <c r="I4289" s="340"/>
      <c r="J4289" s="340"/>
      <c r="K4289" s="497"/>
    </row>
    <row r="4290" spans="1:11" x14ac:dyDescent="0.35">
      <c r="A4290" s="332"/>
      <c r="B4290" s="333"/>
      <c r="C4290" s="333"/>
      <c r="D4290" s="333"/>
      <c r="E4290" s="333"/>
      <c r="F4290" s="333"/>
      <c r="G4290" s="333"/>
      <c r="H4290" s="333"/>
      <c r="I4290" s="333"/>
      <c r="J4290" s="333"/>
      <c r="K4290" s="496"/>
    </row>
    <row r="4291" spans="1:11" x14ac:dyDescent="0.35">
      <c r="A4291" s="339"/>
      <c r="B4291" s="340"/>
      <c r="C4291" s="340"/>
      <c r="D4291" s="340"/>
      <c r="E4291" s="340"/>
      <c r="F4291" s="340"/>
      <c r="G4291" s="340"/>
      <c r="H4291" s="340"/>
      <c r="I4291" s="340"/>
      <c r="J4291" s="340"/>
      <c r="K4291" s="497"/>
    </row>
    <row r="4292" spans="1:11" x14ac:dyDescent="0.35">
      <c r="A4292" s="332"/>
      <c r="B4292" s="333"/>
      <c r="C4292" s="333"/>
      <c r="D4292" s="333"/>
      <c r="E4292" s="333"/>
      <c r="F4292" s="333"/>
      <c r="G4292" s="333"/>
      <c r="H4292" s="333"/>
      <c r="I4292" s="333"/>
      <c r="J4292" s="333"/>
      <c r="K4292" s="496"/>
    </row>
    <row r="4293" spans="1:11" x14ac:dyDescent="0.35">
      <c r="A4293" s="339"/>
      <c r="B4293" s="340"/>
      <c r="C4293" s="340"/>
      <c r="D4293" s="340"/>
      <c r="E4293" s="340"/>
      <c r="F4293" s="340"/>
      <c r="G4293" s="340"/>
      <c r="H4293" s="340"/>
      <c r="I4293" s="340"/>
      <c r="J4293" s="340"/>
      <c r="K4293" s="497"/>
    </row>
    <row r="4294" spans="1:11" x14ac:dyDescent="0.35">
      <c r="A4294" s="332"/>
      <c r="B4294" s="333"/>
      <c r="C4294" s="333"/>
      <c r="D4294" s="333"/>
      <c r="E4294" s="333"/>
      <c r="F4294" s="333"/>
      <c r="G4294" s="333"/>
      <c r="H4294" s="333"/>
      <c r="I4294" s="333"/>
      <c r="J4294" s="333"/>
      <c r="K4294" s="496"/>
    </row>
    <row r="4295" spans="1:11" x14ac:dyDescent="0.35">
      <c r="A4295" s="339"/>
      <c r="B4295" s="340"/>
      <c r="C4295" s="340"/>
      <c r="D4295" s="340"/>
      <c r="E4295" s="340"/>
      <c r="F4295" s="340"/>
      <c r="G4295" s="340"/>
      <c r="H4295" s="340"/>
      <c r="I4295" s="340"/>
      <c r="J4295" s="340"/>
      <c r="K4295" s="497"/>
    </row>
    <row r="4296" spans="1:11" x14ac:dyDescent="0.35">
      <c r="A4296" s="332"/>
      <c r="B4296" s="333"/>
      <c r="C4296" s="333"/>
      <c r="D4296" s="333"/>
      <c r="E4296" s="333"/>
      <c r="F4296" s="333"/>
      <c r="G4296" s="333"/>
      <c r="H4296" s="333"/>
      <c r="I4296" s="333"/>
      <c r="J4296" s="333"/>
      <c r="K4296" s="496"/>
    </row>
    <row r="4297" spans="1:11" x14ac:dyDescent="0.35">
      <c r="A4297" s="339"/>
      <c r="B4297" s="340"/>
      <c r="C4297" s="340"/>
      <c r="D4297" s="340"/>
      <c r="E4297" s="340"/>
      <c r="F4297" s="340"/>
      <c r="G4297" s="340"/>
      <c r="H4297" s="340"/>
      <c r="I4297" s="340"/>
      <c r="J4297" s="340"/>
      <c r="K4297" s="497"/>
    </row>
    <row r="4298" spans="1:11" x14ac:dyDescent="0.35">
      <c r="A4298" s="332"/>
      <c r="B4298" s="333"/>
      <c r="C4298" s="333"/>
      <c r="D4298" s="333"/>
      <c r="E4298" s="333"/>
      <c r="F4298" s="333"/>
      <c r="G4298" s="333"/>
      <c r="H4298" s="333"/>
      <c r="I4298" s="333"/>
      <c r="J4298" s="333"/>
      <c r="K4298" s="496"/>
    </row>
    <row r="4299" spans="1:11" x14ac:dyDescent="0.35">
      <c r="A4299" s="339"/>
      <c r="B4299" s="340"/>
      <c r="C4299" s="340"/>
      <c r="D4299" s="340"/>
      <c r="E4299" s="340"/>
      <c r="F4299" s="340"/>
      <c r="G4299" s="340"/>
      <c r="H4299" s="340"/>
      <c r="I4299" s="340"/>
      <c r="J4299" s="340"/>
      <c r="K4299" s="497"/>
    </row>
    <row r="4300" spans="1:11" x14ac:dyDescent="0.35">
      <c r="A4300" s="332"/>
      <c r="B4300" s="333"/>
      <c r="C4300" s="333"/>
      <c r="D4300" s="333"/>
      <c r="E4300" s="333"/>
      <c r="F4300" s="333"/>
      <c r="G4300" s="333"/>
      <c r="H4300" s="333"/>
      <c r="I4300" s="333"/>
      <c r="J4300" s="333"/>
      <c r="K4300" s="496"/>
    </row>
    <row r="4301" spans="1:11" x14ac:dyDescent="0.35">
      <c r="A4301" s="339"/>
      <c r="B4301" s="340"/>
      <c r="C4301" s="340"/>
      <c r="D4301" s="340"/>
      <c r="E4301" s="340"/>
      <c r="F4301" s="340"/>
      <c r="G4301" s="340"/>
      <c r="H4301" s="340"/>
      <c r="I4301" s="340"/>
      <c r="J4301" s="340"/>
      <c r="K4301" s="497"/>
    </row>
    <row r="4302" spans="1:11" x14ac:dyDescent="0.35">
      <c r="A4302" s="332"/>
      <c r="B4302" s="333"/>
      <c r="C4302" s="333"/>
      <c r="D4302" s="333"/>
      <c r="E4302" s="333"/>
      <c r="F4302" s="333"/>
      <c r="G4302" s="333"/>
      <c r="H4302" s="333"/>
      <c r="I4302" s="333"/>
      <c r="J4302" s="333"/>
      <c r="K4302" s="496"/>
    </row>
    <row r="4303" spans="1:11" x14ac:dyDescent="0.35">
      <c r="A4303" s="339"/>
      <c r="B4303" s="340"/>
      <c r="C4303" s="340"/>
      <c r="D4303" s="340"/>
      <c r="E4303" s="340"/>
      <c r="F4303" s="340"/>
      <c r="G4303" s="340"/>
      <c r="H4303" s="340"/>
      <c r="I4303" s="340"/>
      <c r="J4303" s="340"/>
      <c r="K4303" s="497"/>
    </row>
    <row r="4304" spans="1:11" x14ac:dyDescent="0.35">
      <c r="A4304" s="332"/>
      <c r="B4304" s="333"/>
      <c r="C4304" s="333"/>
      <c r="D4304" s="333"/>
      <c r="E4304" s="333"/>
      <c r="F4304" s="333"/>
      <c r="G4304" s="333"/>
      <c r="H4304" s="333"/>
      <c r="I4304" s="333"/>
      <c r="J4304" s="333"/>
      <c r="K4304" s="496"/>
    </row>
    <row r="4305" spans="1:11" x14ac:dyDescent="0.35">
      <c r="A4305" s="339"/>
      <c r="B4305" s="340"/>
      <c r="C4305" s="340"/>
      <c r="D4305" s="340"/>
      <c r="E4305" s="340"/>
      <c r="F4305" s="340"/>
      <c r="G4305" s="340"/>
      <c r="H4305" s="340"/>
      <c r="I4305" s="340"/>
      <c r="J4305" s="340"/>
      <c r="K4305" s="497"/>
    </row>
    <row r="4306" spans="1:11" x14ac:dyDescent="0.35">
      <c r="A4306" s="332"/>
      <c r="B4306" s="333"/>
      <c r="C4306" s="333"/>
      <c r="D4306" s="333"/>
      <c r="E4306" s="333"/>
      <c r="F4306" s="333"/>
      <c r="G4306" s="333"/>
      <c r="H4306" s="333"/>
      <c r="I4306" s="333"/>
      <c r="J4306" s="333"/>
      <c r="K4306" s="496"/>
    </row>
    <row r="4307" spans="1:11" x14ac:dyDescent="0.35">
      <c r="A4307" s="339"/>
      <c r="B4307" s="340"/>
      <c r="C4307" s="340"/>
      <c r="D4307" s="340"/>
      <c r="E4307" s="340"/>
      <c r="F4307" s="340"/>
      <c r="G4307" s="340"/>
      <c r="H4307" s="340"/>
      <c r="I4307" s="340"/>
      <c r="J4307" s="340"/>
      <c r="K4307" s="497"/>
    </row>
    <row r="4308" spans="1:11" x14ac:dyDescent="0.35">
      <c r="A4308" s="332"/>
      <c r="B4308" s="333"/>
      <c r="C4308" s="333"/>
      <c r="D4308" s="333"/>
      <c r="E4308" s="333"/>
      <c r="F4308" s="333"/>
      <c r="G4308" s="333"/>
      <c r="H4308" s="333"/>
      <c r="I4308" s="333"/>
      <c r="J4308" s="333"/>
      <c r="K4308" s="496"/>
    </row>
    <row r="4309" spans="1:11" x14ac:dyDescent="0.35">
      <c r="A4309" s="339"/>
      <c r="B4309" s="340"/>
      <c r="C4309" s="340"/>
      <c r="D4309" s="340"/>
      <c r="E4309" s="340"/>
      <c r="F4309" s="340"/>
      <c r="G4309" s="340"/>
      <c r="H4309" s="340"/>
      <c r="I4309" s="340"/>
      <c r="J4309" s="340"/>
      <c r="K4309" s="497"/>
    </row>
    <row r="4310" spans="1:11" x14ac:dyDescent="0.35">
      <c r="A4310" s="332"/>
      <c r="B4310" s="333"/>
      <c r="C4310" s="333"/>
      <c r="D4310" s="333"/>
      <c r="E4310" s="333"/>
      <c r="F4310" s="333"/>
      <c r="G4310" s="333"/>
      <c r="H4310" s="333"/>
      <c r="I4310" s="333"/>
      <c r="J4310" s="333"/>
      <c r="K4310" s="496"/>
    </row>
    <row r="4311" spans="1:11" x14ac:dyDescent="0.35">
      <c r="A4311" s="339"/>
      <c r="B4311" s="340"/>
      <c r="C4311" s="340"/>
      <c r="D4311" s="340"/>
      <c r="E4311" s="340"/>
      <c r="F4311" s="340"/>
      <c r="G4311" s="340"/>
      <c r="H4311" s="340"/>
      <c r="I4311" s="340"/>
      <c r="J4311" s="340"/>
      <c r="K4311" s="497"/>
    </row>
    <row r="4312" spans="1:11" x14ac:dyDescent="0.35">
      <c r="A4312" s="332"/>
      <c r="B4312" s="333"/>
      <c r="C4312" s="333"/>
      <c r="D4312" s="333"/>
      <c r="E4312" s="333"/>
      <c r="F4312" s="333"/>
      <c r="G4312" s="333"/>
      <c r="H4312" s="333"/>
      <c r="I4312" s="333"/>
      <c r="J4312" s="333"/>
      <c r="K4312" s="496"/>
    </row>
    <row r="4313" spans="1:11" x14ac:dyDescent="0.35">
      <c r="A4313" s="339"/>
      <c r="B4313" s="340"/>
      <c r="C4313" s="340"/>
      <c r="D4313" s="340"/>
      <c r="E4313" s="340"/>
      <c r="F4313" s="340"/>
      <c r="G4313" s="340"/>
      <c r="H4313" s="340"/>
      <c r="I4313" s="340"/>
      <c r="J4313" s="340"/>
      <c r="K4313" s="497"/>
    </row>
    <row r="4314" spans="1:11" x14ac:dyDescent="0.35">
      <c r="A4314" s="332"/>
      <c r="B4314" s="333"/>
      <c r="C4314" s="333"/>
      <c r="D4314" s="333"/>
      <c r="E4314" s="333"/>
      <c r="F4314" s="333"/>
      <c r="G4314" s="333"/>
      <c r="H4314" s="333"/>
      <c r="I4314" s="333"/>
      <c r="J4314" s="333"/>
      <c r="K4314" s="496"/>
    </row>
    <row r="4315" spans="1:11" x14ac:dyDescent="0.35">
      <c r="A4315" s="339"/>
      <c r="B4315" s="340"/>
      <c r="C4315" s="340"/>
      <c r="D4315" s="340"/>
      <c r="E4315" s="340"/>
      <c r="F4315" s="340"/>
      <c r="G4315" s="340"/>
      <c r="H4315" s="340"/>
      <c r="I4315" s="340"/>
      <c r="J4315" s="340"/>
      <c r="K4315" s="497"/>
    </row>
    <row r="4316" spans="1:11" x14ac:dyDescent="0.35">
      <c r="A4316" s="332"/>
      <c r="B4316" s="333"/>
      <c r="C4316" s="333"/>
      <c r="D4316" s="333"/>
      <c r="E4316" s="333"/>
      <c r="F4316" s="333"/>
      <c r="G4316" s="333"/>
      <c r="H4316" s="333"/>
      <c r="I4316" s="333"/>
      <c r="J4316" s="333"/>
      <c r="K4316" s="496"/>
    </row>
    <row r="4317" spans="1:11" x14ac:dyDescent="0.35">
      <c r="A4317" s="339"/>
      <c r="B4317" s="340"/>
      <c r="C4317" s="340"/>
      <c r="D4317" s="340"/>
      <c r="E4317" s="340"/>
      <c r="F4317" s="340"/>
      <c r="G4317" s="340"/>
      <c r="H4317" s="340"/>
      <c r="I4317" s="340"/>
      <c r="J4317" s="340"/>
      <c r="K4317" s="497"/>
    </row>
    <row r="4318" spans="1:11" x14ac:dyDescent="0.35">
      <c r="A4318" s="332"/>
      <c r="B4318" s="333"/>
      <c r="C4318" s="333"/>
      <c r="D4318" s="333"/>
      <c r="E4318" s="333"/>
      <c r="F4318" s="333"/>
      <c r="G4318" s="333"/>
      <c r="H4318" s="333"/>
      <c r="I4318" s="333"/>
      <c r="J4318" s="333"/>
      <c r="K4318" s="496"/>
    </row>
    <row r="4319" spans="1:11" x14ac:dyDescent="0.35">
      <c r="A4319" s="339"/>
      <c r="B4319" s="340"/>
      <c r="C4319" s="340"/>
      <c r="D4319" s="340"/>
      <c r="E4319" s="340"/>
      <c r="F4319" s="340"/>
      <c r="G4319" s="340"/>
      <c r="H4319" s="340"/>
      <c r="I4319" s="340"/>
      <c r="J4319" s="340"/>
      <c r="K4319" s="497"/>
    </row>
    <row r="4320" spans="1:11" x14ac:dyDescent="0.35">
      <c r="A4320" s="332"/>
      <c r="B4320" s="333"/>
      <c r="C4320" s="333"/>
      <c r="D4320" s="333"/>
      <c r="E4320" s="333"/>
      <c r="F4320" s="333"/>
      <c r="G4320" s="333"/>
      <c r="H4320" s="333"/>
      <c r="I4320" s="333"/>
      <c r="J4320" s="333"/>
      <c r="K4320" s="496"/>
    </row>
    <row r="4321" spans="1:11" x14ac:dyDescent="0.35">
      <c r="A4321" s="339"/>
      <c r="B4321" s="340"/>
      <c r="C4321" s="340"/>
      <c r="D4321" s="340"/>
      <c r="E4321" s="340"/>
      <c r="F4321" s="340"/>
      <c r="G4321" s="340"/>
      <c r="H4321" s="340"/>
      <c r="I4321" s="340"/>
      <c r="J4321" s="340"/>
      <c r="K4321" s="497"/>
    </row>
    <row r="4322" spans="1:11" x14ac:dyDescent="0.35">
      <c r="A4322" s="332"/>
      <c r="B4322" s="333"/>
      <c r="C4322" s="333"/>
      <c r="D4322" s="333"/>
      <c r="E4322" s="333"/>
      <c r="F4322" s="333"/>
      <c r="G4322" s="333"/>
      <c r="H4322" s="333"/>
      <c r="I4322" s="333"/>
      <c r="J4322" s="333"/>
      <c r="K4322" s="496"/>
    </row>
    <row r="4323" spans="1:11" x14ac:dyDescent="0.35">
      <c r="A4323" s="339"/>
      <c r="B4323" s="340"/>
      <c r="C4323" s="340"/>
      <c r="D4323" s="340"/>
      <c r="E4323" s="340"/>
      <c r="F4323" s="340"/>
      <c r="G4323" s="340"/>
      <c r="H4323" s="340"/>
      <c r="I4323" s="340"/>
      <c r="J4323" s="340"/>
      <c r="K4323" s="497"/>
    </row>
    <row r="4324" spans="1:11" x14ac:dyDescent="0.35">
      <c r="A4324" s="332"/>
      <c r="B4324" s="333"/>
      <c r="C4324" s="333"/>
      <c r="D4324" s="333"/>
      <c r="E4324" s="333"/>
      <c r="F4324" s="333"/>
      <c r="G4324" s="333"/>
      <c r="H4324" s="333"/>
      <c r="I4324" s="333"/>
      <c r="J4324" s="333"/>
      <c r="K4324" s="496"/>
    </row>
    <row r="4325" spans="1:11" x14ac:dyDescent="0.35">
      <c r="A4325" s="339"/>
      <c r="B4325" s="340"/>
      <c r="C4325" s="340"/>
      <c r="D4325" s="340"/>
      <c r="E4325" s="340"/>
      <c r="F4325" s="340"/>
      <c r="G4325" s="340"/>
      <c r="H4325" s="340"/>
      <c r="I4325" s="340"/>
      <c r="J4325" s="340"/>
      <c r="K4325" s="497"/>
    </row>
    <row r="4326" spans="1:11" x14ac:dyDescent="0.35">
      <c r="A4326" s="332"/>
      <c r="B4326" s="333"/>
      <c r="C4326" s="333"/>
      <c r="D4326" s="333"/>
      <c r="E4326" s="333"/>
      <c r="F4326" s="333"/>
      <c r="G4326" s="333"/>
      <c r="H4326" s="333"/>
      <c r="I4326" s="333"/>
      <c r="J4326" s="333"/>
      <c r="K4326" s="496"/>
    </row>
    <row r="4327" spans="1:11" x14ac:dyDescent="0.35">
      <c r="A4327" s="339"/>
      <c r="B4327" s="340"/>
      <c r="C4327" s="340"/>
      <c r="D4327" s="340"/>
      <c r="E4327" s="340"/>
      <c r="F4327" s="340"/>
      <c r="G4327" s="340"/>
      <c r="H4327" s="340"/>
      <c r="I4327" s="340"/>
      <c r="J4327" s="340"/>
      <c r="K4327" s="497"/>
    </row>
    <row r="4328" spans="1:11" x14ac:dyDescent="0.35">
      <c r="A4328" s="332"/>
      <c r="B4328" s="333"/>
      <c r="C4328" s="333"/>
      <c r="D4328" s="333"/>
      <c r="E4328" s="333"/>
      <c r="F4328" s="333"/>
      <c r="G4328" s="333"/>
      <c r="H4328" s="333"/>
      <c r="I4328" s="333"/>
      <c r="J4328" s="333"/>
      <c r="K4328" s="496"/>
    </row>
    <row r="4329" spans="1:11" x14ac:dyDescent="0.35">
      <c r="A4329" s="339"/>
      <c r="B4329" s="340"/>
      <c r="C4329" s="340"/>
      <c r="D4329" s="340"/>
      <c r="E4329" s="340"/>
      <c r="F4329" s="340"/>
      <c r="G4329" s="340"/>
      <c r="H4329" s="340"/>
      <c r="I4329" s="340"/>
      <c r="J4329" s="340"/>
      <c r="K4329" s="497"/>
    </row>
    <row r="4330" spans="1:11" x14ac:dyDescent="0.35">
      <c r="A4330" s="332"/>
      <c r="B4330" s="333"/>
      <c r="C4330" s="333"/>
      <c r="D4330" s="333"/>
      <c r="E4330" s="333"/>
      <c r="F4330" s="333"/>
      <c r="G4330" s="333"/>
      <c r="H4330" s="333"/>
      <c r="I4330" s="333"/>
      <c r="J4330" s="333"/>
      <c r="K4330" s="496"/>
    </row>
    <row r="4331" spans="1:11" x14ac:dyDescent="0.35">
      <c r="A4331" s="339"/>
      <c r="B4331" s="340"/>
      <c r="C4331" s="340"/>
      <c r="D4331" s="340"/>
      <c r="E4331" s="340"/>
      <c r="F4331" s="340"/>
      <c r="G4331" s="340"/>
      <c r="H4331" s="340"/>
      <c r="I4331" s="340"/>
      <c r="J4331" s="340"/>
      <c r="K4331" s="497"/>
    </row>
    <row r="4332" spans="1:11" x14ac:dyDescent="0.35">
      <c r="A4332" s="332"/>
      <c r="B4332" s="333"/>
      <c r="C4332" s="333"/>
      <c r="D4332" s="333"/>
      <c r="E4332" s="333"/>
      <c r="F4332" s="333"/>
      <c r="G4332" s="333"/>
      <c r="H4332" s="333"/>
      <c r="I4332" s="333"/>
      <c r="J4332" s="333"/>
      <c r="K4332" s="496"/>
    </row>
    <row r="4333" spans="1:11" x14ac:dyDescent="0.35">
      <c r="A4333" s="339"/>
      <c r="B4333" s="340"/>
      <c r="C4333" s="340"/>
      <c r="D4333" s="340"/>
      <c r="E4333" s="340"/>
      <c r="F4333" s="340"/>
      <c r="G4333" s="340"/>
      <c r="H4333" s="340"/>
      <c r="I4333" s="340"/>
      <c r="J4333" s="340"/>
      <c r="K4333" s="497"/>
    </row>
    <row r="4334" spans="1:11" x14ac:dyDescent="0.35">
      <c r="A4334" s="332"/>
      <c r="B4334" s="333"/>
      <c r="C4334" s="333"/>
      <c r="D4334" s="333"/>
      <c r="E4334" s="333"/>
      <c r="F4334" s="333"/>
      <c r="G4334" s="333"/>
      <c r="H4334" s="333"/>
      <c r="I4334" s="333"/>
      <c r="J4334" s="333"/>
      <c r="K4334" s="496"/>
    </row>
    <row r="4335" spans="1:11" x14ac:dyDescent="0.35">
      <c r="A4335" s="339"/>
      <c r="B4335" s="340"/>
      <c r="C4335" s="340"/>
      <c r="D4335" s="340"/>
      <c r="E4335" s="340"/>
      <c r="F4335" s="340"/>
      <c r="G4335" s="340"/>
      <c r="H4335" s="340"/>
      <c r="I4335" s="340"/>
      <c r="J4335" s="340"/>
      <c r="K4335" s="497"/>
    </row>
    <row r="4336" spans="1:11" x14ac:dyDescent="0.35">
      <c r="A4336" s="332"/>
      <c r="B4336" s="333"/>
      <c r="C4336" s="333"/>
      <c r="D4336" s="333"/>
      <c r="E4336" s="333"/>
      <c r="F4336" s="333"/>
      <c r="G4336" s="333"/>
      <c r="H4336" s="333"/>
      <c r="I4336" s="333"/>
      <c r="J4336" s="333"/>
      <c r="K4336" s="496"/>
    </row>
    <row r="4337" spans="1:11" x14ac:dyDescent="0.35">
      <c r="A4337" s="339"/>
      <c r="B4337" s="340"/>
      <c r="C4337" s="340"/>
      <c r="D4337" s="340"/>
      <c r="E4337" s="340"/>
      <c r="F4337" s="340"/>
      <c r="G4337" s="340"/>
      <c r="H4337" s="340"/>
      <c r="I4337" s="340"/>
      <c r="J4337" s="340"/>
      <c r="K4337" s="497"/>
    </row>
    <row r="4338" spans="1:11" x14ac:dyDescent="0.35">
      <c r="A4338" s="332"/>
      <c r="B4338" s="333"/>
      <c r="C4338" s="333"/>
      <c r="D4338" s="333"/>
      <c r="E4338" s="333"/>
      <c r="F4338" s="333"/>
      <c r="G4338" s="333"/>
      <c r="H4338" s="333"/>
      <c r="I4338" s="333"/>
      <c r="J4338" s="333"/>
      <c r="K4338" s="496"/>
    </row>
    <row r="4339" spans="1:11" x14ac:dyDescent="0.35">
      <c r="A4339" s="339"/>
      <c r="B4339" s="340"/>
      <c r="C4339" s="340"/>
      <c r="D4339" s="340"/>
      <c r="E4339" s="340"/>
      <c r="F4339" s="340"/>
      <c r="G4339" s="340"/>
      <c r="H4339" s="340"/>
      <c r="I4339" s="340"/>
      <c r="J4339" s="340"/>
      <c r="K4339" s="497"/>
    </row>
    <row r="4340" spans="1:11" x14ac:dyDescent="0.35">
      <c r="A4340" s="332"/>
      <c r="B4340" s="333"/>
      <c r="C4340" s="333"/>
      <c r="D4340" s="333"/>
      <c r="E4340" s="333"/>
      <c r="F4340" s="333"/>
      <c r="G4340" s="333"/>
      <c r="H4340" s="333"/>
      <c r="I4340" s="333"/>
      <c r="J4340" s="333"/>
      <c r="K4340" s="496"/>
    </row>
    <row r="4341" spans="1:11" x14ac:dyDescent="0.35">
      <c r="A4341" s="339"/>
      <c r="B4341" s="340"/>
      <c r="C4341" s="340"/>
      <c r="D4341" s="340"/>
      <c r="E4341" s="340"/>
      <c r="F4341" s="340"/>
      <c r="G4341" s="340"/>
      <c r="H4341" s="340"/>
      <c r="I4341" s="340"/>
      <c r="J4341" s="340"/>
      <c r="K4341" s="497"/>
    </row>
    <row r="4342" spans="1:11" x14ac:dyDescent="0.35">
      <c r="A4342" s="332"/>
      <c r="B4342" s="333"/>
      <c r="C4342" s="333"/>
      <c r="D4342" s="333"/>
      <c r="E4342" s="333"/>
      <c r="F4342" s="333"/>
      <c r="G4342" s="333"/>
      <c r="H4342" s="333"/>
      <c r="I4342" s="333"/>
      <c r="J4342" s="333"/>
      <c r="K4342" s="496"/>
    </row>
    <row r="4343" spans="1:11" x14ac:dyDescent="0.35">
      <c r="A4343" s="339"/>
      <c r="B4343" s="340"/>
      <c r="C4343" s="340"/>
      <c r="D4343" s="340"/>
      <c r="E4343" s="340"/>
      <c r="F4343" s="340"/>
      <c r="G4343" s="340"/>
      <c r="H4343" s="340"/>
      <c r="I4343" s="340"/>
      <c r="J4343" s="340"/>
      <c r="K4343" s="497"/>
    </row>
    <row r="4344" spans="1:11" x14ac:dyDescent="0.35">
      <c r="A4344" s="332"/>
      <c r="B4344" s="333"/>
      <c r="C4344" s="333"/>
      <c r="D4344" s="333"/>
      <c r="E4344" s="333"/>
      <c r="F4344" s="333"/>
      <c r="G4344" s="333"/>
      <c r="H4344" s="333"/>
      <c r="I4344" s="333"/>
      <c r="J4344" s="333"/>
      <c r="K4344" s="496"/>
    </row>
    <row r="4345" spans="1:11" x14ac:dyDescent="0.35">
      <c r="A4345" s="339"/>
      <c r="B4345" s="340"/>
      <c r="C4345" s="340"/>
      <c r="D4345" s="340"/>
      <c r="E4345" s="340"/>
      <c r="F4345" s="340"/>
      <c r="G4345" s="340"/>
      <c r="H4345" s="340"/>
      <c r="I4345" s="340"/>
      <c r="J4345" s="340"/>
      <c r="K4345" s="497"/>
    </row>
    <row r="4346" spans="1:11" x14ac:dyDescent="0.35">
      <c r="A4346" s="332"/>
      <c r="B4346" s="333"/>
      <c r="C4346" s="333"/>
      <c r="D4346" s="333"/>
      <c r="E4346" s="333"/>
      <c r="F4346" s="333"/>
      <c r="G4346" s="333"/>
      <c r="H4346" s="333"/>
      <c r="I4346" s="333"/>
      <c r="J4346" s="333"/>
      <c r="K4346" s="496"/>
    </row>
    <row r="4347" spans="1:11" x14ac:dyDescent="0.35">
      <c r="A4347" s="339"/>
      <c r="B4347" s="340"/>
      <c r="C4347" s="340"/>
      <c r="D4347" s="340"/>
      <c r="E4347" s="340"/>
      <c r="F4347" s="340"/>
      <c r="G4347" s="340"/>
      <c r="H4347" s="340"/>
      <c r="I4347" s="340"/>
      <c r="J4347" s="340"/>
      <c r="K4347" s="497"/>
    </row>
    <row r="4348" spans="1:11" x14ac:dyDescent="0.35">
      <c r="A4348" s="332"/>
      <c r="B4348" s="333"/>
      <c r="C4348" s="333"/>
      <c r="D4348" s="333"/>
      <c r="E4348" s="333"/>
      <c r="F4348" s="333"/>
      <c r="G4348" s="333"/>
      <c r="H4348" s="333"/>
      <c r="I4348" s="333"/>
      <c r="J4348" s="333"/>
      <c r="K4348" s="496"/>
    </row>
    <row r="4349" spans="1:11" x14ac:dyDescent="0.35">
      <c r="A4349" s="339"/>
      <c r="B4349" s="340"/>
      <c r="C4349" s="340"/>
      <c r="D4349" s="340"/>
      <c r="E4349" s="340"/>
      <c r="F4349" s="340"/>
      <c r="G4349" s="340"/>
      <c r="H4349" s="340"/>
      <c r="I4349" s="340"/>
      <c r="J4349" s="340"/>
      <c r="K4349" s="497"/>
    </row>
    <row r="4350" spans="1:11" x14ac:dyDescent="0.35">
      <c r="A4350" s="332"/>
      <c r="B4350" s="333"/>
      <c r="C4350" s="333"/>
      <c r="D4350" s="333"/>
      <c r="E4350" s="333"/>
      <c r="F4350" s="333"/>
      <c r="G4350" s="333"/>
      <c r="H4350" s="333"/>
      <c r="I4350" s="333"/>
      <c r="J4350" s="333"/>
      <c r="K4350" s="496"/>
    </row>
    <row r="4351" spans="1:11" x14ac:dyDescent="0.35">
      <c r="A4351" s="339"/>
      <c r="B4351" s="340"/>
      <c r="C4351" s="340"/>
      <c r="D4351" s="340"/>
      <c r="E4351" s="340"/>
      <c r="F4351" s="340"/>
      <c r="G4351" s="340"/>
      <c r="H4351" s="340"/>
      <c r="I4351" s="340"/>
      <c r="J4351" s="340"/>
      <c r="K4351" s="497"/>
    </row>
    <row r="4352" spans="1:11" x14ac:dyDescent="0.35">
      <c r="A4352" s="332"/>
      <c r="B4352" s="333"/>
      <c r="C4352" s="333"/>
      <c r="D4352" s="333"/>
      <c r="E4352" s="333"/>
      <c r="F4352" s="333"/>
      <c r="G4352" s="333"/>
      <c r="H4352" s="333"/>
      <c r="I4352" s="333"/>
      <c r="J4352" s="333"/>
      <c r="K4352" s="496"/>
    </row>
    <row r="4353" spans="1:11" x14ac:dyDescent="0.35">
      <c r="A4353" s="339"/>
      <c r="B4353" s="340"/>
      <c r="C4353" s="340"/>
      <c r="D4353" s="340"/>
      <c r="E4353" s="340"/>
      <c r="F4353" s="340"/>
      <c r="G4353" s="340"/>
      <c r="H4353" s="340"/>
      <c r="I4353" s="340"/>
      <c r="J4353" s="340"/>
      <c r="K4353" s="497"/>
    </row>
    <row r="4354" spans="1:11" x14ac:dyDescent="0.35">
      <c r="A4354" s="332"/>
      <c r="B4354" s="333"/>
      <c r="C4354" s="333"/>
      <c r="D4354" s="333"/>
      <c r="E4354" s="333"/>
      <c r="F4354" s="333"/>
      <c r="G4354" s="333"/>
      <c r="H4354" s="333"/>
      <c r="I4354" s="333"/>
      <c r="J4354" s="333"/>
      <c r="K4354" s="496"/>
    </row>
    <row r="4355" spans="1:11" x14ac:dyDescent="0.35">
      <c r="A4355" s="339"/>
      <c r="B4355" s="340"/>
      <c r="C4355" s="340"/>
      <c r="D4355" s="340"/>
      <c r="E4355" s="340"/>
      <c r="F4355" s="340"/>
      <c r="G4355" s="340"/>
      <c r="H4355" s="340"/>
      <c r="I4355" s="340"/>
      <c r="J4355" s="340"/>
      <c r="K4355" s="497"/>
    </row>
    <row r="4356" spans="1:11" x14ac:dyDescent="0.35">
      <c r="A4356" s="332"/>
      <c r="B4356" s="333"/>
      <c r="C4356" s="333"/>
      <c r="D4356" s="333"/>
      <c r="E4356" s="333"/>
      <c r="F4356" s="333"/>
      <c r="G4356" s="333"/>
      <c r="H4356" s="333"/>
      <c r="I4356" s="333"/>
      <c r="J4356" s="333"/>
      <c r="K4356" s="496"/>
    </row>
    <row r="4357" spans="1:11" x14ac:dyDescent="0.35">
      <c r="A4357" s="339"/>
      <c r="B4357" s="340"/>
      <c r="C4357" s="340"/>
      <c r="D4357" s="340"/>
      <c r="E4357" s="340"/>
      <c r="F4357" s="340"/>
      <c r="G4357" s="340"/>
      <c r="H4357" s="340"/>
      <c r="I4357" s="340"/>
      <c r="J4357" s="340"/>
      <c r="K4357" s="497"/>
    </row>
    <row r="4358" spans="1:11" x14ac:dyDescent="0.35">
      <c r="A4358" s="332"/>
      <c r="B4358" s="333"/>
      <c r="C4358" s="333"/>
      <c r="D4358" s="333"/>
      <c r="E4358" s="333"/>
      <c r="F4358" s="333"/>
      <c r="G4358" s="333"/>
      <c r="H4358" s="333"/>
      <c r="I4358" s="333"/>
      <c r="J4358" s="333"/>
      <c r="K4358" s="496"/>
    </row>
    <row r="4359" spans="1:11" x14ac:dyDescent="0.35">
      <c r="A4359" s="339"/>
      <c r="B4359" s="340"/>
      <c r="C4359" s="340"/>
      <c r="D4359" s="340"/>
      <c r="E4359" s="340"/>
      <c r="F4359" s="340"/>
      <c r="G4359" s="340"/>
      <c r="H4359" s="340"/>
      <c r="I4359" s="340"/>
      <c r="J4359" s="340"/>
      <c r="K4359" s="497"/>
    </row>
    <row r="4360" spans="1:11" x14ac:dyDescent="0.35">
      <c r="A4360" s="332"/>
      <c r="B4360" s="333"/>
      <c r="C4360" s="333"/>
      <c r="D4360" s="333"/>
      <c r="E4360" s="333"/>
      <c r="F4360" s="333"/>
      <c r="G4360" s="333"/>
      <c r="H4360" s="333"/>
      <c r="I4360" s="333"/>
      <c r="J4360" s="333"/>
      <c r="K4360" s="496"/>
    </row>
    <row r="4361" spans="1:11" x14ac:dyDescent="0.35">
      <c r="A4361" s="339"/>
      <c r="B4361" s="340"/>
      <c r="C4361" s="340"/>
      <c r="D4361" s="340"/>
      <c r="E4361" s="340"/>
      <c r="F4361" s="340"/>
      <c r="G4361" s="340"/>
      <c r="H4361" s="340"/>
      <c r="I4361" s="340"/>
      <c r="J4361" s="340"/>
      <c r="K4361" s="497"/>
    </row>
    <row r="4362" spans="1:11" x14ac:dyDescent="0.35">
      <c r="A4362" s="332"/>
      <c r="B4362" s="333"/>
      <c r="C4362" s="333"/>
      <c r="D4362" s="333"/>
      <c r="E4362" s="333"/>
      <c r="F4362" s="333"/>
      <c r="G4362" s="333"/>
      <c r="H4362" s="333"/>
      <c r="I4362" s="333"/>
      <c r="J4362" s="333"/>
      <c r="K4362" s="496"/>
    </row>
    <row r="4363" spans="1:11" x14ac:dyDescent="0.35">
      <c r="A4363" s="339"/>
      <c r="B4363" s="340"/>
      <c r="C4363" s="340"/>
      <c r="D4363" s="340"/>
      <c r="E4363" s="340"/>
      <c r="F4363" s="340"/>
      <c r="G4363" s="340"/>
      <c r="H4363" s="340"/>
      <c r="I4363" s="340"/>
      <c r="J4363" s="340"/>
      <c r="K4363" s="497"/>
    </row>
    <row r="4364" spans="1:11" x14ac:dyDescent="0.35">
      <c r="A4364" s="332"/>
      <c r="B4364" s="333"/>
      <c r="C4364" s="333"/>
      <c r="D4364" s="333"/>
      <c r="E4364" s="333"/>
      <c r="F4364" s="333"/>
      <c r="G4364" s="333"/>
      <c r="H4364" s="333"/>
      <c r="I4364" s="333"/>
      <c r="J4364" s="333"/>
      <c r="K4364" s="496"/>
    </row>
    <row r="4365" spans="1:11" x14ac:dyDescent="0.35">
      <c r="A4365" s="339"/>
      <c r="B4365" s="340"/>
      <c r="C4365" s="340"/>
      <c r="D4365" s="340"/>
      <c r="E4365" s="340"/>
      <c r="F4365" s="340"/>
      <c r="G4365" s="340"/>
      <c r="H4365" s="340"/>
      <c r="I4365" s="340"/>
      <c r="J4365" s="340"/>
      <c r="K4365" s="497"/>
    </row>
    <row r="4366" spans="1:11" x14ac:dyDescent="0.35">
      <c r="A4366" s="332"/>
      <c r="B4366" s="333"/>
      <c r="C4366" s="333"/>
      <c r="D4366" s="333"/>
      <c r="E4366" s="333"/>
      <c r="F4366" s="333"/>
      <c r="G4366" s="333"/>
      <c r="H4366" s="333"/>
      <c r="I4366" s="333"/>
      <c r="J4366" s="333"/>
      <c r="K4366" s="496"/>
    </row>
    <row r="4367" spans="1:11" x14ac:dyDescent="0.35">
      <c r="A4367" s="339"/>
      <c r="B4367" s="340"/>
      <c r="C4367" s="340"/>
      <c r="D4367" s="340"/>
      <c r="E4367" s="340"/>
      <c r="F4367" s="340"/>
      <c r="G4367" s="340"/>
      <c r="H4367" s="340"/>
      <c r="I4367" s="340"/>
      <c r="J4367" s="340"/>
      <c r="K4367" s="497"/>
    </row>
    <row r="4368" spans="1:11" x14ac:dyDescent="0.35">
      <c r="A4368" s="332"/>
      <c r="B4368" s="333"/>
      <c r="C4368" s="333"/>
      <c r="D4368" s="333"/>
      <c r="E4368" s="333"/>
      <c r="F4368" s="333"/>
      <c r="G4368" s="333"/>
      <c r="H4368" s="333"/>
      <c r="I4368" s="333"/>
      <c r="J4368" s="333"/>
      <c r="K4368" s="496"/>
    </row>
    <row r="4369" spans="1:11" x14ac:dyDescent="0.35">
      <c r="A4369" s="339"/>
      <c r="B4369" s="340"/>
      <c r="C4369" s="340"/>
      <c r="D4369" s="340"/>
      <c r="E4369" s="340"/>
      <c r="F4369" s="340"/>
      <c r="G4369" s="340"/>
      <c r="H4369" s="340"/>
      <c r="I4369" s="340"/>
      <c r="J4369" s="340"/>
      <c r="K4369" s="497"/>
    </row>
    <row r="4370" spans="1:11" x14ac:dyDescent="0.35">
      <c r="A4370" s="332"/>
      <c r="B4370" s="333"/>
      <c r="C4370" s="333"/>
      <c r="D4370" s="333"/>
      <c r="E4370" s="333"/>
      <c r="F4370" s="333"/>
      <c r="G4370" s="333"/>
      <c r="H4370" s="333"/>
      <c r="I4370" s="333"/>
      <c r="J4370" s="333"/>
      <c r="K4370" s="496"/>
    </row>
    <row r="4371" spans="1:11" x14ac:dyDescent="0.35">
      <c r="A4371" s="339"/>
      <c r="B4371" s="340"/>
      <c r="C4371" s="340"/>
      <c r="D4371" s="340"/>
      <c r="E4371" s="340"/>
      <c r="F4371" s="340"/>
      <c r="G4371" s="340"/>
      <c r="H4371" s="340"/>
      <c r="I4371" s="340"/>
      <c r="J4371" s="340"/>
      <c r="K4371" s="497"/>
    </row>
    <row r="4372" spans="1:11" x14ac:dyDescent="0.35">
      <c r="A4372" s="332"/>
      <c r="B4372" s="333"/>
      <c r="C4372" s="333"/>
      <c r="D4372" s="333"/>
      <c r="E4372" s="333"/>
      <c r="F4372" s="333"/>
      <c r="G4372" s="333"/>
      <c r="H4372" s="333"/>
      <c r="I4372" s="333"/>
      <c r="J4372" s="333"/>
      <c r="K4372" s="496"/>
    </row>
    <row r="4373" spans="1:11" x14ac:dyDescent="0.35">
      <c r="A4373" s="339"/>
      <c r="B4373" s="340"/>
      <c r="C4373" s="340"/>
      <c r="D4373" s="340"/>
      <c r="E4373" s="340"/>
      <c r="F4373" s="340"/>
      <c r="G4373" s="340"/>
      <c r="H4373" s="340"/>
      <c r="I4373" s="340"/>
      <c r="J4373" s="340"/>
      <c r="K4373" s="497"/>
    </row>
    <row r="4374" spans="1:11" x14ac:dyDescent="0.35">
      <c r="A4374" s="332"/>
      <c r="B4374" s="333"/>
      <c r="C4374" s="333"/>
      <c r="D4374" s="333"/>
      <c r="E4374" s="333"/>
      <c r="F4374" s="333"/>
      <c r="G4374" s="333"/>
      <c r="H4374" s="333"/>
      <c r="I4374" s="333"/>
      <c r="J4374" s="333"/>
      <c r="K4374" s="496"/>
    </row>
    <row r="4375" spans="1:11" x14ac:dyDescent="0.35">
      <c r="A4375" s="339"/>
      <c r="B4375" s="340"/>
      <c r="C4375" s="340"/>
      <c r="D4375" s="340"/>
      <c r="E4375" s="340"/>
      <c r="F4375" s="340"/>
      <c r="G4375" s="340"/>
      <c r="H4375" s="340"/>
      <c r="I4375" s="340"/>
      <c r="J4375" s="340"/>
      <c r="K4375" s="497"/>
    </row>
    <row r="4376" spans="1:11" x14ac:dyDescent="0.35">
      <c r="A4376" s="332"/>
      <c r="B4376" s="333"/>
      <c r="C4376" s="333"/>
      <c r="D4376" s="333"/>
      <c r="E4376" s="333"/>
      <c r="F4376" s="333"/>
      <c r="G4376" s="333"/>
      <c r="H4376" s="333"/>
      <c r="I4376" s="333"/>
      <c r="J4376" s="333"/>
      <c r="K4376" s="496"/>
    </row>
    <row r="4377" spans="1:11" x14ac:dyDescent="0.35">
      <c r="A4377" s="339"/>
      <c r="B4377" s="340"/>
      <c r="C4377" s="340"/>
      <c r="D4377" s="340"/>
      <c r="E4377" s="340"/>
      <c r="F4377" s="340"/>
      <c r="G4377" s="340"/>
      <c r="H4377" s="340"/>
      <c r="I4377" s="340"/>
      <c r="J4377" s="340"/>
      <c r="K4377" s="497"/>
    </row>
    <row r="4378" spans="1:11" x14ac:dyDescent="0.35">
      <c r="A4378" s="332"/>
      <c r="B4378" s="333"/>
      <c r="C4378" s="333"/>
      <c r="D4378" s="333"/>
      <c r="E4378" s="333"/>
      <c r="F4378" s="333"/>
      <c r="G4378" s="333"/>
      <c r="H4378" s="333"/>
      <c r="I4378" s="333"/>
      <c r="J4378" s="333"/>
      <c r="K4378" s="496"/>
    </row>
    <row r="4379" spans="1:11" x14ac:dyDescent="0.35">
      <c r="A4379" s="339"/>
      <c r="B4379" s="340"/>
      <c r="C4379" s="340"/>
      <c r="D4379" s="340"/>
      <c r="E4379" s="340"/>
      <c r="F4379" s="340"/>
      <c r="G4379" s="340"/>
      <c r="H4379" s="340"/>
      <c r="I4379" s="340"/>
      <c r="J4379" s="340"/>
      <c r="K4379" s="497"/>
    </row>
    <row r="4380" spans="1:11" x14ac:dyDescent="0.35">
      <c r="A4380" s="332"/>
      <c r="B4380" s="333"/>
      <c r="C4380" s="333"/>
      <c r="D4380" s="333"/>
      <c r="E4380" s="333"/>
      <c r="F4380" s="333"/>
      <c r="G4380" s="333"/>
      <c r="H4380" s="333"/>
      <c r="I4380" s="333"/>
      <c r="J4380" s="333"/>
      <c r="K4380" s="496"/>
    </row>
    <row r="4381" spans="1:11" x14ac:dyDescent="0.35">
      <c r="A4381" s="339"/>
      <c r="B4381" s="340"/>
      <c r="C4381" s="340"/>
      <c r="D4381" s="340"/>
      <c r="E4381" s="340"/>
      <c r="F4381" s="340"/>
      <c r="G4381" s="340"/>
      <c r="H4381" s="340"/>
      <c r="I4381" s="340"/>
      <c r="J4381" s="340"/>
      <c r="K4381" s="497"/>
    </row>
    <row r="4382" spans="1:11" x14ac:dyDescent="0.35">
      <c r="A4382" s="332"/>
      <c r="B4382" s="333"/>
      <c r="C4382" s="333"/>
      <c r="D4382" s="333"/>
      <c r="E4382" s="333"/>
      <c r="F4382" s="333"/>
      <c r="G4382" s="333"/>
      <c r="H4382" s="333"/>
      <c r="I4382" s="333"/>
      <c r="J4382" s="333"/>
      <c r="K4382" s="496"/>
    </row>
    <row r="4383" spans="1:11" x14ac:dyDescent="0.35">
      <c r="A4383" s="339"/>
      <c r="B4383" s="340"/>
      <c r="C4383" s="340"/>
      <c r="D4383" s="340"/>
      <c r="E4383" s="340"/>
      <c r="F4383" s="340"/>
      <c r="G4383" s="340"/>
      <c r="H4383" s="340"/>
      <c r="I4383" s="340"/>
      <c r="J4383" s="340"/>
      <c r="K4383" s="497"/>
    </row>
    <row r="4384" spans="1:11" x14ac:dyDescent="0.35">
      <c r="A4384" s="332"/>
      <c r="B4384" s="333"/>
      <c r="C4384" s="333"/>
      <c r="D4384" s="333"/>
      <c r="E4384" s="333"/>
      <c r="F4384" s="333"/>
      <c r="G4384" s="333"/>
      <c r="H4384" s="333"/>
      <c r="I4384" s="333"/>
      <c r="J4384" s="333"/>
      <c r="K4384" s="496"/>
    </row>
    <row r="4385" spans="1:11" x14ac:dyDescent="0.35">
      <c r="A4385" s="339"/>
      <c r="B4385" s="340"/>
      <c r="C4385" s="340"/>
      <c r="D4385" s="340"/>
      <c r="E4385" s="340"/>
      <c r="F4385" s="340"/>
      <c r="G4385" s="340"/>
      <c r="H4385" s="340"/>
      <c r="I4385" s="340"/>
      <c r="J4385" s="340"/>
      <c r="K4385" s="497"/>
    </row>
    <row r="4386" spans="1:11" x14ac:dyDescent="0.35">
      <c r="A4386" s="332"/>
      <c r="B4386" s="333"/>
      <c r="C4386" s="333"/>
      <c r="D4386" s="333"/>
      <c r="E4386" s="333"/>
      <c r="F4386" s="333"/>
      <c r="G4386" s="333"/>
      <c r="H4386" s="333"/>
      <c r="I4386" s="333"/>
      <c r="J4386" s="333"/>
      <c r="K4386" s="496"/>
    </row>
    <row r="4387" spans="1:11" x14ac:dyDescent="0.35">
      <c r="A4387" s="339"/>
      <c r="B4387" s="340"/>
      <c r="C4387" s="340"/>
      <c r="D4387" s="340"/>
      <c r="E4387" s="340"/>
      <c r="F4387" s="340"/>
      <c r="G4387" s="340"/>
      <c r="H4387" s="340"/>
      <c r="I4387" s="340"/>
      <c r="J4387" s="340"/>
      <c r="K4387" s="497"/>
    </row>
    <row r="4388" spans="1:11" x14ac:dyDescent="0.35">
      <c r="A4388" s="332"/>
      <c r="B4388" s="333"/>
      <c r="C4388" s="333"/>
      <c r="D4388" s="333"/>
      <c r="E4388" s="333"/>
      <c r="F4388" s="333"/>
      <c r="G4388" s="333"/>
      <c r="H4388" s="333"/>
      <c r="I4388" s="333"/>
      <c r="J4388" s="333"/>
      <c r="K4388" s="496"/>
    </row>
    <row r="4389" spans="1:11" x14ac:dyDescent="0.35">
      <c r="A4389" s="339"/>
      <c r="B4389" s="340"/>
      <c r="C4389" s="340"/>
      <c r="D4389" s="340"/>
      <c r="E4389" s="340"/>
      <c r="F4389" s="340"/>
      <c r="G4389" s="340"/>
      <c r="H4389" s="340"/>
      <c r="I4389" s="340"/>
      <c r="J4389" s="340"/>
      <c r="K4389" s="497"/>
    </row>
    <row r="4390" spans="1:11" x14ac:dyDescent="0.35">
      <c r="A4390" s="332"/>
      <c r="B4390" s="333"/>
      <c r="C4390" s="333"/>
      <c r="D4390" s="333"/>
      <c r="E4390" s="333"/>
      <c r="F4390" s="333"/>
      <c r="G4390" s="333"/>
      <c r="H4390" s="333"/>
      <c r="I4390" s="333"/>
      <c r="J4390" s="333"/>
      <c r="K4390" s="496"/>
    </row>
    <row r="4391" spans="1:11" x14ac:dyDescent="0.35">
      <c r="A4391" s="339"/>
      <c r="B4391" s="340"/>
      <c r="C4391" s="340"/>
      <c r="D4391" s="340"/>
      <c r="E4391" s="340"/>
      <c r="F4391" s="340"/>
      <c r="G4391" s="340"/>
      <c r="H4391" s="340"/>
      <c r="I4391" s="340"/>
      <c r="J4391" s="340"/>
      <c r="K4391" s="497"/>
    </row>
    <row r="4392" spans="1:11" x14ac:dyDescent="0.35">
      <c r="A4392" s="332"/>
      <c r="B4392" s="333"/>
      <c r="C4392" s="333"/>
      <c r="D4392" s="333"/>
      <c r="E4392" s="333"/>
      <c r="F4392" s="333"/>
      <c r="G4392" s="333"/>
      <c r="H4392" s="333"/>
      <c r="I4392" s="333"/>
      <c r="J4392" s="333"/>
      <c r="K4392" s="496"/>
    </row>
    <row r="4393" spans="1:11" x14ac:dyDescent="0.35">
      <c r="A4393" s="339"/>
      <c r="B4393" s="340"/>
      <c r="C4393" s="340"/>
      <c r="D4393" s="340"/>
      <c r="E4393" s="340"/>
      <c r="F4393" s="340"/>
      <c r="G4393" s="340"/>
      <c r="H4393" s="340"/>
      <c r="I4393" s="340"/>
      <c r="J4393" s="340"/>
      <c r="K4393" s="497"/>
    </row>
    <row r="4394" spans="1:11" x14ac:dyDescent="0.35">
      <c r="A4394" s="332"/>
      <c r="B4394" s="333"/>
      <c r="C4394" s="333"/>
      <c r="D4394" s="333"/>
      <c r="E4394" s="333"/>
      <c r="F4394" s="333"/>
      <c r="G4394" s="333"/>
      <c r="H4394" s="333"/>
      <c r="I4394" s="333"/>
      <c r="J4394" s="333"/>
      <c r="K4394" s="496"/>
    </row>
    <row r="4395" spans="1:11" x14ac:dyDescent="0.35">
      <c r="A4395" s="339"/>
      <c r="B4395" s="340"/>
      <c r="C4395" s="340"/>
      <c r="D4395" s="340"/>
      <c r="E4395" s="340"/>
      <c r="F4395" s="340"/>
      <c r="G4395" s="340"/>
      <c r="H4395" s="340"/>
      <c r="I4395" s="340"/>
      <c r="J4395" s="340"/>
      <c r="K4395" s="497"/>
    </row>
    <row r="4396" spans="1:11" x14ac:dyDescent="0.35">
      <c r="A4396" s="332"/>
      <c r="B4396" s="333"/>
      <c r="C4396" s="333"/>
      <c r="D4396" s="333"/>
      <c r="E4396" s="333"/>
      <c r="F4396" s="333"/>
      <c r="G4396" s="333"/>
      <c r="H4396" s="333"/>
      <c r="I4396" s="333"/>
      <c r="J4396" s="333"/>
      <c r="K4396" s="496"/>
    </row>
    <row r="4397" spans="1:11" x14ac:dyDescent="0.35">
      <c r="A4397" s="339"/>
      <c r="B4397" s="340"/>
      <c r="C4397" s="340"/>
      <c r="D4397" s="340"/>
      <c r="E4397" s="340"/>
      <c r="F4397" s="340"/>
      <c r="G4397" s="340"/>
      <c r="H4397" s="340"/>
      <c r="I4397" s="340"/>
      <c r="J4397" s="340"/>
      <c r="K4397" s="497"/>
    </row>
    <row r="4398" spans="1:11" x14ac:dyDescent="0.35">
      <c r="A4398" s="332"/>
      <c r="B4398" s="333"/>
      <c r="C4398" s="333"/>
      <c r="D4398" s="333"/>
      <c r="E4398" s="333"/>
      <c r="F4398" s="333"/>
      <c r="G4398" s="333"/>
      <c r="H4398" s="333"/>
      <c r="I4398" s="333"/>
      <c r="J4398" s="333"/>
      <c r="K4398" s="496"/>
    </row>
    <row r="4399" spans="1:11" x14ac:dyDescent="0.35">
      <c r="A4399" s="339"/>
      <c r="B4399" s="340"/>
      <c r="C4399" s="340"/>
      <c r="D4399" s="340"/>
      <c r="E4399" s="340"/>
      <c r="F4399" s="340"/>
      <c r="G4399" s="340"/>
      <c r="H4399" s="340"/>
      <c r="I4399" s="340"/>
      <c r="J4399" s="340"/>
      <c r="K4399" s="497"/>
    </row>
    <row r="4400" spans="1:11" x14ac:dyDescent="0.35">
      <c r="A4400" s="332"/>
      <c r="B4400" s="333"/>
      <c r="C4400" s="333"/>
      <c r="D4400" s="333"/>
      <c r="E4400" s="333"/>
      <c r="F4400" s="333"/>
      <c r="G4400" s="333"/>
      <c r="H4400" s="333"/>
      <c r="I4400" s="333"/>
      <c r="J4400" s="333"/>
      <c r="K4400" s="496"/>
    </row>
    <row r="4401" spans="1:11" x14ac:dyDescent="0.35">
      <c r="A4401" s="339"/>
      <c r="B4401" s="340"/>
      <c r="C4401" s="340"/>
      <c r="D4401" s="340"/>
      <c r="E4401" s="340"/>
      <c r="F4401" s="340"/>
      <c r="G4401" s="340"/>
      <c r="H4401" s="340"/>
      <c r="I4401" s="340"/>
      <c r="J4401" s="340"/>
      <c r="K4401" s="497"/>
    </row>
    <row r="4402" spans="1:11" x14ac:dyDescent="0.35">
      <c r="A4402" s="332"/>
      <c r="B4402" s="333"/>
      <c r="C4402" s="333"/>
      <c r="D4402" s="333"/>
      <c r="E4402" s="333"/>
      <c r="F4402" s="333"/>
      <c r="G4402" s="333"/>
      <c r="H4402" s="333"/>
      <c r="I4402" s="333"/>
      <c r="J4402" s="333"/>
      <c r="K4402" s="496"/>
    </row>
    <row r="4403" spans="1:11" x14ac:dyDescent="0.35">
      <c r="A4403" s="339"/>
      <c r="B4403" s="340"/>
      <c r="C4403" s="340"/>
      <c r="D4403" s="340"/>
      <c r="E4403" s="340"/>
      <c r="F4403" s="340"/>
      <c r="G4403" s="340"/>
      <c r="H4403" s="340"/>
      <c r="I4403" s="340"/>
      <c r="J4403" s="340"/>
      <c r="K4403" s="497"/>
    </row>
    <row r="4404" spans="1:11" x14ac:dyDescent="0.35">
      <c r="A4404" s="332"/>
      <c r="B4404" s="333"/>
      <c r="C4404" s="333"/>
      <c r="D4404" s="333"/>
      <c r="E4404" s="333"/>
      <c r="F4404" s="333"/>
      <c r="G4404" s="333"/>
      <c r="H4404" s="333"/>
      <c r="I4404" s="333"/>
      <c r="J4404" s="333"/>
      <c r="K4404" s="496"/>
    </row>
    <row r="4405" spans="1:11" x14ac:dyDescent="0.35">
      <c r="A4405" s="339"/>
      <c r="B4405" s="340"/>
      <c r="C4405" s="340"/>
      <c r="D4405" s="340"/>
      <c r="E4405" s="340"/>
      <c r="F4405" s="340"/>
      <c r="G4405" s="340"/>
      <c r="H4405" s="340"/>
      <c r="I4405" s="340"/>
      <c r="J4405" s="340"/>
      <c r="K4405" s="497"/>
    </row>
    <row r="4406" spans="1:11" x14ac:dyDescent="0.35">
      <c r="A4406" s="332"/>
      <c r="B4406" s="333"/>
      <c r="C4406" s="333"/>
      <c r="D4406" s="333"/>
      <c r="E4406" s="333"/>
      <c r="F4406" s="333"/>
      <c r="G4406" s="333"/>
      <c r="H4406" s="333"/>
      <c r="I4406" s="333"/>
      <c r="J4406" s="333"/>
      <c r="K4406" s="496"/>
    </row>
    <row r="4407" spans="1:11" x14ac:dyDescent="0.35">
      <c r="A4407" s="339"/>
      <c r="B4407" s="340"/>
      <c r="C4407" s="340"/>
      <c r="D4407" s="340"/>
      <c r="E4407" s="340"/>
      <c r="F4407" s="340"/>
      <c r="G4407" s="340"/>
      <c r="H4407" s="340"/>
      <c r="I4407" s="340"/>
      <c r="J4407" s="340"/>
      <c r="K4407" s="497"/>
    </row>
    <row r="4408" spans="1:11" x14ac:dyDescent="0.35">
      <c r="A4408" s="332"/>
      <c r="B4408" s="333"/>
      <c r="C4408" s="333"/>
      <c r="D4408" s="333"/>
      <c r="E4408" s="333"/>
      <c r="F4408" s="333"/>
      <c r="G4408" s="333"/>
      <c r="H4408" s="333"/>
      <c r="I4408" s="333"/>
      <c r="J4408" s="333"/>
      <c r="K4408" s="496"/>
    </row>
    <row r="4409" spans="1:11" x14ac:dyDescent="0.35">
      <c r="A4409" s="339"/>
      <c r="B4409" s="340"/>
      <c r="C4409" s="340"/>
      <c r="D4409" s="340"/>
      <c r="E4409" s="340"/>
      <c r="F4409" s="340"/>
      <c r="G4409" s="340"/>
      <c r="H4409" s="340"/>
      <c r="I4409" s="340"/>
      <c r="J4409" s="340"/>
      <c r="K4409" s="497"/>
    </row>
    <row r="4410" spans="1:11" x14ac:dyDescent="0.35">
      <c r="A4410" s="332"/>
      <c r="B4410" s="333"/>
      <c r="C4410" s="333"/>
      <c r="D4410" s="333"/>
      <c r="E4410" s="333"/>
      <c r="F4410" s="333"/>
      <c r="G4410" s="333"/>
      <c r="H4410" s="333"/>
      <c r="I4410" s="333"/>
      <c r="J4410" s="333"/>
      <c r="K4410" s="496"/>
    </row>
    <row r="4411" spans="1:11" x14ac:dyDescent="0.35">
      <c r="A4411" s="339"/>
      <c r="B4411" s="340"/>
      <c r="C4411" s="340"/>
      <c r="D4411" s="340"/>
      <c r="E4411" s="340"/>
      <c r="F4411" s="340"/>
      <c r="G4411" s="340"/>
      <c r="H4411" s="340"/>
      <c r="I4411" s="340"/>
      <c r="J4411" s="340"/>
      <c r="K4411" s="497"/>
    </row>
    <row r="4412" spans="1:11" x14ac:dyDescent="0.35">
      <c r="A4412" s="332"/>
      <c r="B4412" s="333"/>
      <c r="C4412" s="333"/>
      <c r="D4412" s="333"/>
      <c r="E4412" s="333"/>
      <c r="F4412" s="333"/>
      <c r="G4412" s="333"/>
      <c r="H4412" s="333"/>
      <c r="I4412" s="333"/>
      <c r="J4412" s="333"/>
      <c r="K4412" s="496"/>
    </row>
    <row r="4413" spans="1:11" x14ac:dyDescent="0.35">
      <c r="A4413" s="339"/>
      <c r="B4413" s="340"/>
      <c r="C4413" s="340"/>
      <c r="D4413" s="340"/>
      <c r="E4413" s="340"/>
      <c r="F4413" s="340"/>
      <c r="G4413" s="340"/>
      <c r="H4413" s="340"/>
      <c r="I4413" s="340"/>
      <c r="J4413" s="340"/>
      <c r="K4413" s="497"/>
    </row>
    <row r="4414" spans="1:11" x14ac:dyDescent="0.35">
      <c r="A4414" s="332"/>
      <c r="B4414" s="333"/>
      <c r="C4414" s="333"/>
      <c r="D4414" s="333"/>
      <c r="E4414" s="333"/>
      <c r="F4414" s="333"/>
      <c r="G4414" s="333"/>
      <c r="H4414" s="333"/>
      <c r="I4414" s="333"/>
      <c r="J4414" s="333"/>
      <c r="K4414" s="496"/>
    </row>
    <row r="4415" spans="1:11" x14ac:dyDescent="0.35">
      <c r="A4415" s="339"/>
      <c r="B4415" s="340"/>
      <c r="C4415" s="340"/>
      <c r="D4415" s="340"/>
      <c r="E4415" s="340"/>
      <c r="F4415" s="340"/>
      <c r="G4415" s="340"/>
      <c r="H4415" s="340"/>
      <c r="I4415" s="340"/>
      <c r="J4415" s="340"/>
      <c r="K4415" s="497"/>
    </row>
    <row r="4416" spans="1:11" x14ac:dyDescent="0.35">
      <c r="A4416" s="332"/>
      <c r="B4416" s="333"/>
      <c r="C4416" s="333"/>
      <c r="D4416" s="333"/>
      <c r="E4416" s="333"/>
      <c r="F4416" s="333"/>
      <c r="G4416" s="333"/>
      <c r="H4416" s="333"/>
      <c r="I4416" s="333"/>
      <c r="J4416" s="333"/>
      <c r="K4416" s="496"/>
    </row>
    <row r="4417" spans="1:11" x14ac:dyDescent="0.35">
      <c r="A4417" s="339"/>
      <c r="B4417" s="340"/>
      <c r="C4417" s="340"/>
      <c r="D4417" s="340"/>
      <c r="E4417" s="340"/>
      <c r="F4417" s="340"/>
      <c r="G4417" s="340"/>
      <c r="H4417" s="340"/>
      <c r="I4417" s="340"/>
      <c r="J4417" s="340"/>
      <c r="K4417" s="497"/>
    </row>
    <row r="4418" spans="1:11" x14ac:dyDescent="0.35">
      <c r="A4418" s="332"/>
      <c r="B4418" s="333"/>
      <c r="C4418" s="333"/>
      <c r="D4418" s="333"/>
      <c r="E4418" s="333"/>
      <c r="F4418" s="333"/>
      <c r="G4418" s="333"/>
      <c r="H4418" s="333"/>
      <c r="I4418" s="333"/>
      <c r="J4418" s="333"/>
      <c r="K4418" s="496"/>
    </row>
    <row r="4419" spans="1:11" x14ac:dyDescent="0.35">
      <c r="A4419" s="339"/>
      <c r="B4419" s="340"/>
      <c r="C4419" s="340"/>
      <c r="D4419" s="340"/>
      <c r="E4419" s="340"/>
      <c r="F4419" s="340"/>
      <c r="G4419" s="340"/>
      <c r="H4419" s="340"/>
      <c r="I4419" s="340"/>
      <c r="J4419" s="340"/>
      <c r="K4419" s="497"/>
    </row>
    <row r="4420" spans="1:11" x14ac:dyDescent="0.35">
      <c r="A4420" s="332"/>
      <c r="B4420" s="333"/>
      <c r="C4420" s="333"/>
      <c r="D4420" s="333"/>
      <c r="E4420" s="333"/>
      <c r="F4420" s="333"/>
      <c r="G4420" s="333"/>
      <c r="H4420" s="333"/>
      <c r="I4420" s="333"/>
      <c r="J4420" s="333"/>
      <c r="K4420" s="496"/>
    </row>
    <row r="4421" spans="1:11" x14ac:dyDescent="0.35">
      <c r="A4421" s="339"/>
      <c r="B4421" s="340"/>
      <c r="C4421" s="340"/>
      <c r="D4421" s="340"/>
      <c r="E4421" s="340"/>
      <c r="F4421" s="340"/>
      <c r="G4421" s="340"/>
      <c r="H4421" s="340"/>
      <c r="I4421" s="340"/>
      <c r="J4421" s="340"/>
      <c r="K4421" s="497"/>
    </row>
    <row r="4422" spans="1:11" x14ac:dyDescent="0.35">
      <c r="A4422" s="332"/>
      <c r="B4422" s="333"/>
      <c r="C4422" s="333"/>
      <c r="D4422" s="333"/>
      <c r="E4422" s="333"/>
      <c r="F4422" s="333"/>
      <c r="G4422" s="333"/>
      <c r="H4422" s="333"/>
      <c r="I4422" s="333"/>
      <c r="J4422" s="333"/>
      <c r="K4422" s="496"/>
    </row>
    <row r="4423" spans="1:11" x14ac:dyDescent="0.35">
      <c r="A4423" s="339"/>
      <c r="B4423" s="340"/>
      <c r="C4423" s="340"/>
      <c r="D4423" s="340"/>
      <c r="E4423" s="340"/>
      <c r="F4423" s="340"/>
      <c r="G4423" s="340"/>
      <c r="H4423" s="340"/>
      <c r="I4423" s="340"/>
      <c r="J4423" s="340"/>
      <c r="K4423" s="497"/>
    </row>
    <row r="4424" spans="1:11" x14ac:dyDescent="0.35">
      <c r="A4424" s="332"/>
      <c r="B4424" s="333"/>
      <c r="C4424" s="333"/>
      <c r="D4424" s="333"/>
      <c r="E4424" s="333"/>
      <c r="F4424" s="333"/>
      <c r="G4424" s="333"/>
      <c r="H4424" s="333"/>
      <c r="I4424" s="333"/>
      <c r="J4424" s="333"/>
      <c r="K4424" s="496"/>
    </row>
    <row r="4425" spans="1:11" x14ac:dyDescent="0.35">
      <c r="A4425" s="339"/>
      <c r="B4425" s="340"/>
      <c r="C4425" s="340"/>
      <c r="D4425" s="340"/>
      <c r="E4425" s="340"/>
      <c r="F4425" s="340"/>
      <c r="G4425" s="340"/>
      <c r="H4425" s="340"/>
      <c r="I4425" s="340"/>
      <c r="J4425" s="340"/>
      <c r="K4425" s="497"/>
    </row>
    <row r="4426" spans="1:11" x14ac:dyDescent="0.35">
      <c r="A4426" s="332"/>
      <c r="B4426" s="333"/>
      <c r="C4426" s="333"/>
      <c r="D4426" s="333"/>
      <c r="E4426" s="333"/>
      <c r="F4426" s="333"/>
      <c r="G4426" s="333"/>
      <c r="H4426" s="333"/>
      <c r="I4426" s="333"/>
      <c r="J4426" s="333"/>
      <c r="K4426" s="496"/>
    </row>
    <row r="4427" spans="1:11" x14ac:dyDescent="0.35">
      <c r="A4427" s="339"/>
      <c r="B4427" s="340"/>
      <c r="C4427" s="340"/>
      <c r="D4427" s="340"/>
      <c r="E4427" s="340"/>
      <c r="F4427" s="340"/>
      <c r="G4427" s="340"/>
      <c r="H4427" s="340"/>
      <c r="I4427" s="340"/>
      <c r="J4427" s="340"/>
      <c r="K4427" s="497"/>
    </row>
    <row r="4428" spans="1:11" x14ac:dyDescent="0.35">
      <c r="A4428" s="332"/>
      <c r="B4428" s="333"/>
      <c r="C4428" s="333"/>
      <c r="D4428" s="333"/>
      <c r="E4428" s="333"/>
      <c r="F4428" s="333"/>
      <c r="G4428" s="333"/>
      <c r="H4428" s="333"/>
      <c r="I4428" s="333"/>
      <c r="J4428" s="333"/>
      <c r="K4428" s="496"/>
    </row>
    <row r="4429" spans="1:11" x14ac:dyDescent="0.35">
      <c r="A4429" s="339"/>
      <c r="B4429" s="340"/>
      <c r="C4429" s="340"/>
      <c r="D4429" s="340"/>
      <c r="E4429" s="340"/>
      <c r="F4429" s="340"/>
      <c r="G4429" s="340"/>
      <c r="H4429" s="340"/>
      <c r="I4429" s="340"/>
      <c r="J4429" s="340"/>
      <c r="K4429" s="497"/>
    </row>
    <row r="4430" spans="1:11" x14ac:dyDescent="0.35">
      <c r="A4430" s="332"/>
      <c r="B4430" s="333"/>
      <c r="C4430" s="333"/>
      <c r="D4430" s="333"/>
      <c r="E4430" s="333"/>
      <c r="F4430" s="333"/>
      <c r="G4430" s="333"/>
      <c r="H4430" s="333"/>
      <c r="I4430" s="333"/>
      <c r="J4430" s="333"/>
      <c r="K4430" s="496"/>
    </row>
    <row r="4431" spans="1:11" x14ac:dyDescent="0.35">
      <c r="A4431" s="339"/>
      <c r="B4431" s="340"/>
      <c r="C4431" s="340"/>
      <c r="D4431" s="340"/>
      <c r="E4431" s="340"/>
      <c r="F4431" s="340"/>
      <c r="G4431" s="340"/>
      <c r="H4431" s="340"/>
      <c r="I4431" s="340"/>
      <c r="J4431" s="340"/>
      <c r="K4431" s="497"/>
    </row>
    <row r="4432" spans="1:11" x14ac:dyDescent="0.35">
      <c r="A4432" s="332"/>
      <c r="B4432" s="333"/>
      <c r="C4432" s="333"/>
      <c r="D4432" s="333"/>
      <c r="E4432" s="333"/>
      <c r="F4432" s="333"/>
      <c r="G4432" s="333"/>
      <c r="H4432" s="333"/>
      <c r="I4432" s="333"/>
      <c r="J4432" s="333"/>
      <c r="K4432" s="496"/>
    </row>
    <row r="4433" spans="1:11" x14ac:dyDescent="0.35">
      <c r="A4433" s="339"/>
      <c r="B4433" s="340"/>
      <c r="C4433" s="340"/>
      <c r="D4433" s="340"/>
      <c r="E4433" s="340"/>
      <c r="F4433" s="340"/>
      <c r="G4433" s="340"/>
      <c r="H4433" s="340"/>
      <c r="I4433" s="340"/>
      <c r="J4433" s="340"/>
      <c r="K4433" s="497"/>
    </row>
    <row r="4434" spans="1:11" x14ac:dyDescent="0.35">
      <c r="A4434" s="332"/>
      <c r="B4434" s="333"/>
      <c r="C4434" s="333"/>
      <c r="D4434" s="333"/>
      <c r="E4434" s="333"/>
      <c r="F4434" s="333"/>
      <c r="G4434" s="333"/>
      <c r="H4434" s="333"/>
      <c r="I4434" s="333"/>
      <c r="J4434" s="333"/>
      <c r="K4434" s="496"/>
    </row>
    <row r="4435" spans="1:11" x14ac:dyDescent="0.35">
      <c r="A4435" s="339"/>
      <c r="B4435" s="340"/>
      <c r="C4435" s="340"/>
      <c r="D4435" s="340"/>
      <c r="E4435" s="340"/>
      <c r="F4435" s="340"/>
      <c r="G4435" s="340"/>
      <c r="H4435" s="340"/>
      <c r="I4435" s="340"/>
      <c r="J4435" s="340"/>
      <c r="K4435" s="497"/>
    </row>
    <row r="4436" spans="1:11" x14ac:dyDescent="0.35">
      <c r="A4436" s="332"/>
      <c r="B4436" s="333"/>
      <c r="C4436" s="333"/>
      <c r="D4436" s="333"/>
      <c r="E4436" s="333"/>
      <c r="F4436" s="333"/>
      <c r="G4436" s="333"/>
      <c r="H4436" s="333"/>
      <c r="I4436" s="333"/>
      <c r="J4436" s="333"/>
      <c r="K4436" s="496"/>
    </row>
    <row r="4437" spans="1:11" x14ac:dyDescent="0.35">
      <c r="A4437" s="339"/>
      <c r="B4437" s="340"/>
      <c r="C4437" s="340"/>
      <c r="D4437" s="340"/>
      <c r="E4437" s="340"/>
      <c r="F4437" s="340"/>
      <c r="G4437" s="340"/>
      <c r="H4437" s="340"/>
      <c r="I4437" s="340"/>
      <c r="J4437" s="340"/>
      <c r="K4437" s="497"/>
    </row>
    <row r="4438" spans="1:11" x14ac:dyDescent="0.35">
      <c r="A4438" s="332"/>
      <c r="B4438" s="333"/>
      <c r="C4438" s="333"/>
      <c r="D4438" s="333"/>
      <c r="E4438" s="333"/>
      <c r="F4438" s="333"/>
      <c r="G4438" s="333"/>
      <c r="H4438" s="333"/>
      <c r="I4438" s="333"/>
      <c r="J4438" s="333"/>
      <c r="K4438" s="496"/>
    </row>
    <row r="4439" spans="1:11" x14ac:dyDescent="0.35">
      <c r="A4439" s="339"/>
      <c r="B4439" s="340"/>
      <c r="C4439" s="340"/>
      <c r="D4439" s="340"/>
      <c r="E4439" s="340"/>
      <c r="F4439" s="340"/>
      <c r="G4439" s="340"/>
      <c r="H4439" s="340"/>
      <c r="I4439" s="340"/>
      <c r="J4439" s="340"/>
      <c r="K4439" s="497"/>
    </row>
    <row r="4440" spans="1:11" x14ac:dyDescent="0.35">
      <c r="A4440" s="332"/>
      <c r="B4440" s="333"/>
      <c r="C4440" s="333"/>
      <c r="D4440" s="333"/>
      <c r="E4440" s="333"/>
      <c r="F4440" s="333"/>
      <c r="G4440" s="333"/>
      <c r="H4440" s="333"/>
      <c r="I4440" s="333"/>
      <c r="J4440" s="333"/>
      <c r="K4440" s="496"/>
    </row>
    <row r="4441" spans="1:11" x14ac:dyDescent="0.35">
      <c r="A4441" s="339"/>
      <c r="B4441" s="340"/>
      <c r="C4441" s="340"/>
      <c r="D4441" s="340"/>
      <c r="E4441" s="340"/>
      <c r="F4441" s="340"/>
      <c r="G4441" s="340"/>
      <c r="H4441" s="340"/>
      <c r="I4441" s="340"/>
      <c r="J4441" s="340"/>
      <c r="K4441" s="497"/>
    </row>
    <row r="4442" spans="1:11" x14ac:dyDescent="0.35">
      <c r="A4442" s="332"/>
      <c r="B4442" s="333"/>
      <c r="C4442" s="333"/>
      <c r="D4442" s="333"/>
      <c r="E4442" s="333"/>
      <c r="F4442" s="333"/>
      <c r="G4442" s="333"/>
      <c r="H4442" s="333"/>
      <c r="I4442" s="333"/>
      <c r="J4442" s="333"/>
      <c r="K4442" s="496"/>
    </row>
    <row r="4443" spans="1:11" x14ac:dyDescent="0.35">
      <c r="A4443" s="339"/>
      <c r="B4443" s="340"/>
      <c r="C4443" s="340"/>
      <c r="D4443" s="340"/>
      <c r="E4443" s="340"/>
      <c r="F4443" s="340"/>
      <c r="G4443" s="340"/>
      <c r="H4443" s="340"/>
      <c r="I4443" s="340"/>
      <c r="J4443" s="340"/>
      <c r="K4443" s="497"/>
    </row>
    <row r="4444" spans="1:11" x14ac:dyDescent="0.35">
      <c r="A4444" s="332"/>
      <c r="B4444" s="333"/>
      <c r="C4444" s="333"/>
      <c r="D4444" s="333"/>
      <c r="E4444" s="333"/>
      <c r="F4444" s="333"/>
      <c r="G4444" s="333"/>
      <c r="H4444" s="333"/>
      <c r="I4444" s="333"/>
      <c r="J4444" s="333"/>
      <c r="K4444" s="496"/>
    </row>
    <row r="4445" spans="1:11" x14ac:dyDescent="0.35">
      <c r="A4445" s="339"/>
      <c r="B4445" s="340"/>
      <c r="C4445" s="340"/>
      <c r="D4445" s="340"/>
      <c r="E4445" s="340"/>
      <c r="F4445" s="340"/>
      <c r="G4445" s="340"/>
      <c r="H4445" s="340"/>
      <c r="I4445" s="340"/>
      <c r="J4445" s="340"/>
      <c r="K4445" s="497"/>
    </row>
    <row r="4446" spans="1:11" x14ac:dyDescent="0.35">
      <c r="A4446" s="332"/>
      <c r="B4446" s="333"/>
      <c r="C4446" s="333"/>
      <c r="D4446" s="333"/>
      <c r="E4446" s="333"/>
      <c r="F4446" s="333"/>
      <c r="G4446" s="333"/>
      <c r="H4446" s="333"/>
      <c r="I4446" s="333"/>
      <c r="J4446" s="333"/>
      <c r="K4446" s="496"/>
    </row>
    <row r="4447" spans="1:11" x14ac:dyDescent="0.35">
      <c r="A4447" s="339"/>
      <c r="B4447" s="340"/>
      <c r="C4447" s="340"/>
      <c r="D4447" s="340"/>
      <c r="E4447" s="340"/>
      <c r="F4447" s="340"/>
      <c r="G4447" s="340"/>
      <c r="H4447" s="340"/>
      <c r="I4447" s="340"/>
      <c r="J4447" s="340"/>
      <c r="K4447" s="497"/>
    </row>
    <row r="4448" spans="1:11" x14ac:dyDescent="0.35">
      <c r="A4448" s="332"/>
      <c r="B4448" s="333"/>
      <c r="C4448" s="333"/>
      <c r="D4448" s="333"/>
      <c r="E4448" s="333"/>
      <c r="F4448" s="333"/>
      <c r="G4448" s="333"/>
      <c r="H4448" s="333"/>
      <c r="I4448" s="333"/>
      <c r="J4448" s="333"/>
      <c r="K4448" s="496"/>
    </row>
    <row r="4449" spans="1:11" x14ac:dyDescent="0.35">
      <c r="A4449" s="339"/>
      <c r="B4449" s="340"/>
      <c r="C4449" s="340"/>
      <c r="D4449" s="340"/>
      <c r="E4449" s="340"/>
      <c r="F4449" s="340"/>
      <c r="G4449" s="340"/>
      <c r="H4449" s="340"/>
      <c r="I4449" s="340"/>
      <c r="J4449" s="340"/>
      <c r="K4449" s="497"/>
    </row>
    <row r="4450" spans="1:11" x14ac:dyDescent="0.35">
      <c r="A4450" s="332"/>
      <c r="B4450" s="333"/>
      <c r="C4450" s="333"/>
      <c r="D4450" s="333"/>
      <c r="E4450" s="333"/>
      <c r="F4450" s="333"/>
      <c r="G4450" s="333"/>
      <c r="H4450" s="333"/>
      <c r="I4450" s="333"/>
      <c r="J4450" s="333"/>
      <c r="K4450" s="496"/>
    </row>
    <row r="4451" spans="1:11" x14ac:dyDescent="0.35">
      <c r="A4451" s="339"/>
      <c r="B4451" s="340"/>
      <c r="C4451" s="340"/>
      <c r="D4451" s="340"/>
      <c r="E4451" s="340"/>
      <c r="F4451" s="340"/>
      <c r="G4451" s="340"/>
      <c r="H4451" s="340"/>
      <c r="I4451" s="340"/>
      <c r="J4451" s="340"/>
      <c r="K4451" s="497"/>
    </row>
    <row r="4452" spans="1:11" x14ac:dyDescent="0.35">
      <c r="A4452" s="332"/>
      <c r="B4452" s="333"/>
      <c r="C4452" s="333"/>
      <c r="D4452" s="333"/>
      <c r="E4452" s="333"/>
      <c r="F4452" s="333"/>
      <c r="G4452" s="333"/>
      <c r="H4452" s="333"/>
      <c r="I4452" s="333"/>
      <c r="J4452" s="333"/>
      <c r="K4452" s="496"/>
    </row>
    <row r="4453" spans="1:11" x14ac:dyDescent="0.35">
      <c r="A4453" s="339"/>
      <c r="B4453" s="340"/>
      <c r="C4453" s="340"/>
      <c r="D4453" s="340"/>
      <c r="E4453" s="340"/>
      <c r="F4453" s="340"/>
      <c r="G4453" s="340"/>
      <c r="H4453" s="340"/>
      <c r="I4453" s="340"/>
      <c r="J4453" s="340"/>
      <c r="K4453" s="497"/>
    </row>
    <row r="4454" spans="1:11" x14ac:dyDescent="0.35">
      <c r="A4454" s="332"/>
      <c r="B4454" s="333"/>
      <c r="C4454" s="333"/>
      <c r="D4454" s="333"/>
      <c r="E4454" s="333"/>
      <c r="F4454" s="333"/>
      <c r="G4454" s="333"/>
      <c r="H4454" s="333"/>
      <c r="I4454" s="333"/>
      <c r="J4454" s="333"/>
      <c r="K4454" s="496"/>
    </row>
    <row r="4455" spans="1:11" x14ac:dyDescent="0.35">
      <c r="A4455" s="339"/>
      <c r="B4455" s="340"/>
      <c r="C4455" s="340"/>
      <c r="D4455" s="340"/>
      <c r="E4455" s="340"/>
      <c r="F4455" s="340"/>
      <c r="G4455" s="340"/>
      <c r="H4455" s="340"/>
      <c r="I4455" s="340"/>
      <c r="J4455" s="340"/>
      <c r="K4455" s="497"/>
    </row>
    <row r="4456" spans="1:11" x14ac:dyDescent="0.35">
      <c r="A4456" s="332"/>
      <c r="B4456" s="333"/>
      <c r="C4456" s="333"/>
      <c r="D4456" s="333"/>
      <c r="E4456" s="333"/>
      <c r="F4456" s="333"/>
      <c r="G4456" s="333"/>
      <c r="H4456" s="333"/>
      <c r="I4456" s="333"/>
      <c r="J4456" s="333"/>
      <c r="K4456" s="496"/>
    </row>
    <row r="4457" spans="1:11" x14ac:dyDescent="0.35">
      <c r="A4457" s="339"/>
      <c r="B4457" s="340"/>
      <c r="C4457" s="340"/>
      <c r="D4457" s="340"/>
      <c r="E4457" s="340"/>
      <c r="F4457" s="340"/>
      <c r="G4457" s="340"/>
      <c r="H4457" s="340"/>
      <c r="I4457" s="340"/>
      <c r="J4457" s="340"/>
      <c r="K4457" s="497"/>
    </row>
    <row r="4458" spans="1:11" x14ac:dyDescent="0.35">
      <c r="A4458" s="332"/>
      <c r="B4458" s="333"/>
      <c r="C4458" s="333"/>
      <c r="D4458" s="333"/>
      <c r="E4458" s="333"/>
      <c r="F4458" s="333"/>
      <c r="G4458" s="333"/>
      <c r="H4458" s="333"/>
      <c r="I4458" s="333"/>
      <c r="J4458" s="333"/>
      <c r="K4458" s="496"/>
    </row>
    <row r="4459" spans="1:11" x14ac:dyDescent="0.35">
      <c r="A4459" s="339"/>
      <c r="B4459" s="340"/>
      <c r="C4459" s="340"/>
      <c r="D4459" s="340"/>
      <c r="E4459" s="340"/>
      <c r="F4459" s="340"/>
      <c r="G4459" s="340"/>
      <c r="H4459" s="340"/>
      <c r="I4459" s="340"/>
      <c r="J4459" s="340"/>
      <c r="K4459" s="497"/>
    </row>
    <row r="4460" spans="1:11" x14ac:dyDescent="0.35">
      <c r="A4460" s="332"/>
      <c r="B4460" s="333"/>
      <c r="C4460" s="333"/>
      <c r="D4460" s="333"/>
      <c r="E4460" s="333"/>
      <c r="F4460" s="333"/>
      <c r="G4460" s="333"/>
      <c r="H4460" s="333"/>
      <c r="I4460" s="333"/>
      <c r="J4460" s="333"/>
      <c r="K4460" s="496"/>
    </row>
    <row r="4461" spans="1:11" x14ac:dyDescent="0.35">
      <c r="A4461" s="339"/>
      <c r="B4461" s="340"/>
      <c r="C4461" s="340"/>
      <c r="D4461" s="340"/>
      <c r="E4461" s="340"/>
      <c r="F4461" s="340"/>
      <c r="G4461" s="340"/>
      <c r="H4461" s="340"/>
      <c r="I4461" s="340"/>
      <c r="J4461" s="340"/>
      <c r="K4461" s="497"/>
    </row>
    <row r="4462" spans="1:11" x14ac:dyDescent="0.35">
      <c r="A4462" s="332"/>
      <c r="B4462" s="333"/>
      <c r="C4462" s="333"/>
      <c r="D4462" s="333"/>
      <c r="E4462" s="333"/>
      <c r="F4462" s="333"/>
      <c r="G4462" s="333"/>
      <c r="H4462" s="333"/>
      <c r="I4462" s="333"/>
      <c r="J4462" s="333"/>
      <c r="K4462" s="496"/>
    </row>
    <row r="4463" spans="1:11" x14ac:dyDescent="0.35">
      <c r="A4463" s="339"/>
      <c r="B4463" s="340"/>
      <c r="C4463" s="340"/>
      <c r="D4463" s="340"/>
      <c r="E4463" s="340"/>
      <c r="F4463" s="340"/>
      <c r="G4463" s="340"/>
      <c r="H4463" s="340"/>
      <c r="I4463" s="340"/>
      <c r="J4463" s="340"/>
      <c r="K4463" s="497"/>
    </row>
    <row r="4464" spans="1:11" x14ac:dyDescent="0.35">
      <c r="A4464" s="332"/>
      <c r="B4464" s="333"/>
      <c r="C4464" s="333"/>
      <c r="D4464" s="333"/>
      <c r="E4464" s="333"/>
      <c r="F4464" s="333"/>
      <c r="G4464" s="333"/>
      <c r="H4464" s="333"/>
      <c r="I4464" s="333"/>
      <c r="J4464" s="333"/>
      <c r="K4464" s="496"/>
    </row>
    <row r="4465" spans="1:11" x14ac:dyDescent="0.35">
      <c r="A4465" s="339"/>
      <c r="B4465" s="340"/>
      <c r="C4465" s="340"/>
      <c r="D4465" s="340"/>
      <c r="E4465" s="340"/>
      <c r="F4465" s="340"/>
      <c r="G4465" s="340"/>
      <c r="H4465" s="340"/>
      <c r="I4465" s="340"/>
      <c r="J4465" s="340"/>
      <c r="K4465" s="497"/>
    </row>
    <row r="4466" spans="1:11" x14ac:dyDescent="0.35">
      <c r="A4466" s="332"/>
      <c r="B4466" s="333"/>
      <c r="C4466" s="333"/>
      <c r="D4466" s="333"/>
      <c r="E4466" s="333"/>
      <c r="F4466" s="333"/>
      <c r="G4466" s="333"/>
      <c r="H4466" s="333"/>
      <c r="I4466" s="333"/>
      <c r="J4466" s="333"/>
      <c r="K4466" s="496"/>
    </row>
    <row r="4467" spans="1:11" x14ac:dyDescent="0.35">
      <c r="A4467" s="339"/>
      <c r="B4467" s="340"/>
      <c r="C4467" s="340"/>
      <c r="D4467" s="340"/>
      <c r="E4467" s="340"/>
      <c r="F4467" s="340"/>
      <c r="G4467" s="340"/>
      <c r="H4467" s="340"/>
      <c r="I4467" s="340"/>
      <c r="J4467" s="340"/>
      <c r="K4467" s="497"/>
    </row>
    <row r="4468" spans="1:11" x14ac:dyDescent="0.35">
      <c r="A4468" s="332"/>
      <c r="B4468" s="333"/>
      <c r="C4468" s="333"/>
      <c r="D4468" s="333"/>
      <c r="E4468" s="333"/>
      <c r="F4468" s="333"/>
      <c r="G4468" s="333"/>
      <c r="H4468" s="333"/>
      <c r="I4468" s="333"/>
      <c r="J4468" s="333"/>
      <c r="K4468" s="496"/>
    </row>
    <row r="4469" spans="1:11" x14ac:dyDescent="0.35">
      <c r="A4469" s="339"/>
      <c r="B4469" s="340"/>
      <c r="C4469" s="340"/>
      <c r="D4469" s="340"/>
      <c r="E4469" s="340"/>
      <c r="F4469" s="340"/>
      <c r="G4469" s="340"/>
      <c r="H4469" s="340"/>
      <c r="I4469" s="340"/>
      <c r="J4469" s="340"/>
      <c r="K4469" s="497"/>
    </row>
    <row r="4470" spans="1:11" x14ac:dyDescent="0.35">
      <c r="A4470" s="332"/>
      <c r="B4470" s="333"/>
      <c r="C4470" s="333"/>
      <c r="D4470" s="333"/>
      <c r="E4470" s="333"/>
      <c r="F4470" s="333"/>
      <c r="G4470" s="333"/>
      <c r="H4470" s="333"/>
      <c r="I4470" s="333"/>
      <c r="J4470" s="333"/>
      <c r="K4470" s="496"/>
    </row>
    <row r="4471" spans="1:11" x14ac:dyDescent="0.35">
      <c r="A4471" s="339"/>
      <c r="B4471" s="340"/>
      <c r="C4471" s="340"/>
      <c r="D4471" s="340"/>
      <c r="E4471" s="340"/>
      <c r="F4471" s="340"/>
      <c r="G4471" s="340"/>
      <c r="H4471" s="340"/>
      <c r="I4471" s="340"/>
      <c r="J4471" s="340"/>
      <c r="K4471" s="497"/>
    </row>
    <row r="4472" spans="1:11" x14ac:dyDescent="0.35">
      <c r="A4472" s="332"/>
      <c r="B4472" s="333"/>
      <c r="C4472" s="333"/>
      <c r="D4472" s="333"/>
      <c r="E4472" s="333"/>
      <c r="F4472" s="333"/>
      <c r="G4472" s="333"/>
      <c r="H4472" s="333"/>
      <c r="I4472" s="333"/>
      <c r="J4472" s="333"/>
      <c r="K4472" s="496"/>
    </row>
    <row r="4473" spans="1:11" x14ac:dyDescent="0.35">
      <c r="A4473" s="339"/>
      <c r="B4473" s="340"/>
      <c r="C4473" s="340"/>
      <c r="D4473" s="340"/>
      <c r="E4473" s="340"/>
      <c r="F4473" s="340"/>
      <c r="G4473" s="340"/>
      <c r="H4473" s="340"/>
      <c r="I4473" s="340"/>
      <c r="J4473" s="340"/>
      <c r="K4473" s="497"/>
    </row>
    <row r="4474" spans="1:11" x14ac:dyDescent="0.35">
      <c r="A4474" s="332"/>
      <c r="B4474" s="333"/>
      <c r="C4474" s="333"/>
      <c r="D4474" s="333"/>
      <c r="E4474" s="333"/>
      <c r="F4474" s="333"/>
      <c r="G4474" s="333"/>
      <c r="H4474" s="333"/>
      <c r="I4474" s="333"/>
      <c r="J4474" s="333"/>
      <c r="K4474" s="496"/>
    </row>
    <row r="4475" spans="1:11" x14ac:dyDescent="0.35">
      <c r="A4475" s="339"/>
      <c r="B4475" s="340"/>
      <c r="C4475" s="340"/>
      <c r="D4475" s="340"/>
      <c r="E4475" s="340"/>
      <c r="F4475" s="340"/>
      <c r="G4475" s="340"/>
      <c r="H4475" s="340"/>
      <c r="I4475" s="340"/>
      <c r="J4475" s="340"/>
      <c r="K4475" s="497"/>
    </row>
    <row r="4476" spans="1:11" x14ac:dyDescent="0.35">
      <c r="A4476" s="332"/>
      <c r="B4476" s="333"/>
      <c r="C4476" s="333"/>
      <c r="D4476" s="333"/>
      <c r="E4476" s="333"/>
      <c r="F4476" s="333"/>
      <c r="G4476" s="333"/>
      <c r="H4476" s="333"/>
      <c r="I4476" s="333"/>
      <c r="J4476" s="333"/>
      <c r="K4476" s="496"/>
    </row>
    <row r="4477" spans="1:11" x14ac:dyDescent="0.35">
      <c r="A4477" s="339"/>
      <c r="B4477" s="340"/>
      <c r="C4477" s="340"/>
      <c r="D4477" s="340"/>
      <c r="E4477" s="340"/>
      <c r="F4477" s="340"/>
      <c r="G4477" s="340"/>
      <c r="H4477" s="340"/>
      <c r="I4477" s="340"/>
      <c r="J4477" s="340"/>
      <c r="K4477" s="497"/>
    </row>
    <row r="4478" spans="1:11" x14ac:dyDescent="0.35">
      <c r="A4478" s="332"/>
      <c r="B4478" s="333"/>
      <c r="C4478" s="333"/>
      <c r="D4478" s="333"/>
      <c r="E4478" s="333"/>
      <c r="F4478" s="333"/>
      <c r="G4478" s="333"/>
      <c r="H4478" s="333"/>
      <c r="I4478" s="333"/>
      <c r="J4478" s="333"/>
      <c r="K4478" s="496"/>
    </row>
    <row r="4479" spans="1:11" x14ac:dyDescent="0.35">
      <c r="A4479" s="339"/>
      <c r="B4479" s="340"/>
      <c r="C4479" s="340"/>
      <c r="D4479" s="340"/>
      <c r="E4479" s="340"/>
      <c r="F4479" s="340"/>
      <c r="G4479" s="340"/>
      <c r="H4479" s="340"/>
      <c r="I4479" s="340"/>
      <c r="J4479" s="340"/>
      <c r="K4479" s="497"/>
    </row>
    <row r="4480" spans="1:11" x14ac:dyDescent="0.35">
      <c r="A4480" s="332"/>
      <c r="B4480" s="333"/>
      <c r="C4480" s="333"/>
      <c r="D4480" s="333"/>
      <c r="E4480" s="333"/>
      <c r="F4480" s="333"/>
      <c r="G4480" s="333"/>
      <c r="H4480" s="333"/>
      <c r="I4480" s="333"/>
      <c r="J4480" s="333"/>
      <c r="K4480" s="496"/>
    </row>
    <row r="4481" spans="1:11" x14ac:dyDescent="0.35">
      <c r="A4481" s="339"/>
      <c r="B4481" s="340"/>
      <c r="C4481" s="340"/>
      <c r="D4481" s="340"/>
      <c r="E4481" s="340"/>
      <c r="F4481" s="340"/>
      <c r="G4481" s="340"/>
      <c r="H4481" s="340"/>
      <c r="I4481" s="340"/>
      <c r="J4481" s="340"/>
      <c r="K4481" s="497"/>
    </row>
    <row r="4482" spans="1:11" x14ac:dyDescent="0.35">
      <c r="A4482" s="332"/>
      <c r="B4482" s="333"/>
      <c r="C4482" s="333"/>
      <c r="D4482" s="333"/>
      <c r="E4482" s="333"/>
      <c r="F4482" s="333"/>
      <c r="G4482" s="333"/>
      <c r="H4482" s="333"/>
      <c r="I4482" s="333"/>
      <c r="J4482" s="333"/>
      <c r="K4482" s="496"/>
    </row>
    <row r="4483" spans="1:11" x14ac:dyDescent="0.35">
      <c r="A4483" s="339"/>
      <c r="B4483" s="340"/>
      <c r="C4483" s="340"/>
      <c r="D4483" s="340"/>
      <c r="E4483" s="340"/>
      <c r="F4483" s="340"/>
      <c r="G4483" s="340"/>
      <c r="H4483" s="340"/>
      <c r="I4483" s="340"/>
      <c r="J4483" s="340"/>
      <c r="K4483" s="497"/>
    </row>
    <row r="4484" spans="1:11" x14ac:dyDescent="0.35">
      <c r="A4484" s="332"/>
      <c r="B4484" s="333"/>
      <c r="C4484" s="333"/>
      <c r="D4484" s="333"/>
      <c r="E4484" s="333"/>
      <c r="F4484" s="333"/>
      <c r="G4484" s="333"/>
      <c r="H4484" s="333"/>
      <c r="I4484" s="333"/>
      <c r="J4484" s="333"/>
      <c r="K4484" s="496"/>
    </row>
    <row r="4485" spans="1:11" x14ac:dyDescent="0.35">
      <c r="A4485" s="339"/>
      <c r="B4485" s="340"/>
      <c r="C4485" s="340"/>
      <c r="D4485" s="340"/>
      <c r="E4485" s="340"/>
      <c r="F4485" s="340"/>
      <c r="G4485" s="340"/>
      <c r="H4485" s="340"/>
      <c r="I4485" s="340"/>
      <c r="J4485" s="340"/>
      <c r="K4485" s="497"/>
    </row>
    <row r="4486" spans="1:11" x14ac:dyDescent="0.35">
      <c r="A4486" s="332"/>
      <c r="B4486" s="333"/>
      <c r="C4486" s="333"/>
      <c r="D4486" s="333"/>
      <c r="E4486" s="333"/>
      <c r="F4486" s="333"/>
      <c r="G4486" s="333"/>
      <c r="H4486" s="333"/>
      <c r="I4486" s="333"/>
      <c r="J4486" s="333"/>
      <c r="K4486" s="496"/>
    </row>
    <row r="4487" spans="1:11" x14ac:dyDescent="0.35">
      <c r="A4487" s="339"/>
      <c r="B4487" s="340"/>
      <c r="C4487" s="340"/>
      <c r="D4487" s="340"/>
      <c r="E4487" s="340"/>
      <c r="F4487" s="340"/>
      <c r="G4487" s="340"/>
      <c r="H4487" s="340"/>
      <c r="I4487" s="340"/>
      <c r="J4487" s="340"/>
      <c r="K4487" s="497"/>
    </row>
    <row r="4488" spans="1:11" x14ac:dyDescent="0.35">
      <c r="A4488" s="332"/>
      <c r="B4488" s="333"/>
      <c r="C4488" s="333"/>
      <c r="D4488" s="333"/>
      <c r="E4488" s="333"/>
      <c r="F4488" s="333"/>
      <c r="G4488" s="333"/>
      <c r="H4488" s="333"/>
      <c r="I4488" s="333"/>
      <c r="J4488" s="333"/>
      <c r="K4488" s="496"/>
    </row>
    <row r="4489" spans="1:11" x14ac:dyDescent="0.35">
      <c r="A4489" s="339"/>
      <c r="B4489" s="340"/>
      <c r="C4489" s="340"/>
      <c r="D4489" s="340"/>
      <c r="E4489" s="340"/>
      <c r="F4489" s="340"/>
      <c r="G4489" s="340"/>
      <c r="H4489" s="340"/>
      <c r="I4489" s="340"/>
      <c r="J4489" s="340"/>
      <c r="K4489" s="497"/>
    </row>
    <row r="4490" spans="1:11" x14ac:dyDescent="0.35">
      <c r="A4490" s="332"/>
      <c r="B4490" s="333"/>
      <c r="C4490" s="333"/>
      <c r="D4490" s="333"/>
      <c r="E4490" s="333"/>
      <c r="F4490" s="333"/>
      <c r="G4490" s="333"/>
      <c r="H4490" s="333"/>
      <c r="I4490" s="333"/>
      <c r="J4490" s="333"/>
      <c r="K4490" s="496"/>
    </row>
    <row r="4491" spans="1:11" x14ac:dyDescent="0.35">
      <c r="A4491" s="339"/>
      <c r="B4491" s="340"/>
      <c r="C4491" s="340"/>
      <c r="D4491" s="340"/>
      <c r="E4491" s="340"/>
      <c r="F4491" s="340"/>
      <c r="G4491" s="340"/>
      <c r="H4491" s="340"/>
      <c r="I4491" s="340"/>
      <c r="J4491" s="340"/>
      <c r="K4491" s="497"/>
    </row>
    <row r="4492" spans="1:11" x14ac:dyDescent="0.35">
      <c r="A4492" s="332"/>
      <c r="B4492" s="333"/>
      <c r="C4492" s="333"/>
      <c r="D4492" s="333"/>
      <c r="E4492" s="333"/>
      <c r="F4492" s="333"/>
      <c r="G4492" s="333"/>
      <c r="H4492" s="333"/>
      <c r="I4492" s="333"/>
      <c r="J4492" s="333"/>
      <c r="K4492" s="496"/>
    </row>
    <row r="4493" spans="1:11" x14ac:dyDescent="0.35">
      <c r="A4493" s="339"/>
      <c r="B4493" s="340"/>
      <c r="C4493" s="340"/>
      <c r="D4493" s="340"/>
      <c r="E4493" s="340"/>
      <c r="F4493" s="340"/>
      <c r="G4493" s="340"/>
      <c r="H4493" s="340"/>
      <c r="I4493" s="340"/>
      <c r="J4493" s="340"/>
      <c r="K4493" s="497"/>
    </row>
    <row r="4494" spans="1:11" x14ac:dyDescent="0.35">
      <c r="A4494" s="332"/>
      <c r="B4494" s="333"/>
      <c r="C4494" s="333"/>
      <c r="D4494" s="333"/>
      <c r="E4494" s="333"/>
      <c r="F4494" s="333"/>
      <c r="G4494" s="333"/>
      <c r="H4494" s="333"/>
      <c r="I4494" s="333"/>
      <c r="J4494" s="333"/>
      <c r="K4494" s="496"/>
    </row>
    <row r="4495" spans="1:11" x14ac:dyDescent="0.35">
      <c r="A4495" s="339"/>
      <c r="B4495" s="340"/>
      <c r="C4495" s="340"/>
      <c r="D4495" s="340"/>
      <c r="E4495" s="340"/>
      <c r="F4495" s="340"/>
      <c r="G4495" s="340"/>
      <c r="H4495" s="340"/>
      <c r="I4495" s="340"/>
      <c r="J4495" s="340"/>
      <c r="K4495" s="497"/>
    </row>
    <row r="4496" spans="1:11" x14ac:dyDescent="0.35">
      <c r="A4496" s="332"/>
      <c r="B4496" s="333"/>
      <c r="C4496" s="333"/>
      <c r="D4496" s="333"/>
      <c r="E4496" s="333"/>
      <c r="F4496" s="333"/>
      <c r="G4496" s="333"/>
      <c r="H4496" s="333"/>
      <c r="I4496" s="333"/>
      <c r="J4496" s="333"/>
      <c r="K4496" s="496"/>
    </row>
    <row r="4497" spans="1:11" x14ac:dyDescent="0.35">
      <c r="A4497" s="339"/>
      <c r="B4497" s="340"/>
      <c r="C4497" s="340"/>
      <c r="D4497" s="340"/>
      <c r="E4497" s="340"/>
      <c r="F4497" s="340"/>
      <c r="G4497" s="340"/>
      <c r="H4497" s="340"/>
      <c r="I4497" s="340"/>
      <c r="J4497" s="340"/>
      <c r="K4497" s="497"/>
    </row>
    <row r="4498" spans="1:11" x14ac:dyDescent="0.35">
      <c r="A4498" s="332"/>
      <c r="B4498" s="333"/>
      <c r="C4498" s="333"/>
      <c r="D4498" s="333"/>
      <c r="E4498" s="333"/>
      <c r="F4498" s="333"/>
      <c r="G4498" s="333"/>
      <c r="H4498" s="333"/>
      <c r="I4498" s="333"/>
      <c r="J4498" s="333"/>
      <c r="K4498" s="496"/>
    </row>
    <row r="4499" spans="1:11" x14ac:dyDescent="0.35">
      <c r="A4499" s="339"/>
      <c r="B4499" s="340"/>
      <c r="C4499" s="340"/>
      <c r="D4499" s="340"/>
      <c r="E4499" s="340"/>
      <c r="F4499" s="340"/>
      <c r="G4499" s="340"/>
      <c r="H4499" s="340"/>
      <c r="I4499" s="340"/>
      <c r="J4499" s="340"/>
      <c r="K4499" s="497"/>
    </row>
    <row r="4500" spans="1:11" x14ac:dyDescent="0.35">
      <c r="A4500" s="332"/>
      <c r="B4500" s="333"/>
      <c r="C4500" s="333"/>
      <c r="D4500" s="333"/>
      <c r="E4500" s="333"/>
      <c r="F4500" s="333"/>
      <c r="G4500" s="333"/>
      <c r="H4500" s="333"/>
      <c r="I4500" s="333"/>
      <c r="J4500" s="333"/>
      <c r="K4500" s="496"/>
    </row>
    <row r="4501" spans="1:11" x14ac:dyDescent="0.35">
      <c r="A4501" s="339"/>
      <c r="B4501" s="340"/>
      <c r="C4501" s="340"/>
      <c r="D4501" s="340"/>
      <c r="E4501" s="340"/>
      <c r="F4501" s="340"/>
      <c r="G4501" s="340"/>
      <c r="H4501" s="340"/>
      <c r="I4501" s="340"/>
      <c r="J4501" s="340"/>
      <c r="K4501" s="497"/>
    </row>
    <row r="4502" spans="1:11" x14ac:dyDescent="0.35">
      <c r="A4502" s="332"/>
      <c r="B4502" s="333"/>
      <c r="C4502" s="333"/>
      <c r="D4502" s="333"/>
      <c r="E4502" s="333"/>
      <c r="F4502" s="333"/>
      <c r="G4502" s="333"/>
      <c r="H4502" s="333"/>
      <c r="I4502" s="333"/>
      <c r="J4502" s="333"/>
      <c r="K4502" s="496"/>
    </row>
    <row r="4503" spans="1:11" x14ac:dyDescent="0.35">
      <c r="A4503" s="339"/>
      <c r="B4503" s="340"/>
      <c r="C4503" s="340"/>
      <c r="D4503" s="340"/>
      <c r="E4503" s="340"/>
      <c r="F4503" s="340"/>
      <c r="G4503" s="340"/>
      <c r="H4503" s="340"/>
      <c r="I4503" s="340"/>
      <c r="J4503" s="340"/>
      <c r="K4503" s="497"/>
    </row>
    <row r="4504" spans="1:11" x14ac:dyDescent="0.35">
      <c r="A4504" s="332"/>
      <c r="B4504" s="333"/>
      <c r="C4504" s="333"/>
      <c r="D4504" s="333"/>
      <c r="E4504" s="333"/>
      <c r="F4504" s="333"/>
      <c r="G4504" s="333"/>
      <c r="H4504" s="333"/>
      <c r="I4504" s="333"/>
      <c r="J4504" s="333"/>
      <c r="K4504" s="496"/>
    </row>
    <row r="4505" spans="1:11" x14ac:dyDescent="0.35">
      <c r="A4505" s="339"/>
      <c r="B4505" s="340"/>
      <c r="C4505" s="340"/>
      <c r="D4505" s="340"/>
      <c r="E4505" s="340"/>
      <c r="F4505" s="340"/>
      <c r="G4505" s="340"/>
      <c r="H4505" s="340"/>
      <c r="I4505" s="340"/>
      <c r="J4505" s="340"/>
      <c r="K4505" s="497"/>
    </row>
    <row r="4506" spans="1:11" x14ac:dyDescent="0.35">
      <c r="A4506" s="332"/>
      <c r="B4506" s="333"/>
      <c r="C4506" s="333"/>
      <c r="D4506" s="333"/>
      <c r="E4506" s="333"/>
      <c r="F4506" s="333"/>
      <c r="G4506" s="333"/>
      <c r="H4506" s="333"/>
      <c r="I4506" s="333"/>
      <c r="J4506" s="333"/>
      <c r="K4506" s="496"/>
    </row>
    <row r="4507" spans="1:11" x14ac:dyDescent="0.35">
      <c r="A4507" s="339"/>
      <c r="B4507" s="340"/>
      <c r="C4507" s="340"/>
      <c r="D4507" s="340"/>
      <c r="E4507" s="340"/>
      <c r="F4507" s="340"/>
      <c r="G4507" s="340"/>
      <c r="H4507" s="340"/>
      <c r="I4507" s="340"/>
      <c r="J4507" s="340"/>
      <c r="K4507" s="497"/>
    </row>
    <row r="4508" spans="1:11" x14ac:dyDescent="0.35">
      <c r="A4508" s="332"/>
      <c r="B4508" s="333"/>
      <c r="C4508" s="333"/>
      <c r="D4508" s="333"/>
      <c r="E4508" s="333"/>
      <c r="F4508" s="333"/>
      <c r="G4508" s="333"/>
      <c r="H4508" s="333"/>
      <c r="I4508" s="333"/>
      <c r="J4508" s="333"/>
      <c r="K4508" s="496"/>
    </row>
    <row r="4509" spans="1:11" x14ac:dyDescent="0.35">
      <c r="A4509" s="339"/>
      <c r="B4509" s="340"/>
      <c r="C4509" s="340"/>
      <c r="D4509" s="340"/>
      <c r="E4509" s="340"/>
      <c r="F4509" s="340"/>
      <c r="G4509" s="340"/>
      <c r="H4509" s="340"/>
      <c r="I4509" s="340"/>
      <c r="J4509" s="340"/>
      <c r="K4509" s="497"/>
    </row>
    <row r="4510" spans="1:11" x14ac:dyDescent="0.35">
      <c r="A4510" s="332"/>
      <c r="B4510" s="333"/>
      <c r="C4510" s="333"/>
      <c r="D4510" s="333"/>
      <c r="E4510" s="333"/>
      <c r="F4510" s="333"/>
      <c r="G4510" s="333"/>
      <c r="H4510" s="333"/>
      <c r="I4510" s="333"/>
      <c r="J4510" s="333"/>
      <c r="K4510" s="496"/>
    </row>
    <row r="4511" spans="1:11" x14ac:dyDescent="0.35">
      <c r="A4511" s="339"/>
      <c r="B4511" s="340"/>
      <c r="C4511" s="340"/>
      <c r="D4511" s="340"/>
      <c r="E4511" s="340"/>
      <c r="F4511" s="340"/>
      <c r="G4511" s="340"/>
      <c r="H4511" s="340"/>
      <c r="I4511" s="340"/>
      <c r="J4511" s="340"/>
      <c r="K4511" s="497"/>
    </row>
    <row r="4512" spans="1:11" x14ac:dyDescent="0.35">
      <c r="A4512" s="332"/>
      <c r="B4512" s="333"/>
      <c r="C4512" s="333"/>
      <c r="D4512" s="333"/>
      <c r="E4512" s="333"/>
      <c r="F4512" s="333"/>
      <c r="G4512" s="333"/>
      <c r="H4512" s="333"/>
      <c r="I4512" s="333"/>
      <c r="J4512" s="333"/>
      <c r="K4512" s="496"/>
    </row>
    <row r="4513" spans="1:11" x14ac:dyDescent="0.35">
      <c r="A4513" s="339"/>
      <c r="B4513" s="340"/>
      <c r="C4513" s="340"/>
      <c r="D4513" s="340"/>
      <c r="E4513" s="340"/>
      <c r="F4513" s="340"/>
      <c r="G4513" s="340"/>
      <c r="H4513" s="340"/>
      <c r="I4513" s="340"/>
      <c r="J4513" s="340"/>
      <c r="K4513" s="497"/>
    </row>
    <row r="4514" spans="1:11" x14ac:dyDescent="0.35">
      <c r="A4514" s="332"/>
      <c r="B4514" s="333"/>
      <c r="C4514" s="333"/>
      <c r="D4514" s="333"/>
      <c r="E4514" s="333"/>
      <c r="F4514" s="333"/>
      <c r="G4514" s="333"/>
      <c r="H4514" s="333"/>
      <c r="I4514" s="333"/>
      <c r="J4514" s="333"/>
      <c r="K4514" s="496"/>
    </row>
    <row r="4515" spans="1:11" x14ac:dyDescent="0.35">
      <c r="A4515" s="339"/>
      <c r="B4515" s="340"/>
      <c r="C4515" s="340"/>
      <c r="D4515" s="340"/>
      <c r="E4515" s="340"/>
      <c r="F4515" s="340"/>
      <c r="G4515" s="340"/>
      <c r="H4515" s="340"/>
      <c r="I4515" s="340"/>
      <c r="J4515" s="340"/>
      <c r="K4515" s="497"/>
    </row>
    <row r="4516" spans="1:11" x14ac:dyDescent="0.35">
      <c r="A4516" s="332"/>
      <c r="B4516" s="333"/>
      <c r="C4516" s="333"/>
      <c r="D4516" s="333"/>
      <c r="E4516" s="333"/>
      <c r="F4516" s="333"/>
      <c r="G4516" s="333"/>
      <c r="H4516" s="333"/>
      <c r="I4516" s="333"/>
      <c r="J4516" s="333"/>
      <c r="K4516" s="496"/>
    </row>
    <row r="4517" spans="1:11" x14ac:dyDescent="0.35">
      <c r="A4517" s="339"/>
      <c r="B4517" s="340"/>
      <c r="C4517" s="340"/>
      <c r="D4517" s="340"/>
      <c r="E4517" s="340"/>
      <c r="F4517" s="340"/>
      <c r="G4517" s="340"/>
      <c r="H4517" s="340"/>
      <c r="I4517" s="340"/>
      <c r="J4517" s="340"/>
      <c r="K4517" s="497"/>
    </row>
    <row r="4518" spans="1:11" x14ac:dyDescent="0.35">
      <c r="A4518" s="332"/>
      <c r="B4518" s="333"/>
      <c r="C4518" s="333"/>
      <c r="D4518" s="333"/>
      <c r="E4518" s="333"/>
      <c r="F4518" s="333"/>
      <c r="G4518" s="333"/>
      <c r="H4518" s="333"/>
      <c r="I4518" s="333"/>
      <c r="J4518" s="333"/>
      <c r="K4518" s="496"/>
    </row>
    <row r="4519" spans="1:11" x14ac:dyDescent="0.35">
      <c r="A4519" s="339"/>
      <c r="B4519" s="340"/>
      <c r="C4519" s="340"/>
      <c r="D4519" s="340"/>
      <c r="E4519" s="340"/>
      <c r="F4519" s="340"/>
      <c r="G4519" s="340"/>
      <c r="H4519" s="340"/>
      <c r="I4519" s="340"/>
      <c r="J4519" s="340"/>
      <c r="K4519" s="497"/>
    </row>
    <row r="4520" spans="1:11" x14ac:dyDescent="0.35">
      <c r="A4520" s="332"/>
      <c r="B4520" s="333"/>
      <c r="C4520" s="333"/>
      <c r="D4520" s="333"/>
      <c r="E4520" s="333"/>
      <c r="F4520" s="333"/>
      <c r="G4520" s="333"/>
      <c r="H4520" s="333"/>
      <c r="I4520" s="333"/>
      <c r="J4520" s="333"/>
      <c r="K4520" s="496"/>
    </row>
    <row r="4521" spans="1:11" x14ac:dyDescent="0.35">
      <c r="A4521" s="339"/>
      <c r="B4521" s="340"/>
      <c r="C4521" s="340"/>
      <c r="D4521" s="340"/>
      <c r="E4521" s="340"/>
      <c r="F4521" s="340"/>
      <c r="G4521" s="340"/>
      <c r="H4521" s="340"/>
      <c r="I4521" s="340"/>
      <c r="J4521" s="340"/>
      <c r="K4521" s="497"/>
    </row>
    <row r="4522" spans="1:11" x14ac:dyDescent="0.35">
      <c r="A4522" s="332"/>
      <c r="B4522" s="333"/>
      <c r="C4522" s="333"/>
      <c r="D4522" s="333"/>
      <c r="E4522" s="333"/>
      <c r="F4522" s="333"/>
      <c r="G4522" s="333"/>
      <c r="H4522" s="333"/>
      <c r="I4522" s="333"/>
      <c r="J4522" s="333"/>
      <c r="K4522" s="496"/>
    </row>
    <row r="4523" spans="1:11" x14ac:dyDescent="0.35">
      <c r="A4523" s="339"/>
      <c r="B4523" s="340"/>
      <c r="C4523" s="340"/>
      <c r="D4523" s="340"/>
      <c r="E4523" s="340"/>
      <c r="F4523" s="340"/>
      <c r="G4523" s="340"/>
      <c r="H4523" s="340"/>
      <c r="I4523" s="340"/>
      <c r="J4523" s="340"/>
      <c r="K4523" s="497"/>
    </row>
    <row r="4524" spans="1:11" x14ac:dyDescent="0.35">
      <c r="A4524" s="332"/>
      <c r="B4524" s="333"/>
      <c r="C4524" s="333"/>
      <c r="D4524" s="333"/>
      <c r="E4524" s="333"/>
      <c r="F4524" s="333"/>
      <c r="G4524" s="333"/>
      <c r="H4524" s="333"/>
      <c r="I4524" s="333"/>
      <c r="J4524" s="333"/>
      <c r="K4524" s="496"/>
    </row>
    <row r="4525" spans="1:11" x14ac:dyDescent="0.35">
      <c r="A4525" s="339"/>
      <c r="B4525" s="340"/>
      <c r="C4525" s="340"/>
      <c r="D4525" s="340"/>
      <c r="E4525" s="340"/>
      <c r="F4525" s="340"/>
      <c r="G4525" s="340"/>
      <c r="H4525" s="340"/>
      <c r="I4525" s="340"/>
      <c r="J4525" s="340"/>
      <c r="K4525" s="497"/>
    </row>
    <row r="4526" spans="1:11" x14ac:dyDescent="0.35">
      <c r="A4526" s="332"/>
      <c r="B4526" s="333"/>
      <c r="C4526" s="333"/>
      <c r="D4526" s="333"/>
      <c r="E4526" s="333"/>
      <c r="F4526" s="333"/>
      <c r="G4526" s="333"/>
      <c r="H4526" s="333"/>
      <c r="I4526" s="333"/>
      <c r="J4526" s="333"/>
      <c r="K4526" s="496"/>
    </row>
    <row r="4527" spans="1:11" x14ac:dyDescent="0.35">
      <c r="A4527" s="339"/>
      <c r="B4527" s="340"/>
      <c r="C4527" s="340"/>
      <c r="D4527" s="340"/>
      <c r="E4527" s="340"/>
      <c r="F4527" s="340"/>
      <c r="G4527" s="340"/>
      <c r="H4527" s="340"/>
      <c r="I4527" s="340"/>
      <c r="J4527" s="340"/>
      <c r="K4527" s="497"/>
    </row>
    <row r="4528" spans="1:11" x14ac:dyDescent="0.35">
      <c r="A4528" s="332"/>
      <c r="B4528" s="333"/>
      <c r="C4528" s="333"/>
      <c r="D4528" s="333"/>
      <c r="E4528" s="333"/>
      <c r="F4528" s="333"/>
      <c r="G4528" s="333"/>
      <c r="H4528" s="333"/>
      <c r="I4528" s="333"/>
      <c r="J4528" s="333"/>
      <c r="K4528" s="496"/>
    </row>
    <row r="4529" spans="1:11" x14ac:dyDescent="0.35">
      <c r="A4529" s="339"/>
      <c r="B4529" s="340"/>
      <c r="C4529" s="340"/>
      <c r="D4529" s="340"/>
      <c r="E4529" s="340"/>
      <c r="F4529" s="340"/>
      <c r="G4529" s="340"/>
      <c r="H4529" s="340"/>
      <c r="I4529" s="340"/>
      <c r="J4529" s="340"/>
      <c r="K4529" s="497"/>
    </row>
    <row r="4530" spans="1:11" x14ac:dyDescent="0.35">
      <c r="A4530" s="332"/>
      <c r="B4530" s="333"/>
      <c r="C4530" s="333"/>
      <c r="D4530" s="333"/>
      <c r="E4530" s="333"/>
      <c r="F4530" s="333"/>
      <c r="G4530" s="333"/>
      <c r="H4530" s="333"/>
      <c r="I4530" s="333"/>
      <c r="J4530" s="333"/>
      <c r="K4530" s="496"/>
    </row>
    <row r="4531" spans="1:11" x14ac:dyDescent="0.35">
      <c r="A4531" s="339"/>
      <c r="B4531" s="340"/>
      <c r="C4531" s="340"/>
      <c r="D4531" s="340"/>
      <c r="E4531" s="340"/>
      <c r="F4531" s="340"/>
      <c r="G4531" s="340"/>
      <c r="H4531" s="340"/>
      <c r="I4531" s="340"/>
      <c r="J4531" s="340"/>
      <c r="K4531" s="497"/>
    </row>
    <row r="4532" spans="1:11" x14ac:dyDescent="0.35">
      <c r="A4532" s="332"/>
      <c r="B4532" s="333"/>
      <c r="C4532" s="333"/>
      <c r="D4532" s="333"/>
      <c r="E4532" s="333"/>
      <c r="F4532" s="333"/>
      <c r="G4532" s="333"/>
      <c r="H4532" s="333"/>
      <c r="I4532" s="333"/>
      <c r="J4532" s="333"/>
      <c r="K4532" s="496"/>
    </row>
    <row r="4533" spans="1:11" x14ac:dyDescent="0.35">
      <c r="A4533" s="339"/>
      <c r="B4533" s="340"/>
      <c r="C4533" s="340"/>
      <c r="D4533" s="340"/>
      <c r="E4533" s="340"/>
      <c r="F4533" s="340"/>
      <c r="G4533" s="340"/>
      <c r="H4533" s="340"/>
      <c r="I4533" s="340"/>
      <c r="J4533" s="340"/>
      <c r="K4533" s="497"/>
    </row>
    <row r="4534" spans="1:11" x14ac:dyDescent="0.35">
      <c r="A4534" s="332"/>
      <c r="B4534" s="333"/>
      <c r="C4534" s="333"/>
      <c r="D4534" s="333"/>
      <c r="E4534" s="333"/>
      <c r="F4534" s="333"/>
      <c r="G4534" s="333"/>
      <c r="H4534" s="333"/>
      <c r="I4534" s="333"/>
      <c r="J4534" s="333"/>
      <c r="K4534" s="496"/>
    </row>
    <row r="4535" spans="1:11" x14ac:dyDescent="0.35">
      <c r="A4535" s="339"/>
      <c r="B4535" s="340"/>
      <c r="C4535" s="340"/>
      <c r="D4535" s="340"/>
      <c r="E4535" s="340"/>
      <c r="F4535" s="340"/>
      <c r="G4535" s="340"/>
      <c r="H4535" s="340"/>
      <c r="I4535" s="340"/>
      <c r="J4535" s="340"/>
      <c r="K4535" s="497"/>
    </row>
    <row r="4536" spans="1:11" x14ac:dyDescent="0.35">
      <c r="A4536" s="332"/>
      <c r="B4536" s="333"/>
      <c r="C4536" s="333"/>
      <c r="D4536" s="333"/>
      <c r="E4536" s="333"/>
      <c r="F4536" s="333"/>
      <c r="G4536" s="333"/>
      <c r="H4536" s="333"/>
      <c r="I4536" s="333"/>
      <c r="J4536" s="333"/>
      <c r="K4536" s="496"/>
    </row>
    <row r="4537" spans="1:11" x14ac:dyDescent="0.35">
      <c r="A4537" s="339"/>
      <c r="B4537" s="340"/>
      <c r="C4537" s="340"/>
      <c r="D4537" s="340"/>
      <c r="E4537" s="340"/>
      <c r="F4537" s="340"/>
      <c r="G4537" s="340"/>
      <c r="H4537" s="340"/>
      <c r="I4537" s="340"/>
      <c r="J4537" s="340"/>
      <c r="K4537" s="497"/>
    </row>
    <row r="4538" spans="1:11" x14ac:dyDescent="0.35">
      <c r="A4538" s="332"/>
      <c r="B4538" s="333"/>
      <c r="C4538" s="333"/>
      <c r="D4538" s="333"/>
      <c r="E4538" s="333"/>
      <c r="F4538" s="333"/>
      <c r="G4538" s="333"/>
      <c r="H4538" s="333"/>
      <c r="I4538" s="333"/>
      <c r="J4538" s="333"/>
      <c r="K4538" s="496"/>
    </row>
    <row r="4539" spans="1:11" x14ac:dyDescent="0.35">
      <c r="A4539" s="339"/>
      <c r="B4539" s="340"/>
      <c r="C4539" s="340"/>
      <c r="D4539" s="340"/>
      <c r="E4539" s="340"/>
      <c r="F4539" s="340"/>
      <c r="G4539" s="340"/>
      <c r="H4539" s="340"/>
      <c r="I4539" s="340"/>
      <c r="J4539" s="340"/>
      <c r="K4539" s="497"/>
    </row>
    <row r="4540" spans="1:11" x14ac:dyDescent="0.35">
      <c r="A4540" s="332"/>
      <c r="B4540" s="333"/>
      <c r="C4540" s="333"/>
      <c r="D4540" s="333"/>
      <c r="E4540" s="333"/>
      <c r="F4540" s="333"/>
      <c r="G4540" s="333"/>
      <c r="H4540" s="333"/>
      <c r="I4540" s="333"/>
      <c r="J4540" s="333"/>
      <c r="K4540" s="496"/>
    </row>
    <row r="4541" spans="1:11" x14ac:dyDescent="0.35">
      <c r="A4541" s="339"/>
      <c r="B4541" s="340"/>
      <c r="C4541" s="340"/>
      <c r="D4541" s="340"/>
      <c r="E4541" s="340"/>
      <c r="F4541" s="340"/>
      <c r="G4541" s="340"/>
      <c r="H4541" s="340"/>
      <c r="I4541" s="340"/>
      <c r="J4541" s="340"/>
      <c r="K4541" s="497"/>
    </row>
    <row r="4542" spans="1:11" x14ac:dyDescent="0.35">
      <c r="A4542" s="332"/>
      <c r="B4542" s="333"/>
      <c r="C4542" s="333"/>
      <c r="D4542" s="333"/>
      <c r="E4542" s="333"/>
      <c r="F4542" s="333"/>
      <c r="G4542" s="333"/>
      <c r="H4542" s="333"/>
      <c r="I4542" s="333"/>
      <c r="J4542" s="333"/>
      <c r="K4542" s="496"/>
    </row>
    <row r="4543" spans="1:11" x14ac:dyDescent="0.35">
      <c r="A4543" s="339"/>
      <c r="B4543" s="340"/>
      <c r="C4543" s="340"/>
      <c r="D4543" s="340"/>
      <c r="E4543" s="340"/>
      <c r="F4543" s="340"/>
      <c r="G4543" s="340"/>
      <c r="H4543" s="340"/>
      <c r="I4543" s="340"/>
      <c r="J4543" s="340"/>
      <c r="K4543" s="497"/>
    </row>
    <row r="4544" spans="1:11" x14ac:dyDescent="0.35">
      <c r="A4544" s="332"/>
      <c r="B4544" s="333"/>
      <c r="C4544" s="333"/>
      <c r="D4544" s="333"/>
      <c r="E4544" s="333"/>
      <c r="F4544" s="333"/>
      <c r="G4544" s="333"/>
      <c r="H4544" s="333"/>
      <c r="I4544" s="333"/>
      <c r="J4544" s="333"/>
      <c r="K4544" s="496"/>
    </row>
    <row r="4545" spans="1:11" x14ac:dyDescent="0.35">
      <c r="A4545" s="339"/>
      <c r="B4545" s="340"/>
      <c r="C4545" s="340"/>
      <c r="D4545" s="340"/>
      <c r="E4545" s="340"/>
      <c r="F4545" s="340"/>
      <c r="G4545" s="340"/>
      <c r="H4545" s="340"/>
      <c r="I4545" s="340"/>
      <c r="J4545" s="340"/>
      <c r="K4545" s="497"/>
    </row>
    <row r="4546" spans="1:11" x14ac:dyDescent="0.35">
      <c r="A4546" s="332"/>
      <c r="B4546" s="333"/>
      <c r="C4546" s="333"/>
      <c r="D4546" s="333"/>
      <c r="E4546" s="333"/>
      <c r="F4546" s="333"/>
      <c r="G4546" s="333"/>
      <c r="H4546" s="333"/>
      <c r="I4546" s="333"/>
      <c r="J4546" s="333"/>
      <c r="K4546" s="496"/>
    </row>
    <row r="4547" spans="1:11" x14ac:dyDescent="0.35">
      <c r="A4547" s="339"/>
      <c r="B4547" s="340"/>
      <c r="C4547" s="340"/>
      <c r="D4547" s="340"/>
      <c r="E4547" s="340"/>
      <c r="F4547" s="340"/>
      <c r="G4547" s="340"/>
      <c r="H4547" s="340"/>
      <c r="I4547" s="340"/>
      <c r="J4547" s="340"/>
      <c r="K4547" s="497"/>
    </row>
    <row r="4548" spans="1:11" x14ac:dyDescent="0.35">
      <c r="A4548" s="332"/>
      <c r="B4548" s="333"/>
      <c r="C4548" s="333"/>
      <c r="D4548" s="333"/>
      <c r="E4548" s="333"/>
      <c r="F4548" s="333"/>
      <c r="G4548" s="333"/>
      <c r="H4548" s="333"/>
      <c r="I4548" s="333"/>
      <c r="J4548" s="333"/>
      <c r="K4548" s="496"/>
    </row>
    <row r="4549" spans="1:11" x14ac:dyDescent="0.35">
      <c r="A4549" s="339"/>
      <c r="B4549" s="340"/>
      <c r="C4549" s="340"/>
      <c r="D4549" s="340"/>
      <c r="E4549" s="340"/>
      <c r="F4549" s="340"/>
      <c r="G4549" s="340"/>
      <c r="H4549" s="340"/>
      <c r="I4549" s="340"/>
      <c r="J4549" s="340"/>
      <c r="K4549" s="497"/>
    </row>
    <row r="4550" spans="1:11" x14ac:dyDescent="0.35">
      <c r="A4550" s="332"/>
      <c r="B4550" s="333"/>
      <c r="C4550" s="333"/>
      <c r="D4550" s="333"/>
      <c r="E4550" s="333"/>
      <c r="F4550" s="333"/>
      <c r="G4550" s="333"/>
      <c r="H4550" s="333"/>
      <c r="I4550" s="333"/>
      <c r="J4550" s="333"/>
      <c r="K4550" s="496"/>
    </row>
    <row r="4551" spans="1:11" x14ac:dyDescent="0.35">
      <c r="A4551" s="339"/>
      <c r="B4551" s="340"/>
      <c r="C4551" s="340"/>
      <c r="D4551" s="340"/>
      <c r="E4551" s="340"/>
      <c r="F4551" s="340"/>
      <c r="G4551" s="340"/>
      <c r="H4551" s="340"/>
      <c r="I4551" s="340"/>
      <c r="J4551" s="340"/>
      <c r="K4551" s="497"/>
    </row>
    <row r="4552" spans="1:11" x14ac:dyDescent="0.35">
      <c r="A4552" s="332"/>
      <c r="B4552" s="333"/>
      <c r="C4552" s="333"/>
      <c r="D4552" s="333"/>
      <c r="E4552" s="333"/>
      <c r="F4552" s="333"/>
      <c r="G4552" s="333"/>
      <c r="H4552" s="333"/>
      <c r="I4552" s="333"/>
      <c r="J4552" s="333"/>
      <c r="K4552" s="496"/>
    </row>
    <row r="4553" spans="1:11" x14ac:dyDescent="0.35">
      <c r="A4553" s="339"/>
      <c r="B4553" s="340"/>
      <c r="C4553" s="340"/>
      <c r="D4553" s="340"/>
      <c r="E4553" s="340"/>
      <c r="F4553" s="340"/>
      <c r="G4553" s="340"/>
      <c r="H4553" s="340"/>
      <c r="I4553" s="340"/>
      <c r="J4553" s="340"/>
      <c r="K4553" s="497"/>
    </row>
    <row r="4554" spans="1:11" x14ac:dyDescent="0.35">
      <c r="A4554" s="332"/>
      <c r="B4554" s="333"/>
      <c r="C4554" s="333"/>
      <c r="D4554" s="333"/>
      <c r="E4554" s="333"/>
      <c r="F4554" s="333"/>
      <c r="G4554" s="333"/>
      <c r="H4554" s="333"/>
      <c r="I4554" s="333"/>
      <c r="J4554" s="333"/>
      <c r="K4554" s="496"/>
    </row>
    <row r="4555" spans="1:11" x14ac:dyDescent="0.35">
      <c r="A4555" s="339"/>
      <c r="B4555" s="340"/>
      <c r="C4555" s="340"/>
      <c r="D4555" s="340"/>
      <c r="E4555" s="340"/>
      <c r="F4555" s="340"/>
      <c r="G4555" s="340"/>
      <c r="H4555" s="340"/>
      <c r="I4555" s="340"/>
      <c r="J4555" s="340"/>
      <c r="K4555" s="497"/>
    </row>
    <row r="4556" spans="1:11" x14ac:dyDescent="0.35">
      <c r="A4556" s="332"/>
      <c r="B4556" s="333"/>
      <c r="C4556" s="333"/>
      <c r="D4556" s="333"/>
      <c r="E4556" s="333"/>
      <c r="F4556" s="333"/>
      <c r="G4556" s="333"/>
      <c r="H4556" s="333"/>
      <c r="I4556" s="333"/>
      <c r="J4556" s="333"/>
      <c r="K4556" s="496"/>
    </row>
    <row r="4557" spans="1:11" x14ac:dyDescent="0.35">
      <c r="A4557" s="339"/>
      <c r="B4557" s="340"/>
      <c r="C4557" s="340"/>
      <c r="D4557" s="340"/>
      <c r="E4557" s="340"/>
      <c r="F4557" s="340"/>
      <c r="G4557" s="340"/>
      <c r="H4557" s="340"/>
      <c r="I4557" s="340"/>
      <c r="J4557" s="340"/>
      <c r="K4557" s="497"/>
    </row>
    <row r="4558" spans="1:11" x14ac:dyDescent="0.35">
      <c r="A4558" s="332"/>
      <c r="B4558" s="333"/>
      <c r="C4558" s="333"/>
      <c r="D4558" s="333"/>
      <c r="E4558" s="333"/>
      <c r="F4558" s="333"/>
      <c r="G4558" s="333"/>
      <c r="H4558" s="333"/>
      <c r="I4558" s="333"/>
      <c r="J4558" s="333"/>
      <c r="K4558" s="496"/>
    </row>
    <row r="4559" spans="1:11" x14ac:dyDescent="0.35">
      <c r="A4559" s="339"/>
      <c r="B4559" s="340"/>
      <c r="C4559" s="340"/>
      <c r="D4559" s="340"/>
      <c r="E4559" s="340"/>
      <c r="F4559" s="340"/>
      <c r="G4559" s="340"/>
      <c r="H4559" s="340"/>
      <c r="I4559" s="340"/>
      <c r="J4559" s="340"/>
      <c r="K4559" s="497"/>
    </row>
    <row r="4560" spans="1:11" x14ac:dyDescent="0.35">
      <c r="A4560" s="332"/>
      <c r="B4560" s="333"/>
      <c r="C4560" s="333"/>
      <c r="D4560" s="333"/>
      <c r="E4560" s="333"/>
      <c r="F4560" s="333"/>
      <c r="G4560" s="333"/>
      <c r="H4560" s="333"/>
      <c r="I4560" s="333"/>
      <c r="J4560" s="333"/>
      <c r="K4560" s="496"/>
    </row>
    <row r="4561" spans="1:11" x14ac:dyDescent="0.35">
      <c r="A4561" s="339"/>
      <c r="B4561" s="340"/>
      <c r="C4561" s="340"/>
      <c r="D4561" s="340"/>
      <c r="E4561" s="340"/>
      <c r="F4561" s="340"/>
      <c r="G4561" s="340"/>
      <c r="H4561" s="340"/>
      <c r="I4561" s="340"/>
      <c r="J4561" s="340"/>
      <c r="K4561" s="497"/>
    </row>
    <row r="4562" spans="1:11" x14ac:dyDescent="0.35">
      <c r="A4562" s="332"/>
      <c r="B4562" s="333"/>
      <c r="C4562" s="333"/>
      <c r="D4562" s="333"/>
      <c r="E4562" s="333"/>
      <c r="F4562" s="333"/>
      <c r="G4562" s="333"/>
      <c r="H4562" s="333"/>
      <c r="I4562" s="333"/>
      <c r="J4562" s="333"/>
      <c r="K4562" s="496"/>
    </row>
    <row r="4563" spans="1:11" x14ac:dyDescent="0.35">
      <c r="A4563" s="339"/>
      <c r="B4563" s="340"/>
      <c r="C4563" s="340"/>
      <c r="D4563" s="340"/>
      <c r="E4563" s="340"/>
      <c r="F4563" s="340"/>
      <c r="G4563" s="340"/>
      <c r="H4563" s="340"/>
      <c r="I4563" s="340"/>
      <c r="J4563" s="340"/>
      <c r="K4563" s="497"/>
    </row>
    <row r="4564" spans="1:11" x14ac:dyDescent="0.35">
      <c r="A4564" s="332"/>
      <c r="B4564" s="333"/>
      <c r="C4564" s="333"/>
      <c r="D4564" s="333"/>
      <c r="E4564" s="333"/>
      <c r="F4564" s="333"/>
      <c r="G4564" s="333"/>
      <c r="H4564" s="333"/>
      <c r="I4564" s="333"/>
      <c r="J4564" s="333"/>
      <c r="K4564" s="496"/>
    </row>
    <row r="4565" spans="1:11" x14ac:dyDescent="0.35">
      <c r="A4565" s="339"/>
      <c r="B4565" s="340"/>
      <c r="C4565" s="340"/>
      <c r="D4565" s="340"/>
      <c r="E4565" s="340"/>
      <c r="F4565" s="340"/>
      <c r="G4565" s="340"/>
      <c r="H4565" s="340"/>
      <c r="I4565" s="340"/>
      <c r="J4565" s="340"/>
      <c r="K4565" s="497"/>
    </row>
    <row r="4566" spans="1:11" x14ac:dyDescent="0.35">
      <c r="A4566" s="332"/>
      <c r="B4566" s="333"/>
      <c r="C4566" s="333"/>
      <c r="D4566" s="333"/>
      <c r="E4566" s="333"/>
      <c r="F4566" s="333"/>
      <c r="G4566" s="333"/>
      <c r="H4566" s="333"/>
      <c r="I4566" s="333"/>
      <c r="J4566" s="333"/>
      <c r="K4566" s="496"/>
    </row>
    <row r="4567" spans="1:11" x14ac:dyDescent="0.35">
      <c r="A4567" s="339"/>
      <c r="B4567" s="340"/>
      <c r="C4567" s="340"/>
      <c r="D4567" s="340"/>
      <c r="E4567" s="340"/>
      <c r="F4567" s="340"/>
      <c r="G4567" s="340"/>
      <c r="H4567" s="340"/>
      <c r="I4567" s="340"/>
      <c r="J4567" s="340"/>
      <c r="K4567" s="497"/>
    </row>
    <row r="4568" spans="1:11" x14ac:dyDescent="0.35">
      <c r="A4568" s="332"/>
      <c r="B4568" s="333"/>
      <c r="C4568" s="333"/>
      <c r="D4568" s="333"/>
      <c r="E4568" s="333"/>
      <c r="F4568" s="333"/>
      <c r="G4568" s="333"/>
      <c r="H4568" s="333"/>
      <c r="I4568" s="333"/>
      <c r="J4568" s="333"/>
      <c r="K4568" s="496"/>
    </row>
    <row r="4569" spans="1:11" x14ac:dyDescent="0.35">
      <c r="A4569" s="339"/>
      <c r="B4569" s="340"/>
      <c r="C4569" s="340"/>
      <c r="D4569" s="340"/>
      <c r="E4569" s="340"/>
      <c r="F4569" s="340"/>
      <c r="G4569" s="340"/>
      <c r="H4569" s="340"/>
      <c r="I4569" s="340"/>
      <c r="J4569" s="340"/>
      <c r="K4569" s="497"/>
    </row>
    <row r="4570" spans="1:11" x14ac:dyDescent="0.35">
      <c r="A4570" s="332"/>
      <c r="B4570" s="333"/>
      <c r="C4570" s="333"/>
      <c r="D4570" s="333"/>
      <c r="E4570" s="333"/>
      <c r="F4570" s="333"/>
      <c r="G4570" s="333"/>
      <c r="H4570" s="333"/>
      <c r="I4570" s="333"/>
      <c r="J4570" s="333"/>
      <c r="K4570" s="496"/>
    </row>
    <row r="4571" spans="1:11" x14ac:dyDescent="0.35">
      <c r="A4571" s="339"/>
      <c r="B4571" s="340"/>
      <c r="C4571" s="340"/>
      <c r="D4571" s="340"/>
      <c r="E4571" s="340"/>
      <c r="F4571" s="340"/>
      <c r="G4571" s="340"/>
      <c r="H4571" s="340"/>
      <c r="I4571" s="340"/>
      <c r="J4571" s="340"/>
      <c r="K4571" s="497"/>
    </row>
    <row r="4572" spans="1:11" x14ac:dyDescent="0.35">
      <c r="A4572" s="332"/>
      <c r="B4572" s="333"/>
      <c r="C4572" s="333"/>
      <c r="D4572" s="333"/>
      <c r="E4572" s="333"/>
      <c r="F4572" s="333"/>
      <c r="G4572" s="333"/>
      <c r="H4572" s="333"/>
      <c r="I4572" s="333"/>
      <c r="J4572" s="333"/>
      <c r="K4572" s="496"/>
    </row>
    <row r="4573" spans="1:11" x14ac:dyDescent="0.35">
      <c r="A4573" s="339"/>
      <c r="B4573" s="340"/>
      <c r="C4573" s="340"/>
      <c r="D4573" s="340"/>
      <c r="E4573" s="340"/>
      <c r="F4573" s="340"/>
      <c r="G4573" s="340"/>
      <c r="H4573" s="340"/>
      <c r="I4573" s="340"/>
      <c r="J4573" s="340"/>
      <c r="K4573" s="497"/>
    </row>
    <row r="4574" spans="1:11" x14ac:dyDescent="0.35">
      <c r="A4574" s="332"/>
      <c r="B4574" s="333"/>
      <c r="C4574" s="333"/>
      <c r="D4574" s="333"/>
      <c r="E4574" s="333"/>
      <c r="F4574" s="333"/>
      <c r="G4574" s="333"/>
      <c r="H4574" s="333"/>
      <c r="I4574" s="333"/>
      <c r="J4574" s="333"/>
      <c r="K4574" s="496"/>
    </row>
    <row r="4575" spans="1:11" x14ac:dyDescent="0.35">
      <c r="A4575" s="339"/>
      <c r="B4575" s="340"/>
      <c r="C4575" s="340"/>
      <c r="D4575" s="340"/>
      <c r="E4575" s="340"/>
      <c r="F4575" s="340"/>
      <c r="G4575" s="340"/>
      <c r="H4575" s="340"/>
      <c r="I4575" s="340"/>
      <c r="J4575" s="340"/>
      <c r="K4575" s="497"/>
    </row>
    <row r="4576" spans="1:11" x14ac:dyDescent="0.35">
      <c r="A4576" s="332"/>
      <c r="B4576" s="333"/>
      <c r="C4576" s="333"/>
      <c r="D4576" s="333"/>
      <c r="E4576" s="333"/>
      <c r="F4576" s="333"/>
      <c r="G4576" s="333"/>
      <c r="H4576" s="333"/>
      <c r="I4576" s="333"/>
      <c r="J4576" s="333"/>
      <c r="K4576" s="496"/>
    </row>
    <row r="4577" spans="1:11" x14ac:dyDescent="0.35">
      <c r="A4577" s="339"/>
      <c r="B4577" s="340"/>
      <c r="C4577" s="340"/>
      <c r="D4577" s="340"/>
      <c r="E4577" s="340"/>
      <c r="F4577" s="340"/>
      <c r="G4577" s="340"/>
      <c r="H4577" s="340"/>
      <c r="I4577" s="340"/>
      <c r="J4577" s="340"/>
      <c r="K4577" s="497"/>
    </row>
    <row r="4578" spans="1:11" x14ac:dyDescent="0.35">
      <c r="A4578" s="332"/>
      <c r="B4578" s="333"/>
      <c r="C4578" s="333"/>
      <c r="D4578" s="333"/>
      <c r="E4578" s="333"/>
      <c r="F4578" s="333"/>
      <c r="G4578" s="333"/>
      <c r="H4578" s="333"/>
      <c r="I4578" s="333"/>
      <c r="J4578" s="333"/>
      <c r="K4578" s="496"/>
    </row>
    <row r="4579" spans="1:11" x14ac:dyDescent="0.35">
      <c r="A4579" s="339"/>
      <c r="B4579" s="340"/>
      <c r="C4579" s="340"/>
      <c r="D4579" s="340"/>
      <c r="E4579" s="340"/>
      <c r="F4579" s="340"/>
      <c r="G4579" s="340"/>
      <c r="H4579" s="340"/>
      <c r="I4579" s="340"/>
      <c r="J4579" s="340"/>
      <c r="K4579" s="497"/>
    </row>
    <row r="4580" spans="1:11" x14ac:dyDescent="0.35">
      <c r="A4580" s="332"/>
      <c r="B4580" s="333"/>
      <c r="C4580" s="333"/>
      <c r="D4580" s="333"/>
      <c r="E4580" s="333"/>
      <c r="F4580" s="333"/>
      <c r="G4580" s="333"/>
      <c r="H4580" s="333"/>
      <c r="I4580" s="333"/>
      <c r="J4580" s="333"/>
      <c r="K4580" s="496"/>
    </row>
    <row r="4581" spans="1:11" x14ac:dyDescent="0.35">
      <c r="A4581" s="339"/>
      <c r="B4581" s="340"/>
      <c r="C4581" s="340"/>
      <c r="D4581" s="340"/>
      <c r="E4581" s="340"/>
      <c r="F4581" s="340"/>
      <c r="G4581" s="340"/>
      <c r="H4581" s="340"/>
      <c r="I4581" s="340"/>
      <c r="J4581" s="340"/>
      <c r="K4581" s="497"/>
    </row>
    <row r="4582" spans="1:11" x14ac:dyDescent="0.35">
      <c r="A4582" s="332"/>
      <c r="B4582" s="333"/>
      <c r="C4582" s="333"/>
      <c r="D4582" s="333"/>
      <c r="E4582" s="333"/>
      <c r="F4582" s="333"/>
      <c r="G4582" s="333"/>
      <c r="H4582" s="333"/>
      <c r="I4582" s="333"/>
      <c r="J4582" s="333"/>
      <c r="K4582" s="496"/>
    </row>
    <row r="4583" spans="1:11" x14ac:dyDescent="0.35">
      <c r="A4583" s="339"/>
      <c r="B4583" s="340"/>
      <c r="C4583" s="340"/>
      <c r="D4583" s="340"/>
      <c r="E4583" s="340"/>
      <c r="F4583" s="340"/>
      <c r="G4583" s="340"/>
      <c r="H4583" s="340"/>
      <c r="I4583" s="340"/>
      <c r="J4583" s="340"/>
      <c r="K4583" s="497"/>
    </row>
    <row r="4584" spans="1:11" x14ac:dyDescent="0.35">
      <c r="A4584" s="332"/>
      <c r="B4584" s="333"/>
      <c r="C4584" s="333"/>
      <c r="D4584" s="333"/>
      <c r="E4584" s="333"/>
      <c r="F4584" s="333"/>
      <c r="G4584" s="333"/>
      <c r="H4584" s="333"/>
      <c r="I4584" s="333"/>
      <c r="J4584" s="333"/>
      <c r="K4584" s="496"/>
    </row>
    <row r="4585" spans="1:11" x14ac:dyDescent="0.35">
      <c r="A4585" s="339"/>
      <c r="B4585" s="340"/>
      <c r="C4585" s="340"/>
      <c r="D4585" s="340"/>
      <c r="E4585" s="340"/>
      <c r="F4585" s="340"/>
      <c r="G4585" s="340"/>
      <c r="H4585" s="340"/>
      <c r="I4585" s="340"/>
      <c r="J4585" s="340"/>
      <c r="K4585" s="497"/>
    </row>
    <row r="4586" spans="1:11" x14ac:dyDescent="0.35">
      <c r="A4586" s="332"/>
      <c r="B4586" s="333"/>
      <c r="C4586" s="333"/>
      <c r="D4586" s="333"/>
      <c r="E4586" s="333"/>
      <c r="F4586" s="333"/>
      <c r="G4586" s="333"/>
      <c r="H4586" s="333"/>
      <c r="I4586" s="333"/>
      <c r="J4586" s="333"/>
      <c r="K4586" s="496"/>
    </row>
    <row r="4587" spans="1:11" x14ac:dyDescent="0.35">
      <c r="A4587" s="339"/>
      <c r="B4587" s="340"/>
      <c r="C4587" s="340"/>
      <c r="D4587" s="340"/>
      <c r="E4587" s="340"/>
      <c r="F4587" s="340"/>
      <c r="G4587" s="340"/>
      <c r="H4587" s="340"/>
      <c r="I4587" s="340"/>
      <c r="J4587" s="340"/>
      <c r="K4587" s="497"/>
    </row>
    <row r="4588" spans="1:11" x14ac:dyDescent="0.35">
      <c r="A4588" s="332"/>
      <c r="B4588" s="333"/>
      <c r="C4588" s="333"/>
      <c r="D4588" s="333"/>
      <c r="E4588" s="333"/>
      <c r="F4588" s="333"/>
      <c r="G4588" s="333"/>
      <c r="H4588" s="333"/>
      <c r="I4588" s="333"/>
      <c r="J4588" s="333"/>
      <c r="K4588" s="496"/>
    </row>
    <row r="4589" spans="1:11" x14ac:dyDescent="0.35">
      <c r="A4589" s="339"/>
      <c r="B4589" s="340"/>
      <c r="C4589" s="340"/>
      <c r="D4589" s="340"/>
      <c r="E4589" s="340"/>
      <c r="F4589" s="340"/>
      <c r="G4589" s="340"/>
      <c r="H4589" s="340"/>
      <c r="I4589" s="340"/>
      <c r="J4589" s="340"/>
      <c r="K4589" s="497"/>
    </row>
    <row r="4590" spans="1:11" x14ac:dyDescent="0.35">
      <c r="A4590" s="332"/>
      <c r="B4590" s="333"/>
      <c r="C4590" s="333"/>
      <c r="D4590" s="333"/>
      <c r="E4590" s="333"/>
      <c r="F4590" s="333"/>
      <c r="G4590" s="333"/>
      <c r="H4590" s="333"/>
      <c r="I4590" s="333"/>
      <c r="J4590" s="333"/>
      <c r="K4590" s="496"/>
    </row>
    <row r="4591" spans="1:11" x14ac:dyDescent="0.35">
      <c r="A4591" s="339"/>
      <c r="B4591" s="340"/>
      <c r="C4591" s="340"/>
      <c r="D4591" s="340"/>
      <c r="E4591" s="340"/>
      <c r="F4591" s="340"/>
      <c r="G4591" s="340"/>
      <c r="H4591" s="340"/>
      <c r="I4591" s="340"/>
      <c r="J4591" s="340"/>
      <c r="K4591" s="497"/>
    </row>
    <row r="4592" spans="1:11" x14ac:dyDescent="0.35">
      <c r="A4592" s="332"/>
      <c r="B4592" s="333"/>
      <c r="C4592" s="333"/>
      <c r="D4592" s="333"/>
      <c r="E4592" s="333"/>
      <c r="F4592" s="333"/>
      <c r="G4592" s="333"/>
      <c r="H4592" s="333"/>
      <c r="I4592" s="333"/>
      <c r="J4592" s="333"/>
      <c r="K4592" s="496"/>
    </row>
    <row r="4593" spans="1:11" x14ac:dyDescent="0.35">
      <c r="A4593" s="339"/>
      <c r="B4593" s="340"/>
      <c r="C4593" s="340"/>
      <c r="D4593" s="340"/>
      <c r="E4593" s="340"/>
      <c r="F4593" s="340"/>
      <c r="G4593" s="340"/>
      <c r="H4593" s="340"/>
      <c r="I4593" s="340"/>
      <c r="J4593" s="340"/>
      <c r="K4593" s="497"/>
    </row>
    <row r="4594" spans="1:11" x14ac:dyDescent="0.35">
      <c r="A4594" s="332"/>
      <c r="B4594" s="333"/>
      <c r="C4594" s="333"/>
      <c r="D4594" s="333"/>
      <c r="E4594" s="333"/>
      <c r="F4594" s="333"/>
      <c r="G4594" s="333"/>
      <c r="H4594" s="333"/>
      <c r="I4594" s="333"/>
      <c r="J4594" s="333"/>
      <c r="K4594" s="496"/>
    </row>
    <row r="4595" spans="1:11" x14ac:dyDescent="0.35">
      <c r="A4595" s="339"/>
      <c r="B4595" s="340"/>
      <c r="C4595" s="340"/>
      <c r="D4595" s="340"/>
      <c r="E4595" s="340"/>
      <c r="F4595" s="340"/>
      <c r="G4595" s="340"/>
      <c r="H4595" s="340"/>
      <c r="I4595" s="340"/>
      <c r="J4595" s="340"/>
      <c r="K4595" s="497"/>
    </row>
    <row r="4596" spans="1:11" x14ac:dyDescent="0.35">
      <c r="A4596" s="332"/>
      <c r="B4596" s="333"/>
      <c r="C4596" s="333"/>
      <c r="D4596" s="333"/>
      <c r="E4596" s="333"/>
      <c r="F4596" s="333"/>
      <c r="G4596" s="333"/>
      <c r="H4596" s="333"/>
      <c r="I4596" s="333"/>
      <c r="J4596" s="333"/>
      <c r="K4596" s="496"/>
    </row>
    <row r="4597" spans="1:11" x14ac:dyDescent="0.35">
      <c r="A4597" s="339"/>
      <c r="B4597" s="340"/>
      <c r="C4597" s="340"/>
      <c r="D4597" s="340"/>
      <c r="E4597" s="340"/>
      <c r="F4597" s="340"/>
      <c r="G4597" s="340"/>
      <c r="H4597" s="340"/>
      <c r="I4597" s="340"/>
      <c r="J4597" s="340"/>
      <c r="K4597" s="497"/>
    </row>
    <row r="4598" spans="1:11" x14ac:dyDescent="0.35">
      <c r="A4598" s="332"/>
      <c r="B4598" s="333"/>
      <c r="C4598" s="333"/>
      <c r="D4598" s="333"/>
      <c r="E4598" s="333"/>
      <c r="F4598" s="333"/>
      <c r="G4598" s="333"/>
      <c r="H4598" s="333"/>
      <c r="I4598" s="333"/>
      <c r="J4598" s="333"/>
      <c r="K4598" s="496"/>
    </row>
    <row r="4599" spans="1:11" x14ac:dyDescent="0.35">
      <c r="A4599" s="339"/>
      <c r="B4599" s="340"/>
      <c r="C4599" s="340"/>
      <c r="D4599" s="340"/>
      <c r="E4599" s="340"/>
      <c r="F4599" s="340"/>
      <c r="G4599" s="340"/>
      <c r="H4599" s="340"/>
      <c r="I4599" s="340"/>
      <c r="J4599" s="340"/>
      <c r="K4599" s="497"/>
    </row>
    <row r="4600" spans="1:11" x14ac:dyDescent="0.35">
      <c r="A4600" s="332"/>
      <c r="B4600" s="333"/>
      <c r="C4600" s="333"/>
      <c r="D4600" s="333"/>
      <c r="E4600" s="333"/>
      <c r="F4600" s="333"/>
      <c r="G4600" s="333"/>
      <c r="H4600" s="333"/>
      <c r="I4600" s="333"/>
      <c r="J4600" s="333"/>
      <c r="K4600" s="496"/>
    </row>
    <row r="4601" spans="1:11" x14ac:dyDescent="0.35">
      <c r="A4601" s="339"/>
      <c r="B4601" s="340"/>
      <c r="C4601" s="340"/>
      <c r="D4601" s="340"/>
      <c r="E4601" s="340"/>
      <c r="F4601" s="340"/>
      <c r="G4601" s="340"/>
      <c r="H4601" s="340"/>
      <c r="I4601" s="340"/>
      <c r="J4601" s="340"/>
      <c r="K4601" s="497"/>
    </row>
    <row r="4602" spans="1:11" x14ac:dyDescent="0.35">
      <c r="A4602" s="332"/>
      <c r="B4602" s="333"/>
      <c r="C4602" s="333"/>
      <c r="D4602" s="333"/>
      <c r="E4602" s="333"/>
      <c r="F4602" s="333"/>
      <c r="G4602" s="333"/>
      <c r="H4602" s="333"/>
      <c r="I4602" s="333"/>
      <c r="J4602" s="333"/>
      <c r="K4602" s="496"/>
    </row>
    <row r="4603" spans="1:11" x14ac:dyDescent="0.35">
      <c r="A4603" s="339"/>
      <c r="B4603" s="340"/>
      <c r="C4603" s="340"/>
      <c r="D4603" s="340"/>
      <c r="E4603" s="340"/>
      <c r="F4603" s="340"/>
      <c r="G4603" s="340"/>
      <c r="H4603" s="340"/>
      <c r="I4603" s="340"/>
      <c r="J4603" s="340"/>
      <c r="K4603" s="497"/>
    </row>
    <row r="4604" spans="1:11" x14ac:dyDescent="0.35">
      <c r="A4604" s="332"/>
      <c r="B4604" s="333"/>
      <c r="C4604" s="333"/>
      <c r="D4604" s="333"/>
      <c r="E4604" s="333"/>
      <c r="F4604" s="333"/>
      <c r="G4604" s="333"/>
      <c r="H4604" s="333"/>
      <c r="I4604" s="333"/>
      <c r="J4604" s="333"/>
      <c r="K4604" s="496"/>
    </row>
    <row r="4605" spans="1:11" x14ac:dyDescent="0.35">
      <c r="A4605" s="339"/>
      <c r="B4605" s="340"/>
      <c r="C4605" s="340"/>
      <c r="D4605" s="340"/>
      <c r="E4605" s="340"/>
      <c r="F4605" s="340"/>
      <c r="G4605" s="340"/>
      <c r="H4605" s="340"/>
      <c r="I4605" s="340"/>
      <c r="J4605" s="340"/>
      <c r="K4605" s="497"/>
    </row>
    <row r="4606" spans="1:11" x14ac:dyDescent="0.35">
      <c r="A4606" s="332"/>
      <c r="B4606" s="333"/>
      <c r="C4606" s="333"/>
      <c r="D4606" s="333"/>
      <c r="E4606" s="333"/>
      <c r="F4606" s="333"/>
      <c r="G4606" s="333"/>
      <c r="H4606" s="333"/>
      <c r="I4606" s="333"/>
      <c r="J4606" s="333"/>
      <c r="K4606" s="496"/>
    </row>
    <row r="4607" spans="1:11" x14ac:dyDescent="0.35">
      <c r="A4607" s="339"/>
      <c r="B4607" s="340"/>
      <c r="C4607" s="340"/>
      <c r="D4607" s="340"/>
      <c r="E4607" s="340"/>
      <c r="F4607" s="340"/>
      <c r="G4607" s="340"/>
      <c r="H4607" s="340"/>
      <c r="I4607" s="340"/>
      <c r="J4607" s="340"/>
      <c r="K4607" s="497"/>
    </row>
    <row r="4608" spans="1:11" x14ac:dyDescent="0.35">
      <c r="A4608" s="332"/>
      <c r="B4608" s="333"/>
      <c r="C4608" s="333"/>
      <c r="D4608" s="333"/>
      <c r="E4608" s="333"/>
      <c r="F4608" s="333"/>
      <c r="G4608" s="333"/>
      <c r="H4608" s="333"/>
      <c r="I4608" s="333"/>
      <c r="J4608" s="333"/>
      <c r="K4608" s="496"/>
    </row>
    <row r="4609" spans="1:11" x14ac:dyDescent="0.35">
      <c r="A4609" s="339"/>
      <c r="B4609" s="340"/>
      <c r="C4609" s="340"/>
      <c r="D4609" s="340"/>
      <c r="E4609" s="340"/>
      <c r="F4609" s="340"/>
      <c r="G4609" s="340"/>
      <c r="H4609" s="340"/>
      <c r="I4609" s="340"/>
      <c r="J4609" s="340"/>
      <c r="K4609" s="497"/>
    </row>
    <row r="4610" spans="1:11" x14ac:dyDescent="0.35">
      <c r="A4610" s="332"/>
      <c r="B4610" s="333"/>
      <c r="C4610" s="333"/>
      <c r="D4610" s="333"/>
      <c r="E4610" s="333"/>
      <c r="F4610" s="333"/>
      <c r="G4610" s="333"/>
      <c r="H4610" s="333"/>
      <c r="I4610" s="333"/>
      <c r="J4610" s="333"/>
      <c r="K4610" s="496"/>
    </row>
    <row r="4611" spans="1:11" x14ac:dyDescent="0.35">
      <c r="A4611" s="339"/>
      <c r="B4611" s="340"/>
      <c r="C4611" s="340"/>
      <c r="D4611" s="340"/>
      <c r="E4611" s="340"/>
      <c r="F4611" s="340"/>
      <c r="G4611" s="340"/>
      <c r="H4611" s="340"/>
      <c r="I4611" s="340"/>
      <c r="J4611" s="340"/>
      <c r="K4611" s="497"/>
    </row>
    <row r="4612" spans="1:11" x14ac:dyDescent="0.35">
      <c r="A4612" s="332"/>
      <c r="B4612" s="333"/>
      <c r="C4612" s="333"/>
      <c r="D4612" s="333"/>
      <c r="E4612" s="333"/>
      <c r="F4612" s="333"/>
      <c r="G4612" s="333"/>
      <c r="H4612" s="333"/>
      <c r="I4612" s="333"/>
      <c r="J4612" s="333"/>
      <c r="K4612" s="496"/>
    </row>
    <row r="4613" spans="1:11" x14ac:dyDescent="0.35">
      <c r="A4613" s="339"/>
      <c r="B4613" s="340"/>
      <c r="C4613" s="340"/>
      <c r="D4613" s="340"/>
      <c r="E4613" s="340"/>
      <c r="F4613" s="340"/>
      <c r="G4613" s="340"/>
      <c r="H4613" s="340"/>
      <c r="I4613" s="340"/>
      <c r="J4613" s="340"/>
      <c r="K4613" s="497"/>
    </row>
    <row r="4614" spans="1:11" x14ac:dyDescent="0.35">
      <c r="A4614" s="332"/>
      <c r="B4614" s="333"/>
      <c r="C4614" s="333"/>
      <c r="D4614" s="333"/>
      <c r="E4614" s="333"/>
      <c r="F4614" s="333"/>
      <c r="G4614" s="333"/>
      <c r="H4614" s="333"/>
      <c r="I4614" s="333"/>
      <c r="J4614" s="333"/>
      <c r="K4614" s="496"/>
    </row>
    <row r="4615" spans="1:11" x14ac:dyDescent="0.35">
      <c r="A4615" s="339"/>
      <c r="B4615" s="340"/>
      <c r="C4615" s="340"/>
      <c r="D4615" s="340"/>
      <c r="E4615" s="340"/>
      <c r="F4615" s="340"/>
      <c r="G4615" s="340"/>
      <c r="H4615" s="340"/>
      <c r="I4615" s="340"/>
      <c r="J4615" s="340"/>
      <c r="K4615" s="497"/>
    </row>
    <row r="4616" spans="1:11" x14ac:dyDescent="0.35">
      <c r="A4616" s="332"/>
      <c r="B4616" s="333"/>
      <c r="C4616" s="333"/>
      <c r="D4616" s="333"/>
      <c r="E4616" s="333"/>
      <c r="F4616" s="333"/>
      <c r="G4616" s="333"/>
      <c r="H4616" s="333"/>
      <c r="I4616" s="333"/>
      <c r="J4616" s="333"/>
      <c r="K4616" s="496"/>
    </row>
    <row r="4617" spans="1:11" x14ac:dyDescent="0.35">
      <c r="A4617" s="339"/>
      <c r="B4617" s="340"/>
      <c r="C4617" s="340"/>
      <c r="D4617" s="340"/>
      <c r="E4617" s="340"/>
      <c r="F4617" s="340"/>
      <c r="G4617" s="340"/>
      <c r="H4617" s="340"/>
      <c r="I4617" s="340"/>
      <c r="J4617" s="340"/>
      <c r="K4617" s="497"/>
    </row>
    <row r="4618" spans="1:11" x14ac:dyDescent="0.35">
      <c r="A4618" s="332"/>
      <c r="B4618" s="333"/>
      <c r="C4618" s="333"/>
      <c r="D4618" s="333"/>
      <c r="E4618" s="333"/>
      <c r="F4618" s="333"/>
      <c r="G4618" s="333"/>
      <c r="H4618" s="333"/>
      <c r="I4618" s="333"/>
      <c r="J4618" s="333"/>
      <c r="K4618" s="496"/>
    </row>
    <row r="4619" spans="1:11" x14ac:dyDescent="0.35">
      <c r="A4619" s="339"/>
      <c r="B4619" s="340"/>
      <c r="C4619" s="340"/>
      <c r="D4619" s="340"/>
      <c r="E4619" s="340"/>
      <c r="F4619" s="340"/>
      <c r="G4619" s="340"/>
      <c r="H4619" s="340"/>
      <c r="I4619" s="340"/>
      <c r="J4619" s="340"/>
      <c r="K4619" s="497"/>
    </row>
    <row r="4620" spans="1:11" x14ac:dyDescent="0.35">
      <c r="A4620" s="332"/>
      <c r="B4620" s="333"/>
      <c r="C4620" s="333"/>
      <c r="D4620" s="333"/>
      <c r="E4620" s="333"/>
      <c r="F4620" s="333"/>
      <c r="G4620" s="333"/>
      <c r="H4620" s="333"/>
      <c r="I4620" s="333"/>
      <c r="J4620" s="333"/>
      <c r="K4620" s="496"/>
    </row>
    <row r="4621" spans="1:11" x14ac:dyDescent="0.35">
      <c r="A4621" s="339"/>
      <c r="B4621" s="340"/>
      <c r="C4621" s="340"/>
      <c r="D4621" s="340"/>
      <c r="E4621" s="340"/>
      <c r="F4621" s="340"/>
      <c r="G4621" s="340"/>
      <c r="H4621" s="340"/>
      <c r="I4621" s="340"/>
      <c r="J4621" s="340"/>
      <c r="K4621" s="497"/>
    </row>
    <row r="4622" spans="1:11" x14ac:dyDescent="0.35">
      <c r="A4622" s="332"/>
      <c r="B4622" s="333"/>
      <c r="C4622" s="333"/>
      <c r="D4622" s="333"/>
      <c r="E4622" s="333"/>
      <c r="F4622" s="333"/>
      <c r="G4622" s="333"/>
      <c r="H4622" s="333"/>
      <c r="I4622" s="333"/>
      <c r="J4622" s="333"/>
      <c r="K4622" s="496"/>
    </row>
    <row r="4623" spans="1:11" x14ac:dyDescent="0.35">
      <c r="A4623" s="339"/>
      <c r="B4623" s="340"/>
      <c r="C4623" s="340"/>
      <c r="D4623" s="340"/>
      <c r="E4623" s="340"/>
      <c r="F4623" s="340"/>
      <c r="G4623" s="340"/>
      <c r="H4623" s="340"/>
      <c r="I4623" s="340"/>
      <c r="J4623" s="340"/>
      <c r="K4623" s="497"/>
    </row>
    <row r="4624" spans="1:11" x14ac:dyDescent="0.35">
      <c r="A4624" s="332"/>
      <c r="B4624" s="333"/>
      <c r="C4624" s="333"/>
      <c r="D4624" s="333"/>
      <c r="E4624" s="333"/>
      <c r="F4624" s="333"/>
      <c r="G4624" s="333"/>
      <c r="H4624" s="333"/>
      <c r="I4624" s="333"/>
      <c r="J4624" s="333"/>
      <c r="K4624" s="496"/>
    </row>
    <row r="4625" spans="1:11" x14ac:dyDescent="0.35">
      <c r="A4625" s="339"/>
      <c r="B4625" s="340"/>
      <c r="C4625" s="340"/>
      <c r="D4625" s="340"/>
      <c r="E4625" s="340"/>
      <c r="F4625" s="340"/>
      <c r="G4625" s="340"/>
      <c r="H4625" s="340"/>
      <c r="I4625" s="340"/>
      <c r="J4625" s="340"/>
      <c r="K4625" s="497"/>
    </row>
    <row r="4626" spans="1:11" x14ac:dyDescent="0.35">
      <c r="A4626" s="332"/>
      <c r="B4626" s="333"/>
      <c r="C4626" s="333"/>
      <c r="D4626" s="333"/>
      <c r="E4626" s="333"/>
      <c r="F4626" s="333"/>
      <c r="G4626" s="333"/>
      <c r="H4626" s="333"/>
      <c r="I4626" s="333"/>
      <c r="J4626" s="333"/>
      <c r="K4626" s="496"/>
    </row>
    <row r="4627" spans="1:11" x14ac:dyDescent="0.35">
      <c r="A4627" s="339"/>
      <c r="B4627" s="340"/>
      <c r="C4627" s="340"/>
      <c r="D4627" s="340"/>
      <c r="E4627" s="340"/>
      <c r="F4627" s="340"/>
      <c r="G4627" s="340"/>
      <c r="H4627" s="340"/>
      <c r="I4627" s="340"/>
      <c r="J4627" s="340"/>
      <c r="K4627" s="497"/>
    </row>
    <row r="4628" spans="1:11" x14ac:dyDescent="0.35">
      <c r="A4628" s="332"/>
      <c r="B4628" s="333"/>
      <c r="C4628" s="333"/>
      <c r="D4628" s="333"/>
      <c r="E4628" s="333"/>
      <c r="F4628" s="333"/>
      <c r="G4628" s="333"/>
      <c r="H4628" s="333"/>
      <c r="I4628" s="333"/>
      <c r="J4628" s="333"/>
      <c r="K4628" s="496"/>
    </row>
    <row r="4629" spans="1:11" x14ac:dyDescent="0.35">
      <c r="A4629" s="339"/>
      <c r="B4629" s="340"/>
      <c r="C4629" s="340"/>
      <c r="D4629" s="340"/>
      <c r="E4629" s="340"/>
      <c r="F4629" s="340"/>
      <c r="G4629" s="340"/>
      <c r="H4629" s="340"/>
      <c r="I4629" s="340"/>
      <c r="J4629" s="340"/>
      <c r="K4629" s="497"/>
    </row>
    <row r="4630" spans="1:11" x14ac:dyDescent="0.35">
      <c r="A4630" s="332"/>
      <c r="B4630" s="333"/>
      <c r="C4630" s="333"/>
      <c r="D4630" s="333"/>
      <c r="E4630" s="333"/>
      <c r="F4630" s="333"/>
      <c r="G4630" s="333"/>
      <c r="H4630" s="333"/>
      <c r="I4630" s="333"/>
      <c r="J4630" s="333"/>
      <c r="K4630" s="496"/>
    </row>
    <row r="4631" spans="1:11" x14ac:dyDescent="0.35">
      <c r="A4631" s="339"/>
      <c r="B4631" s="340"/>
      <c r="C4631" s="340"/>
      <c r="D4631" s="340"/>
      <c r="E4631" s="340"/>
      <c r="F4631" s="340"/>
      <c r="G4631" s="340"/>
      <c r="H4631" s="340"/>
      <c r="I4631" s="340"/>
      <c r="J4631" s="340"/>
      <c r="K4631" s="497"/>
    </row>
    <row r="4632" spans="1:11" x14ac:dyDescent="0.35">
      <c r="A4632" s="332"/>
      <c r="B4632" s="333"/>
      <c r="C4632" s="333"/>
      <c r="D4632" s="333"/>
      <c r="E4632" s="333"/>
      <c r="F4632" s="333"/>
      <c r="G4632" s="333"/>
      <c r="H4632" s="333"/>
      <c r="I4632" s="333"/>
      <c r="J4632" s="333"/>
      <c r="K4632" s="496"/>
    </row>
    <row r="4633" spans="1:11" x14ac:dyDescent="0.35">
      <c r="A4633" s="339"/>
      <c r="B4633" s="340"/>
      <c r="C4633" s="340"/>
      <c r="D4633" s="340"/>
      <c r="E4633" s="340"/>
      <c r="F4633" s="340"/>
      <c r="G4633" s="340"/>
      <c r="H4633" s="340"/>
      <c r="I4633" s="340"/>
      <c r="J4633" s="340"/>
      <c r="K4633" s="497"/>
    </row>
    <row r="4634" spans="1:11" x14ac:dyDescent="0.35">
      <c r="A4634" s="332"/>
      <c r="B4634" s="333"/>
      <c r="C4634" s="333"/>
      <c r="D4634" s="333"/>
      <c r="E4634" s="333"/>
      <c r="F4634" s="333"/>
      <c r="G4634" s="333"/>
      <c r="H4634" s="333"/>
      <c r="I4634" s="333"/>
      <c r="J4634" s="333"/>
      <c r="K4634" s="496"/>
    </row>
    <row r="4635" spans="1:11" x14ac:dyDescent="0.35">
      <c r="A4635" s="339"/>
      <c r="B4635" s="340"/>
      <c r="C4635" s="340"/>
      <c r="D4635" s="340"/>
      <c r="E4635" s="340"/>
      <c r="F4635" s="340"/>
      <c r="G4635" s="340"/>
      <c r="H4635" s="340"/>
      <c r="I4635" s="340"/>
      <c r="J4635" s="340"/>
      <c r="K4635" s="497"/>
    </row>
    <row r="4636" spans="1:11" x14ac:dyDescent="0.35">
      <c r="A4636" s="332"/>
      <c r="B4636" s="333"/>
      <c r="C4636" s="333"/>
      <c r="D4636" s="333"/>
      <c r="E4636" s="333"/>
      <c r="F4636" s="333"/>
      <c r="G4636" s="333"/>
      <c r="H4636" s="333"/>
      <c r="I4636" s="333"/>
      <c r="J4636" s="333"/>
      <c r="K4636" s="496"/>
    </row>
    <row r="4637" spans="1:11" x14ac:dyDescent="0.35">
      <c r="A4637" s="339"/>
      <c r="B4637" s="340"/>
      <c r="C4637" s="340"/>
      <c r="D4637" s="340"/>
      <c r="E4637" s="340"/>
      <c r="F4637" s="340"/>
      <c r="G4637" s="340"/>
      <c r="H4637" s="340"/>
      <c r="I4637" s="340"/>
      <c r="J4637" s="340"/>
      <c r="K4637" s="497"/>
    </row>
    <row r="4638" spans="1:11" x14ac:dyDescent="0.35">
      <c r="A4638" s="332"/>
      <c r="B4638" s="333"/>
      <c r="C4638" s="333"/>
      <c r="D4638" s="333"/>
      <c r="E4638" s="333"/>
      <c r="F4638" s="333"/>
      <c r="G4638" s="333"/>
      <c r="H4638" s="333"/>
      <c r="I4638" s="333"/>
      <c r="J4638" s="333"/>
      <c r="K4638" s="496"/>
    </row>
    <row r="4639" spans="1:11" x14ac:dyDescent="0.35">
      <c r="A4639" s="339"/>
      <c r="B4639" s="340"/>
      <c r="C4639" s="340"/>
      <c r="D4639" s="340"/>
      <c r="E4639" s="340"/>
      <c r="F4639" s="340"/>
      <c r="G4639" s="340"/>
      <c r="H4639" s="340"/>
      <c r="I4639" s="340"/>
      <c r="J4639" s="340"/>
      <c r="K4639" s="497"/>
    </row>
    <row r="4640" spans="1:11" x14ac:dyDescent="0.35">
      <c r="A4640" s="332"/>
      <c r="B4640" s="333"/>
      <c r="C4640" s="333"/>
      <c r="D4640" s="333"/>
      <c r="E4640" s="333"/>
      <c r="F4640" s="333"/>
      <c r="G4640" s="333"/>
      <c r="H4640" s="333"/>
      <c r="I4640" s="333"/>
      <c r="J4640" s="333"/>
      <c r="K4640" s="496"/>
    </row>
    <row r="4641" spans="1:11" x14ac:dyDescent="0.35">
      <c r="A4641" s="339"/>
      <c r="B4641" s="340"/>
      <c r="C4641" s="340"/>
      <c r="D4641" s="340"/>
      <c r="E4641" s="340"/>
      <c r="F4641" s="340"/>
      <c r="G4641" s="340"/>
      <c r="H4641" s="340"/>
      <c r="I4641" s="340"/>
      <c r="J4641" s="340"/>
      <c r="K4641" s="497"/>
    </row>
    <row r="4642" spans="1:11" x14ac:dyDescent="0.35">
      <c r="A4642" s="332"/>
      <c r="B4642" s="333"/>
      <c r="C4642" s="333"/>
      <c r="D4642" s="333"/>
      <c r="E4642" s="333"/>
      <c r="F4642" s="333"/>
      <c r="G4642" s="333"/>
      <c r="H4642" s="333"/>
      <c r="I4642" s="333"/>
      <c r="J4642" s="333"/>
      <c r="K4642" s="496"/>
    </row>
    <row r="4643" spans="1:11" x14ac:dyDescent="0.35">
      <c r="A4643" s="339"/>
      <c r="B4643" s="340"/>
      <c r="C4643" s="340"/>
      <c r="D4643" s="340"/>
      <c r="E4643" s="340"/>
      <c r="F4643" s="340"/>
      <c r="G4643" s="340"/>
      <c r="H4643" s="340"/>
      <c r="I4643" s="340"/>
      <c r="J4643" s="340"/>
      <c r="K4643" s="497"/>
    </row>
    <row r="4644" spans="1:11" x14ac:dyDescent="0.35">
      <c r="A4644" s="332"/>
      <c r="B4644" s="333"/>
      <c r="C4644" s="333"/>
      <c r="D4644" s="333"/>
      <c r="E4644" s="333"/>
      <c r="F4644" s="333"/>
      <c r="G4644" s="333"/>
      <c r="H4644" s="333"/>
      <c r="I4644" s="333"/>
      <c r="J4644" s="333"/>
      <c r="K4644" s="496"/>
    </row>
    <row r="4645" spans="1:11" x14ac:dyDescent="0.35">
      <c r="A4645" s="339"/>
      <c r="B4645" s="340"/>
      <c r="C4645" s="340"/>
      <c r="D4645" s="340"/>
      <c r="E4645" s="340"/>
      <c r="F4645" s="340"/>
      <c r="G4645" s="340"/>
      <c r="H4645" s="340"/>
      <c r="I4645" s="340"/>
      <c r="J4645" s="340"/>
      <c r="K4645" s="497"/>
    </row>
    <row r="4646" spans="1:11" x14ac:dyDescent="0.35">
      <c r="A4646" s="332"/>
      <c r="B4646" s="333"/>
      <c r="C4646" s="333"/>
      <c r="D4646" s="333"/>
      <c r="E4646" s="333"/>
      <c r="F4646" s="333"/>
      <c r="G4646" s="333"/>
      <c r="H4646" s="333"/>
      <c r="I4646" s="333"/>
      <c r="J4646" s="333"/>
      <c r="K4646" s="496"/>
    </row>
    <row r="4647" spans="1:11" x14ac:dyDescent="0.35">
      <c r="A4647" s="339"/>
      <c r="B4647" s="340"/>
      <c r="C4647" s="340"/>
      <c r="D4647" s="340"/>
      <c r="E4647" s="340"/>
      <c r="F4647" s="340"/>
      <c r="G4647" s="340"/>
      <c r="H4647" s="340"/>
      <c r="I4647" s="340"/>
      <c r="J4647" s="340"/>
      <c r="K4647" s="497"/>
    </row>
    <row r="4648" spans="1:11" x14ac:dyDescent="0.35">
      <c r="A4648" s="332"/>
      <c r="B4648" s="333"/>
      <c r="C4648" s="333"/>
      <c r="D4648" s="333"/>
      <c r="E4648" s="333"/>
      <c r="F4648" s="333"/>
      <c r="G4648" s="333"/>
      <c r="H4648" s="333"/>
      <c r="I4648" s="333"/>
      <c r="J4648" s="333"/>
      <c r="K4648" s="496"/>
    </row>
    <row r="4649" spans="1:11" x14ac:dyDescent="0.35">
      <c r="A4649" s="339"/>
      <c r="B4649" s="340"/>
      <c r="C4649" s="340"/>
      <c r="D4649" s="340"/>
      <c r="E4649" s="340"/>
      <c r="F4649" s="340"/>
      <c r="G4649" s="340"/>
      <c r="H4649" s="340"/>
      <c r="I4649" s="340"/>
      <c r="J4649" s="340"/>
      <c r="K4649" s="497"/>
    </row>
    <row r="4650" spans="1:11" x14ac:dyDescent="0.35">
      <c r="A4650" s="332"/>
      <c r="B4650" s="333"/>
      <c r="C4650" s="333"/>
      <c r="D4650" s="333"/>
      <c r="E4650" s="333"/>
      <c r="F4650" s="333"/>
      <c r="G4650" s="333"/>
      <c r="H4650" s="333"/>
      <c r="I4650" s="333"/>
      <c r="J4650" s="333"/>
      <c r="K4650" s="496"/>
    </row>
    <row r="4651" spans="1:11" x14ac:dyDescent="0.35">
      <c r="A4651" s="339"/>
      <c r="B4651" s="340"/>
      <c r="C4651" s="340"/>
      <c r="D4651" s="340"/>
      <c r="E4651" s="340"/>
      <c r="F4651" s="340"/>
      <c r="G4651" s="340"/>
      <c r="H4651" s="340"/>
      <c r="I4651" s="340"/>
      <c r="J4651" s="340"/>
      <c r="K4651" s="497"/>
    </row>
    <row r="4652" spans="1:11" x14ac:dyDescent="0.35">
      <c r="A4652" s="332"/>
      <c r="B4652" s="333"/>
      <c r="C4652" s="333"/>
      <c r="D4652" s="333"/>
      <c r="E4652" s="333"/>
      <c r="F4652" s="333"/>
      <c r="G4652" s="333"/>
      <c r="H4652" s="333"/>
      <c r="I4652" s="333"/>
      <c r="J4652" s="333"/>
      <c r="K4652" s="496"/>
    </row>
    <row r="4653" spans="1:11" x14ac:dyDescent="0.35">
      <c r="A4653" s="339"/>
      <c r="B4653" s="340"/>
      <c r="C4653" s="340"/>
      <c r="D4653" s="340"/>
      <c r="E4653" s="340"/>
      <c r="F4653" s="340"/>
      <c r="G4653" s="340"/>
      <c r="H4653" s="340"/>
      <c r="I4653" s="340"/>
      <c r="J4653" s="340"/>
      <c r="K4653" s="497"/>
    </row>
    <row r="4654" spans="1:11" x14ac:dyDescent="0.35">
      <c r="A4654" s="332"/>
      <c r="B4654" s="333"/>
      <c r="C4654" s="333"/>
      <c r="D4654" s="333"/>
      <c r="E4654" s="333"/>
      <c r="F4654" s="333"/>
      <c r="G4654" s="333"/>
      <c r="H4654" s="333"/>
      <c r="I4654" s="333"/>
      <c r="J4654" s="333"/>
      <c r="K4654" s="496"/>
    </row>
    <row r="4655" spans="1:11" x14ac:dyDescent="0.35">
      <c r="A4655" s="339"/>
      <c r="B4655" s="340"/>
      <c r="C4655" s="340"/>
      <c r="D4655" s="340"/>
      <c r="E4655" s="340"/>
      <c r="F4655" s="340"/>
      <c r="G4655" s="340"/>
      <c r="H4655" s="340"/>
      <c r="I4655" s="340"/>
      <c r="J4655" s="340"/>
      <c r="K4655" s="497"/>
    </row>
    <row r="4656" spans="1:11" x14ac:dyDescent="0.35">
      <c r="A4656" s="332"/>
      <c r="B4656" s="333"/>
      <c r="C4656" s="333"/>
      <c r="D4656" s="333"/>
      <c r="E4656" s="333"/>
      <c r="F4656" s="333"/>
      <c r="G4656" s="333"/>
      <c r="H4656" s="333"/>
      <c r="I4656" s="333"/>
      <c r="J4656" s="333"/>
      <c r="K4656" s="496"/>
    </row>
    <row r="4657" spans="1:11" x14ac:dyDescent="0.35">
      <c r="A4657" s="339"/>
      <c r="B4657" s="340"/>
      <c r="C4657" s="340"/>
      <c r="D4657" s="340"/>
      <c r="E4657" s="340"/>
      <c r="F4657" s="340"/>
      <c r="G4657" s="340"/>
      <c r="H4657" s="340"/>
      <c r="I4657" s="340"/>
      <c r="J4657" s="340"/>
      <c r="K4657" s="497"/>
    </row>
    <row r="4658" spans="1:11" x14ac:dyDescent="0.35">
      <c r="A4658" s="332"/>
      <c r="B4658" s="333"/>
      <c r="C4658" s="333"/>
      <c r="D4658" s="333"/>
      <c r="E4658" s="333"/>
      <c r="F4658" s="333"/>
      <c r="G4658" s="333"/>
      <c r="H4658" s="333"/>
      <c r="I4658" s="333"/>
      <c r="J4658" s="333"/>
      <c r="K4658" s="496"/>
    </row>
    <row r="4659" spans="1:11" x14ac:dyDescent="0.35">
      <c r="A4659" s="339"/>
      <c r="B4659" s="340"/>
      <c r="C4659" s="340"/>
      <c r="D4659" s="340"/>
      <c r="E4659" s="340"/>
      <c r="F4659" s="340"/>
      <c r="G4659" s="340"/>
      <c r="H4659" s="340"/>
      <c r="I4659" s="340"/>
      <c r="J4659" s="340"/>
      <c r="K4659" s="497"/>
    </row>
    <row r="4660" spans="1:11" x14ac:dyDescent="0.35">
      <c r="A4660" s="332"/>
      <c r="B4660" s="333"/>
      <c r="C4660" s="333"/>
      <c r="D4660" s="333"/>
      <c r="E4660" s="333"/>
      <c r="F4660" s="333"/>
      <c r="G4660" s="333"/>
      <c r="H4660" s="333"/>
      <c r="I4660" s="333"/>
      <c r="J4660" s="333"/>
      <c r="K4660" s="496"/>
    </row>
    <row r="4661" spans="1:11" x14ac:dyDescent="0.35">
      <c r="A4661" s="339"/>
      <c r="B4661" s="340"/>
      <c r="C4661" s="340"/>
      <c r="D4661" s="340"/>
      <c r="E4661" s="340"/>
      <c r="F4661" s="340"/>
      <c r="G4661" s="340"/>
      <c r="H4661" s="340"/>
      <c r="I4661" s="340"/>
      <c r="J4661" s="340"/>
      <c r="K4661" s="497"/>
    </row>
    <row r="4662" spans="1:11" x14ac:dyDescent="0.35">
      <c r="A4662" s="332"/>
      <c r="B4662" s="333"/>
      <c r="C4662" s="333"/>
      <c r="D4662" s="333"/>
      <c r="E4662" s="333"/>
      <c r="F4662" s="333"/>
      <c r="G4662" s="333"/>
      <c r="H4662" s="333"/>
      <c r="I4662" s="333"/>
      <c r="J4662" s="333"/>
      <c r="K4662" s="496"/>
    </row>
    <row r="4663" spans="1:11" x14ac:dyDescent="0.35">
      <c r="A4663" s="339"/>
      <c r="B4663" s="340"/>
      <c r="C4663" s="340"/>
      <c r="D4663" s="340"/>
      <c r="E4663" s="340"/>
      <c r="F4663" s="340"/>
      <c r="G4663" s="340"/>
      <c r="H4663" s="340"/>
      <c r="I4663" s="340"/>
      <c r="J4663" s="340"/>
      <c r="K4663" s="497"/>
    </row>
    <row r="4664" spans="1:11" x14ac:dyDescent="0.35">
      <c r="A4664" s="498"/>
      <c r="B4664" s="318"/>
      <c r="C4664" s="318"/>
      <c r="D4664" s="318"/>
      <c r="E4664" s="318"/>
      <c r="F4664" s="318"/>
      <c r="G4664" s="318"/>
      <c r="H4664" s="318"/>
      <c r="I4664" s="318"/>
      <c r="J4664" s="318"/>
      <c r="K4664" s="499"/>
    </row>
  </sheetData>
  <phoneticPr fontId="6" type="noConversion"/>
  <conditionalFormatting sqref="C23 D2206:K2212 D2277:K2283 D2348:K2354 D2419:K2425 G2534:G2540">
    <cfRule type="expression" dxfId="797" priority="726">
      <formula>CELL("row")=ROW()</formula>
    </cfRule>
  </conditionalFormatting>
  <conditionalFormatting sqref="E24:F24">
    <cfRule type="expression" dxfId="796" priority="725">
      <formula>CELL("row")=ROW()</formula>
    </cfRule>
  </conditionalFormatting>
  <conditionalFormatting sqref="Q17:AF17 Q18:Y54 AA18:AF100 Q55:X100 Q101:Q139 S101:S139 Y55:Y140 Z18:Z140">
    <cfRule type="expression" dxfId="795" priority="724">
      <formula>CELL("row")=ROW()</formula>
    </cfRule>
  </conditionalFormatting>
  <conditionalFormatting sqref="AA101:AF116 U119:V300 T101:X118 AB117:AF118 AA117:AA140">
    <cfRule type="expression" dxfId="794" priority="723">
      <formula>CELL("row")=ROW()</formula>
    </cfRule>
  </conditionalFormatting>
  <conditionalFormatting sqref="K1081 A1856:K1856 A1849:G1855 I1849:K1855 A1911:K1911 A1904:G1910 I1904:K1910 A1863:K1863 A1857:G1862 I1857:K1862 A1809:K1809 A1803:G1808 I1803:K1808 A1810:G1814 I1810:K1814 A1869:K1871 A1864:G1868 I1864:K1868 A1872:G1876 I1872:K1876 A1932:K1943 A1927:G1931 I1927:K1931 A1924:K1926 A1919:G1923 I1919:K1923 A1918:K1918 A1912:G1917 I1912:K1917 A1902:K1903 A1899:G1901 I1899:K1901 A1847:K1848 A1844:G1846 I1844:K1846 A848:G851 I848:K851 A1801:K1802 A1797:G1800 A1751:G1754 J1751:K1754 J1797:K1800 A622:G629 I622:J629 K599:K653 A599:J621 H623:H629 A630:J653 D2029 D2026 A17:K598 A654:K847 A1081:I1081 A1755:K1796 A1815:K1843 A1877:K1898 A1078:K1080 A1074:C1077 G2534:G2540 A1186:K1750 A1178:C1185 A1171:K1177 A1129:K1151 A1122:C1128 A1082:K1093 A1104:K1104 A1094:C1103 A1114:K1121 A1105:C1113 A1154:C1170 A1152:F1153 H1152:H1153 J1152:K1153 A852:K1073">
    <cfRule type="expression" dxfId="793" priority="722">
      <formula>CELL("row")=ROW()</formula>
    </cfRule>
  </conditionalFormatting>
  <conditionalFormatting sqref="D4:D8">
    <cfRule type="iconSet" priority="712">
      <iconSet iconSet="3Arrows">
        <cfvo type="percent" val="0"/>
        <cfvo type="percent" val="33"/>
        <cfvo type="percent" val="67"/>
      </iconSet>
    </cfRule>
    <cfRule type="dataBar" priority="721">
      <dataBar>
        <cfvo type="min"/>
        <cfvo type="max"/>
        <color rgb="FF638EC6"/>
      </dataBar>
      <extLst>
        <ext xmlns:x14="http://schemas.microsoft.com/office/spreadsheetml/2009/9/main" uri="{B025F937-C7B1-47D3-B67F-A62EFF666E3E}">
          <x14:id>{B095FE42-428D-4094-A824-EFF26F975EC4}</x14:id>
        </ext>
      </extLst>
    </cfRule>
  </conditionalFormatting>
  <conditionalFormatting sqref="D10:D14">
    <cfRule type="iconSet" priority="711">
      <iconSet iconSet="3Arrows">
        <cfvo type="percent" val="0"/>
        <cfvo type="percent" val="33"/>
        <cfvo type="percent" val="67"/>
      </iconSet>
    </cfRule>
    <cfRule type="dataBar" priority="720">
      <dataBar>
        <cfvo type="min"/>
        <cfvo type="max"/>
        <color rgb="FF638EC6"/>
      </dataBar>
      <extLst>
        <ext xmlns:x14="http://schemas.microsoft.com/office/spreadsheetml/2009/9/main" uri="{B025F937-C7B1-47D3-B67F-A62EFF666E3E}">
          <x14:id>{D80047D1-BCAC-448C-9D2E-D02ADD351E8C}</x14:id>
        </ext>
      </extLst>
    </cfRule>
  </conditionalFormatting>
  <conditionalFormatting sqref="A4:A8">
    <cfRule type="iconSet" priority="710">
      <iconSet iconSet="3Arrows">
        <cfvo type="percent" val="0"/>
        <cfvo type="percent" val="33"/>
        <cfvo type="percent" val="67"/>
      </iconSet>
    </cfRule>
    <cfRule type="dataBar" priority="719">
      <dataBar>
        <cfvo type="min"/>
        <cfvo type="max"/>
        <color rgb="FF638EC6"/>
      </dataBar>
      <extLst>
        <ext xmlns:x14="http://schemas.microsoft.com/office/spreadsheetml/2009/9/main" uri="{B025F937-C7B1-47D3-B67F-A62EFF666E3E}">
          <x14:id>{02BAB1A9-8C94-4FF0-B94C-DCA1F2802F43}</x14:id>
        </ext>
      </extLst>
    </cfRule>
  </conditionalFormatting>
  <conditionalFormatting sqref="A10:A14">
    <cfRule type="iconSet" priority="709">
      <iconSet iconSet="3Arrows">
        <cfvo type="percent" val="0"/>
        <cfvo type="percent" val="33"/>
        <cfvo type="percent" val="67"/>
      </iconSet>
    </cfRule>
    <cfRule type="dataBar" priority="718">
      <dataBar>
        <cfvo type="min"/>
        <cfvo type="max"/>
        <color rgb="FF638EC6"/>
      </dataBar>
      <extLst>
        <ext xmlns:x14="http://schemas.microsoft.com/office/spreadsheetml/2009/9/main" uri="{B025F937-C7B1-47D3-B67F-A62EFF666E3E}">
          <x14:id>{3CBFD7CC-0901-4B32-9369-FBAA1BBE95E9}</x14:id>
        </ext>
      </extLst>
    </cfRule>
  </conditionalFormatting>
  <conditionalFormatting sqref="A4:B8">
    <cfRule type="expression" dxfId="792" priority="717">
      <formula>CELL("row")=ROW()</formula>
    </cfRule>
  </conditionalFormatting>
  <conditionalFormatting sqref="A10:B14">
    <cfRule type="expression" dxfId="791" priority="716">
      <formula>CELL("row")=ROW()</formula>
    </cfRule>
  </conditionalFormatting>
  <conditionalFormatting sqref="D4:E8">
    <cfRule type="expression" dxfId="790" priority="715">
      <formula>CELL("row")=ROW()</formula>
    </cfRule>
  </conditionalFormatting>
  <conditionalFormatting sqref="D10:E14">
    <cfRule type="expression" dxfId="789" priority="714">
      <formula>CELL("row")=ROW()</formula>
    </cfRule>
  </conditionalFormatting>
  <conditionalFormatting sqref="AJ17:AO34">
    <cfRule type="expression" dxfId="788" priority="713">
      <formula>CELL("row")=ROW()</formula>
    </cfRule>
  </conditionalFormatting>
  <conditionalFormatting sqref="G4:H8">
    <cfRule type="expression" dxfId="787" priority="708">
      <formula>CELL("row")=ROW()</formula>
    </cfRule>
  </conditionalFormatting>
  <conditionalFormatting sqref="G10:G14">
    <cfRule type="dataBar" priority="706">
      <dataBar>
        <cfvo type="min"/>
        <cfvo type="max"/>
        <color rgb="FF638EC6"/>
      </dataBar>
      <extLst>
        <ext xmlns:x14="http://schemas.microsoft.com/office/spreadsheetml/2009/9/main" uri="{B025F937-C7B1-47D3-B67F-A62EFF666E3E}">
          <x14:id>{4ACF0A41-8822-477E-B6CA-2D541BF36143}</x14:id>
        </ext>
      </extLst>
    </cfRule>
    <cfRule type="iconSet" priority="707">
      <iconSet iconSet="3Arrows">
        <cfvo type="percent" val="0"/>
        <cfvo type="percent" val="33"/>
        <cfvo type="percent" val="67"/>
      </iconSet>
    </cfRule>
  </conditionalFormatting>
  <conditionalFormatting sqref="G4:G8">
    <cfRule type="dataBar" priority="704">
      <dataBar>
        <cfvo type="min"/>
        <cfvo type="max"/>
        <color rgb="FF638EC6"/>
      </dataBar>
      <extLst>
        <ext xmlns:x14="http://schemas.microsoft.com/office/spreadsheetml/2009/9/main" uri="{B025F937-C7B1-47D3-B67F-A62EFF666E3E}">
          <x14:id>{44388806-CE84-4C46-907A-BEDA5DEF4923}</x14:id>
        </ext>
      </extLst>
    </cfRule>
    <cfRule type="iconSet" priority="705">
      <iconSet iconSet="3Arrows">
        <cfvo type="percent" val="0"/>
        <cfvo type="percent" val="33"/>
        <cfvo type="percent" val="67"/>
      </iconSet>
    </cfRule>
  </conditionalFormatting>
  <conditionalFormatting sqref="H1797:I1797 I1798:I1800">
    <cfRule type="expression" dxfId="786" priority="703">
      <formula>CELL("row")=ROW()</formula>
    </cfRule>
  </conditionalFormatting>
  <conditionalFormatting sqref="H1751:I1751 I1752:I1754">
    <cfRule type="expression" dxfId="785" priority="702">
      <formula>CELL("row")=ROW()</formula>
    </cfRule>
  </conditionalFormatting>
  <conditionalFormatting sqref="D1945">
    <cfRule type="expression" dxfId="784" priority="701">
      <formula>CELL("row")=ROW()</formula>
    </cfRule>
  </conditionalFormatting>
  <conditionalFormatting sqref="D1946">
    <cfRule type="expression" dxfId="783" priority="700">
      <formula>CELL("row")=ROW()</formula>
    </cfRule>
  </conditionalFormatting>
  <conditionalFormatting sqref="D1947">
    <cfRule type="expression" dxfId="782" priority="699">
      <formula>CELL("row")=ROW()</formula>
    </cfRule>
  </conditionalFormatting>
  <conditionalFormatting sqref="D1948">
    <cfRule type="expression" dxfId="781" priority="698">
      <formula>CELL("row")=ROW()</formula>
    </cfRule>
  </conditionalFormatting>
  <conditionalFormatting sqref="D1951">
    <cfRule type="expression" dxfId="780" priority="697">
      <formula>CELL("row")=ROW()</formula>
    </cfRule>
  </conditionalFormatting>
  <conditionalFormatting sqref="D1952">
    <cfRule type="expression" dxfId="779" priority="696">
      <formula>CELL("row")=ROW()</formula>
    </cfRule>
  </conditionalFormatting>
  <conditionalFormatting sqref="D1950">
    <cfRule type="expression" dxfId="778" priority="695">
      <formula>CELL("row")=ROW()</formula>
    </cfRule>
  </conditionalFormatting>
  <conditionalFormatting sqref="D1955:G1959">
    <cfRule type="expression" dxfId="777" priority="694">
      <formula>CELL("row")=ROW()</formula>
    </cfRule>
  </conditionalFormatting>
  <conditionalFormatting sqref="E1978:G1982">
    <cfRule type="expression" dxfId="776" priority="693">
      <formula>CELL("row")=ROW()</formula>
    </cfRule>
  </conditionalFormatting>
  <conditionalFormatting sqref="D2078:G2087">
    <cfRule type="expression" dxfId="775" priority="669">
      <formula>CELL("row")=ROW()</formula>
    </cfRule>
  </conditionalFormatting>
  <conditionalFormatting sqref="D2021">
    <cfRule type="expression" dxfId="774" priority="668">
      <formula>CELL("row")=ROW()</formula>
    </cfRule>
  </conditionalFormatting>
  <conditionalFormatting sqref="D1984">
    <cfRule type="expression" dxfId="773" priority="692">
      <formula>CELL("row")=ROW()</formula>
    </cfRule>
  </conditionalFormatting>
  <conditionalFormatting sqref="D1985">
    <cfRule type="expression" dxfId="772" priority="691">
      <formula>CELL("row")=ROW()</formula>
    </cfRule>
  </conditionalFormatting>
  <conditionalFormatting sqref="D1986">
    <cfRule type="expression" dxfId="771" priority="690">
      <formula>CELL("row")=ROW()</formula>
    </cfRule>
  </conditionalFormatting>
  <conditionalFormatting sqref="D1987">
    <cfRule type="expression" dxfId="770" priority="689">
      <formula>CELL("row")=ROW()</formula>
    </cfRule>
  </conditionalFormatting>
  <conditionalFormatting sqref="D1990">
    <cfRule type="expression" dxfId="769" priority="688">
      <formula>CELL("row")=ROW()</formula>
    </cfRule>
  </conditionalFormatting>
  <conditionalFormatting sqref="D1991">
    <cfRule type="expression" dxfId="768" priority="687">
      <formula>CELL("row")=ROW()</formula>
    </cfRule>
  </conditionalFormatting>
  <conditionalFormatting sqref="D1989">
    <cfRule type="expression" dxfId="767" priority="686">
      <formula>CELL("row")=ROW()</formula>
    </cfRule>
  </conditionalFormatting>
  <conditionalFormatting sqref="D1978:D1982">
    <cfRule type="expression" dxfId="766" priority="685">
      <formula>CELL("row")=ROW()</formula>
    </cfRule>
  </conditionalFormatting>
  <conditionalFormatting sqref="D2001:G2010">
    <cfRule type="expression" dxfId="765" priority="684">
      <formula>CELL("row")=ROW()</formula>
    </cfRule>
  </conditionalFormatting>
  <conditionalFormatting sqref="D2011:G2020 E2021:G2021">
    <cfRule type="expression" dxfId="764" priority="683">
      <formula>CELL("row")=ROW()</formula>
    </cfRule>
  </conditionalFormatting>
  <conditionalFormatting sqref="D2031:G2037">
    <cfRule type="expression" dxfId="763" priority="682">
      <formula>CELL("row")=ROW()</formula>
    </cfRule>
  </conditionalFormatting>
  <conditionalFormatting sqref="D2038:G2042">
    <cfRule type="expression" dxfId="762" priority="681">
      <formula>CELL("row")=ROW()</formula>
    </cfRule>
  </conditionalFormatting>
  <conditionalFormatting sqref="D2027">
    <cfRule type="expression" dxfId="761" priority="680">
      <formula>CELL("row")=ROW()</formula>
    </cfRule>
  </conditionalFormatting>
  <conditionalFormatting sqref="E2045:G2049">
    <cfRule type="expression" dxfId="760" priority="679">
      <formula>CELL("row")=ROW()</formula>
    </cfRule>
  </conditionalFormatting>
  <conditionalFormatting sqref="D2051">
    <cfRule type="expression" dxfId="759" priority="678">
      <formula>CELL("row")=ROW()</formula>
    </cfRule>
  </conditionalFormatting>
  <conditionalFormatting sqref="D2052">
    <cfRule type="expression" dxfId="758" priority="677">
      <formula>CELL("row")=ROW()</formula>
    </cfRule>
  </conditionalFormatting>
  <conditionalFormatting sqref="D2053">
    <cfRule type="expression" dxfId="757" priority="676">
      <formula>CELL("row")=ROW()</formula>
    </cfRule>
  </conditionalFormatting>
  <conditionalFormatting sqref="D2054">
    <cfRule type="expression" dxfId="756" priority="675">
      <formula>CELL("row")=ROW()</formula>
    </cfRule>
  </conditionalFormatting>
  <conditionalFormatting sqref="D2057">
    <cfRule type="expression" dxfId="755" priority="674">
      <formula>CELL("row")=ROW()</formula>
    </cfRule>
  </conditionalFormatting>
  <conditionalFormatting sqref="D2058">
    <cfRule type="expression" dxfId="754" priority="673">
      <formula>CELL("row")=ROW()</formula>
    </cfRule>
  </conditionalFormatting>
  <conditionalFormatting sqref="D2056">
    <cfRule type="expression" dxfId="753" priority="672">
      <formula>CELL("row")=ROW()</formula>
    </cfRule>
  </conditionalFormatting>
  <conditionalFormatting sqref="D2045:D2049">
    <cfRule type="expression" dxfId="752" priority="671">
      <formula>CELL("row")=ROW()</formula>
    </cfRule>
  </conditionalFormatting>
  <conditionalFormatting sqref="D2068:G2077">
    <cfRule type="expression" dxfId="751" priority="670">
      <formula>CELL("row")=ROW()</formula>
    </cfRule>
  </conditionalFormatting>
  <conditionalFormatting sqref="D2028">
    <cfRule type="expression" dxfId="750" priority="667">
      <formula>CELL("row")=ROW()</formula>
    </cfRule>
  </conditionalFormatting>
  <conditionalFormatting sqref="D2024">
    <cfRule type="expression" dxfId="749" priority="666">
      <formula>CELL("row")=ROW()</formula>
    </cfRule>
  </conditionalFormatting>
  <conditionalFormatting sqref="D2025">
    <cfRule type="expression" dxfId="748" priority="665">
      <formula>CELL("row")=ROW()</formula>
    </cfRule>
  </conditionalFormatting>
  <conditionalFormatting sqref="A1945:K1975 A1977:K2088 A1976 C1976:K1976">
    <cfRule type="expression" dxfId="747" priority="663">
      <formula>CELL("row")=ROW()</formula>
    </cfRule>
  </conditionalFormatting>
  <conditionalFormatting sqref="B1976">
    <cfRule type="expression" dxfId="746" priority="662">
      <formula>CELL("row")=ROW()</formula>
    </cfRule>
  </conditionalFormatting>
  <conditionalFormatting sqref="B2089">
    <cfRule type="expression" dxfId="745" priority="661">
      <formula>CELL("row")=ROW()</formula>
    </cfRule>
  </conditionalFormatting>
  <conditionalFormatting sqref="D2089">
    <cfRule type="expression" dxfId="744" priority="660">
      <formula>CELL("row")=ROW()</formula>
    </cfRule>
  </conditionalFormatting>
  <conditionalFormatting sqref="D2091">
    <cfRule type="expression" dxfId="743" priority="659">
      <formula>CELL("row")=ROW()</formula>
    </cfRule>
  </conditionalFormatting>
  <conditionalFormatting sqref="D2091">
    <cfRule type="expression" dxfId="742" priority="658">
      <formula>CELL("row")=ROW()</formula>
    </cfRule>
  </conditionalFormatting>
  <conditionalFormatting sqref="D2093">
    <cfRule type="expression" dxfId="741" priority="657">
      <formula>CELL("row")=ROW()</formula>
    </cfRule>
  </conditionalFormatting>
  <conditionalFormatting sqref="D2093">
    <cfRule type="expression" dxfId="740" priority="656">
      <formula>CELL("row")=ROW()</formula>
    </cfRule>
  </conditionalFormatting>
  <conditionalFormatting sqref="D2092">
    <cfRule type="expression" dxfId="739" priority="655">
      <formula>CELL("row")=ROW()</formula>
    </cfRule>
  </conditionalFormatting>
  <conditionalFormatting sqref="D2090">
    <cfRule type="expression" dxfId="738" priority="654">
      <formula>CELL("row")=ROW()</formula>
    </cfRule>
  </conditionalFormatting>
  <conditionalFormatting sqref="G2089:G2097">
    <cfRule type="expression" dxfId="737" priority="653">
      <formula>CELL("row")=ROW()</formula>
    </cfRule>
  </conditionalFormatting>
  <conditionalFormatting sqref="G2089:G2097">
    <cfRule type="expression" dxfId="736" priority="652">
      <formula>CELL("row")=ROW()</formula>
    </cfRule>
  </conditionalFormatting>
  <conditionalFormatting sqref="I2089:I2093">
    <cfRule type="expression" dxfId="735" priority="651">
      <formula>CELL("row")=ROW()</formula>
    </cfRule>
  </conditionalFormatting>
  <conditionalFormatting sqref="I2095">
    <cfRule type="expression" dxfId="734" priority="650">
      <formula>CELL("row")=ROW()</formula>
    </cfRule>
  </conditionalFormatting>
  <conditionalFormatting sqref="I2096">
    <cfRule type="expression" dxfId="733" priority="649">
      <formula>CELL("row")=ROW()</formula>
    </cfRule>
  </conditionalFormatting>
  <conditionalFormatting sqref="I2097">
    <cfRule type="expression" dxfId="732" priority="648">
      <formula>CELL("row")=ROW()</formula>
    </cfRule>
  </conditionalFormatting>
  <conditionalFormatting sqref="G2099">
    <cfRule type="expression" dxfId="731" priority="647">
      <formula>CELL("row")=ROW()</formula>
    </cfRule>
  </conditionalFormatting>
  <conditionalFormatting sqref="G2100:G2107">
    <cfRule type="expression" dxfId="730" priority="646">
      <formula>CELL("row")=ROW()</formula>
    </cfRule>
  </conditionalFormatting>
  <conditionalFormatting sqref="D2101">
    <cfRule type="expression" dxfId="729" priority="645">
      <formula>CELL("row")=ROW()</formula>
    </cfRule>
  </conditionalFormatting>
  <conditionalFormatting sqref="D2101">
    <cfRule type="expression" dxfId="728" priority="644">
      <formula>CELL("row")=ROW()</formula>
    </cfRule>
  </conditionalFormatting>
  <conditionalFormatting sqref="D2103">
    <cfRule type="expression" dxfId="727" priority="643">
      <formula>CELL("row")=ROW()</formula>
    </cfRule>
  </conditionalFormatting>
  <conditionalFormatting sqref="D2103">
    <cfRule type="expression" dxfId="726" priority="642">
      <formula>CELL("row")=ROW()</formula>
    </cfRule>
  </conditionalFormatting>
  <conditionalFormatting sqref="D2100">
    <cfRule type="expression" dxfId="725" priority="641">
      <formula>CELL("row")=ROW()</formula>
    </cfRule>
  </conditionalFormatting>
  <conditionalFormatting sqref="D2100">
    <cfRule type="expression" dxfId="724" priority="640">
      <formula>CELL("row")=ROW()</formula>
    </cfRule>
  </conditionalFormatting>
  <conditionalFormatting sqref="D2102">
    <cfRule type="expression" dxfId="723" priority="639">
      <formula>CELL("row")=ROW()</formula>
    </cfRule>
  </conditionalFormatting>
  <conditionalFormatting sqref="D2102">
    <cfRule type="expression" dxfId="722" priority="638">
      <formula>CELL("row")=ROW()</formula>
    </cfRule>
  </conditionalFormatting>
  <conditionalFormatting sqref="D2104">
    <cfRule type="expression" dxfId="721" priority="637">
      <formula>CELL("row")=ROW()</formula>
    </cfRule>
  </conditionalFormatting>
  <conditionalFormatting sqref="D2105">
    <cfRule type="expression" dxfId="720" priority="636">
      <formula>CELL("row")=ROW()</formula>
    </cfRule>
  </conditionalFormatting>
  <conditionalFormatting sqref="D2107">
    <cfRule type="expression" dxfId="719" priority="635">
      <formula>CELL("row")=ROW()</formula>
    </cfRule>
  </conditionalFormatting>
  <conditionalFormatting sqref="I2099">
    <cfRule type="expression" dxfId="718" priority="634">
      <formula>CELL("row")=ROW()</formula>
    </cfRule>
  </conditionalFormatting>
  <conditionalFormatting sqref="I2100:I2107">
    <cfRule type="expression" dxfId="717" priority="633">
      <formula>CELL("row")=ROW()</formula>
    </cfRule>
  </conditionalFormatting>
  <conditionalFormatting sqref="D2111">
    <cfRule type="expression" dxfId="716" priority="632">
      <formula>CELL("row")=ROW()</formula>
    </cfRule>
  </conditionalFormatting>
  <conditionalFormatting sqref="D2111">
    <cfRule type="expression" dxfId="715" priority="631">
      <formula>CELL("row")=ROW()</formula>
    </cfRule>
  </conditionalFormatting>
  <conditionalFormatting sqref="D2114:G2115">
    <cfRule type="expression" dxfId="714" priority="630">
      <formula>CELL("row")=ROW()</formula>
    </cfRule>
  </conditionalFormatting>
  <conditionalFormatting sqref="G2109:G2113">
    <cfRule type="expression" dxfId="713" priority="629">
      <formula>CELL("row")=ROW()</formula>
    </cfRule>
  </conditionalFormatting>
  <conditionalFormatting sqref="I2109">
    <cfRule type="expression" dxfId="712" priority="628">
      <formula>CELL("row")=ROW()</formula>
    </cfRule>
  </conditionalFormatting>
  <conditionalFormatting sqref="I2110:I2112">
    <cfRule type="expression" dxfId="711" priority="627">
      <formula>CELL("row")=ROW()</formula>
    </cfRule>
  </conditionalFormatting>
  <conditionalFormatting sqref="I2115:I2134">
    <cfRule type="expression" dxfId="710" priority="626">
      <formula>CELL("row")=ROW()</formula>
    </cfRule>
  </conditionalFormatting>
  <conditionalFormatting sqref="I2114">
    <cfRule type="expression" dxfId="709" priority="625">
      <formula>CELL("row")=ROW()</formula>
    </cfRule>
  </conditionalFormatting>
  <conditionalFormatting sqref="D2117">
    <cfRule type="expression" dxfId="708" priority="624">
      <formula>CELL("row")=ROW()</formula>
    </cfRule>
  </conditionalFormatting>
  <conditionalFormatting sqref="D2118">
    <cfRule type="expression" dxfId="707" priority="623">
      <formula>CELL("row")=ROW()</formula>
    </cfRule>
  </conditionalFormatting>
  <conditionalFormatting sqref="D2119">
    <cfRule type="expression" dxfId="706" priority="622">
      <formula>CELL("row")=ROW()</formula>
    </cfRule>
  </conditionalFormatting>
  <conditionalFormatting sqref="D2120">
    <cfRule type="expression" dxfId="705" priority="621">
      <formula>CELL("row")=ROW()</formula>
    </cfRule>
  </conditionalFormatting>
  <conditionalFormatting sqref="D2123">
    <cfRule type="expression" dxfId="704" priority="620">
      <formula>CELL("row")=ROW()</formula>
    </cfRule>
  </conditionalFormatting>
  <conditionalFormatting sqref="D2124">
    <cfRule type="expression" dxfId="703" priority="619">
      <formula>CELL("row")=ROW()</formula>
    </cfRule>
  </conditionalFormatting>
  <conditionalFormatting sqref="D2122">
    <cfRule type="expression" dxfId="702" priority="618">
      <formula>CELL("row")=ROW()</formula>
    </cfRule>
  </conditionalFormatting>
  <conditionalFormatting sqref="D2116:E2124">
    <cfRule type="expression" dxfId="701" priority="617">
      <formula>CELL("row")=ROW()</formula>
    </cfRule>
  </conditionalFormatting>
  <conditionalFormatting sqref="F2117:F2124">
    <cfRule type="expression" dxfId="700" priority="616">
      <formula>CELL("row")=ROW()</formula>
    </cfRule>
  </conditionalFormatting>
  <conditionalFormatting sqref="D2125:F2134">
    <cfRule type="expression" dxfId="699" priority="615">
      <formula>CELL("row")=ROW()</formula>
    </cfRule>
  </conditionalFormatting>
  <conditionalFormatting sqref="D2135:G2141">
    <cfRule type="expression" dxfId="698" priority="614">
      <formula>CELL("row")=ROW()</formula>
    </cfRule>
  </conditionalFormatting>
  <conditionalFormatting sqref="D2135:K2141">
    <cfRule type="expression" dxfId="697" priority="612">
      <formula>CELL("row")=ROW()</formula>
    </cfRule>
  </conditionalFormatting>
  <conditionalFormatting sqref="D2142:G2151">
    <cfRule type="expression" dxfId="696" priority="611">
      <formula>CELL("row")=ROW()</formula>
    </cfRule>
  </conditionalFormatting>
  <conditionalFormatting sqref="D2142:G2151">
    <cfRule type="expression" dxfId="695" priority="610">
      <formula>CELL("row")=ROW()</formula>
    </cfRule>
  </conditionalFormatting>
  <conditionalFormatting sqref="E2154:G2158">
    <cfRule type="expression" dxfId="694" priority="609">
      <formula>CELL("row")=ROW()</formula>
    </cfRule>
  </conditionalFormatting>
  <conditionalFormatting sqref="D2154:D2158">
    <cfRule type="expression" dxfId="693" priority="608">
      <formula>CELL("row")=ROW()</formula>
    </cfRule>
  </conditionalFormatting>
  <conditionalFormatting sqref="D2152:G2158">
    <cfRule type="expression" dxfId="692" priority="607">
      <formula>CELL("row")=ROW()</formula>
    </cfRule>
  </conditionalFormatting>
  <conditionalFormatting sqref="B2160">
    <cfRule type="expression" dxfId="691" priority="606">
      <formula>CELL("row")=ROW()</formula>
    </cfRule>
  </conditionalFormatting>
  <conditionalFormatting sqref="D2160">
    <cfRule type="expression" dxfId="690" priority="605">
      <formula>CELL("row")=ROW()</formula>
    </cfRule>
  </conditionalFormatting>
  <conditionalFormatting sqref="D2162">
    <cfRule type="expression" dxfId="689" priority="604">
      <formula>CELL("row")=ROW()</formula>
    </cfRule>
  </conditionalFormatting>
  <conditionalFormatting sqref="D2162">
    <cfRule type="expression" dxfId="688" priority="603">
      <formula>CELL("row")=ROW()</formula>
    </cfRule>
  </conditionalFormatting>
  <conditionalFormatting sqref="D2164">
    <cfRule type="expression" dxfId="687" priority="602">
      <formula>CELL("row")=ROW()</formula>
    </cfRule>
  </conditionalFormatting>
  <conditionalFormatting sqref="D2164">
    <cfRule type="expression" dxfId="686" priority="601">
      <formula>CELL("row")=ROW()</formula>
    </cfRule>
  </conditionalFormatting>
  <conditionalFormatting sqref="D2163">
    <cfRule type="expression" dxfId="685" priority="600">
      <formula>CELL("row")=ROW()</formula>
    </cfRule>
  </conditionalFormatting>
  <conditionalFormatting sqref="D2161">
    <cfRule type="expression" dxfId="684" priority="599">
      <formula>CELL("row")=ROW()</formula>
    </cfRule>
  </conditionalFormatting>
  <conditionalFormatting sqref="G2160:G2168">
    <cfRule type="expression" dxfId="683" priority="598">
      <formula>CELL("row")=ROW()</formula>
    </cfRule>
  </conditionalFormatting>
  <conditionalFormatting sqref="G2160:G2168">
    <cfRule type="expression" dxfId="682" priority="597">
      <formula>CELL("row")=ROW()</formula>
    </cfRule>
  </conditionalFormatting>
  <conditionalFormatting sqref="I2160:I2164">
    <cfRule type="expression" dxfId="681" priority="596">
      <formula>CELL("row")=ROW()</formula>
    </cfRule>
  </conditionalFormatting>
  <conditionalFormatting sqref="I2166">
    <cfRule type="expression" dxfId="680" priority="595">
      <formula>CELL("row")=ROW()</formula>
    </cfRule>
  </conditionalFormatting>
  <conditionalFormatting sqref="I2167">
    <cfRule type="expression" dxfId="679" priority="594">
      <formula>CELL("row")=ROW()</formula>
    </cfRule>
  </conditionalFormatting>
  <conditionalFormatting sqref="I2168">
    <cfRule type="expression" dxfId="678" priority="593">
      <formula>CELL("row")=ROW()</formula>
    </cfRule>
  </conditionalFormatting>
  <conditionalFormatting sqref="G2170">
    <cfRule type="expression" dxfId="677" priority="592">
      <formula>CELL("row")=ROW()</formula>
    </cfRule>
  </conditionalFormatting>
  <conditionalFormatting sqref="G2171:G2178">
    <cfRule type="expression" dxfId="676" priority="591">
      <formula>CELL("row")=ROW()</formula>
    </cfRule>
  </conditionalFormatting>
  <conditionalFormatting sqref="D2172">
    <cfRule type="expression" dxfId="675" priority="590">
      <formula>CELL("row")=ROW()</formula>
    </cfRule>
  </conditionalFormatting>
  <conditionalFormatting sqref="D2172">
    <cfRule type="expression" dxfId="674" priority="589">
      <formula>CELL("row")=ROW()</formula>
    </cfRule>
  </conditionalFormatting>
  <conditionalFormatting sqref="D2174">
    <cfRule type="expression" dxfId="673" priority="588">
      <formula>CELL("row")=ROW()</formula>
    </cfRule>
  </conditionalFormatting>
  <conditionalFormatting sqref="D2174">
    <cfRule type="expression" dxfId="672" priority="587">
      <formula>CELL("row")=ROW()</formula>
    </cfRule>
  </conditionalFormatting>
  <conditionalFormatting sqref="D2171">
    <cfRule type="expression" dxfId="671" priority="586">
      <formula>CELL("row")=ROW()</formula>
    </cfRule>
  </conditionalFormatting>
  <conditionalFormatting sqref="D2171">
    <cfRule type="expression" dxfId="670" priority="585">
      <formula>CELL("row")=ROW()</formula>
    </cfRule>
  </conditionalFormatting>
  <conditionalFormatting sqref="D2173">
    <cfRule type="expression" dxfId="669" priority="584">
      <formula>CELL("row")=ROW()</formula>
    </cfRule>
  </conditionalFormatting>
  <conditionalFormatting sqref="D2173">
    <cfRule type="expression" dxfId="668" priority="583">
      <formula>CELL("row")=ROW()</formula>
    </cfRule>
  </conditionalFormatting>
  <conditionalFormatting sqref="D2175">
    <cfRule type="expression" dxfId="667" priority="582">
      <formula>CELL("row")=ROW()</formula>
    </cfRule>
  </conditionalFormatting>
  <conditionalFormatting sqref="D2176">
    <cfRule type="expression" dxfId="666" priority="581">
      <formula>CELL("row")=ROW()</formula>
    </cfRule>
  </conditionalFormatting>
  <conditionalFormatting sqref="D2178">
    <cfRule type="expression" dxfId="665" priority="580">
      <formula>CELL("row")=ROW()</formula>
    </cfRule>
  </conditionalFormatting>
  <conditionalFormatting sqref="I2170">
    <cfRule type="expression" dxfId="664" priority="579">
      <formula>CELL("row")=ROW()</formula>
    </cfRule>
  </conditionalFormatting>
  <conditionalFormatting sqref="I2171:I2178">
    <cfRule type="expression" dxfId="663" priority="578">
      <formula>CELL("row")=ROW()</formula>
    </cfRule>
  </conditionalFormatting>
  <conditionalFormatting sqref="D2182">
    <cfRule type="expression" dxfId="662" priority="577">
      <formula>CELL("row")=ROW()</formula>
    </cfRule>
  </conditionalFormatting>
  <conditionalFormatting sqref="D2182">
    <cfRule type="expression" dxfId="661" priority="576">
      <formula>CELL("row")=ROW()</formula>
    </cfRule>
  </conditionalFormatting>
  <conditionalFormatting sqref="D2185:G2186">
    <cfRule type="expression" dxfId="660" priority="575">
      <formula>CELL("row")=ROW()</formula>
    </cfRule>
  </conditionalFormatting>
  <conditionalFormatting sqref="G2180:G2184">
    <cfRule type="expression" dxfId="659" priority="574">
      <formula>CELL("row")=ROW()</formula>
    </cfRule>
  </conditionalFormatting>
  <conditionalFormatting sqref="I2180">
    <cfRule type="expression" dxfId="658" priority="573">
      <formula>CELL("row")=ROW()</formula>
    </cfRule>
  </conditionalFormatting>
  <conditionalFormatting sqref="I2181:I2183">
    <cfRule type="expression" dxfId="657" priority="572">
      <formula>CELL("row")=ROW()</formula>
    </cfRule>
  </conditionalFormatting>
  <conditionalFormatting sqref="I2186:I2205">
    <cfRule type="expression" dxfId="656" priority="571">
      <formula>CELL("row")=ROW()</formula>
    </cfRule>
  </conditionalFormatting>
  <conditionalFormatting sqref="I2185">
    <cfRule type="expression" dxfId="655" priority="570">
      <formula>CELL("row")=ROW()</formula>
    </cfRule>
  </conditionalFormatting>
  <conditionalFormatting sqref="D2188">
    <cfRule type="expression" dxfId="654" priority="569">
      <formula>CELL("row")=ROW()</formula>
    </cfRule>
  </conditionalFormatting>
  <conditionalFormatting sqref="D2189">
    <cfRule type="expression" dxfId="653" priority="568">
      <formula>CELL("row")=ROW()</formula>
    </cfRule>
  </conditionalFormatting>
  <conditionalFormatting sqref="D2190">
    <cfRule type="expression" dxfId="652" priority="567">
      <formula>CELL("row")=ROW()</formula>
    </cfRule>
  </conditionalFormatting>
  <conditionalFormatting sqref="D2191">
    <cfRule type="expression" dxfId="651" priority="566">
      <formula>CELL("row")=ROW()</formula>
    </cfRule>
  </conditionalFormatting>
  <conditionalFormatting sqref="D2194">
    <cfRule type="expression" dxfId="650" priority="565">
      <formula>CELL("row")=ROW()</formula>
    </cfRule>
  </conditionalFormatting>
  <conditionalFormatting sqref="D2195">
    <cfRule type="expression" dxfId="649" priority="564">
      <formula>CELL("row")=ROW()</formula>
    </cfRule>
  </conditionalFormatting>
  <conditionalFormatting sqref="D2193">
    <cfRule type="expression" dxfId="648" priority="563">
      <formula>CELL("row")=ROW()</formula>
    </cfRule>
  </conditionalFormatting>
  <conditionalFormatting sqref="D2187:E2195">
    <cfRule type="expression" dxfId="647" priority="562">
      <formula>CELL("row")=ROW()</formula>
    </cfRule>
  </conditionalFormatting>
  <conditionalFormatting sqref="F2188:F2195">
    <cfRule type="expression" dxfId="646" priority="561">
      <formula>CELL("row")=ROW()</formula>
    </cfRule>
  </conditionalFormatting>
  <conditionalFormatting sqref="D2196:F2205">
    <cfRule type="expression" dxfId="645" priority="560">
      <formula>CELL("row")=ROW()</formula>
    </cfRule>
  </conditionalFormatting>
  <conditionalFormatting sqref="D2206:G2212">
    <cfRule type="expression" dxfId="644" priority="559">
      <formula>CELL("row")=ROW()</formula>
    </cfRule>
  </conditionalFormatting>
  <conditionalFormatting sqref="D2213:G2222">
    <cfRule type="expression" dxfId="643" priority="556">
      <formula>CELL("row")=ROW()</formula>
    </cfRule>
  </conditionalFormatting>
  <conditionalFormatting sqref="D2213:G2222">
    <cfRule type="expression" dxfId="642" priority="555">
      <formula>CELL("row")=ROW()</formula>
    </cfRule>
  </conditionalFormatting>
  <conditionalFormatting sqref="E2225:G2229">
    <cfRule type="expression" dxfId="641" priority="554">
      <formula>CELL("row")=ROW()</formula>
    </cfRule>
  </conditionalFormatting>
  <conditionalFormatting sqref="D2225:D2229">
    <cfRule type="expression" dxfId="640" priority="553">
      <formula>CELL("row")=ROW()</formula>
    </cfRule>
  </conditionalFormatting>
  <conditionalFormatting sqref="D2223:G2229">
    <cfRule type="expression" dxfId="639" priority="552">
      <formula>CELL("row")=ROW()</formula>
    </cfRule>
  </conditionalFormatting>
  <conditionalFormatting sqref="B2231">
    <cfRule type="expression" dxfId="638" priority="551">
      <formula>CELL("row")=ROW()</formula>
    </cfRule>
  </conditionalFormatting>
  <conditionalFormatting sqref="D2231">
    <cfRule type="expression" dxfId="637" priority="550">
      <formula>CELL("row")=ROW()</formula>
    </cfRule>
  </conditionalFormatting>
  <conditionalFormatting sqref="D2233">
    <cfRule type="expression" dxfId="636" priority="549">
      <formula>CELL("row")=ROW()</formula>
    </cfRule>
  </conditionalFormatting>
  <conditionalFormatting sqref="D2233">
    <cfRule type="expression" dxfId="635" priority="548">
      <formula>CELL("row")=ROW()</formula>
    </cfRule>
  </conditionalFormatting>
  <conditionalFormatting sqref="D2235">
    <cfRule type="expression" dxfId="634" priority="547">
      <formula>CELL("row")=ROW()</formula>
    </cfRule>
  </conditionalFormatting>
  <conditionalFormatting sqref="D2235">
    <cfRule type="expression" dxfId="633" priority="546">
      <formula>CELL("row")=ROW()</formula>
    </cfRule>
  </conditionalFormatting>
  <conditionalFormatting sqref="D2234">
    <cfRule type="expression" dxfId="632" priority="545">
      <formula>CELL("row")=ROW()</formula>
    </cfRule>
  </conditionalFormatting>
  <conditionalFormatting sqref="D2232">
    <cfRule type="expression" dxfId="631" priority="544">
      <formula>CELL("row")=ROW()</formula>
    </cfRule>
  </conditionalFormatting>
  <conditionalFormatting sqref="G2231:G2239">
    <cfRule type="expression" dxfId="630" priority="543">
      <formula>CELL("row")=ROW()</formula>
    </cfRule>
  </conditionalFormatting>
  <conditionalFormatting sqref="G2231:G2239">
    <cfRule type="expression" dxfId="629" priority="542">
      <formula>CELL("row")=ROW()</formula>
    </cfRule>
  </conditionalFormatting>
  <conditionalFormatting sqref="I2231:I2235">
    <cfRule type="expression" dxfId="628" priority="541">
      <formula>CELL("row")=ROW()</formula>
    </cfRule>
  </conditionalFormatting>
  <conditionalFormatting sqref="I2237">
    <cfRule type="expression" dxfId="627" priority="540">
      <formula>CELL("row")=ROW()</formula>
    </cfRule>
  </conditionalFormatting>
  <conditionalFormatting sqref="I2238">
    <cfRule type="expression" dxfId="626" priority="539">
      <formula>CELL("row")=ROW()</formula>
    </cfRule>
  </conditionalFormatting>
  <conditionalFormatting sqref="I2239">
    <cfRule type="expression" dxfId="625" priority="538">
      <formula>CELL("row")=ROW()</formula>
    </cfRule>
  </conditionalFormatting>
  <conditionalFormatting sqref="G2241">
    <cfRule type="expression" dxfId="624" priority="537">
      <formula>CELL("row")=ROW()</formula>
    </cfRule>
  </conditionalFormatting>
  <conditionalFormatting sqref="G2242:G2249">
    <cfRule type="expression" dxfId="623" priority="536">
      <formula>CELL("row")=ROW()</formula>
    </cfRule>
  </conditionalFormatting>
  <conditionalFormatting sqref="D2243">
    <cfRule type="expression" dxfId="622" priority="535">
      <formula>CELL("row")=ROW()</formula>
    </cfRule>
  </conditionalFormatting>
  <conditionalFormatting sqref="D2243">
    <cfRule type="expression" dxfId="621" priority="534">
      <formula>CELL("row")=ROW()</formula>
    </cfRule>
  </conditionalFormatting>
  <conditionalFormatting sqref="D2245">
    <cfRule type="expression" dxfId="620" priority="533">
      <formula>CELL("row")=ROW()</formula>
    </cfRule>
  </conditionalFormatting>
  <conditionalFormatting sqref="D2245">
    <cfRule type="expression" dxfId="619" priority="532">
      <formula>CELL("row")=ROW()</formula>
    </cfRule>
  </conditionalFormatting>
  <conditionalFormatting sqref="D2242">
    <cfRule type="expression" dxfId="618" priority="531">
      <formula>CELL("row")=ROW()</formula>
    </cfRule>
  </conditionalFormatting>
  <conditionalFormatting sqref="D2242">
    <cfRule type="expression" dxfId="617" priority="530">
      <formula>CELL("row")=ROW()</formula>
    </cfRule>
  </conditionalFormatting>
  <conditionalFormatting sqref="D2244">
    <cfRule type="expression" dxfId="616" priority="529">
      <formula>CELL("row")=ROW()</formula>
    </cfRule>
  </conditionalFormatting>
  <conditionalFormatting sqref="D2244">
    <cfRule type="expression" dxfId="615" priority="528">
      <formula>CELL("row")=ROW()</formula>
    </cfRule>
  </conditionalFormatting>
  <conditionalFormatting sqref="D2246">
    <cfRule type="expression" dxfId="614" priority="527">
      <formula>CELL("row")=ROW()</formula>
    </cfRule>
  </conditionalFormatting>
  <conditionalFormatting sqref="D2247">
    <cfRule type="expression" dxfId="613" priority="526">
      <formula>CELL("row")=ROW()</formula>
    </cfRule>
  </conditionalFormatting>
  <conditionalFormatting sqref="D2249">
    <cfRule type="expression" dxfId="612" priority="525">
      <formula>CELL("row")=ROW()</formula>
    </cfRule>
  </conditionalFormatting>
  <conditionalFormatting sqref="I2241">
    <cfRule type="expression" dxfId="611" priority="524">
      <formula>CELL("row")=ROW()</formula>
    </cfRule>
  </conditionalFormatting>
  <conditionalFormatting sqref="I2242:I2249">
    <cfRule type="expression" dxfId="610" priority="523">
      <formula>CELL("row")=ROW()</formula>
    </cfRule>
  </conditionalFormatting>
  <conditionalFormatting sqref="D2253">
    <cfRule type="expression" dxfId="609" priority="522">
      <formula>CELL("row")=ROW()</formula>
    </cfRule>
  </conditionalFormatting>
  <conditionalFormatting sqref="D2253">
    <cfRule type="expression" dxfId="608" priority="521">
      <formula>CELL("row")=ROW()</formula>
    </cfRule>
  </conditionalFormatting>
  <conditionalFormatting sqref="D2256:G2257">
    <cfRule type="expression" dxfId="607" priority="520">
      <formula>CELL("row")=ROW()</formula>
    </cfRule>
  </conditionalFormatting>
  <conditionalFormatting sqref="G2251:G2255">
    <cfRule type="expression" dxfId="606" priority="519">
      <formula>CELL("row")=ROW()</formula>
    </cfRule>
  </conditionalFormatting>
  <conditionalFormatting sqref="I2251">
    <cfRule type="expression" dxfId="605" priority="518">
      <formula>CELL("row")=ROW()</formula>
    </cfRule>
  </conditionalFormatting>
  <conditionalFormatting sqref="I2252:I2254">
    <cfRule type="expression" dxfId="604" priority="517">
      <formula>CELL("row")=ROW()</formula>
    </cfRule>
  </conditionalFormatting>
  <conditionalFormatting sqref="I2257:I2276">
    <cfRule type="expression" dxfId="603" priority="516">
      <formula>CELL("row")=ROW()</formula>
    </cfRule>
  </conditionalFormatting>
  <conditionalFormatting sqref="I2256">
    <cfRule type="expression" dxfId="602" priority="515">
      <formula>CELL("row")=ROW()</formula>
    </cfRule>
  </conditionalFormatting>
  <conditionalFormatting sqref="D2259">
    <cfRule type="expression" dxfId="601" priority="514">
      <formula>CELL("row")=ROW()</formula>
    </cfRule>
  </conditionalFormatting>
  <conditionalFormatting sqref="D2260">
    <cfRule type="expression" dxfId="600" priority="513">
      <formula>CELL("row")=ROW()</formula>
    </cfRule>
  </conditionalFormatting>
  <conditionalFormatting sqref="D2261">
    <cfRule type="expression" dxfId="599" priority="512">
      <formula>CELL("row")=ROW()</formula>
    </cfRule>
  </conditionalFormatting>
  <conditionalFormatting sqref="D2262">
    <cfRule type="expression" dxfId="598" priority="511">
      <formula>CELL("row")=ROW()</formula>
    </cfRule>
  </conditionalFormatting>
  <conditionalFormatting sqref="D2265">
    <cfRule type="expression" dxfId="597" priority="510">
      <formula>CELL("row")=ROW()</formula>
    </cfRule>
  </conditionalFormatting>
  <conditionalFormatting sqref="D2266">
    <cfRule type="expression" dxfId="596" priority="509">
      <formula>CELL("row")=ROW()</formula>
    </cfRule>
  </conditionalFormatting>
  <conditionalFormatting sqref="D2264">
    <cfRule type="expression" dxfId="595" priority="508">
      <formula>CELL("row")=ROW()</formula>
    </cfRule>
  </conditionalFormatting>
  <conditionalFormatting sqref="D2258:E2266">
    <cfRule type="expression" dxfId="594" priority="507">
      <formula>CELL("row")=ROW()</formula>
    </cfRule>
  </conditionalFormatting>
  <conditionalFormatting sqref="F2259:F2266">
    <cfRule type="expression" dxfId="593" priority="506">
      <formula>CELL("row")=ROW()</formula>
    </cfRule>
  </conditionalFormatting>
  <conditionalFormatting sqref="D2267:F2276">
    <cfRule type="expression" dxfId="592" priority="505">
      <formula>CELL("row")=ROW()</formula>
    </cfRule>
  </conditionalFormatting>
  <conditionalFormatting sqref="D2277:G2283">
    <cfRule type="expression" dxfId="591" priority="504">
      <formula>CELL("row")=ROW()</formula>
    </cfRule>
  </conditionalFormatting>
  <conditionalFormatting sqref="D2284:G2293">
    <cfRule type="expression" dxfId="590" priority="501">
      <formula>CELL("row")=ROW()</formula>
    </cfRule>
  </conditionalFormatting>
  <conditionalFormatting sqref="D2284:G2293">
    <cfRule type="expression" dxfId="589" priority="500">
      <formula>CELL("row")=ROW()</formula>
    </cfRule>
  </conditionalFormatting>
  <conditionalFormatting sqref="E2296:G2300">
    <cfRule type="expression" dxfId="588" priority="499">
      <formula>CELL("row")=ROW()</formula>
    </cfRule>
  </conditionalFormatting>
  <conditionalFormatting sqref="D2296:D2300">
    <cfRule type="expression" dxfId="587" priority="498">
      <formula>CELL("row")=ROW()</formula>
    </cfRule>
  </conditionalFormatting>
  <conditionalFormatting sqref="D2294:G2300">
    <cfRule type="expression" dxfId="586" priority="497">
      <formula>CELL("row")=ROW()</formula>
    </cfRule>
  </conditionalFormatting>
  <conditionalFormatting sqref="X119">
    <cfRule type="expression" dxfId="585" priority="496">
      <formula>CELL("row")=ROW()</formula>
    </cfRule>
  </conditionalFormatting>
  <conditionalFormatting sqref="X120:X140">
    <cfRule type="expression" dxfId="584" priority="495">
      <formula>CELL("row")=ROW()</formula>
    </cfRule>
  </conditionalFormatting>
  <conditionalFormatting sqref="W119">
    <cfRule type="expression" dxfId="583" priority="494">
      <formula>CELL("row")=ROW()</formula>
    </cfRule>
  </conditionalFormatting>
  <conditionalFormatting sqref="W120:W140">
    <cfRule type="expression" dxfId="582" priority="493">
      <formula>CELL("row")=ROW()</formula>
    </cfRule>
  </conditionalFormatting>
  <conditionalFormatting sqref="G1074:G1077">
    <cfRule type="expression" dxfId="581" priority="492">
      <formula>CELL("row")=ROW()</formula>
    </cfRule>
  </conditionalFormatting>
  <conditionalFormatting sqref="G1074:G1077">
    <cfRule type="expression" dxfId="580" priority="491">
      <formula>CELL("row")=ROW()</formula>
    </cfRule>
  </conditionalFormatting>
  <conditionalFormatting sqref="I1075">
    <cfRule type="expression" dxfId="579" priority="490">
      <formula>CELL("row")=ROW()</formula>
    </cfRule>
  </conditionalFormatting>
  <conditionalFormatting sqref="I1076">
    <cfRule type="expression" dxfId="578" priority="489">
      <formula>CELL("row")=ROW()</formula>
    </cfRule>
  </conditionalFormatting>
  <conditionalFormatting sqref="I1077">
    <cfRule type="expression" dxfId="577" priority="488">
      <formula>CELL("row")=ROW()</formula>
    </cfRule>
  </conditionalFormatting>
  <conditionalFormatting sqref="B2302">
    <cfRule type="expression" dxfId="576" priority="487">
      <formula>CELL("row")=ROW()</formula>
    </cfRule>
  </conditionalFormatting>
  <conditionalFormatting sqref="D2302">
    <cfRule type="expression" dxfId="575" priority="486">
      <formula>CELL("row")=ROW()</formula>
    </cfRule>
  </conditionalFormatting>
  <conditionalFormatting sqref="D2304">
    <cfRule type="expression" dxfId="574" priority="485">
      <formula>CELL("row")=ROW()</formula>
    </cfRule>
  </conditionalFormatting>
  <conditionalFormatting sqref="D2304">
    <cfRule type="expression" dxfId="573" priority="484">
      <formula>CELL("row")=ROW()</formula>
    </cfRule>
  </conditionalFormatting>
  <conditionalFormatting sqref="D2306">
    <cfRule type="expression" dxfId="572" priority="483">
      <formula>CELL("row")=ROW()</formula>
    </cfRule>
  </conditionalFormatting>
  <conditionalFormatting sqref="D2306">
    <cfRule type="expression" dxfId="571" priority="482">
      <formula>CELL("row")=ROW()</formula>
    </cfRule>
  </conditionalFormatting>
  <conditionalFormatting sqref="D2303">
    <cfRule type="expression" dxfId="570" priority="480">
      <formula>CELL("row")=ROW()</formula>
    </cfRule>
  </conditionalFormatting>
  <conditionalFormatting sqref="G2302:G2310">
    <cfRule type="expression" dxfId="569" priority="479">
      <formula>CELL("row")=ROW()</formula>
    </cfRule>
  </conditionalFormatting>
  <conditionalFormatting sqref="G2302:G2310">
    <cfRule type="expression" dxfId="568" priority="478">
      <formula>CELL("row")=ROW()</formula>
    </cfRule>
  </conditionalFormatting>
  <conditionalFormatting sqref="I2302:I2306">
    <cfRule type="expression" dxfId="567" priority="477">
      <formula>CELL("row")=ROW()</formula>
    </cfRule>
  </conditionalFormatting>
  <conditionalFormatting sqref="I2308">
    <cfRule type="expression" dxfId="566" priority="476">
      <formula>CELL("row")=ROW()</formula>
    </cfRule>
  </conditionalFormatting>
  <conditionalFormatting sqref="I2309">
    <cfRule type="expression" dxfId="565" priority="475">
      <formula>CELL("row")=ROW()</formula>
    </cfRule>
  </conditionalFormatting>
  <conditionalFormatting sqref="I2310">
    <cfRule type="expression" dxfId="564" priority="474">
      <formula>CELL("row")=ROW()</formula>
    </cfRule>
  </conditionalFormatting>
  <conditionalFormatting sqref="G2312">
    <cfRule type="expression" dxfId="563" priority="473">
      <formula>CELL("row")=ROW()</formula>
    </cfRule>
  </conditionalFormatting>
  <conditionalFormatting sqref="G2313:G2320">
    <cfRule type="expression" dxfId="562" priority="472">
      <formula>CELL("row")=ROW()</formula>
    </cfRule>
  </conditionalFormatting>
  <conditionalFormatting sqref="D2314">
    <cfRule type="expression" dxfId="561" priority="471">
      <formula>CELL("row")=ROW()</formula>
    </cfRule>
  </conditionalFormatting>
  <conditionalFormatting sqref="D2314">
    <cfRule type="expression" dxfId="560" priority="470">
      <formula>CELL("row")=ROW()</formula>
    </cfRule>
  </conditionalFormatting>
  <conditionalFormatting sqref="D2316">
    <cfRule type="expression" dxfId="559" priority="469">
      <formula>CELL("row")=ROW()</formula>
    </cfRule>
  </conditionalFormatting>
  <conditionalFormatting sqref="D2316">
    <cfRule type="expression" dxfId="558" priority="468">
      <formula>CELL("row")=ROW()</formula>
    </cfRule>
  </conditionalFormatting>
  <conditionalFormatting sqref="D2313">
    <cfRule type="expression" dxfId="557" priority="467">
      <formula>CELL("row")=ROW()</formula>
    </cfRule>
  </conditionalFormatting>
  <conditionalFormatting sqref="D2313">
    <cfRule type="expression" dxfId="556" priority="466">
      <formula>CELL("row")=ROW()</formula>
    </cfRule>
  </conditionalFormatting>
  <conditionalFormatting sqref="D2315">
    <cfRule type="expression" dxfId="555" priority="465">
      <formula>CELL("row")=ROW()</formula>
    </cfRule>
  </conditionalFormatting>
  <conditionalFormatting sqref="D2315">
    <cfRule type="expression" dxfId="554" priority="464">
      <formula>CELL("row")=ROW()</formula>
    </cfRule>
  </conditionalFormatting>
  <conditionalFormatting sqref="D2317">
    <cfRule type="expression" dxfId="553" priority="463">
      <formula>CELL("row")=ROW()</formula>
    </cfRule>
  </conditionalFormatting>
  <conditionalFormatting sqref="D2318">
    <cfRule type="expression" dxfId="552" priority="462">
      <formula>CELL("row")=ROW()</formula>
    </cfRule>
  </conditionalFormatting>
  <conditionalFormatting sqref="D2320">
    <cfRule type="expression" dxfId="551" priority="461">
      <formula>CELL("row")=ROW()</formula>
    </cfRule>
  </conditionalFormatting>
  <conditionalFormatting sqref="I2312">
    <cfRule type="expression" dxfId="550" priority="460">
      <formula>CELL("row")=ROW()</formula>
    </cfRule>
  </conditionalFormatting>
  <conditionalFormatting sqref="I2313:I2320">
    <cfRule type="expression" dxfId="549" priority="459">
      <formula>CELL("row")=ROW()</formula>
    </cfRule>
  </conditionalFormatting>
  <conditionalFormatting sqref="D2324">
    <cfRule type="expression" dxfId="548" priority="458">
      <formula>CELL("row")=ROW()</formula>
    </cfRule>
  </conditionalFormatting>
  <conditionalFormatting sqref="D2324">
    <cfRule type="expression" dxfId="547" priority="457">
      <formula>CELL("row")=ROW()</formula>
    </cfRule>
  </conditionalFormatting>
  <conditionalFormatting sqref="D2327:G2328">
    <cfRule type="expression" dxfId="546" priority="456">
      <formula>CELL("row")=ROW()</formula>
    </cfRule>
  </conditionalFormatting>
  <conditionalFormatting sqref="G2322:G2326">
    <cfRule type="expression" dxfId="545" priority="455">
      <formula>CELL("row")=ROW()</formula>
    </cfRule>
  </conditionalFormatting>
  <conditionalFormatting sqref="I2322">
    <cfRule type="expression" dxfId="544" priority="454">
      <formula>CELL("row")=ROW()</formula>
    </cfRule>
  </conditionalFormatting>
  <conditionalFormatting sqref="I2323:I2325">
    <cfRule type="expression" dxfId="543" priority="453">
      <formula>CELL("row")=ROW()</formula>
    </cfRule>
  </conditionalFormatting>
  <conditionalFormatting sqref="I2328:I2347">
    <cfRule type="expression" dxfId="542" priority="452">
      <formula>CELL("row")=ROW()</formula>
    </cfRule>
  </conditionalFormatting>
  <conditionalFormatting sqref="I2327">
    <cfRule type="expression" dxfId="541" priority="451">
      <formula>CELL("row")=ROW()</formula>
    </cfRule>
  </conditionalFormatting>
  <conditionalFormatting sqref="D2330">
    <cfRule type="expression" dxfId="540" priority="450">
      <formula>CELL("row")=ROW()</formula>
    </cfRule>
  </conditionalFormatting>
  <conditionalFormatting sqref="D2331">
    <cfRule type="expression" dxfId="539" priority="449">
      <formula>CELL("row")=ROW()</formula>
    </cfRule>
  </conditionalFormatting>
  <conditionalFormatting sqref="D2332">
    <cfRule type="expression" dxfId="538" priority="448">
      <formula>CELL("row")=ROW()</formula>
    </cfRule>
  </conditionalFormatting>
  <conditionalFormatting sqref="D2333">
    <cfRule type="expression" dxfId="537" priority="447">
      <formula>CELL("row")=ROW()</formula>
    </cfRule>
  </conditionalFormatting>
  <conditionalFormatting sqref="D2336">
    <cfRule type="expression" dxfId="536" priority="446">
      <formula>CELL("row")=ROW()</formula>
    </cfRule>
  </conditionalFormatting>
  <conditionalFormatting sqref="D2337">
    <cfRule type="expression" dxfId="535" priority="445">
      <formula>CELL("row")=ROW()</formula>
    </cfRule>
  </conditionalFormatting>
  <conditionalFormatting sqref="D2335">
    <cfRule type="expression" dxfId="534" priority="444">
      <formula>CELL("row")=ROW()</formula>
    </cfRule>
  </conditionalFormatting>
  <conditionalFormatting sqref="D2329:E2337">
    <cfRule type="expression" dxfId="533" priority="443">
      <formula>CELL("row")=ROW()</formula>
    </cfRule>
  </conditionalFormatting>
  <conditionalFormatting sqref="F2330:F2337">
    <cfRule type="expression" dxfId="532" priority="442">
      <formula>CELL("row")=ROW()</formula>
    </cfRule>
  </conditionalFormatting>
  <conditionalFormatting sqref="D2338:F2347">
    <cfRule type="expression" dxfId="531" priority="441">
      <formula>CELL("row")=ROW()</formula>
    </cfRule>
  </conditionalFormatting>
  <conditionalFormatting sqref="D2348:G2354">
    <cfRule type="expression" dxfId="530" priority="440">
      <formula>CELL("row")=ROW()</formula>
    </cfRule>
  </conditionalFormatting>
  <conditionalFormatting sqref="D2355:G2364">
    <cfRule type="expression" dxfId="529" priority="437">
      <formula>CELL("row")=ROW()</formula>
    </cfRule>
  </conditionalFormatting>
  <conditionalFormatting sqref="D2355:G2364">
    <cfRule type="expression" dxfId="528" priority="436">
      <formula>CELL("row")=ROW()</formula>
    </cfRule>
  </conditionalFormatting>
  <conditionalFormatting sqref="E2367:G2371">
    <cfRule type="expression" dxfId="527" priority="435">
      <formula>CELL("row")=ROW()</formula>
    </cfRule>
  </conditionalFormatting>
  <conditionalFormatting sqref="D2367:D2371">
    <cfRule type="expression" dxfId="526" priority="434">
      <formula>CELL("row")=ROW()</formula>
    </cfRule>
  </conditionalFormatting>
  <conditionalFormatting sqref="D2365:G2371">
    <cfRule type="expression" dxfId="525" priority="433">
      <formula>CELL("row")=ROW()</formula>
    </cfRule>
  </conditionalFormatting>
  <conditionalFormatting sqref="B2373">
    <cfRule type="expression" dxfId="524" priority="432">
      <formula>CELL("row")=ROW()</formula>
    </cfRule>
  </conditionalFormatting>
  <conditionalFormatting sqref="D2373">
    <cfRule type="expression" dxfId="523" priority="431">
      <formula>CELL("row")=ROW()</formula>
    </cfRule>
  </conditionalFormatting>
  <conditionalFormatting sqref="D2375">
    <cfRule type="expression" dxfId="522" priority="430">
      <formula>CELL("row")=ROW()</formula>
    </cfRule>
  </conditionalFormatting>
  <conditionalFormatting sqref="D2375">
    <cfRule type="expression" dxfId="521" priority="429">
      <formula>CELL("row")=ROW()</formula>
    </cfRule>
  </conditionalFormatting>
  <conditionalFormatting sqref="D2377">
    <cfRule type="expression" dxfId="520" priority="428">
      <formula>CELL("row")=ROW()</formula>
    </cfRule>
  </conditionalFormatting>
  <conditionalFormatting sqref="D2377">
    <cfRule type="expression" dxfId="519" priority="427">
      <formula>CELL("row")=ROW()</formula>
    </cfRule>
  </conditionalFormatting>
  <conditionalFormatting sqref="D2376">
    <cfRule type="expression" dxfId="518" priority="426">
      <formula>CELL("row")=ROW()</formula>
    </cfRule>
  </conditionalFormatting>
  <conditionalFormatting sqref="D2374">
    <cfRule type="expression" dxfId="517" priority="425">
      <formula>CELL("row")=ROW()</formula>
    </cfRule>
  </conditionalFormatting>
  <conditionalFormatting sqref="G2373:G2381">
    <cfRule type="expression" dxfId="516" priority="424">
      <formula>CELL("row")=ROW()</formula>
    </cfRule>
  </conditionalFormatting>
  <conditionalFormatting sqref="G2373:G2381">
    <cfRule type="expression" dxfId="515" priority="423">
      <formula>CELL("row")=ROW()</formula>
    </cfRule>
  </conditionalFormatting>
  <conditionalFormatting sqref="I2373:I2377">
    <cfRule type="expression" dxfId="514" priority="422">
      <formula>CELL("row")=ROW()</formula>
    </cfRule>
  </conditionalFormatting>
  <conditionalFormatting sqref="I2379">
    <cfRule type="expression" dxfId="513" priority="421">
      <formula>CELL("row")=ROW()</formula>
    </cfRule>
  </conditionalFormatting>
  <conditionalFormatting sqref="I2380">
    <cfRule type="expression" dxfId="512" priority="420">
      <formula>CELL("row")=ROW()</formula>
    </cfRule>
  </conditionalFormatting>
  <conditionalFormatting sqref="I2381">
    <cfRule type="expression" dxfId="511" priority="419">
      <formula>CELL("row")=ROW()</formula>
    </cfRule>
  </conditionalFormatting>
  <conditionalFormatting sqref="G2383">
    <cfRule type="expression" dxfId="510" priority="418">
      <formula>CELL("row")=ROW()</formula>
    </cfRule>
  </conditionalFormatting>
  <conditionalFormatting sqref="G2384:G2391">
    <cfRule type="expression" dxfId="509" priority="417">
      <formula>CELL("row")=ROW()</formula>
    </cfRule>
  </conditionalFormatting>
  <conditionalFormatting sqref="D2385">
    <cfRule type="expression" dxfId="508" priority="416">
      <formula>CELL("row")=ROW()</formula>
    </cfRule>
  </conditionalFormatting>
  <conditionalFormatting sqref="D2385">
    <cfRule type="expression" dxfId="507" priority="415">
      <formula>CELL("row")=ROW()</formula>
    </cfRule>
  </conditionalFormatting>
  <conditionalFormatting sqref="D2387">
    <cfRule type="expression" dxfId="506" priority="414">
      <formula>CELL("row")=ROW()</formula>
    </cfRule>
  </conditionalFormatting>
  <conditionalFormatting sqref="D2387">
    <cfRule type="expression" dxfId="505" priority="413">
      <formula>CELL("row")=ROW()</formula>
    </cfRule>
  </conditionalFormatting>
  <conditionalFormatting sqref="D2384">
    <cfRule type="expression" dxfId="504" priority="412">
      <formula>CELL("row")=ROW()</formula>
    </cfRule>
  </conditionalFormatting>
  <conditionalFormatting sqref="D2384">
    <cfRule type="expression" dxfId="503" priority="411">
      <formula>CELL("row")=ROW()</formula>
    </cfRule>
  </conditionalFormatting>
  <conditionalFormatting sqref="D2386">
    <cfRule type="expression" dxfId="502" priority="410">
      <formula>CELL("row")=ROW()</formula>
    </cfRule>
  </conditionalFormatting>
  <conditionalFormatting sqref="D2386">
    <cfRule type="expression" dxfId="501" priority="409">
      <formula>CELL("row")=ROW()</formula>
    </cfRule>
  </conditionalFormatting>
  <conditionalFormatting sqref="D2388">
    <cfRule type="expression" dxfId="500" priority="408">
      <formula>CELL("row")=ROW()</formula>
    </cfRule>
  </conditionalFormatting>
  <conditionalFormatting sqref="D2389">
    <cfRule type="expression" dxfId="499" priority="407">
      <formula>CELL("row")=ROW()</formula>
    </cfRule>
  </conditionalFormatting>
  <conditionalFormatting sqref="D2391">
    <cfRule type="expression" dxfId="498" priority="406">
      <formula>CELL("row")=ROW()</formula>
    </cfRule>
  </conditionalFormatting>
  <conditionalFormatting sqref="I2383">
    <cfRule type="expression" dxfId="497" priority="405">
      <formula>CELL("row")=ROW()</formula>
    </cfRule>
  </conditionalFormatting>
  <conditionalFormatting sqref="I2384:I2391">
    <cfRule type="expression" dxfId="496" priority="404">
      <formula>CELL("row")=ROW()</formula>
    </cfRule>
  </conditionalFormatting>
  <conditionalFormatting sqref="D2395">
    <cfRule type="expression" dxfId="495" priority="403">
      <formula>CELL("row")=ROW()</formula>
    </cfRule>
  </conditionalFormatting>
  <conditionalFormatting sqref="D2395">
    <cfRule type="expression" dxfId="494" priority="402">
      <formula>CELL("row")=ROW()</formula>
    </cfRule>
  </conditionalFormatting>
  <conditionalFormatting sqref="D2398:G2399">
    <cfRule type="expression" dxfId="493" priority="401">
      <formula>CELL("row")=ROW()</formula>
    </cfRule>
  </conditionalFormatting>
  <conditionalFormatting sqref="G2393:G2397">
    <cfRule type="expression" dxfId="492" priority="400">
      <formula>CELL("row")=ROW()</formula>
    </cfRule>
  </conditionalFormatting>
  <conditionalFormatting sqref="I2393">
    <cfRule type="expression" dxfId="491" priority="399">
      <formula>CELL("row")=ROW()</formula>
    </cfRule>
  </conditionalFormatting>
  <conditionalFormatting sqref="I2394:I2396">
    <cfRule type="expression" dxfId="490" priority="398">
      <formula>CELL("row")=ROW()</formula>
    </cfRule>
  </conditionalFormatting>
  <conditionalFormatting sqref="I2399:I2418">
    <cfRule type="expression" dxfId="489" priority="397">
      <formula>CELL("row")=ROW()</formula>
    </cfRule>
  </conditionalFormatting>
  <conditionalFormatting sqref="I2398">
    <cfRule type="expression" dxfId="488" priority="396">
      <formula>CELL("row")=ROW()</formula>
    </cfRule>
  </conditionalFormatting>
  <conditionalFormatting sqref="D2401">
    <cfRule type="expression" dxfId="487" priority="395">
      <formula>CELL("row")=ROW()</formula>
    </cfRule>
  </conditionalFormatting>
  <conditionalFormatting sqref="D2402">
    <cfRule type="expression" dxfId="486" priority="394">
      <formula>CELL("row")=ROW()</formula>
    </cfRule>
  </conditionalFormatting>
  <conditionalFormatting sqref="D2403">
    <cfRule type="expression" dxfId="485" priority="393">
      <formula>CELL("row")=ROW()</formula>
    </cfRule>
  </conditionalFormatting>
  <conditionalFormatting sqref="D2404">
    <cfRule type="expression" dxfId="484" priority="392">
      <formula>CELL("row")=ROW()</formula>
    </cfRule>
  </conditionalFormatting>
  <conditionalFormatting sqref="D2407">
    <cfRule type="expression" dxfId="483" priority="391">
      <formula>CELL("row")=ROW()</formula>
    </cfRule>
  </conditionalFormatting>
  <conditionalFormatting sqref="D2408">
    <cfRule type="expression" dxfId="482" priority="390">
      <formula>CELL("row")=ROW()</formula>
    </cfRule>
  </conditionalFormatting>
  <conditionalFormatting sqref="D2406">
    <cfRule type="expression" dxfId="481" priority="389">
      <formula>CELL("row")=ROW()</formula>
    </cfRule>
  </conditionalFormatting>
  <conditionalFormatting sqref="D2400:E2408">
    <cfRule type="expression" dxfId="480" priority="388">
      <formula>CELL("row")=ROW()</formula>
    </cfRule>
  </conditionalFormatting>
  <conditionalFormatting sqref="F2401:F2408">
    <cfRule type="expression" dxfId="479" priority="387">
      <formula>CELL("row")=ROW()</formula>
    </cfRule>
  </conditionalFormatting>
  <conditionalFormatting sqref="D2409:F2418">
    <cfRule type="expression" dxfId="478" priority="386">
      <formula>CELL("row")=ROW()</formula>
    </cfRule>
  </conditionalFormatting>
  <conditionalFormatting sqref="D2419:G2425">
    <cfRule type="expression" dxfId="477" priority="385">
      <formula>CELL("row")=ROW()</formula>
    </cfRule>
  </conditionalFormatting>
  <conditionalFormatting sqref="D2426:G2435">
    <cfRule type="expression" dxfId="476" priority="382">
      <formula>CELL("row")=ROW()</formula>
    </cfRule>
  </conditionalFormatting>
  <conditionalFormatting sqref="D2426:G2435">
    <cfRule type="expression" dxfId="475" priority="381">
      <formula>CELL("row")=ROW()</formula>
    </cfRule>
  </conditionalFormatting>
  <conditionalFormatting sqref="E2438:G2442 G2443:G2450">
    <cfRule type="expression" dxfId="474" priority="380">
      <formula>CELL("row")=ROW()</formula>
    </cfRule>
  </conditionalFormatting>
  <conditionalFormatting sqref="D2438:D2442 D2444">
    <cfRule type="expression" dxfId="473" priority="379">
      <formula>CELL("row")=ROW()</formula>
    </cfRule>
  </conditionalFormatting>
  <conditionalFormatting sqref="D2436:G2442 D2444 G2443:G2450">
    <cfRule type="expression" dxfId="472" priority="378">
      <formula>CELL("row")=ROW()</formula>
    </cfRule>
  </conditionalFormatting>
  <conditionalFormatting sqref="D2305:E2305">
    <cfRule type="expression" dxfId="471" priority="377">
      <formula>CELL("row")=ROW()</formula>
    </cfRule>
  </conditionalFormatting>
  <conditionalFormatting sqref="D2451:K2457 G2458:G2462">
    <cfRule type="expression" dxfId="470" priority="376">
      <formula>CELL("row")=ROW()</formula>
    </cfRule>
  </conditionalFormatting>
  <conditionalFormatting sqref="D2451:G2457 G2458:G2462">
    <cfRule type="expression" dxfId="469" priority="375">
      <formula>CELL("row")=ROW()</formula>
    </cfRule>
  </conditionalFormatting>
  <conditionalFormatting sqref="D2445">
    <cfRule type="expression" dxfId="468" priority="374">
      <formula>CELL("row")=ROW()</formula>
    </cfRule>
  </conditionalFormatting>
  <conditionalFormatting sqref="D2446">
    <cfRule type="expression" dxfId="467" priority="373">
      <formula>CELL("row")=ROW()</formula>
    </cfRule>
  </conditionalFormatting>
  <conditionalFormatting sqref="D2447">
    <cfRule type="expression" dxfId="466" priority="372">
      <formula>CELL("row")=ROW()</formula>
    </cfRule>
  </conditionalFormatting>
  <conditionalFormatting sqref="D2449:D2450">
    <cfRule type="expression" dxfId="465" priority="371">
      <formula>CELL("row")=ROW()</formula>
    </cfRule>
  </conditionalFormatting>
  <conditionalFormatting sqref="D2510:K2516">
    <cfRule type="expression" dxfId="464" priority="370">
      <formula>CELL("row")=ROW()</formula>
    </cfRule>
  </conditionalFormatting>
  <conditionalFormatting sqref="D2464">
    <cfRule type="expression" dxfId="463" priority="369">
      <formula>CELL("row")=ROW()</formula>
    </cfRule>
  </conditionalFormatting>
  <conditionalFormatting sqref="D2466">
    <cfRule type="expression" dxfId="462" priority="368">
      <formula>CELL("row")=ROW()</formula>
    </cfRule>
  </conditionalFormatting>
  <conditionalFormatting sqref="D2466">
    <cfRule type="expression" dxfId="461" priority="367">
      <formula>CELL("row")=ROW()</formula>
    </cfRule>
  </conditionalFormatting>
  <conditionalFormatting sqref="D2468">
    <cfRule type="expression" dxfId="460" priority="366">
      <formula>CELL("row")=ROW()</formula>
    </cfRule>
  </conditionalFormatting>
  <conditionalFormatting sqref="D2468">
    <cfRule type="expression" dxfId="459" priority="365">
      <formula>CELL("row")=ROW()</formula>
    </cfRule>
  </conditionalFormatting>
  <conditionalFormatting sqref="D2467">
    <cfRule type="expression" dxfId="458" priority="364">
      <formula>CELL("row")=ROW()</formula>
    </cfRule>
  </conditionalFormatting>
  <conditionalFormatting sqref="D2465">
    <cfRule type="expression" dxfId="457" priority="363">
      <formula>CELL("row")=ROW()</formula>
    </cfRule>
  </conditionalFormatting>
  <conditionalFormatting sqref="G2464:G2472">
    <cfRule type="expression" dxfId="456" priority="362">
      <formula>CELL("row")=ROW()</formula>
    </cfRule>
  </conditionalFormatting>
  <conditionalFormatting sqref="G2464:G2472">
    <cfRule type="expression" dxfId="455" priority="361">
      <formula>CELL("row")=ROW()</formula>
    </cfRule>
  </conditionalFormatting>
  <conditionalFormatting sqref="I2464:I2468">
    <cfRule type="expression" dxfId="454" priority="360">
      <formula>CELL("row")=ROW()</formula>
    </cfRule>
  </conditionalFormatting>
  <conditionalFormatting sqref="I2470">
    <cfRule type="expression" dxfId="453" priority="359">
      <formula>CELL("row")=ROW()</formula>
    </cfRule>
  </conditionalFormatting>
  <conditionalFormatting sqref="I2471">
    <cfRule type="expression" dxfId="452" priority="358">
      <formula>CELL("row")=ROW()</formula>
    </cfRule>
  </conditionalFormatting>
  <conditionalFormatting sqref="I2472">
    <cfRule type="expression" dxfId="451" priority="357">
      <formula>CELL("row")=ROW()</formula>
    </cfRule>
  </conditionalFormatting>
  <conditionalFormatting sqref="G2474">
    <cfRule type="expression" dxfId="450" priority="356">
      <formula>CELL("row")=ROW()</formula>
    </cfRule>
  </conditionalFormatting>
  <conditionalFormatting sqref="G2475:G2482">
    <cfRule type="expression" dxfId="449" priority="355">
      <formula>CELL("row")=ROW()</formula>
    </cfRule>
  </conditionalFormatting>
  <conditionalFormatting sqref="D2476">
    <cfRule type="expression" dxfId="448" priority="354">
      <formula>CELL("row")=ROW()</formula>
    </cfRule>
  </conditionalFormatting>
  <conditionalFormatting sqref="D2476">
    <cfRule type="expression" dxfId="447" priority="353">
      <formula>CELL("row")=ROW()</formula>
    </cfRule>
  </conditionalFormatting>
  <conditionalFormatting sqref="D2478">
    <cfRule type="expression" dxfId="446" priority="352">
      <formula>CELL("row")=ROW()</formula>
    </cfRule>
  </conditionalFormatting>
  <conditionalFormatting sqref="D2478">
    <cfRule type="expression" dxfId="445" priority="351">
      <formula>CELL("row")=ROW()</formula>
    </cfRule>
  </conditionalFormatting>
  <conditionalFormatting sqref="D2475">
    <cfRule type="expression" dxfId="444" priority="350">
      <formula>CELL("row")=ROW()</formula>
    </cfRule>
  </conditionalFormatting>
  <conditionalFormatting sqref="D2475">
    <cfRule type="expression" dxfId="443" priority="349">
      <formula>CELL("row")=ROW()</formula>
    </cfRule>
  </conditionalFormatting>
  <conditionalFormatting sqref="D2477">
    <cfRule type="expression" dxfId="442" priority="348">
      <formula>CELL("row")=ROW()</formula>
    </cfRule>
  </conditionalFormatting>
  <conditionalFormatting sqref="D2477">
    <cfRule type="expression" dxfId="441" priority="347">
      <formula>CELL("row")=ROW()</formula>
    </cfRule>
  </conditionalFormatting>
  <conditionalFormatting sqref="D2479">
    <cfRule type="expression" dxfId="440" priority="346">
      <formula>CELL("row")=ROW()</formula>
    </cfRule>
  </conditionalFormatting>
  <conditionalFormatting sqref="D2480">
    <cfRule type="expression" dxfId="439" priority="345">
      <formula>CELL("row")=ROW()</formula>
    </cfRule>
  </conditionalFormatting>
  <conditionalFormatting sqref="D2482">
    <cfRule type="expression" dxfId="438" priority="344">
      <formula>CELL("row")=ROW()</formula>
    </cfRule>
  </conditionalFormatting>
  <conditionalFormatting sqref="I2474">
    <cfRule type="expression" dxfId="437" priority="343">
      <formula>CELL("row")=ROW()</formula>
    </cfRule>
  </conditionalFormatting>
  <conditionalFormatting sqref="I2475:I2482">
    <cfRule type="expression" dxfId="436" priority="342">
      <formula>CELL("row")=ROW()</formula>
    </cfRule>
  </conditionalFormatting>
  <conditionalFormatting sqref="D2486">
    <cfRule type="expression" dxfId="435" priority="341">
      <formula>CELL("row")=ROW()</formula>
    </cfRule>
  </conditionalFormatting>
  <conditionalFormatting sqref="D2486">
    <cfRule type="expression" dxfId="434" priority="340">
      <formula>CELL("row")=ROW()</formula>
    </cfRule>
  </conditionalFormatting>
  <conditionalFormatting sqref="D2489:G2490">
    <cfRule type="expression" dxfId="433" priority="339">
      <formula>CELL("row")=ROW()</formula>
    </cfRule>
  </conditionalFormatting>
  <conditionalFormatting sqref="G2484:G2488">
    <cfRule type="expression" dxfId="432" priority="338">
      <formula>CELL("row")=ROW()</formula>
    </cfRule>
  </conditionalFormatting>
  <conditionalFormatting sqref="I2484">
    <cfRule type="expression" dxfId="431" priority="337">
      <formula>CELL("row")=ROW()</formula>
    </cfRule>
  </conditionalFormatting>
  <conditionalFormatting sqref="I2485:I2487">
    <cfRule type="expression" dxfId="430" priority="336">
      <formula>CELL("row")=ROW()</formula>
    </cfRule>
  </conditionalFormatting>
  <conditionalFormatting sqref="I2490:I2509">
    <cfRule type="expression" dxfId="429" priority="335">
      <formula>CELL("row")=ROW()</formula>
    </cfRule>
  </conditionalFormatting>
  <conditionalFormatting sqref="I2489">
    <cfRule type="expression" dxfId="428" priority="334">
      <formula>CELL("row")=ROW()</formula>
    </cfRule>
  </conditionalFormatting>
  <conditionalFormatting sqref="D2492">
    <cfRule type="expression" dxfId="427" priority="333">
      <formula>CELL("row")=ROW()</formula>
    </cfRule>
  </conditionalFormatting>
  <conditionalFormatting sqref="D2493">
    <cfRule type="expression" dxfId="426" priority="332">
      <formula>CELL("row")=ROW()</formula>
    </cfRule>
  </conditionalFormatting>
  <conditionalFormatting sqref="D2494">
    <cfRule type="expression" dxfId="425" priority="331">
      <formula>CELL("row")=ROW()</formula>
    </cfRule>
  </conditionalFormatting>
  <conditionalFormatting sqref="D2495">
    <cfRule type="expression" dxfId="424" priority="330">
      <formula>CELL("row")=ROW()</formula>
    </cfRule>
  </conditionalFormatting>
  <conditionalFormatting sqref="D2498">
    <cfRule type="expression" dxfId="423" priority="329">
      <formula>CELL("row")=ROW()</formula>
    </cfRule>
  </conditionalFormatting>
  <conditionalFormatting sqref="D2499">
    <cfRule type="expression" dxfId="422" priority="328">
      <formula>CELL("row")=ROW()</formula>
    </cfRule>
  </conditionalFormatting>
  <conditionalFormatting sqref="D2497">
    <cfRule type="expression" dxfId="421" priority="327">
      <formula>CELL("row")=ROW()</formula>
    </cfRule>
  </conditionalFormatting>
  <conditionalFormatting sqref="D2491:E2499">
    <cfRule type="expression" dxfId="420" priority="326">
      <formula>CELL("row")=ROW()</formula>
    </cfRule>
  </conditionalFormatting>
  <conditionalFormatting sqref="F2492:F2499">
    <cfRule type="expression" dxfId="419" priority="325">
      <formula>CELL("row")=ROW()</formula>
    </cfRule>
  </conditionalFormatting>
  <conditionalFormatting sqref="D2500:F2509">
    <cfRule type="expression" dxfId="418" priority="324">
      <formula>CELL("row")=ROW()</formula>
    </cfRule>
  </conditionalFormatting>
  <conditionalFormatting sqref="D2510:G2516">
    <cfRule type="expression" dxfId="417" priority="323">
      <formula>CELL("row")=ROW()</formula>
    </cfRule>
  </conditionalFormatting>
  <conditionalFormatting sqref="D2517:G2526">
    <cfRule type="expression" dxfId="416" priority="322">
      <formula>CELL("row")=ROW()</formula>
    </cfRule>
  </conditionalFormatting>
  <conditionalFormatting sqref="D2517:G2526">
    <cfRule type="expression" dxfId="415" priority="321">
      <formula>CELL("row")=ROW()</formula>
    </cfRule>
  </conditionalFormatting>
  <conditionalFormatting sqref="E2529:G2533">
    <cfRule type="expression" dxfId="414" priority="320">
      <formula>CELL("row")=ROW()</formula>
    </cfRule>
  </conditionalFormatting>
  <conditionalFormatting sqref="D2529:D2533 D2535">
    <cfRule type="expression" dxfId="413" priority="319">
      <formula>CELL("row")=ROW()</formula>
    </cfRule>
  </conditionalFormatting>
  <conditionalFormatting sqref="D2527:G2533 D2535">
    <cfRule type="expression" dxfId="412" priority="318">
      <formula>CELL("row")=ROW()</formula>
    </cfRule>
  </conditionalFormatting>
  <conditionalFormatting sqref="D2536">
    <cfRule type="expression" dxfId="411" priority="314">
      <formula>CELL("row")=ROW()</formula>
    </cfRule>
  </conditionalFormatting>
  <conditionalFormatting sqref="D2537">
    <cfRule type="expression" dxfId="410" priority="313">
      <formula>CELL("row")=ROW()</formula>
    </cfRule>
  </conditionalFormatting>
  <conditionalFormatting sqref="D2540">
    <cfRule type="expression" dxfId="409" priority="312">
      <formula>CELL("row")=ROW()</formula>
    </cfRule>
  </conditionalFormatting>
  <conditionalFormatting sqref="D2539">
    <cfRule type="expression" dxfId="408" priority="311">
      <formula>CELL("row")=ROW()</formula>
    </cfRule>
  </conditionalFormatting>
  <conditionalFormatting sqref="G2612:G2618">
    <cfRule type="expression" dxfId="407" priority="310">
      <formula>CELL("row")=ROW()</formula>
    </cfRule>
  </conditionalFormatting>
  <conditionalFormatting sqref="G2612:G2618">
    <cfRule type="expression" dxfId="406" priority="309">
      <formula>CELL("row")=ROW()</formula>
    </cfRule>
  </conditionalFormatting>
  <conditionalFormatting sqref="D2588:K2594">
    <cfRule type="expression" dxfId="405" priority="308">
      <formula>CELL("row")=ROW()</formula>
    </cfRule>
  </conditionalFormatting>
  <conditionalFormatting sqref="D2542">
    <cfRule type="expression" dxfId="404" priority="307">
      <formula>CELL("row")=ROW()</formula>
    </cfRule>
  </conditionalFormatting>
  <conditionalFormatting sqref="D2544">
    <cfRule type="expression" dxfId="403" priority="306">
      <formula>CELL("row")=ROW()</formula>
    </cfRule>
  </conditionalFormatting>
  <conditionalFormatting sqref="D2544">
    <cfRule type="expression" dxfId="402" priority="305">
      <formula>CELL("row")=ROW()</formula>
    </cfRule>
  </conditionalFormatting>
  <conditionalFormatting sqref="D2546">
    <cfRule type="expression" dxfId="401" priority="304">
      <formula>CELL("row")=ROW()</formula>
    </cfRule>
  </conditionalFormatting>
  <conditionalFormatting sqref="D2546">
    <cfRule type="expression" dxfId="400" priority="303">
      <formula>CELL("row")=ROW()</formula>
    </cfRule>
  </conditionalFormatting>
  <conditionalFormatting sqref="D2545">
    <cfRule type="expression" dxfId="399" priority="302">
      <formula>CELL("row")=ROW()</formula>
    </cfRule>
  </conditionalFormatting>
  <conditionalFormatting sqref="D2543">
    <cfRule type="expression" dxfId="398" priority="301">
      <formula>CELL("row")=ROW()</formula>
    </cfRule>
  </conditionalFormatting>
  <conditionalFormatting sqref="G2542:G2550">
    <cfRule type="expression" dxfId="397" priority="300">
      <formula>CELL("row")=ROW()</formula>
    </cfRule>
  </conditionalFormatting>
  <conditionalFormatting sqref="G2542:G2550">
    <cfRule type="expression" dxfId="396" priority="299">
      <formula>CELL("row")=ROW()</formula>
    </cfRule>
  </conditionalFormatting>
  <conditionalFormatting sqref="I2542:I2546">
    <cfRule type="expression" dxfId="395" priority="298">
      <formula>CELL("row")=ROW()</formula>
    </cfRule>
  </conditionalFormatting>
  <conditionalFormatting sqref="I2548">
    <cfRule type="expression" dxfId="394" priority="297">
      <formula>CELL("row")=ROW()</formula>
    </cfRule>
  </conditionalFormatting>
  <conditionalFormatting sqref="I2549">
    <cfRule type="expression" dxfId="393" priority="296">
      <formula>CELL("row")=ROW()</formula>
    </cfRule>
  </conditionalFormatting>
  <conditionalFormatting sqref="I2550">
    <cfRule type="expression" dxfId="392" priority="295">
      <formula>CELL("row")=ROW()</formula>
    </cfRule>
  </conditionalFormatting>
  <conditionalFormatting sqref="G2552">
    <cfRule type="expression" dxfId="391" priority="294">
      <formula>CELL("row")=ROW()</formula>
    </cfRule>
  </conditionalFormatting>
  <conditionalFormatting sqref="G2553:G2560">
    <cfRule type="expression" dxfId="390" priority="293">
      <formula>CELL("row")=ROW()</formula>
    </cfRule>
  </conditionalFormatting>
  <conditionalFormatting sqref="D2554">
    <cfRule type="expression" dxfId="389" priority="292">
      <formula>CELL("row")=ROW()</formula>
    </cfRule>
  </conditionalFormatting>
  <conditionalFormatting sqref="D2554">
    <cfRule type="expression" dxfId="388" priority="291">
      <formula>CELL("row")=ROW()</formula>
    </cfRule>
  </conditionalFormatting>
  <conditionalFormatting sqref="D2556">
    <cfRule type="expression" dxfId="387" priority="290">
      <formula>CELL("row")=ROW()</formula>
    </cfRule>
  </conditionalFormatting>
  <conditionalFormatting sqref="D2556">
    <cfRule type="expression" dxfId="386" priority="289">
      <formula>CELL("row")=ROW()</formula>
    </cfRule>
  </conditionalFormatting>
  <conditionalFormatting sqref="D2553">
    <cfRule type="expression" dxfId="385" priority="288">
      <formula>CELL("row")=ROW()</formula>
    </cfRule>
  </conditionalFormatting>
  <conditionalFormatting sqref="D2553">
    <cfRule type="expression" dxfId="384" priority="287">
      <formula>CELL("row")=ROW()</formula>
    </cfRule>
  </conditionalFormatting>
  <conditionalFormatting sqref="D2555">
    <cfRule type="expression" dxfId="383" priority="286">
      <formula>CELL("row")=ROW()</formula>
    </cfRule>
  </conditionalFormatting>
  <conditionalFormatting sqref="D2555">
    <cfRule type="expression" dxfId="382" priority="285">
      <formula>CELL("row")=ROW()</formula>
    </cfRule>
  </conditionalFormatting>
  <conditionalFormatting sqref="D2557">
    <cfRule type="expression" dxfId="381" priority="284">
      <formula>CELL("row")=ROW()</formula>
    </cfRule>
  </conditionalFormatting>
  <conditionalFormatting sqref="D2558">
    <cfRule type="expression" dxfId="380" priority="283">
      <formula>CELL("row")=ROW()</formula>
    </cfRule>
  </conditionalFormatting>
  <conditionalFormatting sqref="D2560">
    <cfRule type="expression" dxfId="379" priority="282">
      <formula>CELL("row")=ROW()</formula>
    </cfRule>
  </conditionalFormatting>
  <conditionalFormatting sqref="I2552">
    <cfRule type="expression" dxfId="378" priority="281">
      <formula>CELL("row")=ROW()</formula>
    </cfRule>
  </conditionalFormatting>
  <conditionalFormatting sqref="I2553:I2560">
    <cfRule type="expression" dxfId="377" priority="280">
      <formula>CELL("row")=ROW()</formula>
    </cfRule>
  </conditionalFormatting>
  <conditionalFormatting sqref="D2564">
    <cfRule type="expression" dxfId="376" priority="279">
      <formula>CELL("row")=ROW()</formula>
    </cfRule>
  </conditionalFormatting>
  <conditionalFormatting sqref="D2564">
    <cfRule type="expression" dxfId="375" priority="278">
      <formula>CELL("row")=ROW()</formula>
    </cfRule>
  </conditionalFormatting>
  <conditionalFormatting sqref="D2567:G2568">
    <cfRule type="expression" dxfId="374" priority="277">
      <formula>CELL("row")=ROW()</formula>
    </cfRule>
  </conditionalFormatting>
  <conditionalFormatting sqref="G2562:G2566">
    <cfRule type="expression" dxfId="373" priority="276">
      <formula>CELL("row")=ROW()</formula>
    </cfRule>
  </conditionalFormatting>
  <conditionalFormatting sqref="I2562">
    <cfRule type="expression" dxfId="372" priority="275">
      <formula>CELL("row")=ROW()</formula>
    </cfRule>
  </conditionalFormatting>
  <conditionalFormatting sqref="I2563:I2565">
    <cfRule type="expression" dxfId="371" priority="274">
      <formula>CELL("row")=ROW()</formula>
    </cfRule>
  </conditionalFormatting>
  <conditionalFormatting sqref="I2568:I2587">
    <cfRule type="expression" dxfId="370" priority="273">
      <formula>CELL("row")=ROW()</formula>
    </cfRule>
  </conditionalFormatting>
  <conditionalFormatting sqref="I2567">
    <cfRule type="expression" dxfId="369" priority="272">
      <formula>CELL("row")=ROW()</formula>
    </cfRule>
  </conditionalFormatting>
  <conditionalFormatting sqref="D2570">
    <cfRule type="expression" dxfId="368" priority="271">
      <formula>CELL("row")=ROW()</formula>
    </cfRule>
  </conditionalFormatting>
  <conditionalFormatting sqref="D2571">
    <cfRule type="expression" dxfId="367" priority="270">
      <formula>CELL("row")=ROW()</formula>
    </cfRule>
  </conditionalFormatting>
  <conditionalFormatting sqref="D2572">
    <cfRule type="expression" dxfId="366" priority="269">
      <formula>CELL("row")=ROW()</formula>
    </cfRule>
  </conditionalFormatting>
  <conditionalFormatting sqref="D2573">
    <cfRule type="expression" dxfId="365" priority="268">
      <formula>CELL("row")=ROW()</formula>
    </cfRule>
  </conditionalFormatting>
  <conditionalFormatting sqref="D2576">
    <cfRule type="expression" dxfId="364" priority="267">
      <formula>CELL("row")=ROW()</formula>
    </cfRule>
  </conditionalFormatting>
  <conditionalFormatting sqref="D2577">
    <cfRule type="expression" dxfId="363" priority="266">
      <formula>CELL("row")=ROW()</formula>
    </cfRule>
  </conditionalFormatting>
  <conditionalFormatting sqref="D2575">
    <cfRule type="expression" dxfId="362" priority="265">
      <formula>CELL("row")=ROW()</formula>
    </cfRule>
  </conditionalFormatting>
  <conditionalFormatting sqref="D2569:E2577">
    <cfRule type="expression" dxfId="361" priority="264">
      <formula>CELL("row")=ROW()</formula>
    </cfRule>
  </conditionalFormatting>
  <conditionalFormatting sqref="F2570:F2577">
    <cfRule type="expression" dxfId="360" priority="263">
      <formula>CELL("row")=ROW()</formula>
    </cfRule>
  </conditionalFormatting>
  <conditionalFormatting sqref="D2578:F2587">
    <cfRule type="expression" dxfId="359" priority="262">
      <formula>CELL("row")=ROW()</formula>
    </cfRule>
  </conditionalFormatting>
  <conditionalFormatting sqref="D2588:G2594">
    <cfRule type="expression" dxfId="358" priority="261">
      <formula>CELL("row")=ROW()</formula>
    </cfRule>
  </conditionalFormatting>
  <conditionalFormatting sqref="D2595:G2604">
    <cfRule type="expression" dxfId="357" priority="260">
      <formula>CELL("row")=ROW()</formula>
    </cfRule>
  </conditionalFormatting>
  <conditionalFormatting sqref="D2595:G2604">
    <cfRule type="expression" dxfId="356" priority="259">
      <formula>CELL("row")=ROW()</formula>
    </cfRule>
  </conditionalFormatting>
  <conditionalFormatting sqref="E2607:G2611">
    <cfRule type="expression" dxfId="355" priority="258">
      <formula>CELL("row")=ROW()</formula>
    </cfRule>
  </conditionalFormatting>
  <conditionalFormatting sqref="D2607:D2611">
    <cfRule type="expression" dxfId="354" priority="257">
      <formula>CELL("row")=ROW()</formula>
    </cfRule>
  </conditionalFormatting>
  <conditionalFormatting sqref="D2605:G2611">
    <cfRule type="expression" dxfId="353" priority="256">
      <formula>CELL("row")=ROW()</formula>
    </cfRule>
  </conditionalFormatting>
  <conditionalFormatting sqref="D2618">
    <cfRule type="expression" dxfId="352" priority="253">
      <formula>CELL("row")=ROW()</formula>
    </cfRule>
  </conditionalFormatting>
  <conditionalFormatting sqref="D1099">
    <cfRule type="expression" dxfId="351" priority="221">
      <formula>CELL("row")=ROW()</formula>
    </cfRule>
  </conditionalFormatting>
  <conditionalFormatting sqref="D1101">
    <cfRule type="expression" dxfId="350" priority="214">
      <formula>CELL("row")=ROW()</formula>
    </cfRule>
  </conditionalFormatting>
  <conditionalFormatting sqref="D1184:G1185">
    <cfRule type="expression" dxfId="349" priority="249">
      <formula>CELL("row")=ROW()</formula>
    </cfRule>
  </conditionalFormatting>
  <conditionalFormatting sqref="D1181">
    <cfRule type="expression" dxfId="348" priority="251">
      <formula>CELL("row")=ROW()</formula>
    </cfRule>
  </conditionalFormatting>
  <conditionalFormatting sqref="D1181">
    <cfRule type="expression" dxfId="347" priority="250">
      <formula>CELL("row")=ROW()</formula>
    </cfRule>
  </conditionalFormatting>
  <conditionalFormatting sqref="D2617">
    <cfRule type="expression" dxfId="346" priority="242">
      <formula>CELL("row")=ROW()</formula>
    </cfRule>
  </conditionalFormatting>
  <conditionalFormatting sqref="G1179:G1183">
    <cfRule type="expression" dxfId="345" priority="248">
      <formula>CELL("row")=ROW()</formula>
    </cfRule>
  </conditionalFormatting>
  <conditionalFormatting sqref="I1179">
    <cfRule type="expression" dxfId="344" priority="247">
      <formula>CELL("row")=ROW()</formula>
    </cfRule>
  </conditionalFormatting>
  <conditionalFormatting sqref="I1180:I1182">
    <cfRule type="expression" dxfId="343" priority="246">
      <formula>CELL("row")=ROW()</formula>
    </cfRule>
  </conditionalFormatting>
  <conditionalFormatting sqref="I1185">
    <cfRule type="expression" dxfId="342" priority="245">
      <formula>CELL("row")=ROW()</formula>
    </cfRule>
  </conditionalFormatting>
  <conditionalFormatting sqref="I1184">
    <cfRule type="expression" dxfId="341" priority="244">
      <formula>CELL("row")=ROW()</formula>
    </cfRule>
  </conditionalFormatting>
  <conditionalFormatting sqref="D2615">
    <cfRule type="expression" dxfId="340" priority="243">
      <formula>CELL("row")=ROW()</formula>
    </cfRule>
  </conditionalFormatting>
  <conditionalFormatting sqref="D1159">
    <cfRule type="expression" dxfId="339" priority="235">
      <formula>CELL("row")=ROW()</formula>
    </cfRule>
  </conditionalFormatting>
  <conditionalFormatting sqref="D2614">
    <cfRule type="expression" dxfId="338" priority="241">
      <formula>CELL("row")=ROW()</formula>
    </cfRule>
  </conditionalFormatting>
  <conditionalFormatting sqref="D2613">
    <cfRule type="expression" dxfId="337" priority="240">
      <formula>CELL("row")=ROW()</formula>
    </cfRule>
  </conditionalFormatting>
  <conditionalFormatting sqref="G1154:G1161">
    <cfRule type="expression" dxfId="336" priority="239">
      <formula>CELL("row")=ROW()</formula>
    </cfRule>
  </conditionalFormatting>
  <conditionalFormatting sqref="G1154:G1161">
    <cfRule type="expression" dxfId="335" priority="238">
      <formula>CELL("row")=ROW()</formula>
    </cfRule>
  </conditionalFormatting>
  <conditionalFormatting sqref="D1160:D1161">
    <cfRule type="expression" dxfId="334" priority="237">
      <formula>CELL("row")=ROW()</formula>
    </cfRule>
  </conditionalFormatting>
  <conditionalFormatting sqref="D1157">
    <cfRule type="expression" dxfId="333" priority="236">
      <formula>CELL("row")=ROW()</formula>
    </cfRule>
  </conditionalFormatting>
  <conditionalFormatting sqref="D2769">
    <cfRule type="expression" dxfId="332" priority="79">
      <formula>CELL("row")=ROW()</formula>
    </cfRule>
  </conditionalFormatting>
  <conditionalFormatting sqref="D1156">
    <cfRule type="expression" dxfId="331" priority="234">
      <formula>CELL("row")=ROW()</formula>
    </cfRule>
  </conditionalFormatting>
  <conditionalFormatting sqref="D1155">
    <cfRule type="expression" dxfId="330" priority="233">
      <formula>CELL("row")=ROW()</formula>
    </cfRule>
  </conditionalFormatting>
  <conditionalFormatting sqref="G1122:G1128">
    <cfRule type="expression" dxfId="329" priority="232">
      <formula>CELL("row")=ROW()</formula>
    </cfRule>
  </conditionalFormatting>
  <conditionalFormatting sqref="G1122:G1128">
    <cfRule type="expression" dxfId="328" priority="231">
      <formula>CELL("row")=ROW()</formula>
    </cfRule>
  </conditionalFormatting>
  <conditionalFormatting sqref="D1128">
    <cfRule type="expression" dxfId="327" priority="230">
      <formula>CELL("row")=ROW()</formula>
    </cfRule>
  </conditionalFormatting>
  <conditionalFormatting sqref="D1127">
    <cfRule type="expression" dxfId="326" priority="228">
      <formula>CELL("row")=ROW()</formula>
    </cfRule>
  </conditionalFormatting>
  <conditionalFormatting sqref="D1125">
    <cfRule type="expression" dxfId="325" priority="229">
      <formula>CELL("row")=ROW()</formula>
    </cfRule>
  </conditionalFormatting>
  <conditionalFormatting sqref="D1124">
    <cfRule type="expression" dxfId="324" priority="227">
      <formula>CELL("row")=ROW()</formula>
    </cfRule>
  </conditionalFormatting>
  <conditionalFormatting sqref="D1123">
    <cfRule type="expression" dxfId="323" priority="226">
      <formula>CELL("row")=ROW()</formula>
    </cfRule>
  </conditionalFormatting>
  <conditionalFormatting sqref="G1095">
    <cfRule type="expression" dxfId="322" priority="225">
      <formula>CELL("row")=ROW()</formula>
    </cfRule>
  </conditionalFormatting>
  <conditionalFormatting sqref="G1096:G1103">
    <cfRule type="expression" dxfId="321" priority="224">
      <formula>CELL("row")=ROW()</formula>
    </cfRule>
  </conditionalFormatting>
  <conditionalFormatting sqref="D1097">
    <cfRule type="expression" dxfId="320" priority="223">
      <formula>CELL("row")=ROW()</formula>
    </cfRule>
  </conditionalFormatting>
  <conditionalFormatting sqref="D1097">
    <cfRule type="expression" dxfId="319" priority="222">
      <formula>CELL("row")=ROW()</formula>
    </cfRule>
  </conditionalFormatting>
  <conditionalFormatting sqref="I1166">
    <cfRule type="expression" dxfId="318" priority="161">
      <formula>CELL("row")=ROW()</formula>
    </cfRule>
  </conditionalFormatting>
  <conditionalFormatting sqref="D1099">
    <cfRule type="expression" dxfId="317" priority="220">
      <formula>CELL("row")=ROW()</formula>
    </cfRule>
  </conditionalFormatting>
  <conditionalFormatting sqref="D1096">
    <cfRule type="expression" dxfId="316" priority="219">
      <formula>CELL("row")=ROW()</formula>
    </cfRule>
  </conditionalFormatting>
  <conditionalFormatting sqref="D1096">
    <cfRule type="expression" dxfId="315" priority="218">
      <formula>CELL("row")=ROW()</formula>
    </cfRule>
  </conditionalFormatting>
  <conditionalFormatting sqref="D1098">
    <cfRule type="expression" dxfId="314" priority="217">
      <formula>CELL("row")=ROW()</formula>
    </cfRule>
  </conditionalFormatting>
  <conditionalFormatting sqref="D1098">
    <cfRule type="expression" dxfId="313" priority="216">
      <formula>CELL("row")=ROW()</formula>
    </cfRule>
  </conditionalFormatting>
  <conditionalFormatting sqref="D1100">
    <cfRule type="expression" dxfId="312" priority="215">
      <formula>CELL("row")=ROW()</formula>
    </cfRule>
  </conditionalFormatting>
  <conditionalFormatting sqref="D1103">
    <cfRule type="expression" dxfId="311" priority="213">
      <formula>CELL("row")=ROW()</formula>
    </cfRule>
  </conditionalFormatting>
  <conditionalFormatting sqref="I1095">
    <cfRule type="expression" dxfId="310" priority="212">
      <formula>CELL("row")=ROW()</formula>
    </cfRule>
  </conditionalFormatting>
  <conditionalFormatting sqref="I1096:I1103">
    <cfRule type="expression" dxfId="309" priority="211">
      <formula>CELL("row")=ROW()</formula>
    </cfRule>
  </conditionalFormatting>
  <conditionalFormatting sqref="I1105:I1113">
    <cfRule type="expression" dxfId="308" priority="210">
      <formula>CELL("row")=ROW()</formula>
    </cfRule>
  </conditionalFormatting>
  <conditionalFormatting sqref="D1106">
    <cfRule type="expression" dxfId="307" priority="209">
      <formula>CELL("row")=ROW()</formula>
    </cfRule>
  </conditionalFormatting>
  <conditionalFormatting sqref="D1107">
    <cfRule type="expression" dxfId="306" priority="208">
      <formula>CELL("row")=ROW()</formula>
    </cfRule>
  </conditionalFormatting>
  <conditionalFormatting sqref="D1108">
    <cfRule type="expression" dxfId="305" priority="207">
      <formula>CELL("row")=ROW()</formula>
    </cfRule>
  </conditionalFormatting>
  <conditionalFormatting sqref="D1109">
    <cfRule type="expression" dxfId="304" priority="206">
      <formula>CELL("row")=ROW()</formula>
    </cfRule>
  </conditionalFormatting>
  <conditionalFormatting sqref="D1112">
    <cfRule type="expression" dxfId="303" priority="205">
      <formula>CELL("row")=ROW()</formula>
    </cfRule>
  </conditionalFormatting>
  <conditionalFormatting sqref="D1113">
    <cfRule type="expression" dxfId="302" priority="204">
      <formula>CELL("row")=ROW()</formula>
    </cfRule>
  </conditionalFormatting>
  <conditionalFormatting sqref="D1111">
    <cfRule type="expression" dxfId="301" priority="203">
      <formula>CELL("row")=ROW()</formula>
    </cfRule>
  </conditionalFormatting>
  <conditionalFormatting sqref="D1105:E1113">
    <cfRule type="expression" dxfId="300" priority="202">
      <formula>CELL("row")=ROW()</formula>
    </cfRule>
  </conditionalFormatting>
  <conditionalFormatting sqref="F1106:F1113">
    <cfRule type="expression" dxfId="299" priority="201">
      <formula>CELL("row")=ROW()</formula>
    </cfRule>
  </conditionalFormatting>
  <conditionalFormatting sqref="D1162:F1162 H1162:H1163 J1162:K1163 F1163">
    <cfRule type="expression" dxfId="298" priority="200">
      <formula>CELL("row")=ROW()</formula>
    </cfRule>
  </conditionalFormatting>
  <conditionalFormatting sqref="D1169">
    <cfRule type="expression" dxfId="297" priority="195">
      <formula>CELL("row")=ROW()</formula>
    </cfRule>
  </conditionalFormatting>
  <conditionalFormatting sqref="G1164:G1170">
    <cfRule type="expression" dxfId="296" priority="199">
      <formula>CELL("row")=ROW()</formula>
    </cfRule>
  </conditionalFormatting>
  <conditionalFormatting sqref="G1164:G1170">
    <cfRule type="expression" dxfId="295" priority="198">
      <formula>CELL("row")=ROW()</formula>
    </cfRule>
  </conditionalFormatting>
  <conditionalFormatting sqref="D1170">
    <cfRule type="expression" dxfId="294" priority="197">
      <formula>CELL("row")=ROW()</formula>
    </cfRule>
  </conditionalFormatting>
  <conditionalFormatting sqref="D1167">
    <cfRule type="expression" dxfId="293" priority="196">
      <formula>CELL("row")=ROW()</formula>
    </cfRule>
  </conditionalFormatting>
  <conditionalFormatting sqref="D1166">
    <cfRule type="expression" dxfId="292" priority="194">
      <formula>CELL("row")=ROW()</formula>
    </cfRule>
  </conditionalFormatting>
  <conditionalFormatting sqref="D1165">
    <cfRule type="expression" dxfId="291" priority="193">
      <formula>CELL("row")=ROW()</formula>
    </cfRule>
  </conditionalFormatting>
  <conditionalFormatting sqref="G1152">
    <cfRule type="expression" dxfId="290" priority="192">
      <formula>CELL("row")=ROW()</formula>
    </cfRule>
  </conditionalFormatting>
  <conditionalFormatting sqref="G1152">
    <cfRule type="expression" dxfId="289" priority="191">
      <formula>CELL("row")=ROW()</formula>
    </cfRule>
  </conditionalFormatting>
  <conditionalFormatting sqref="G1153">
    <cfRule type="expression" dxfId="288" priority="190">
      <formula>CELL("row")=ROW()</formula>
    </cfRule>
  </conditionalFormatting>
  <conditionalFormatting sqref="G1153">
    <cfRule type="expression" dxfId="287" priority="189">
      <formula>CELL("row")=ROW()</formula>
    </cfRule>
  </conditionalFormatting>
  <conditionalFormatting sqref="G1162">
    <cfRule type="expression" dxfId="286" priority="188">
      <formula>CELL("row")=ROW()</formula>
    </cfRule>
  </conditionalFormatting>
  <conditionalFormatting sqref="G1162">
    <cfRule type="expression" dxfId="285" priority="187">
      <formula>CELL("row")=ROW()</formula>
    </cfRule>
  </conditionalFormatting>
  <conditionalFormatting sqref="G1163">
    <cfRule type="expression" dxfId="284" priority="186">
      <formula>CELL("row")=ROW()</formula>
    </cfRule>
  </conditionalFormatting>
  <conditionalFormatting sqref="G1163">
    <cfRule type="expression" dxfId="283" priority="185">
      <formula>CELL("row")=ROW()</formula>
    </cfRule>
  </conditionalFormatting>
  <conditionalFormatting sqref="I1152">
    <cfRule type="expression" dxfId="282" priority="184">
      <formula>CELL("row")=ROW()</formula>
    </cfRule>
  </conditionalFormatting>
  <conditionalFormatting sqref="I1152">
    <cfRule type="expression" dxfId="281" priority="183">
      <formula>CELL("row")=ROW()</formula>
    </cfRule>
  </conditionalFormatting>
  <conditionalFormatting sqref="I1153">
    <cfRule type="expression" dxfId="280" priority="182">
      <formula>CELL("row")=ROW()</formula>
    </cfRule>
  </conditionalFormatting>
  <conditionalFormatting sqref="I1153">
    <cfRule type="expression" dxfId="279" priority="181">
      <formula>CELL("row")=ROW()</formula>
    </cfRule>
  </conditionalFormatting>
  <conditionalFormatting sqref="I1170">
    <cfRule type="expression" dxfId="278" priority="158">
      <formula>CELL("row")=ROW()</formula>
    </cfRule>
  </conditionalFormatting>
  <conditionalFormatting sqref="I1170">
    <cfRule type="expression" dxfId="277" priority="157">
      <formula>CELL("row")=ROW()</formula>
    </cfRule>
  </conditionalFormatting>
  <conditionalFormatting sqref="I1157">
    <cfRule type="expression" dxfId="276" priority="178">
      <formula>CELL("row")=ROW()</formula>
    </cfRule>
  </conditionalFormatting>
  <conditionalFormatting sqref="I1157">
    <cfRule type="expression" dxfId="275" priority="177">
      <formula>CELL("row")=ROW()</formula>
    </cfRule>
  </conditionalFormatting>
  <conditionalFormatting sqref="I1159">
    <cfRule type="expression" dxfId="274" priority="176">
      <formula>CELL("row")=ROW()</formula>
    </cfRule>
  </conditionalFormatting>
  <conditionalFormatting sqref="I1159">
    <cfRule type="expression" dxfId="273" priority="175">
      <formula>CELL("row")=ROW()</formula>
    </cfRule>
  </conditionalFormatting>
  <conditionalFormatting sqref="I1160">
    <cfRule type="expression" dxfId="272" priority="174">
      <formula>CELL("row")=ROW()</formula>
    </cfRule>
  </conditionalFormatting>
  <conditionalFormatting sqref="I1160">
    <cfRule type="expression" dxfId="271" priority="173">
      <formula>CELL("row")=ROW()</formula>
    </cfRule>
  </conditionalFormatting>
  <conditionalFormatting sqref="I1155">
    <cfRule type="expression" dxfId="270" priority="172">
      <formula>CELL("row")=ROW()</formula>
    </cfRule>
  </conditionalFormatting>
  <conditionalFormatting sqref="I1155">
    <cfRule type="expression" dxfId="269" priority="171">
      <formula>CELL("row")=ROW()</formula>
    </cfRule>
  </conditionalFormatting>
  <conditionalFormatting sqref="I1156">
    <cfRule type="expression" dxfId="268" priority="170">
      <formula>CELL("row")=ROW()</formula>
    </cfRule>
  </conditionalFormatting>
  <conditionalFormatting sqref="I1156">
    <cfRule type="expression" dxfId="267" priority="169">
      <formula>CELL("row")=ROW()</formula>
    </cfRule>
  </conditionalFormatting>
  <conditionalFormatting sqref="I1162">
    <cfRule type="expression" dxfId="266" priority="168">
      <formula>CELL("row")=ROW()</formula>
    </cfRule>
  </conditionalFormatting>
  <conditionalFormatting sqref="I1162">
    <cfRule type="expression" dxfId="265" priority="167">
      <formula>CELL("row")=ROW()</formula>
    </cfRule>
  </conditionalFormatting>
  <conditionalFormatting sqref="I1163">
    <cfRule type="expression" dxfId="264" priority="166">
      <formula>CELL("row")=ROW()</formula>
    </cfRule>
  </conditionalFormatting>
  <conditionalFormatting sqref="I1163">
    <cfRule type="expression" dxfId="263" priority="165">
      <formula>CELL("row")=ROW()</formula>
    </cfRule>
  </conditionalFormatting>
  <conditionalFormatting sqref="I1165">
    <cfRule type="expression" dxfId="262" priority="164">
      <formula>CELL("row")=ROW()</formula>
    </cfRule>
  </conditionalFormatting>
  <conditionalFormatting sqref="I1165">
    <cfRule type="expression" dxfId="261" priority="163">
      <formula>CELL("row")=ROW()</formula>
    </cfRule>
  </conditionalFormatting>
  <conditionalFormatting sqref="I1166">
    <cfRule type="expression" dxfId="260" priority="162">
      <formula>CELL("row")=ROW()</formula>
    </cfRule>
  </conditionalFormatting>
  <conditionalFormatting sqref="D2768">
    <cfRule type="expression" dxfId="259" priority="80">
      <formula>CELL("row")=ROW()</formula>
    </cfRule>
  </conditionalFormatting>
  <conditionalFormatting sqref="I1169">
    <cfRule type="expression" dxfId="258" priority="160">
      <formula>CELL("row")=ROW()</formula>
    </cfRule>
  </conditionalFormatting>
  <conditionalFormatting sqref="I1169">
    <cfRule type="expression" dxfId="257" priority="159">
      <formula>CELL("row")=ROW()</formula>
    </cfRule>
  </conditionalFormatting>
  <conditionalFormatting sqref="D2771">
    <cfRule type="expression" dxfId="256" priority="76">
      <formula>CELL("row")=ROW()</formula>
    </cfRule>
  </conditionalFormatting>
  <conditionalFormatting sqref="I1167">
    <cfRule type="expression" dxfId="255" priority="156">
      <formula>CELL("row")=ROW()</formula>
    </cfRule>
  </conditionalFormatting>
  <conditionalFormatting sqref="I1167">
    <cfRule type="expression" dxfId="254" priority="155">
      <formula>CELL("row")=ROW()</formula>
    </cfRule>
  </conditionalFormatting>
  <conditionalFormatting sqref="I1168">
    <cfRule type="expression" dxfId="253" priority="154">
      <formula>CELL("row")=ROW()</formula>
    </cfRule>
  </conditionalFormatting>
  <conditionalFormatting sqref="I1168">
    <cfRule type="expression" dxfId="252" priority="153">
      <formula>CELL("row")=ROW()</formula>
    </cfRule>
  </conditionalFormatting>
  <conditionalFormatting sqref="D1163:E1163">
    <cfRule type="expression" dxfId="251" priority="152">
      <formula>CELL("row")=ROW()</formula>
    </cfRule>
  </conditionalFormatting>
  <conditionalFormatting sqref="A2620:K2677">
    <cfRule type="expression" dxfId="250" priority="151">
      <formula>CELL("row")=ROW()</formula>
    </cfRule>
  </conditionalFormatting>
  <conditionalFormatting sqref="G2749:G2755">
    <cfRule type="expression" dxfId="249" priority="150">
      <formula>CELL("row")=ROW()</formula>
    </cfRule>
  </conditionalFormatting>
  <conditionalFormatting sqref="G2749:G2755">
    <cfRule type="expression" dxfId="248" priority="149">
      <formula>CELL("row")=ROW()</formula>
    </cfRule>
  </conditionalFormatting>
  <conditionalFormatting sqref="D2725:K2731">
    <cfRule type="expression" dxfId="247" priority="148">
      <formula>CELL("row")=ROW()</formula>
    </cfRule>
  </conditionalFormatting>
  <conditionalFormatting sqref="D2679">
    <cfRule type="expression" dxfId="246" priority="147">
      <formula>CELL("row")=ROW()</formula>
    </cfRule>
  </conditionalFormatting>
  <conditionalFormatting sqref="D2681">
    <cfRule type="expression" dxfId="245" priority="146">
      <formula>CELL("row")=ROW()</formula>
    </cfRule>
  </conditionalFormatting>
  <conditionalFormatting sqref="D2681">
    <cfRule type="expression" dxfId="244" priority="145">
      <formula>CELL("row")=ROW()</formula>
    </cfRule>
  </conditionalFormatting>
  <conditionalFormatting sqref="D2683">
    <cfRule type="expression" dxfId="243" priority="144">
      <formula>CELL("row")=ROW()</formula>
    </cfRule>
  </conditionalFormatting>
  <conditionalFormatting sqref="D2683">
    <cfRule type="expression" dxfId="242" priority="143">
      <formula>CELL("row")=ROW()</formula>
    </cfRule>
  </conditionalFormatting>
  <conditionalFormatting sqref="D2682">
    <cfRule type="expression" dxfId="241" priority="142">
      <formula>CELL("row")=ROW()</formula>
    </cfRule>
  </conditionalFormatting>
  <conditionalFormatting sqref="G2679:G2687">
    <cfRule type="expression" dxfId="240" priority="140">
      <formula>CELL("row")=ROW()</formula>
    </cfRule>
  </conditionalFormatting>
  <conditionalFormatting sqref="G2679:G2687">
    <cfRule type="expression" dxfId="239" priority="139">
      <formula>CELL("row")=ROW()</formula>
    </cfRule>
  </conditionalFormatting>
  <conditionalFormatting sqref="I2679:I2683">
    <cfRule type="expression" dxfId="238" priority="138">
      <formula>CELL("row")=ROW()</formula>
    </cfRule>
  </conditionalFormatting>
  <conditionalFormatting sqref="I2685">
    <cfRule type="expression" dxfId="237" priority="137">
      <formula>CELL("row")=ROW()</formula>
    </cfRule>
  </conditionalFormatting>
  <conditionalFormatting sqref="I2686">
    <cfRule type="expression" dxfId="236" priority="136">
      <formula>CELL("row")=ROW()</formula>
    </cfRule>
  </conditionalFormatting>
  <conditionalFormatting sqref="I2687">
    <cfRule type="expression" dxfId="235" priority="135">
      <formula>CELL("row")=ROW()</formula>
    </cfRule>
  </conditionalFormatting>
  <conditionalFormatting sqref="G2689">
    <cfRule type="expression" dxfId="234" priority="134">
      <formula>CELL("row")=ROW()</formula>
    </cfRule>
  </conditionalFormatting>
  <conditionalFormatting sqref="G2690:G2697">
    <cfRule type="expression" dxfId="233" priority="133">
      <formula>CELL("row")=ROW()</formula>
    </cfRule>
  </conditionalFormatting>
  <conditionalFormatting sqref="D2691">
    <cfRule type="expression" dxfId="232" priority="132">
      <formula>CELL("row")=ROW()</formula>
    </cfRule>
  </conditionalFormatting>
  <conditionalFormatting sqref="D2691">
    <cfRule type="expression" dxfId="231" priority="131">
      <formula>CELL("row")=ROW()</formula>
    </cfRule>
  </conditionalFormatting>
  <conditionalFormatting sqref="D2693">
    <cfRule type="expression" dxfId="230" priority="130">
      <formula>CELL("row")=ROW()</formula>
    </cfRule>
  </conditionalFormatting>
  <conditionalFormatting sqref="D2693">
    <cfRule type="expression" dxfId="229" priority="129">
      <formula>CELL("row")=ROW()</formula>
    </cfRule>
  </conditionalFormatting>
  <conditionalFormatting sqref="D2690">
    <cfRule type="expression" dxfId="228" priority="128">
      <formula>CELL("row")=ROW()</formula>
    </cfRule>
  </conditionalFormatting>
  <conditionalFormatting sqref="D2690">
    <cfRule type="expression" dxfId="227" priority="127">
      <formula>CELL("row")=ROW()</formula>
    </cfRule>
  </conditionalFormatting>
  <conditionalFormatting sqref="D2692">
    <cfRule type="expression" dxfId="226" priority="126">
      <formula>CELL("row")=ROW()</formula>
    </cfRule>
  </conditionalFormatting>
  <conditionalFormatting sqref="D2692">
    <cfRule type="expression" dxfId="225" priority="125">
      <formula>CELL("row")=ROW()</formula>
    </cfRule>
  </conditionalFormatting>
  <conditionalFormatting sqref="D2694">
    <cfRule type="expression" dxfId="224" priority="124">
      <formula>CELL("row")=ROW()</formula>
    </cfRule>
  </conditionalFormatting>
  <conditionalFormatting sqref="D2695">
    <cfRule type="expression" dxfId="223" priority="123">
      <formula>CELL("row")=ROW()</formula>
    </cfRule>
  </conditionalFormatting>
  <conditionalFormatting sqref="D2697">
    <cfRule type="expression" dxfId="222" priority="122">
      <formula>CELL("row")=ROW()</formula>
    </cfRule>
  </conditionalFormatting>
  <conditionalFormatting sqref="I2689">
    <cfRule type="expression" dxfId="221" priority="121">
      <formula>CELL("row")=ROW()</formula>
    </cfRule>
  </conditionalFormatting>
  <conditionalFormatting sqref="I2690:I2697">
    <cfRule type="expression" dxfId="220" priority="120">
      <formula>CELL("row")=ROW()</formula>
    </cfRule>
  </conditionalFormatting>
  <conditionalFormatting sqref="D2701">
    <cfRule type="expression" dxfId="219" priority="119">
      <formula>CELL("row")=ROW()</formula>
    </cfRule>
  </conditionalFormatting>
  <conditionalFormatting sqref="D2701">
    <cfRule type="expression" dxfId="218" priority="118">
      <formula>CELL("row")=ROW()</formula>
    </cfRule>
  </conditionalFormatting>
  <conditionalFormatting sqref="D2704:G2705">
    <cfRule type="expression" dxfId="217" priority="117">
      <formula>CELL("row")=ROW()</formula>
    </cfRule>
  </conditionalFormatting>
  <conditionalFormatting sqref="G2699:G2703">
    <cfRule type="expression" dxfId="216" priority="116">
      <formula>CELL("row")=ROW()</formula>
    </cfRule>
  </conditionalFormatting>
  <conditionalFormatting sqref="I2699">
    <cfRule type="expression" dxfId="215" priority="115">
      <formula>CELL("row")=ROW()</formula>
    </cfRule>
  </conditionalFormatting>
  <conditionalFormatting sqref="I2700:I2702">
    <cfRule type="expression" dxfId="214" priority="114">
      <formula>CELL("row")=ROW()</formula>
    </cfRule>
  </conditionalFormatting>
  <conditionalFormatting sqref="I2705:I2724">
    <cfRule type="expression" dxfId="213" priority="113">
      <formula>CELL("row")=ROW()</formula>
    </cfRule>
  </conditionalFormatting>
  <conditionalFormatting sqref="I2704">
    <cfRule type="expression" dxfId="212" priority="112">
      <formula>CELL("row")=ROW()</formula>
    </cfRule>
  </conditionalFormatting>
  <conditionalFormatting sqref="D2707">
    <cfRule type="expression" dxfId="211" priority="111">
      <formula>CELL("row")=ROW()</formula>
    </cfRule>
  </conditionalFormatting>
  <conditionalFormatting sqref="D2708">
    <cfRule type="expression" dxfId="210" priority="110">
      <formula>CELL("row")=ROW()</formula>
    </cfRule>
  </conditionalFormatting>
  <conditionalFormatting sqref="D2709">
    <cfRule type="expression" dxfId="209" priority="109">
      <formula>CELL("row")=ROW()</formula>
    </cfRule>
  </conditionalFormatting>
  <conditionalFormatting sqref="D2710">
    <cfRule type="expression" dxfId="208" priority="108">
      <formula>CELL("row")=ROW()</formula>
    </cfRule>
  </conditionalFormatting>
  <conditionalFormatting sqref="D2713">
    <cfRule type="expression" dxfId="207" priority="107">
      <formula>CELL("row")=ROW()</formula>
    </cfRule>
  </conditionalFormatting>
  <conditionalFormatting sqref="D2714">
    <cfRule type="expression" dxfId="206" priority="106">
      <formula>CELL("row")=ROW()</formula>
    </cfRule>
  </conditionalFormatting>
  <conditionalFormatting sqref="D2712">
    <cfRule type="expression" dxfId="205" priority="105">
      <formula>CELL("row")=ROW()</formula>
    </cfRule>
  </conditionalFormatting>
  <conditionalFormatting sqref="D2706:E2714">
    <cfRule type="expression" dxfId="204" priority="104">
      <formula>CELL("row")=ROW()</formula>
    </cfRule>
  </conditionalFormatting>
  <conditionalFormatting sqref="F2707:F2714">
    <cfRule type="expression" dxfId="203" priority="103">
      <formula>CELL("row")=ROW()</formula>
    </cfRule>
  </conditionalFormatting>
  <conditionalFormatting sqref="D2715:F2724">
    <cfRule type="expression" dxfId="202" priority="102">
      <formula>CELL("row")=ROW()</formula>
    </cfRule>
  </conditionalFormatting>
  <conditionalFormatting sqref="D2725:G2731">
    <cfRule type="expression" dxfId="201" priority="101">
      <formula>CELL("row")=ROW()</formula>
    </cfRule>
  </conditionalFormatting>
  <conditionalFormatting sqref="D2732:G2741">
    <cfRule type="expression" dxfId="200" priority="100">
      <formula>CELL("row")=ROW()</formula>
    </cfRule>
  </conditionalFormatting>
  <conditionalFormatting sqref="D2732:G2741">
    <cfRule type="expression" dxfId="199" priority="99">
      <formula>CELL("row")=ROW()</formula>
    </cfRule>
  </conditionalFormatting>
  <conditionalFormatting sqref="E2744:G2748">
    <cfRule type="expression" dxfId="198" priority="98">
      <formula>CELL("row")=ROW()</formula>
    </cfRule>
  </conditionalFormatting>
  <conditionalFormatting sqref="D2744:D2748">
    <cfRule type="expression" dxfId="197" priority="97">
      <formula>CELL("row")=ROW()</formula>
    </cfRule>
  </conditionalFormatting>
  <conditionalFormatting sqref="D2742:G2748">
    <cfRule type="expression" dxfId="196" priority="96">
      <formula>CELL("row")=ROW()</formula>
    </cfRule>
  </conditionalFormatting>
  <conditionalFormatting sqref="D2755">
    <cfRule type="expression" dxfId="195" priority="95">
      <formula>CELL("row")=ROW()</formula>
    </cfRule>
  </conditionalFormatting>
  <conditionalFormatting sqref="D2754">
    <cfRule type="expression" dxfId="194" priority="93">
      <formula>CELL("row")=ROW()</formula>
    </cfRule>
  </conditionalFormatting>
  <conditionalFormatting sqref="D2752">
    <cfRule type="expression" dxfId="193" priority="94">
      <formula>CELL("row")=ROW()</formula>
    </cfRule>
  </conditionalFormatting>
  <conditionalFormatting sqref="D2751">
    <cfRule type="expression" dxfId="192" priority="92">
      <formula>CELL("row")=ROW()</formula>
    </cfRule>
  </conditionalFormatting>
  <conditionalFormatting sqref="D2750">
    <cfRule type="expression" dxfId="191" priority="91">
      <formula>CELL("row")=ROW()</formula>
    </cfRule>
  </conditionalFormatting>
  <conditionalFormatting sqref="D2759">
    <cfRule type="expression" dxfId="190" priority="90">
      <formula>CELL("row")=ROW()</formula>
    </cfRule>
  </conditionalFormatting>
  <conditionalFormatting sqref="D2759">
    <cfRule type="expression" dxfId="189" priority="89">
      <formula>CELL("row")=ROW()</formula>
    </cfRule>
  </conditionalFormatting>
  <conditionalFormatting sqref="D2758">
    <cfRule type="expression" dxfId="188" priority="88">
      <formula>CELL("row")=ROW()</formula>
    </cfRule>
  </conditionalFormatting>
  <conditionalFormatting sqref="D2758">
    <cfRule type="expression" dxfId="187" priority="87">
      <formula>CELL("row")=ROW()</formula>
    </cfRule>
  </conditionalFormatting>
  <conditionalFormatting sqref="D2757">
    <cfRule type="expression" dxfId="186" priority="86">
      <formula>CELL("row")=ROW()</formula>
    </cfRule>
  </conditionalFormatting>
  <conditionalFormatting sqref="D2760:E2760">
    <cfRule type="expression" dxfId="185" priority="85">
      <formula>CELL("row")=ROW()</formula>
    </cfRule>
  </conditionalFormatting>
  <conditionalFormatting sqref="D2761:G2764">
    <cfRule type="expression" dxfId="184" priority="84">
      <formula>CELL("row")=ROW()</formula>
    </cfRule>
  </conditionalFormatting>
  <conditionalFormatting sqref="I2765:I2773">
    <cfRule type="expression" dxfId="183" priority="83">
      <formula>CELL("row")=ROW()</formula>
    </cfRule>
  </conditionalFormatting>
  <conditionalFormatting sqref="D2766">
    <cfRule type="expression" dxfId="182" priority="82">
      <formula>CELL("row")=ROW()</formula>
    </cfRule>
  </conditionalFormatting>
  <conditionalFormatting sqref="D2767">
    <cfRule type="expression" dxfId="181" priority="81">
      <formula>CELL("row")=ROW()</formula>
    </cfRule>
  </conditionalFormatting>
  <conditionalFormatting sqref="D2772">
    <cfRule type="expression" dxfId="180" priority="78">
      <formula>CELL("row")=ROW()</formula>
    </cfRule>
  </conditionalFormatting>
  <conditionalFormatting sqref="D2773">
    <cfRule type="expression" dxfId="179" priority="77">
      <formula>CELL("row")=ROW()</formula>
    </cfRule>
  </conditionalFormatting>
  <conditionalFormatting sqref="D2765:E2773">
    <cfRule type="expression" dxfId="178" priority="75">
      <formula>CELL("row")=ROW()</formula>
    </cfRule>
  </conditionalFormatting>
  <conditionalFormatting sqref="F2766:F2773">
    <cfRule type="expression" dxfId="177" priority="74">
      <formula>CELL("row")=ROW()</formula>
    </cfRule>
  </conditionalFormatting>
  <conditionalFormatting sqref="D2775">
    <cfRule type="expression" dxfId="176" priority="73">
      <formula>CELL("row")=ROW()</formula>
    </cfRule>
  </conditionalFormatting>
  <conditionalFormatting sqref="D2775">
    <cfRule type="expression" dxfId="175" priority="72">
      <formula>CELL("row")=ROW()</formula>
    </cfRule>
  </conditionalFormatting>
  <conditionalFormatting sqref="D2776">
    <cfRule type="expression" dxfId="174" priority="71">
      <formula>CELL("row")=ROW()</formula>
    </cfRule>
  </conditionalFormatting>
  <conditionalFormatting sqref="G2785:G2787 I2785:I2787">
    <cfRule type="expression" dxfId="173" priority="70">
      <formula>CELL("row")=ROW()</formula>
    </cfRule>
  </conditionalFormatting>
  <conditionalFormatting sqref="D2801">
    <cfRule type="expression" dxfId="172" priority="58">
      <formula>CELL("row")=ROW()</formula>
    </cfRule>
  </conditionalFormatting>
  <conditionalFormatting sqref="D2800">
    <cfRule type="expression" dxfId="171" priority="59">
      <formula>CELL("row")=ROW()</formula>
    </cfRule>
  </conditionalFormatting>
  <conditionalFormatting sqref="D2803">
    <cfRule type="expression" dxfId="170" priority="55">
      <formula>CELL("row")=ROW()</formula>
    </cfRule>
  </conditionalFormatting>
  <conditionalFormatting sqref="D2791">
    <cfRule type="expression" dxfId="169" priority="69">
      <formula>CELL("row")=ROW()</formula>
    </cfRule>
  </conditionalFormatting>
  <conditionalFormatting sqref="D2791">
    <cfRule type="expression" dxfId="168" priority="68">
      <formula>CELL("row")=ROW()</formula>
    </cfRule>
  </conditionalFormatting>
  <conditionalFormatting sqref="D2790">
    <cfRule type="expression" dxfId="167" priority="67">
      <formula>CELL("row")=ROW()</formula>
    </cfRule>
  </conditionalFormatting>
  <conditionalFormatting sqref="D2790">
    <cfRule type="expression" dxfId="166" priority="66">
      <formula>CELL("row")=ROW()</formula>
    </cfRule>
  </conditionalFormatting>
  <conditionalFormatting sqref="D2789">
    <cfRule type="expression" dxfId="165" priority="65">
      <formula>CELL("row")=ROW()</formula>
    </cfRule>
  </conditionalFormatting>
  <conditionalFormatting sqref="D2792:E2792">
    <cfRule type="expression" dxfId="164" priority="64">
      <formula>CELL("row")=ROW()</formula>
    </cfRule>
  </conditionalFormatting>
  <conditionalFormatting sqref="D2793:G2796">
    <cfRule type="expression" dxfId="163" priority="63">
      <formula>CELL("row")=ROW()</formula>
    </cfRule>
  </conditionalFormatting>
  <conditionalFormatting sqref="I2797:I2805">
    <cfRule type="expression" dxfId="162" priority="62">
      <formula>CELL("row")=ROW()</formula>
    </cfRule>
  </conditionalFormatting>
  <conditionalFormatting sqref="D2798">
    <cfRule type="expression" dxfId="161" priority="61">
      <formula>CELL("row")=ROW()</formula>
    </cfRule>
  </conditionalFormatting>
  <conditionalFormatting sqref="D2799">
    <cfRule type="expression" dxfId="160" priority="60">
      <formula>CELL("row")=ROW()</formula>
    </cfRule>
  </conditionalFormatting>
  <conditionalFormatting sqref="D2804">
    <cfRule type="expression" dxfId="159" priority="57">
      <formula>CELL("row")=ROW()</formula>
    </cfRule>
  </conditionalFormatting>
  <conditionalFormatting sqref="D2805">
    <cfRule type="expression" dxfId="158" priority="56">
      <formula>CELL("row")=ROW()</formula>
    </cfRule>
  </conditionalFormatting>
  <conditionalFormatting sqref="D2797:E2805">
    <cfRule type="expression" dxfId="157" priority="54">
      <formula>CELL("row")=ROW()</formula>
    </cfRule>
  </conditionalFormatting>
  <conditionalFormatting sqref="F2798:F2805">
    <cfRule type="expression" dxfId="156" priority="53">
      <formula>CELL("row")=ROW()</formula>
    </cfRule>
  </conditionalFormatting>
  <conditionalFormatting sqref="D2807">
    <cfRule type="expression" dxfId="155" priority="52">
      <formula>CELL("row")=ROW()</formula>
    </cfRule>
  </conditionalFormatting>
  <conditionalFormatting sqref="D2807">
    <cfRule type="expression" dxfId="154" priority="51">
      <formula>CELL("row")=ROW()</formula>
    </cfRule>
  </conditionalFormatting>
  <conditionalFormatting sqref="D2808">
    <cfRule type="expression" dxfId="153" priority="50">
      <formula>CELL("row")=ROW()</formula>
    </cfRule>
  </conditionalFormatting>
  <conditionalFormatting sqref="G2817:G2819 I2817:I2819">
    <cfRule type="expression" dxfId="152" priority="49">
      <formula>CELL("row")=ROW()</formula>
    </cfRule>
  </conditionalFormatting>
  <conditionalFormatting sqref="D2833">
    <cfRule type="expression" dxfId="151" priority="37">
      <formula>CELL("row")=ROW()</formula>
    </cfRule>
  </conditionalFormatting>
  <conditionalFormatting sqref="D2832">
    <cfRule type="expression" dxfId="150" priority="38">
      <formula>CELL("row")=ROW()</formula>
    </cfRule>
  </conditionalFormatting>
  <conditionalFormatting sqref="D2835">
    <cfRule type="expression" dxfId="149" priority="34">
      <formula>CELL("row")=ROW()</formula>
    </cfRule>
  </conditionalFormatting>
  <conditionalFormatting sqref="D2823">
    <cfRule type="expression" dxfId="148" priority="48">
      <formula>CELL("row")=ROW()</formula>
    </cfRule>
  </conditionalFormatting>
  <conditionalFormatting sqref="D2823">
    <cfRule type="expression" dxfId="147" priority="47">
      <formula>CELL("row")=ROW()</formula>
    </cfRule>
  </conditionalFormatting>
  <conditionalFormatting sqref="D2822">
    <cfRule type="expression" dxfId="146" priority="46">
      <formula>CELL("row")=ROW()</formula>
    </cfRule>
  </conditionalFormatting>
  <conditionalFormatting sqref="D2822">
    <cfRule type="expression" dxfId="145" priority="45">
      <formula>CELL("row")=ROW()</formula>
    </cfRule>
  </conditionalFormatting>
  <conditionalFormatting sqref="D2821">
    <cfRule type="expression" dxfId="144" priority="44">
      <formula>CELL("row")=ROW()</formula>
    </cfRule>
  </conditionalFormatting>
  <conditionalFormatting sqref="D2824:E2824">
    <cfRule type="expression" dxfId="143" priority="43">
      <formula>CELL("row")=ROW()</formula>
    </cfRule>
  </conditionalFormatting>
  <conditionalFormatting sqref="D2825:G2828">
    <cfRule type="expression" dxfId="142" priority="42">
      <formula>CELL("row")=ROW()</formula>
    </cfRule>
  </conditionalFormatting>
  <conditionalFormatting sqref="I2829:I2849">
    <cfRule type="expression" dxfId="141" priority="41">
      <formula>CELL("row")=ROW()</formula>
    </cfRule>
  </conditionalFormatting>
  <conditionalFormatting sqref="D2830">
    <cfRule type="expression" dxfId="140" priority="40">
      <formula>CELL("row")=ROW()</formula>
    </cfRule>
  </conditionalFormatting>
  <conditionalFormatting sqref="D2831">
    <cfRule type="expression" dxfId="139" priority="39">
      <formula>CELL("row")=ROW()</formula>
    </cfRule>
  </conditionalFormatting>
  <conditionalFormatting sqref="D2836">
    <cfRule type="expression" dxfId="138" priority="36">
      <formula>CELL("row")=ROW()</formula>
    </cfRule>
  </conditionalFormatting>
  <conditionalFormatting sqref="D2837">
    <cfRule type="expression" dxfId="137" priority="35">
      <formula>CELL("row")=ROW()</formula>
    </cfRule>
  </conditionalFormatting>
  <conditionalFormatting sqref="D2829:E2837">
    <cfRule type="expression" dxfId="136" priority="33">
      <formula>CELL("row")=ROW()</formula>
    </cfRule>
  </conditionalFormatting>
  <conditionalFormatting sqref="F2830:F2837">
    <cfRule type="expression" dxfId="135" priority="32">
      <formula>CELL("row")=ROW()</formula>
    </cfRule>
  </conditionalFormatting>
  <conditionalFormatting sqref="D2839">
    <cfRule type="expression" dxfId="134" priority="31">
      <formula>CELL("row")=ROW()</formula>
    </cfRule>
  </conditionalFormatting>
  <conditionalFormatting sqref="D2839">
    <cfRule type="expression" dxfId="133" priority="30">
      <formula>CELL("row")=ROW()</formula>
    </cfRule>
  </conditionalFormatting>
  <conditionalFormatting sqref="D2840">
    <cfRule type="expression" dxfId="132" priority="29">
      <formula>CELL("row")=ROW()</formula>
    </cfRule>
  </conditionalFormatting>
  <conditionalFormatting sqref="G2849:G2851 I2850:I2851">
    <cfRule type="expression" dxfId="131" priority="28">
      <formula>CELL("row")=ROW()</formula>
    </cfRule>
  </conditionalFormatting>
  <conditionalFormatting sqref="D2859:K2860">
    <cfRule type="expression" dxfId="130" priority="27">
      <formula>CELL("row")=ROW()</formula>
    </cfRule>
  </conditionalFormatting>
  <conditionalFormatting sqref="D2868">
    <cfRule type="expression" dxfId="129" priority="26">
      <formula>CELL("row")=ROW()</formula>
    </cfRule>
  </conditionalFormatting>
  <conditionalFormatting sqref="D2868:E2868">
    <cfRule type="expression" dxfId="128" priority="25">
      <formula>CELL("row")=ROW()</formula>
    </cfRule>
  </conditionalFormatting>
  <conditionalFormatting sqref="D2882">
    <cfRule type="expression" dxfId="127" priority="13">
      <formula>CELL("row")=ROW()</formula>
    </cfRule>
  </conditionalFormatting>
  <conditionalFormatting sqref="D2881">
    <cfRule type="expression" dxfId="126" priority="14">
      <formula>CELL("row")=ROW()</formula>
    </cfRule>
  </conditionalFormatting>
  <conditionalFormatting sqref="D2884">
    <cfRule type="expression" dxfId="125" priority="10">
      <formula>CELL("row")=ROW()</formula>
    </cfRule>
  </conditionalFormatting>
  <conditionalFormatting sqref="D2872">
    <cfRule type="expression" dxfId="124" priority="24">
      <formula>CELL("row")=ROW()</formula>
    </cfRule>
  </conditionalFormatting>
  <conditionalFormatting sqref="D2872">
    <cfRule type="expression" dxfId="123" priority="23">
      <formula>CELL("row")=ROW()</formula>
    </cfRule>
  </conditionalFormatting>
  <conditionalFormatting sqref="D2871">
    <cfRule type="expression" dxfId="122" priority="22">
      <formula>CELL("row")=ROW()</formula>
    </cfRule>
  </conditionalFormatting>
  <conditionalFormatting sqref="D2871">
    <cfRule type="expression" dxfId="121" priority="21">
      <formula>CELL("row")=ROW()</formula>
    </cfRule>
  </conditionalFormatting>
  <conditionalFormatting sqref="D2870">
    <cfRule type="expression" dxfId="120" priority="20">
      <formula>CELL("row")=ROW()</formula>
    </cfRule>
  </conditionalFormatting>
  <conditionalFormatting sqref="D2873:E2873">
    <cfRule type="expression" dxfId="119" priority="19">
      <formula>CELL("row")=ROW()</formula>
    </cfRule>
  </conditionalFormatting>
  <conditionalFormatting sqref="D2874:G2877">
    <cfRule type="expression" dxfId="118" priority="18">
      <formula>CELL("row")=ROW()</formula>
    </cfRule>
  </conditionalFormatting>
  <conditionalFormatting sqref="I2878:I2886">
    <cfRule type="expression" dxfId="117" priority="17">
      <formula>CELL("row")=ROW()</formula>
    </cfRule>
  </conditionalFormatting>
  <conditionalFormatting sqref="D2879">
    <cfRule type="expression" dxfId="116" priority="16">
      <formula>CELL("row")=ROW()</formula>
    </cfRule>
  </conditionalFormatting>
  <conditionalFormatting sqref="D2880">
    <cfRule type="expression" dxfId="115" priority="15">
      <formula>CELL("row")=ROW()</formula>
    </cfRule>
  </conditionalFormatting>
  <conditionalFormatting sqref="D2885">
    <cfRule type="expression" dxfId="114" priority="12">
      <formula>CELL("row")=ROW()</formula>
    </cfRule>
  </conditionalFormatting>
  <conditionalFormatting sqref="D2886">
    <cfRule type="expression" dxfId="113" priority="11">
      <formula>CELL("row")=ROW()</formula>
    </cfRule>
  </conditionalFormatting>
  <conditionalFormatting sqref="D2878:E2886">
    <cfRule type="expression" dxfId="112" priority="9">
      <formula>CELL("row")=ROW()</formula>
    </cfRule>
  </conditionalFormatting>
  <conditionalFormatting sqref="F2879:F2886">
    <cfRule type="expression" dxfId="111" priority="8">
      <formula>CELL("row")=ROW()</formula>
    </cfRule>
  </conditionalFormatting>
  <conditionalFormatting sqref="D2888">
    <cfRule type="expression" dxfId="110" priority="7">
      <formula>CELL("row")=ROW()</formula>
    </cfRule>
  </conditionalFormatting>
  <conditionalFormatting sqref="D2888">
    <cfRule type="expression" dxfId="109" priority="6">
      <formula>CELL("row")=ROW()</formula>
    </cfRule>
  </conditionalFormatting>
  <conditionalFormatting sqref="D2889">
    <cfRule type="expression" dxfId="108" priority="5">
      <formula>CELL("row")=ROW()</formula>
    </cfRule>
  </conditionalFormatting>
  <conditionalFormatting sqref="G2898:G2900 I2898:I2900">
    <cfRule type="expression" dxfId="107" priority="4">
      <formula>CELL("row")=ROW()</formula>
    </cfRule>
  </conditionalFormatting>
  <conditionalFormatting sqref="D2908:K2909">
    <cfRule type="expression" dxfId="106" priority="3">
      <formula>CELL("row")=ROW()</formula>
    </cfRule>
  </conditionalFormatting>
  <conditionalFormatting sqref="D2917">
    <cfRule type="expression" dxfId="105" priority="2">
      <formula>CELL("row")=ROW()</formula>
    </cfRule>
  </conditionalFormatting>
  <conditionalFormatting sqref="D2917:E2917">
    <cfRule type="expression" dxfId="104" priority="1">
      <formula>CELL("row")=ROW()</formula>
    </cfRule>
  </conditionalFormatting>
  <dataValidations count="5">
    <dataValidation type="whole" operator="greaterThan" allowBlank="1" showInputMessage="1" showErrorMessage="1" sqref="D43" xr:uid="{1449315C-D809-409D-B4BB-B0CADC88BB01}">
      <formula1>0</formula1>
    </dataValidation>
    <dataValidation type="whole" operator="greaterThanOrEqual" allowBlank="1" showInputMessage="1" showErrorMessage="1" errorTitle="Negative Data" error="Input Data Tidak Boleh Negative !" sqref="AM17:AN34" xr:uid="{2CE6EA55-2140-4D1E-98AD-71A6EA6059AB}">
      <formula1>0</formula1>
    </dataValidation>
    <dataValidation type="whole" operator="greaterThanOrEqual" allowBlank="1" showInputMessage="1" showErrorMessage="1" errorTitle="Negative Data" error="Data Yang Dimasukkan Tidak Boleh Negative !!" sqref="AJ17:AJ34 Q17:Q139" xr:uid="{B09A13D2-D0F4-41FF-955C-AFB20590F0C7}">
      <formula1>0</formula1>
    </dataValidation>
    <dataValidation operator="greaterThanOrEqual" allowBlank="1" showInputMessage="1" showErrorMessage="1" errorTitle="Negative Data" error="Data Yang Dimasukkan Tidak Boleh Negative !!" sqref="Y17:Y140" xr:uid="{67DD52F3-FF62-46FF-AC30-39229A9C1F04}"/>
    <dataValidation type="decimal" allowBlank="1" showInputMessage="1" showErrorMessage="1" errorTitle="Numbers Only" error="Numbers Only !! No Negatives !! No Text !!" sqref="F2068:F2087 H801:H807 H879:H885 H991:H992 F1955:F1959 F1978:F1982 F2001:F2021 F2031:F2042 F2045:F2049 F2154:F2158 F2225:F2229 F2296:F2300 F2367:F2371 F2438:F2442 F2135:F2151 F2206:F2222 F2277:F2293 F2348:F2364 F2419:F2435 F2451:F2457 F2529:F2533 F2510:F2526 F2607:F2611 F2588:F2604 F2744:F2748 F2725:F2741" xr:uid="{93A2B1C7-85DB-48CB-ADC3-63BD16487184}">
      <formula1>0.01</formula1>
      <formula2>1000000000000</formula2>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39" r:id="rId4" name="ProgressLabel">
          <controlPr defaultSize="0" autoLine="0" autoPict="0" r:id="rId5">
            <anchor moveWithCells="1">
              <from>
                <xdr:col>15</xdr:col>
                <xdr:colOff>50800</xdr:colOff>
                <xdr:row>24</xdr:row>
                <xdr:rowOff>82550</xdr:rowOff>
              </from>
              <to>
                <xdr:col>15</xdr:col>
                <xdr:colOff>1892300</xdr:colOff>
                <xdr:row>27</xdr:row>
                <xdr:rowOff>82550</xdr:rowOff>
              </to>
            </anchor>
          </controlPr>
        </control>
      </mc:Choice>
      <mc:Fallback>
        <control shapeId="1039" r:id="rId4" name="ProgressLabel"/>
      </mc:Fallback>
    </mc:AlternateContent>
    <mc:AlternateContent xmlns:mc="http://schemas.openxmlformats.org/markup-compatibility/2006">
      <mc:Choice Requires="x14">
        <control shapeId="1027" r:id="rId6" name="Button 3">
          <controlPr defaultSize="0" print="0" autoFill="0" autoPict="0" macro="[0]!Button3_Click">
            <anchor moveWithCells="1">
              <from>
                <xdr:col>15</xdr:col>
                <xdr:colOff>298450</xdr:colOff>
                <xdr:row>15</xdr:row>
                <xdr:rowOff>76200</xdr:rowOff>
              </from>
              <to>
                <xdr:col>15</xdr:col>
                <xdr:colOff>1841500</xdr:colOff>
                <xdr:row>16</xdr:row>
                <xdr:rowOff>107950</xdr:rowOff>
              </to>
            </anchor>
          </controlPr>
        </control>
      </mc:Choice>
    </mc:AlternateContent>
    <mc:AlternateContent xmlns:mc="http://schemas.openxmlformats.org/markup-compatibility/2006">
      <mc:Choice Requires="x14">
        <control shapeId="1028" r:id="rId7" name="Button 4">
          <controlPr defaultSize="0" print="0" autoFill="0" autoPict="0" macro="[0]!Button4_Click">
            <anchor moveWithCells="1" sizeWithCells="1">
              <from>
                <xdr:col>15</xdr:col>
                <xdr:colOff>266700</xdr:colOff>
                <xdr:row>17</xdr:row>
                <xdr:rowOff>76200</xdr:rowOff>
              </from>
              <to>
                <xdr:col>15</xdr:col>
                <xdr:colOff>1841500</xdr:colOff>
                <xdr:row>20</xdr:row>
                <xdr:rowOff>31750</xdr:rowOff>
              </to>
            </anchor>
          </controlPr>
        </control>
      </mc:Choice>
    </mc:AlternateContent>
    <mc:AlternateContent xmlns:mc="http://schemas.openxmlformats.org/markup-compatibility/2006">
      <mc:Choice Requires="x14">
        <control shapeId="1030" r:id="rId8" name="Button 6">
          <controlPr defaultSize="0" print="0" autoFill="0" autoPict="0" macro="[0]!ButtonXX_Click">
            <anchor moveWithCells="1" sizeWithCells="1">
              <from>
                <xdr:col>32</xdr:col>
                <xdr:colOff>508000</xdr:colOff>
                <xdr:row>15</xdr:row>
                <xdr:rowOff>31750</xdr:rowOff>
              </from>
              <to>
                <xdr:col>34</xdr:col>
                <xdr:colOff>508000</xdr:colOff>
                <xdr:row>15</xdr:row>
                <xdr:rowOff>482600</xdr:rowOff>
              </to>
            </anchor>
          </controlPr>
        </control>
      </mc:Choice>
    </mc:AlternateContent>
    <mc:AlternateContent xmlns:mc="http://schemas.openxmlformats.org/markup-compatibility/2006">
      <mc:Choice Requires="x14">
        <control shapeId="1031" r:id="rId9" name="Button 7">
          <controlPr defaultSize="0" print="0" autoFill="0" autoPict="0" macro="[0]!ButtonSTOCKTERSEDIA_Click">
            <anchor moveWithCells="1" sizeWithCells="1">
              <from>
                <xdr:col>32</xdr:col>
                <xdr:colOff>501650</xdr:colOff>
                <xdr:row>16</xdr:row>
                <xdr:rowOff>114300</xdr:rowOff>
              </from>
              <to>
                <xdr:col>34</xdr:col>
                <xdr:colOff>501650</xdr:colOff>
                <xdr:row>19</xdr:row>
                <xdr:rowOff>19050</xdr:rowOff>
              </to>
            </anchor>
          </controlPr>
        </control>
      </mc:Choice>
    </mc:AlternateContent>
    <mc:AlternateContent xmlns:mc="http://schemas.openxmlformats.org/markup-compatibility/2006">
      <mc:Choice Requires="x14">
        <control shapeId="1032" r:id="rId10" name="Button 8">
          <controlPr defaultSize="0" print="0" autoFill="0" autoPict="0" macro="[0]!ButtonBUFFERSTOCK_Click">
            <anchor moveWithCells="1" sizeWithCells="1">
              <from>
                <xdr:col>32</xdr:col>
                <xdr:colOff>514350</xdr:colOff>
                <xdr:row>20</xdr:row>
                <xdr:rowOff>38100</xdr:rowOff>
              </from>
              <to>
                <xdr:col>34</xdr:col>
                <xdr:colOff>501650</xdr:colOff>
                <xdr:row>23</xdr:row>
                <xdr:rowOff>6350</xdr:rowOff>
              </to>
            </anchor>
          </controlPr>
        </control>
      </mc:Choice>
    </mc:AlternateContent>
    <mc:AlternateContent xmlns:mc="http://schemas.openxmlformats.org/markup-compatibility/2006">
      <mc:Choice Requires="x14">
        <control shapeId="1034" r:id="rId11" name="Button 10">
          <controlPr defaultSize="0" print="0" autoFill="0" autoPict="0" macro="[0]!Button10_Click">
            <anchor moveWithCells="1" sizeWithCells="1">
              <from>
                <xdr:col>15</xdr:col>
                <xdr:colOff>222250</xdr:colOff>
                <xdr:row>21</xdr:row>
                <xdr:rowOff>12700</xdr:rowOff>
              </from>
              <to>
                <xdr:col>15</xdr:col>
                <xdr:colOff>1841500</xdr:colOff>
                <xdr:row>24</xdr:row>
                <xdr:rowOff>31750</xdr:rowOff>
              </to>
            </anchor>
          </controlPr>
        </control>
      </mc:Choice>
    </mc:AlternateContent>
    <mc:AlternateContent xmlns:mc="http://schemas.openxmlformats.org/markup-compatibility/2006">
      <mc:Choice Requires="x14">
        <control shapeId="1035" r:id="rId12" name="Button 11">
          <controlPr defaultSize="0" print="0" autoFill="0" autoPict="0" macro="[0]!Button11_Click">
            <anchor moveWithCells="1" sizeWithCells="1">
              <from>
                <xdr:col>15</xdr:col>
                <xdr:colOff>241300</xdr:colOff>
                <xdr:row>27</xdr:row>
                <xdr:rowOff>127000</xdr:rowOff>
              </from>
              <to>
                <xdr:col>15</xdr:col>
                <xdr:colOff>1809750</xdr:colOff>
                <xdr:row>30</xdr:row>
                <xdr:rowOff>139700</xdr:rowOff>
              </to>
            </anchor>
          </controlPr>
        </control>
      </mc:Choice>
    </mc:AlternateContent>
    <mc:AlternateContent xmlns:mc="http://schemas.openxmlformats.org/markup-compatibility/2006">
      <mc:Choice Requires="x14">
        <control shapeId="1036" r:id="rId13" name="Button 12">
          <controlPr defaultSize="0" print="0" autoFill="0" autoPict="0" macro="[0]!Button12_Click">
            <anchor moveWithCells="1" sizeWithCells="1">
              <from>
                <xdr:col>15</xdr:col>
                <xdr:colOff>254000</xdr:colOff>
                <xdr:row>31</xdr:row>
                <xdr:rowOff>158750</xdr:rowOff>
              </from>
              <to>
                <xdr:col>15</xdr:col>
                <xdr:colOff>1778000</xdr:colOff>
                <xdr:row>34</xdr:row>
                <xdr:rowOff>146050</xdr:rowOff>
              </to>
            </anchor>
          </controlPr>
        </control>
      </mc:Choice>
    </mc:AlternateContent>
    <mc:AlternateContent xmlns:mc="http://schemas.openxmlformats.org/markup-compatibility/2006">
      <mc:Choice Requires="x14">
        <control shapeId="1037" r:id="rId14" name="Button 13">
          <controlPr defaultSize="0" print="0" autoFill="0" autoPict="0" macro="[0]!Button13_Click">
            <anchor moveWithCells="1" sizeWithCells="1">
              <from>
                <xdr:col>15</xdr:col>
                <xdr:colOff>260350</xdr:colOff>
                <xdr:row>35</xdr:row>
                <xdr:rowOff>177800</xdr:rowOff>
              </from>
              <to>
                <xdr:col>15</xdr:col>
                <xdr:colOff>1765300</xdr:colOff>
                <xdr:row>38</xdr:row>
                <xdr:rowOff>171450</xdr:rowOff>
              </to>
            </anchor>
          </controlPr>
        </control>
      </mc:Choice>
    </mc:AlternateContent>
  </controls>
  <tableParts count="1">
    <tablePart r:id="rId15"/>
  </tableParts>
  <extLst>
    <ext xmlns:x14="http://schemas.microsoft.com/office/spreadsheetml/2009/9/main" uri="{78C0D931-6437-407d-A8EE-F0AAD7539E65}">
      <x14:conditionalFormattings>
        <x14:conditionalFormatting xmlns:xm="http://schemas.microsoft.com/office/excel/2006/main">
          <x14:cfRule type="dataBar" id="{B095FE42-428D-4094-A824-EFF26F975EC4}">
            <x14:dataBar minLength="0" maxLength="100" gradient="0">
              <x14:cfvo type="autoMin"/>
              <x14:cfvo type="autoMax"/>
              <x14:negativeFillColor rgb="FFFF0000"/>
              <x14:axisColor rgb="FF000000"/>
            </x14:dataBar>
          </x14:cfRule>
          <xm:sqref>D4:D8</xm:sqref>
        </x14:conditionalFormatting>
        <x14:conditionalFormatting xmlns:xm="http://schemas.microsoft.com/office/excel/2006/main">
          <x14:cfRule type="dataBar" id="{D80047D1-BCAC-448C-9D2E-D02ADD351E8C}">
            <x14:dataBar minLength="0" maxLength="100" gradient="0">
              <x14:cfvo type="autoMin"/>
              <x14:cfvo type="autoMax"/>
              <x14:negativeFillColor rgb="FFFF0000"/>
              <x14:axisColor rgb="FF000000"/>
            </x14:dataBar>
          </x14:cfRule>
          <xm:sqref>D10:D14</xm:sqref>
        </x14:conditionalFormatting>
        <x14:conditionalFormatting xmlns:xm="http://schemas.microsoft.com/office/excel/2006/main">
          <x14:cfRule type="dataBar" id="{02BAB1A9-8C94-4FF0-B94C-DCA1F2802F43}">
            <x14:dataBar minLength="0" maxLength="100" gradient="0">
              <x14:cfvo type="autoMin"/>
              <x14:cfvo type="autoMax"/>
              <x14:negativeFillColor rgb="FFFF0000"/>
              <x14:axisColor rgb="FF000000"/>
            </x14:dataBar>
          </x14:cfRule>
          <xm:sqref>A4:A8</xm:sqref>
        </x14:conditionalFormatting>
        <x14:conditionalFormatting xmlns:xm="http://schemas.microsoft.com/office/excel/2006/main">
          <x14:cfRule type="dataBar" id="{3CBFD7CC-0901-4B32-9369-FBAA1BBE95E9}">
            <x14:dataBar minLength="0" maxLength="100" gradient="0">
              <x14:cfvo type="autoMin"/>
              <x14:cfvo type="autoMax"/>
              <x14:negativeFillColor rgb="FFFF0000"/>
              <x14:axisColor rgb="FF000000"/>
            </x14:dataBar>
          </x14:cfRule>
          <xm:sqref>A10:A14</xm:sqref>
        </x14:conditionalFormatting>
        <x14:conditionalFormatting xmlns:xm="http://schemas.microsoft.com/office/excel/2006/main">
          <x14:cfRule type="dataBar" id="{4ACF0A41-8822-477E-B6CA-2D541BF36143}">
            <x14:dataBar minLength="0" maxLength="100" gradient="0">
              <x14:cfvo type="autoMin"/>
              <x14:cfvo type="autoMax"/>
              <x14:negativeFillColor rgb="FFFF0000"/>
              <x14:axisColor rgb="FF000000"/>
            </x14:dataBar>
          </x14:cfRule>
          <xm:sqref>G10:G14</xm:sqref>
        </x14:conditionalFormatting>
        <x14:conditionalFormatting xmlns:xm="http://schemas.microsoft.com/office/excel/2006/main">
          <x14:cfRule type="dataBar" id="{44388806-CE84-4C46-907A-BEDA5DEF4923}">
            <x14:dataBar minLength="0" maxLength="100" gradient="0">
              <x14:cfvo type="autoMin"/>
              <x14:cfvo type="autoMax"/>
              <x14:negativeFillColor rgb="FFFF0000"/>
              <x14:axisColor rgb="FF000000"/>
            </x14:dataBar>
          </x14:cfRule>
          <xm:sqref>G4:G8</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92894-D276-448A-A559-5FD0C70CCE38}">
  <sheetPr codeName="Sheet7" filterMode="1"/>
  <dimension ref="A1:M213"/>
  <sheetViews>
    <sheetView tabSelected="1" workbookViewId="0">
      <selection activeCell="B197" sqref="B197"/>
    </sheetView>
  </sheetViews>
  <sheetFormatPr defaultRowHeight="14.5" x14ac:dyDescent="0.35"/>
  <cols>
    <col min="1" max="1" width="11.7265625" customWidth="1"/>
    <col min="2" max="2" width="46.7265625" bestFit="1" customWidth="1"/>
    <col min="3" max="4" width="17.1796875" customWidth="1"/>
    <col min="5" max="6" width="11.7265625" customWidth="1"/>
    <col min="7" max="13" width="22.6328125" customWidth="1"/>
  </cols>
  <sheetData>
    <row r="1" spans="1:13" ht="15.5" x14ac:dyDescent="0.35">
      <c r="A1" s="294" t="s">
        <v>1477</v>
      </c>
    </row>
    <row r="2" spans="1:13" ht="15.5" x14ac:dyDescent="0.35">
      <c r="A2" s="294" t="s">
        <v>1478</v>
      </c>
    </row>
    <row r="3" spans="1:13" ht="15.5" x14ac:dyDescent="0.35">
      <c r="A3" s="294" t="s">
        <v>1479</v>
      </c>
    </row>
    <row r="4" spans="1:13" ht="15.5" x14ac:dyDescent="0.35">
      <c r="A4" s="294" t="s">
        <v>1480</v>
      </c>
    </row>
    <row r="5" spans="1:13" ht="15.5" x14ac:dyDescent="0.35">
      <c r="A5" s="294" t="s">
        <v>1481</v>
      </c>
    </row>
    <row r="6" spans="1:13" ht="15.5" x14ac:dyDescent="0.35">
      <c r="A6" s="294" t="s">
        <v>1883</v>
      </c>
    </row>
    <row r="7" spans="1:13" ht="15.5" x14ac:dyDescent="0.35">
      <c r="A7" s="294" t="s">
        <v>1884</v>
      </c>
    </row>
    <row r="9" spans="1:13" ht="15.5" x14ac:dyDescent="0.35">
      <c r="A9" s="294" t="s">
        <v>3</v>
      </c>
      <c r="B9" s="294" t="s">
        <v>2</v>
      </c>
      <c r="C9" s="294" t="s">
        <v>1482</v>
      </c>
      <c r="D9" s="294" t="s">
        <v>1483</v>
      </c>
      <c r="E9" s="295" t="s">
        <v>1484</v>
      </c>
      <c r="F9" s="295" t="s">
        <v>1485</v>
      </c>
      <c r="G9" s="295" t="s">
        <v>1486</v>
      </c>
      <c r="H9" s="295" t="s">
        <v>1487</v>
      </c>
      <c r="I9" s="295" t="s">
        <v>1488</v>
      </c>
      <c r="J9" s="295" t="s">
        <v>1489</v>
      </c>
      <c r="K9" s="295" t="s">
        <v>1490</v>
      </c>
      <c r="L9" s="295" t="s">
        <v>1491</v>
      </c>
      <c r="M9" s="295" t="s">
        <v>1492</v>
      </c>
    </row>
    <row r="10" spans="1:13" ht="15.5" x14ac:dyDescent="0.35">
      <c r="A10" t="s">
        <v>1020</v>
      </c>
      <c r="B10" t="s">
        <v>1021</v>
      </c>
      <c r="C10" t="s">
        <v>1493</v>
      </c>
      <c r="D10" t="s">
        <v>1499</v>
      </c>
      <c r="E10" s="296">
        <v>41</v>
      </c>
      <c r="F10" s="296">
        <v>22800</v>
      </c>
      <c r="G10" s="296">
        <v>934800</v>
      </c>
      <c r="H10" s="296">
        <v>6840</v>
      </c>
      <c r="I10" s="296">
        <v>0</v>
      </c>
      <c r="J10" s="296">
        <v>927960</v>
      </c>
      <c r="K10" s="296">
        <v>61766</v>
      </c>
      <c r="L10" s="296">
        <v>98986</v>
      </c>
      <c r="M10" s="296">
        <v>1088712</v>
      </c>
    </row>
    <row r="11" spans="1:13" ht="15.5" hidden="1" x14ac:dyDescent="0.35">
      <c r="A11" t="s">
        <v>1308</v>
      </c>
      <c r="B11" t="s">
        <v>1417</v>
      </c>
      <c r="C11" t="s">
        <v>1495</v>
      </c>
      <c r="D11" t="s">
        <v>1496</v>
      </c>
      <c r="E11" s="296">
        <v>364</v>
      </c>
      <c r="F11" s="296">
        <v>0</v>
      </c>
      <c r="G11" s="296">
        <v>0</v>
      </c>
      <c r="H11" s="296">
        <v>0</v>
      </c>
      <c r="I11" s="296">
        <v>0</v>
      </c>
      <c r="J11" s="296">
        <v>0</v>
      </c>
      <c r="K11" s="296">
        <v>0</v>
      </c>
      <c r="L11" s="296">
        <v>0</v>
      </c>
      <c r="M11" s="296">
        <v>0</v>
      </c>
    </row>
    <row r="12" spans="1:13" ht="15.5" hidden="1" x14ac:dyDescent="0.35">
      <c r="A12" t="s">
        <v>1266</v>
      </c>
      <c r="B12" t="s">
        <v>1379</v>
      </c>
      <c r="C12" t="s">
        <v>1497</v>
      </c>
      <c r="D12" t="s">
        <v>1498</v>
      </c>
      <c r="E12" s="296">
        <v>301</v>
      </c>
      <c r="F12" s="296">
        <v>11000</v>
      </c>
      <c r="G12" s="296">
        <v>3311000</v>
      </c>
      <c r="H12" s="296">
        <v>54450</v>
      </c>
      <c r="I12" s="296">
        <v>0</v>
      </c>
      <c r="J12" s="296">
        <v>3256550</v>
      </c>
      <c r="K12" s="296">
        <v>227965</v>
      </c>
      <c r="L12" s="296">
        <v>348454</v>
      </c>
      <c r="M12" s="296">
        <v>3832969</v>
      </c>
    </row>
    <row r="13" spans="1:13" ht="15.5" hidden="1" x14ac:dyDescent="0.35">
      <c r="A13" t="s">
        <v>1321</v>
      </c>
      <c r="B13" t="s">
        <v>1429</v>
      </c>
      <c r="C13" t="s">
        <v>1495</v>
      </c>
      <c r="D13" t="s">
        <v>1496</v>
      </c>
      <c r="E13" s="296">
        <v>300</v>
      </c>
      <c r="F13" s="296">
        <v>2728</v>
      </c>
      <c r="G13" s="296">
        <v>818400</v>
      </c>
      <c r="H13" s="296">
        <v>0</v>
      </c>
      <c r="I13" s="296">
        <v>0</v>
      </c>
      <c r="J13" s="296">
        <v>818400</v>
      </c>
      <c r="K13" s="296">
        <v>0</v>
      </c>
      <c r="L13" s="296">
        <v>81900</v>
      </c>
      <c r="M13" s="296">
        <v>900300</v>
      </c>
    </row>
    <row r="14" spans="1:13" ht="15.5" hidden="1" x14ac:dyDescent="0.35">
      <c r="A14" t="s">
        <v>1317</v>
      </c>
      <c r="B14" t="s">
        <v>1426</v>
      </c>
      <c r="C14" t="s">
        <v>1495</v>
      </c>
      <c r="D14" t="s">
        <v>1496</v>
      </c>
      <c r="E14" s="296">
        <v>272</v>
      </c>
      <c r="F14" s="296">
        <v>0</v>
      </c>
      <c r="G14" s="296">
        <v>0</v>
      </c>
      <c r="H14" s="296">
        <v>0</v>
      </c>
      <c r="I14" s="296">
        <v>0</v>
      </c>
      <c r="J14" s="296">
        <v>0</v>
      </c>
      <c r="K14" s="296">
        <v>0</v>
      </c>
      <c r="L14" s="296">
        <v>0</v>
      </c>
      <c r="M14" s="296">
        <v>0</v>
      </c>
    </row>
    <row r="15" spans="1:13" ht="15.5" hidden="1" x14ac:dyDescent="0.35">
      <c r="A15" t="s">
        <v>1305</v>
      </c>
      <c r="B15" t="s">
        <v>1414</v>
      </c>
      <c r="C15" t="s">
        <v>1495</v>
      </c>
      <c r="D15" t="s">
        <v>1496</v>
      </c>
      <c r="E15" s="296">
        <v>245</v>
      </c>
      <c r="F15" s="296">
        <v>0</v>
      </c>
      <c r="G15" s="296">
        <v>0</v>
      </c>
      <c r="H15" s="296">
        <v>0</v>
      </c>
      <c r="I15" s="296">
        <v>0</v>
      </c>
      <c r="J15" s="296">
        <v>0</v>
      </c>
      <c r="K15" s="296">
        <v>0</v>
      </c>
      <c r="L15" s="296">
        <v>0</v>
      </c>
      <c r="M15" s="296">
        <v>0</v>
      </c>
    </row>
    <row r="16" spans="1:13" ht="15.5" x14ac:dyDescent="0.35">
      <c r="A16" t="s">
        <v>1022</v>
      </c>
      <c r="B16" t="s">
        <v>1023</v>
      </c>
      <c r="C16" t="s">
        <v>1493</v>
      </c>
      <c r="D16" t="s">
        <v>1499</v>
      </c>
      <c r="E16" s="296">
        <v>9</v>
      </c>
      <c r="F16" s="296">
        <v>22800</v>
      </c>
      <c r="G16" s="296">
        <v>205200</v>
      </c>
      <c r="H16" s="296">
        <v>11400</v>
      </c>
      <c r="I16" s="296">
        <v>0</v>
      </c>
      <c r="J16" s="296">
        <v>193800</v>
      </c>
      <c r="K16" s="296">
        <v>12290</v>
      </c>
      <c r="L16" s="296">
        <v>20611</v>
      </c>
      <c r="M16" s="296">
        <v>226701</v>
      </c>
    </row>
    <row r="17" spans="1:13" ht="15.5" hidden="1" x14ac:dyDescent="0.35">
      <c r="A17" t="s">
        <v>1316</v>
      </c>
      <c r="B17" t="s">
        <v>1425</v>
      </c>
      <c r="C17" t="s">
        <v>1495</v>
      </c>
      <c r="D17" t="s">
        <v>1496</v>
      </c>
      <c r="E17" s="296">
        <v>226</v>
      </c>
      <c r="F17" s="296">
        <v>0</v>
      </c>
      <c r="G17" s="296">
        <v>0</v>
      </c>
      <c r="H17" s="296">
        <v>0</v>
      </c>
      <c r="I17" s="296">
        <v>0</v>
      </c>
      <c r="J17" s="296">
        <v>0</v>
      </c>
      <c r="K17" s="296">
        <v>0</v>
      </c>
      <c r="L17" s="296">
        <v>0</v>
      </c>
      <c r="M17" s="296">
        <v>0</v>
      </c>
    </row>
    <row r="18" spans="1:13" ht="15.5" hidden="1" x14ac:dyDescent="0.35">
      <c r="A18" t="s">
        <v>1320</v>
      </c>
      <c r="B18" t="s">
        <v>749</v>
      </c>
      <c r="C18" t="s">
        <v>1495</v>
      </c>
      <c r="D18" t="s">
        <v>1496</v>
      </c>
      <c r="E18" s="296">
        <v>207</v>
      </c>
      <c r="F18" s="296">
        <v>0</v>
      </c>
      <c r="G18" s="296">
        <v>0</v>
      </c>
      <c r="H18" s="296">
        <v>0</v>
      </c>
      <c r="I18" s="296">
        <v>0</v>
      </c>
      <c r="J18" s="296">
        <v>0</v>
      </c>
      <c r="K18" s="296">
        <v>0</v>
      </c>
      <c r="L18" s="296">
        <v>0</v>
      </c>
      <c r="M18" s="296">
        <v>0</v>
      </c>
    </row>
    <row r="19" spans="1:13" ht="15.5" x14ac:dyDescent="0.35">
      <c r="A19" t="s">
        <v>1022</v>
      </c>
      <c r="B19" t="s">
        <v>1410</v>
      </c>
      <c r="C19" t="s">
        <v>1493</v>
      </c>
      <c r="D19" t="s">
        <v>1499</v>
      </c>
      <c r="E19" s="296">
        <v>2</v>
      </c>
      <c r="F19" s="296">
        <v>0</v>
      </c>
      <c r="G19" s="296">
        <v>0</v>
      </c>
      <c r="H19" s="296">
        <v>0</v>
      </c>
      <c r="I19" s="296">
        <v>0</v>
      </c>
      <c r="J19" s="296">
        <v>0</v>
      </c>
      <c r="K19" s="296">
        <v>0</v>
      </c>
      <c r="L19" s="296">
        <v>0</v>
      </c>
      <c r="M19" s="296">
        <v>0</v>
      </c>
    </row>
    <row r="20" spans="1:13" ht="15.5" x14ac:dyDescent="0.35">
      <c r="A20" t="s">
        <v>1024</v>
      </c>
      <c r="B20" t="s">
        <v>1025</v>
      </c>
      <c r="C20" t="s">
        <v>1493</v>
      </c>
      <c r="D20" t="s">
        <v>1499</v>
      </c>
      <c r="E20" s="296">
        <v>81</v>
      </c>
      <c r="F20" s="296">
        <v>22800</v>
      </c>
      <c r="G20" s="296">
        <v>1846800</v>
      </c>
      <c r="H20" s="296">
        <v>39900</v>
      </c>
      <c r="I20" s="296">
        <v>0</v>
      </c>
      <c r="J20" s="296">
        <v>1806900</v>
      </c>
      <c r="K20" s="296">
        <v>120420</v>
      </c>
      <c r="L20" s="296">
        <v>192757</v>
      </c>
      <c r="M20" s="296">
        <v>2120077</v>
      </c>
    </row>
    <row r="21" spans="1:13" ht="15.5" hidden="1" x14ac:dyDescent="0.35">
      <c r="A21" t="s">
        <v>4</v>
      </c>
      <c r="B21" t="s">
        <v>1</v>
      </c>
      <c r="C21" t="s">
        <v>1497</v>
      </c>
      <c r="D21" t="s">
        <v>1500</v>
      </c>
      <c r="E21" s="296">
        <v>152</v>
      </c>
      <c r="F21" s="296">
        <v>128000</v>
      </c>
      <c r="G21" s="296">
        <v>19456000</v>
      </c>
      <c r="H21" s="296">
        <v>211200</v>
      </c>
      <c r="I21" s="296">
        <v>0</v>
      </c>
      <c r="J21" s="296">
        <v>19244800</v>
      </c>
      <c r="K21" s="296">
        <v>1347136</v>
      </c>
      <c r="L21" s="296">
        <v>2059197</v>
      </c>
      <c r="M21" s="296">
        <v>22651133</v>
      </c>
    </row>
    <row r="22" spans="1:13" ht="15.5" hidden="1" x14ac:dyDescent="0.35">
      <c r="A22" t="s">
        <v>1309</v>
      </c>
      <c r="B22" t="s">
        <v>1418</v>
      </c>
      <c r="C22" t="s">
        <v>1495</v>
      </c>
      <c r="D22" t="s">
        <v>1496</v>
      </c>
      <c r="E22" s="296">
        <v>109</v>
      </c>
      <c r="F22" s="296">
        <v>0</v>
      </c>
      <c r="G22" s="296">
        <v>0</v>
      </c>
      <c r="H22" s="296">
        <v>0</v>
      </c>
      <c r="I22" s="296">
        <v>0</v>
      </c>
      <c r="J22" s="296">
        <v>0</v>
      </c>
      <c r="K22" s="296">
        <v>0</v>
      </c>
      <c r="L22" s="296">
        <v>0</v>
      </c>
      <c r="M22" s="296">
        <v>0</v>
      </c>
    </row>
    <row r="23" spans="1:13" ht="15.5" hidden="1" x14ac:dyDescent="0.35">
      <c r="A23" t="s">
        <v>1357</v>
      </c>
      <c r="B23" t="s">
        <v>1463</v>
      </c>
      <c r="C23" t="s">
        <v>1497</v>
      </c>
      <c r="D23" t="s">
        <v>1501</v>
      </c>
      <c r="E23" s="296">
        <v>109</v>
      </c>
      <c r="F23" s="296">
        <v>48000</v>
      </c>
      <c r="G23" s="296">
        <v>5232000</v>
      </c>
      <c r="H23" s="296">
        <v>91200</v>
      </c>
      <c r="I23" s="296">
        <v>0</v>
      </c>
      <c r="J23" s="296">
        <v>5140800</v>
      </c>
      <c r="K23" s="296">
        <v>356496</v>
      </c>
      <c r="L23" s="296">
        <v>549734</v>
      </c>
      <c r="M23" s="296">
        <v>6047030</v>
      </c>
    </row>
    <row r="24" spans="1:13" ht="15.5" hidden="1" x14ac:dyDescent="0.35">
      <c r="A24" t="s">
        <v>1367</v>
      </c>
      <c r="B24" t="s">
        <v>1472</v>
      </c>
      <c r="C24" t="s">
        <v>1497</v>
      </c>
      <c r="D24" t="s">
        <v>1502</v>
      </c>
      <c r="E24" s="296">
        <v>109</v>
      </c>
      <c r="F24" s="296">
        <v>45000</v>
      </c>
      <c r="G24" s="296">
        <v>4905000</v>
      </c>
      <c r="H24" s="296">
        <v>195750</v>
      </c>
      <c r="I24" s="296">
        <v>0</v>
      </c>
      <c r="J24" s="296">
        <v>4709250</v>
      </c>
      <c r="K24" s="296">
        <v>323351</v>
      </c>
      <c r="L24" s="296">
        <v>503262</v>
      </c>
      <c r="M24" s="296">
        <v>5535863</v>
      </c>
    </row>
    <row r="25" spans="1:13" ht="15.5" hidden="1" x14ac:dyDescent="0.35">
      <c r="A25" t="s">
        <v>1344</v>
      </c>
      <c r="B25" t="s">
        <v>1452</v>
      </c>
      <c r="C25" t="s">
        <v>1497</v>
      </c>
      <c r="D25" t="s">
        <v>1505</v>
      </c>
      <c r="E25" s="296">
        <v>100</v>
      </c>
      <c r="F25" s="296">
        <v>61000</v>
      </c>
      <c r="G25" s="296">
        <v>6100000</v>
      </c>
      <c r="H25" s="296">
        <v>478850</v>
      </c>
      <c r="I25" s="296">
        <v>0</v>
      </c>
      <c r="J25" s="296">
        <v>5621150</v>
      </c>
      <c r="K25" s="296">
        <v>381528</v>
      </c>
      <c r="L25" s="296">
        <v>600268</v>
      </c>
      <c r="M25" s="296">
        <v>6602946</v>
      </c>
    </row>
    <row r="26" spans="1:13" ht="15.5" hidden="1" x14ac:dyDescent="0.35">
      <c r="A26" t="s">
        <v>1288</v>
      </c>
      <c r="B26" t="s">
        <v>1397</v>
      </c>
      <c r="C26" t="s">
        <v>1497</v>
      </c>
      <c r="D26" t="s">
        <v>1506</v>
      </c>
      <c r="E26" s="296">
        <v>98</v>
      </c>
      <c r="F26" s="296">
        <v>54000</v>
      </c>
      <c r="G26" s="296">
        <v>5292000</v>
      </c>
      <c r="H26" s="296">
        <v>518758.92</v>
      </c>
      <c r="I26" s="296">
        <v>0</v>
      </c>
      <c r="J26" s="296">
        <v>4773241.08</v>
      </c>
      <c r="K26" s="296">
        <v>300107</v>
      </c>
      <c r="L26" s="296">
        <v>507333</v>
      </c>
      <c r="M26" s="296">
        <v>5580681.0800000001</v>
      </c>
    </row>
    <row r="27" spans="1:13" ht="15.5" hidden="1" x14ac:dyDescent="0.35">
      <c r="A27" t="s">
        <v>1339</v>
      </c>
      <c r="B27" t="s">
        <v>1447</v>
      </c>
      <c r="C27" t="s">
        <v>1497</v>
      </c>
      <c r="D27" t="s">
        <v>1505</v>
      </c>
      <c r="E27" s="296">
        <v>96</v>
      </c>
      <c r="F27" s="296">
        <v>63000</v>
      </c>
      <c r="G27" s="296">
        <v>6048000</v>
      </c>
      <c r="H27" s="296">
        <v>207900</v>
      </c>
      <c r="I27" s="296">
        <v>0</v>
      </c>
      <c r="J27" s="296">
        <v>5840100</v>
      </c>
      <c r="K27" s="296">
        <v>373533</v>
      </c>
      <c r="L27" s="296">
        <v>621365</v>
      </c>
      <c r="M27" s="296">
        <v>6834998</v>
      </c>
    </row>
    <row r="28" spans="1:13" ht="15.5" hidden="1" x14ac:dyDescent="0.35">
      <c r="A28" t="s">
        <v>1350</v>
      </c>
      <c r="B28" t="s">
        <v>1457</v>
      </c>
      <c r="C28" t="s">
        <v>1497</v>
      </c>
      <c r="D28" t="s">
        <v>1501</v>
      </c>
      <c r="E28" s="296">
        <v>93</v>
      </c>
      <c r="F28" s="296">
        <v>48000</v>
      </c>
      <c r="G28" s="296">
        <v>4464000</v>
      </c>
      <c r="H28" s="296">
        <v>50400</v>
      </c>
      <c r="I28" s="296">
        <v>0</v>
      </c>
      <c r="J28" s="296">
        <v>4413600</v>
      </c>
      <c r="K28" s="296">
        <v>302232</v>
      </c>
      <c r="L28" s="296">
        <v>471586</v>
      </c>
      <c r="M28" s="296">
        <v>5187418</v>
      </c>
    </row>
    <row r="29" spans="1:13" ht="15.5" x14ac:dyDescent="0.35">
      <c r="A29" t="s">
        <v>1024</v>
      </c>
      <c r="B29" t="s">
        <v>1025</v>
      </c>
      <c r="C29" t="s">
        <v>1493</v>
      </c>
      <c r="D29" t="s">
        <v>1499</v>
      </c>
      <c r="E29" s="296">
        <v>6</v>
      </c>
      <c r="F29" s="296">
        <v>25536</v>
      </c>
      <c r="G29" s="296">
        <v>153216</v>
      </c>
      <c r="H29" s="296">
        <v>0</v>
      </c>
      <c r="I29" s="296">
        <v>0</v>
      </c>
      <c r="J29" s="296">
        <v>153216</v>
      </c>
      <c r="K29" s="296">
        <v>0</v>
      </c>
      <c r="L29" s="296">
        <v>15322</v>
      </c>
      <c r="M29" s="296">
        <v>168538</v>
      </c>
    </row>
    <row r="30" spans="1:13" ht="15.5" hidden="1" x14ac:dyDescent="0.35">
      <c r="A30" t="s">
        <v>1304</v>
      </c>
      <c r="B30" t="s">
        <v>1413</v>
      </c>
      <c r="C30" t="s">
        <v>1497</v>
      </c>
      <c r="D30" t="s">
        <v>1507</v>
      </c>
      <c r="E30" s="296">
        <v>88</v>
      </c>
      <c r="F30" s="296">
        <v>38000</v>
      </c>
      <c r="G30" s="296">
        <v>3344000</v>
      </c>
      <c r="H30" s="296">
        <v>17100</v>
      </c>
      <c r="I30" s="296">
        <v>0</v>
      </c>
      <c r="J30" s="296">
        <v>3326900</v>
      </c>
      <c r="K30" s="296">
        <v>227563</v>
      </c>
      <c r="L30" s="296">
        <v>355446</v>
      </c>
      <c r="M30" s="296">
        <v>3909909</v>
      </c>
    </row>
    <row r="31" spans="1:13" ht="15.5" hidden="1" x14ac:dyDescent="0.35">
      <c r="A31" t="s">
        <v>1294</v>
      </c>
      <c r="B31" t="s">
        <v>28</v>
      </c>
      <c r="C31" t="s">
        <v>1497</v>
      </c>
      <c r="D31" t="s">
        <v>1500</v>
      </c>
      <c r="E31" s="296">
        <v>83</v>
      </c>
      <c r="F31" s="296">
        <v>179000</v>
      </c>
      <c r="G31" s="296">
        <v>14857000</v>
      </c>
      <c r="H31" s="296">
        <v>341370.75</v>
      </c>
      <c r="I31" s="296">
        <v>0</v>
      </c>
      <c r="J31" s="296">
        <v>14515629.25</v>
      </c>
      <c r="K31" s="296">
        <v>1016100</v>
      </c>
      <c r="L31" s="296">
        <v>1553172</v>
      </c>
      <c r="M31" s="296">
        <v>17084901.25</v>
      </c>
    </row>
    <row r="32" spans="1:13" ht="15.5" hidden="1" x14ac:dyDescent="0.35">
      <c r="A32" t="s">
        <v>1366</v>
      </c>
      <c r="B32" t="s">
        <v>1471</v>
      </c>
      <c r="C32" t="s">
        <v>1497</v>
      </c>
      <c r="D32" t="s">
        <v>1502</v>
      </c>
      <c r="E32" s="296">
        <v>83</v>
      </c>
      <c r="F32" s="296">
        <v>60000</v>
      </c>
      <c r="G32" s="296">
        <v>4980000</v>
      </c>
      <c r="H32" s="296">
        <v>32972.85</v>
      </c>
      <c r="I32" s="296">
        <v>0</v>
      </c>
      <c r="J32" s="296">
        <v>4947027.1500000004</v>
      </c>
      <c r="K32" s="296">
        <v>333692</v>
      </c>
      <c r="L32" s="296">
        <v>528072</v>
      </c>
      <c r="M32" s="296">
        <v>5808791.1500000004</v>
      </c>
    </row>
    <row r="33" spans="1:13" ht="15.5" hidden="1" x14ac:dyDescent="0.35">
      <c r="A33" t="s">
        <v>1365</v>
      </c>
      <c r="B33" t="s">
        <v>1470</v>
      </c>
      <c r="C33" t="s">
        <v>1497</v>
      </c>
      <c r="D33" t="s">
        <v>1502</v>
      </c>
      <c r="E33" s="296">
        <v>82</v>
      </c>
      <c r="F33" s="296">
        <v>40000</v>
      </c>
      <c r="G33" s="296">
        <v>3280000</v>
      </c>
      <c r="H33" s="296">
        <v>18000</v>
      </c>
      <c r="I33" s="296">
        <v>0</v>
      </c>
      <c r="J33" s="296">
        <v>3262000</v>
      </c>
      <c r="K33" s="296">
        <v>214340</v>
      </c>
      <c r="L33" s="296">
        <v>347634</v>
      </c>
      <c r="M33" s="296">
        <v>3823974</v>
      </c>
    </row>
    <row r="34" spans="1:13" ht="15.5" x14ac:dyDescent="0.35">
      <c r="A34" t="s">
        <v>1024</v>
      </c>
      <c r="B34" t="s">
        <v>1411</v>
      </c>
      <c r="C34" t="s">
        <v>1493</v>
      </c>
      <c r="D34" t="s">
        <v>1499</v>
      </c>
      <c r="E34" s="296">
        <v>2</v>
      </c>
      <c r="F34" s="296">
        <v>0</v>
      </c>
      <c r="G34" s="296">
        <v>0</v>
      </c>
      <c r="H34" s="296">
        <v>0</v>
      </c>
      <c r="I34" s="296">
        <v>0</v>
      </c>
      <c r="J34" s="296">
        <v>0</v>
      </c>
      <c r="K34" s="296">
        <v>0</v>
      </c>
      <c r="L34" s="296">
        <v>0</v>
      </c>
      <c r="M34" s="296">
        <v>0</v>
      </c>
    </row>
    <row r="35" spans="1:13" ht="15.5" hidden="1" x14ac:dyDescent="0.35">
      <c r="A35" t="s">
        <v>1297</v>
      </c>
      <c r="B35" t="s">
        <v>1404</v>
      </c>
      <c r="C35" t="s">
        <v>1497</v>
      </c>
      <c r="D35" t="s">
        <v>1500</v>
      </c>
      <c r="E35" s="296">
        <v>75</v>
      </c>
      <c r="F35" s="296">
        <v>35000</v>
      </c>
      <c r="G35" s="296">
        <v>2625000</v>
      </c>
      <c r="H35" s="296">
        <v>24748.47</v>
      </c>
      <c r="I35" s="296">
        <v>0</v>
      </c>
      <c r="J35" s="296">
        <v>2600251.5299999998</v>
      </c>
      <c r="K35" s="296">
        <v>182020</v>
      </c>
      <c r="L35" s="296">
        <v>278226</v>
      </c>
      <c r="M35" s="296">
        <v>3060497.53</v>
      </c>
    </row>
    <row r="36" spans="1:13" ht="15.5" hidden="1" x14ac:dyDescent="0.35">
      <c r="A36" t="s">
        <v>31</v>
      </c>
      <c r="B36" t="s">
        <v>32</v>
      </c>
      <c r="C36" t="s">
        <v>1497</v>
      </c>
      <c r="D36" t="s">
        <v>1500</v>
      </c>
      <c r="E36" s="296">
        <v>69</v>
      </c>
      <c r="F36" s="296">
        <v>183000</v>
      </c>
      <c r="G36" s="296">
        <v>12627000</v>
      </c>
      <c r="H36" s="296">
        <v>0</v>
      </c>
      <c r="I36" s="296">
        <v>0</v>
      </c>
      <c r="J36" s="296">
        <v>12627000</v>
      </c>
      <c r="K36" s="296">
        <v>883890</v>
      </c>
      <c r="L36" s="296">
        <v>1351089</v>
      </c>
      <c r="M36" s="296">
        <v>14861979</v>
      </c>
    </row>
    <row r="37" spans="1:13" ht="15.5" hidden="1" x14ac:dyDescent="0.35">
      <c r="A37" t="s">
        <v>1355</v>
      </c>
      <c r="B37" t="s">
        <v>1461</v>
      </c>
      <c r="C37" t="s">
        <v>1497</v>
      </c>
      <c r="D37" t="s">
        <v>1501</v>
      </c>
      <c r="E37" s="296">
        <v>68</v>
      </c>
      <c r="F37" s="296">
        <v>38000</v>
      </c>
      <c r="G37" s="296">
        <v>2584000</v>
      </c>
      <c r="H37" s="296">
        <v>28500</v>
      </c>
      <c r="I37" s="296">
        <v>0</v>
      </c>
      <c r="J37" s="296">
        <v>2555500</v>
      </c>
      <c r="K37" s="296">
        <v>176225</v>
      </c>
      <c r="L37" s="296">
        <v>273172</v>
      </c>
      <c r="M37" s="296">
        <v>3004897</v>
      </c>
    </row>
    <row r="38" spans="1:13" ht="15.5" hidden="1" x14ac:dyDescent="0.35">
      <c r="A38" t="s">
        <v>1313</v>
      </c>
      <c r="B38" t="s">
        <v>1422</v>
      </c>
      <c r="C38" t="s">
        <v>1495</v>
      </c>
      <c r="D38" t="s">
        <v>1496</v>
      </c>
      <c r="E38" s="296">
        <v>67</v>
      </c>
      <c r="F38" s="296">
        <v>0</v>
      </c>
      <c r="G38" s="296">
        <v>0</v>
      </c>
      <c r="H38" s="296">
        <v>0</v>
      </c>
      <c r="I38" s="296">
        <v>0</v>
      </c>
      <c r="J38" s="296">
        <v>0</v>
      </c>
      <c r="K38" s="296">
        <v>0</v>
      </c>
      <c r="L38" s="296">
        <v>0</v>
      </c>
      <c r="M38" s="296">
        <v>0</v>
      </c>
    </row>
    <row r="39" spans="1:13" ht="15.5" hidden="1" x14ac:dyDescent="0.35">
      <c r="A39" t="s">
        <v>1314</v>
      </c>
      <c r="B39" t="s">
        <v>1423</v>
      </c>
      <c r="C39" t="s">
        <v>1495</v>
      </c>
      <c r="D39" t="s">
        <v>1496</v>
      </c>
      <c r="E39" s="296">
        <v>67</v>
      </c>
      <c r="F39" s="296">
        <v>0</v>
      </c>
      <c r="G39" s="296">
        <v>0</v>
      </c>
      <c r="H39" s="296">
        <v>0</v>
      </c>
      <c r="I39" s="296">
        <v>0</v>
      </c>
      <c r="J39" s="296">
        <v>0</v>
      </c>
      <c r="K39" s="296">
        <v>0</v>
      </c>
      <c r="L39" s="296">
        <v>0</v>
      </c>
      <c r="M39" s="296">
        <v>0</v>
      </c>
    </row>
    <row r="40" spans="1:13" ht="15.5" hidden="1" x14ac:dyDescent="0.35">
      <c r="A40" t="s">
        <v>1885</v>
      </c>
      <c r="B40" t="s">
        <v>1886</v>
      </c>
      <c r="C40" t="s">
        <v>1503</v>
      </c>
      <c r="D40" t="s">
        <v>1887</v>
      </c>
      <c r="E40" s="296">
        <v>28</v>
      </c>
      <c r="F40" s="296">
        <v>0</v>
      </c>
      <c r="G40" s="296">
        <v>0</v>
      </c>
      <c r="H40" s="296">
        <v>0</v>
      </c>
      <c r="I40" s="296">
        <v>0</v>
      </c>
      <c r="J40" s="296">
        <v>0</v>
      </c>
      <c r="K40" s="296">
        <v>0</v>
      </c>
      <c r="L40" s="296">
        <v>0</v>
      </c>
      <c r="M40" s="296">
        <v>0</v>
      </c>
    </row>
    <row r="41" spans="1:13" ht="15.5" hidden="1" x14ac:dyDescent="0.35">
      <c r="A41" t="s">
        <v>1326</v>
      </c>
      <c r="B41" t="s">
        <v>1434</v>
      </c>
      <c r="C41" t="s">
        <v>1503</v>
      </c>
      <c r="D41" t="s">
        <v>1504</v>
      </c>
      <c r="E41" s="296">
        <v>65</v>
      </c>
      <c r="F41" s="296">
        <v>50000</v>
      </c>
      <c r="G41" s="296">
        <v>3250000</v>
      </c>
      <c r="H41" s="296">
        <v>0</v>
      </c>
      <c r="I41" s="296">
        <v>0</v>
      </c>
      <c r="J41" s="296">
        <v>3250000</v>
      </c>
      <c r="K41" s="296">
        <v>227500</v>
      </c>
      <c r="L41" s="296">
        <v>347750</v>
      </c>
      <c r="M41" s="296">
        <v>3825250</v>
      </c>
    </row>
    <row r="42" spans="1:13" ht="15.5" hidden="1" x14ac:dyDescent="0.35">
      <c r="A42" t="s">
        <v>1345</v>
      </c>
      <c r="B42" t="s">
        <v>1453</v>
      </c>
      <c r="C42" t="s">
        <v>1497</v>
      </c>
      <c r="D42" t="s">
        <v>1505</v>
      </c>
      <c r="E42" s="296">
        <v>65</v>
      </c>
      <c r="F42" s="296">
        <v>54000</v>
      </c>
      <c r="G42" s="296">
        <v>3510000</v>
      </c>
      <c r="H42" s="296">
        <v>118775.57</v>
      </c>
      <c r="I42" s="296">
        <v>0</v>
      </c>
      <c r="J42" s="296">
        <v>3391224.43</v>
      </c>
      <c r="K42" s="296">
        <v>234362</v>
      </c>
      <c r="L42" s="296">
        <v>362557</v>
      </c>
      <c r="M42" s="296">
        <v>3988143.43</v>
      </c>
    </row>
    <row r="43" spans="1:13" ht="15.5" hidden="1" x14ac:dyDescent="0.35">
      <c r="A43" t="s">
        <v>1368</v>
      </c>
      <c r="B43" t="s">
        <v>1473</v>
      </c>
      <c r="C43" t="s">
        <v>1497</v>
      </c>
      <c r="D43" t="s">
        <v>1502</v>
      </c>
      <c r="E43" s="296">
        <v>64</v>
      </c>
      <c r="F43" s="296">
        <v>65000</v>
      </c>
      <c r="G43" s="296">
        <v>4160000</v>
      </c>
      <c r="H43" s="296">
        <v>204750</v>
      </c>
      <c r="I43" s="296">
        <v>0</v>
      </c>
      <c r="J43" s="296">
        <v>3955250</v>
      </c>
      <c r="K43" s="296">
        <v>263220</v>
      </c>
      <c r="L43" s="296">
        <v>421848</v>
      </c>
      <c r="M43" s="296">
        <v>4640318</v>
      </c>
    </row>
    <row r="44" spans="1:13" ht="15.5" hidden="1" x14ac:dyDescent="0.35">
      <c r="A44" t="s">
        <v>1333</v>
      </c>
      <c r="B44" t="s">
        <v>1441</v>
      </c>
      <c r="C44" t="s">
        <v>1503</v>
      </c>
      <c r="D44" t="s">
        <v>1504</v>
      </c>
      <c r="E44" s="296">
        <v>60</v>
      </c>
      <c r="F44" s="296">
        <v>50000</v>
      </c>
      <c r="G44" s="296">
        <v>3000000</v>
      </c>
      <c r="H44" s="296">
        <v>0</v>
      </c>
      <c r="I44" s="296">
        <v>0</v>
      </c>
      <c r="J44" s="296">
        <v>3000000</v>
      </c>
      <c r="K44" s="296">
        <v>210000</v>
      </c>
      <c r="L44" s="296">
        <v>321000</v>
      </c>
      <c r="M44" s="296">
        <v>3531000</v>
      </c>
    </row>
    <row r="45" spans="1:13" ht="15.5" hidden="1" x14ac:dyDescent="0.35">
      <c r="A45" t="s">
        <v>1888</v>
      </c>
      <c r="B45" t="s">
        <v>1889</v>
      </c>
      <c r="C45" t="s">
        <v>1503</v>
      </c>
      <c r="D45" t="s">
        <v>1887</v>
      </c>
      <c r="E45" s="296">
        <v>15</v>
      </c>
      <c r="F45" s="296">
        <v>0</v>
      </c>
      <c r="G45" s="296">
        <v>0</v>
      </c>
      <c r="H45" s="296">
        <v>0</v>
      </c>
      <c r="I45" s="296">
        <v>0</v>
      </c>
      <c r="J45" s="296">
        <v>0</v>
      </c>
      <c r="K45" s="296">
        <v>0</v>
      </c>
      <c r="L45" s="296">
        <v>0</v>
      </c>
      <c r="M45" s="296">
        <v>0</v>
      </c>
    </row>
    <row r="46" spans="1:13" ht="15.5" hidden="1" x14ac:dyDescent="0.35">
      <c r="A46" t="s">
        <v>1286</v>
      </c>
      <c r="B46" t="s">
        <v>1395</v>
      </c>
      <c r="C46" t="s">
        <v>1497</v>
      </c>
      <c r="D46" t="s">
        <v>1506</v>
      </c>
      <c r="E46" s="296">
        <v>58</v>
      </c>
      <c r="F46" s="296">
        <v>44800</v>
      </c>
      <c r="G46" s="296">
        <v>2598400</v>
      </c>
      <c r="H46" s="296">
        <v>0</v>
      </c>
      <c r="I46" s="296">
        <v>0</v>
      </c>
      <c r="J46" s="296">
        <v>2598400</v>
      </c>
      <c r="K46" s="296">
        <v>0</v>
      </c>
      <c r="L46" s="296">
        <v>259840</v>
      </c>
      <c r="M46" s="296">
        <v>2858240</v>
      </c>
    </row>
    <row r="47" spans="1:13" ht="15.5" x14ac:dyDescent="0.35">
      <c r="A47" t="s">
        <v>1026</v>
      </c>
      <c r="B47" t="s">
        <v>1027</v>
      </c>
      <c r="C47" t="s">
        <v>1493</v>
      </c>
      <c r="D47" t="s">
        <v>1499</v>
      </c>
      <c r="E47" s="296">
        <v>160</v>
      </c>
      <c r="F47" s="296">
        <v>22800</v>
      </c>
      <c r="G47" s="296">
        <v>3648000</v>
      </c>
      <c r="H47" s="296">
        <v>51461.86</v>
      </c>
      <c r="I47" s="296">
        <v>0</v>
      </c>
      <c r="J47" s="296">
        <v>3596538.14</v>
      </c>
      <c r="K47" s="296">
        <v>233565</v>
      </c>
      <c r="L47" s="296">
        <v>383063</v>
      </c>
      <c r="M47" s="296">
        <v>4213166.1399999997</v>
      </c>
    </row>
    <row r="48" spans="1:13" ht="15.5" hidden="1" x14ac:dyDescent="0.35">
      <c r="A48" t="s">
        <v>1310</v>
      </c>
      <c r="B48" t="s">
        <v>1419</v>
      </c>
      <c r="C48" t="s">
        <v>1495</v>
      </c>
      <c r="D48" t="s">
        <v>1496</v>
      </c>
      <c r="E48" s="296">
        <v>58</v>
      </c>
      <c r="F48" s="296">
        <v>0</v>
      </c>
      <c r="G48" s="296">
        <v>0</v>
      </c>
      <c r="H48" s="296">
        <v>0</v>
      </c>
      <c r="I48" s="296">
        <v>0</v>
      </c>
      <c r="J48" s="296">
        <v>0</v>
      </c>
      <c r="K48" s="296">
        <v>0</v>
      </c>
      <c r="L48" s="296">
        <v>0</v>
      </c>
      <c r="M48" s="296">
        <v>0</v>
      </c>
    </row>
    <row r="49" spans="1:13" ht="15.5" hidden="1" x14ac:dyDescent="0.35">
      <c r="A49" t="s">
        <v>1319</v>
      </c>
      <c r="B49" t="s">
        <v>1428</v>
      </c>
      <c r="C49" t="s">
        <v>1495</v>
      </c>
      <c r="D49" t="s">
        <v>1496</v>
      </c>
      <c r="E49" s="296">
        <v>57</v>
      </c>
      <c r="F49" s="296">
        <v>0</v>
      </c>
      <c r="G49" s="296">
        <v>0</v>
      </c>
      <c r="H49" s="296">
        <v>0</v>
      </c>
      <c r="I49" s="296">
        <v>0</v>
      </c>
      <c r="J49" s="296">
        <v>0</v>
      </c>
      <c r="K49" s="296">
        <v>0</v>
      </c>
      <c r="L49" s="296">
        <v>0</v>
      </c>
      <c r="M49" s="296">
        <v>0</v>
      </c>
    </row>
    <row r="50" spans="1:13" ht="15.5" hidden="1" x14ac:dyDescent="0.35">
      <c r="A50" t="s">
        <v>1349</v>
      </c>
      <c r="B50" t="s">
        <v>1456</v>
      </c>
      <c r="C50" t="s">
        <v>1497</v>
      </c>
      <c r="D50" t="s">
        <v>1501</v>
      </c>
      <c r="E50" s="296">
        <v>57</v>
      </c>
      <c r="F50" s="296">
        <v>48000</v>
      </c>
      <c r="G50" s="296">
        <v>2736000</v>
      </c>
      <c r="H50" s="296">
        <v>31200</v>
      </c>
      <c r="I50" s="296">
        <v>0</v>
      </c>
      <c r="J50" s="296">
        <v>2704800</v>
      </c>
      <c r="K50" s="296">
        <v>182616</v>
      </c>
      <c r="L50" s="296">
        <v>288743</v>
      </c>
      <c r="M50" s="296">
        <v>3176159</v>
      </c>
    </row>
    <row r="51" spans="1:13" ht="15.5" hidden="1" x14ac:dyDescent="0.35">
      <c r="A51" t="s">
        <v>1280</v>
      </c>
      <c r="B51" t="s">
        <v>1392</v>
      </c>
      <c r="C51" t="s">
        <v>1497</v>
      </c>
      <c r="D51" t="s">
        <v>1498</v>
      </c>
      <c r="E51" s="296">
        <v>56</v>
      </c>
      <c r="F51" s="296">
        <v>0</v>
      </c>
      <c r="G51" s="296">
        <v>0</v>
      </c>
      <c r="H51" s="296">
        <v>0</v>
      </c>
      <c r="I51" s="296">
        <v>0</v>
      </c>
      <c r="J51" s="296">
        <v>0</v>
      </c>
      <c r="K51" s="296">
        <v>0</v>
      </c>
      <c r="L51" s="296">
        <v>0</v>
      </c>
      <c r="M51" s="296">
        <v>0</v>
      </c>
    </row>
    <row r="52" spans="1:13" ht="15.5" hidden="1" x14ac:dyDescent="0.35">
      <c r="A52" t="s">
        <v>1513</v>
      </c>
      <c r="B52" t="s">
        <v>1514</v>
      </c>
      <c r="C52" t="s">
        <v>1497</v>
      </c>
      <c r="D52" t="s">
        <v>1510</v>
      </c>
      <c r="E52" s="296">
        <v>66</v>
      </c>
      <c r="F52" s="296">
        <v>59000</v>
      </c>
      <c r="G52" s="296">
        <v>3894000</v>
      </c>
      <c r="H52" s="296">
        <v>17700</v>
      </c>
      <c r="I52" s="296">
        <v>0</v>
      </c>
      <c r="J52" s="296">
        <v>3876300</v>
      </c>
      <c r="K52" s="296">
        <v>271342</v>
      </c>
      <c r="L52" s="296">
        <v>414764</v>
      </c>
      <c r="M52" s="296">
        <v>4562406</v>
      </c>
    </row>
    <row r="53" spans="1:13" ht="15.5" hidden="1" x14ac:dyDescent="0.35">
      <c r="A53" t="s">
        <v>1288</v>
      </c>
      <c r="B53" t="s">
        <v>1397</v>
      </c>
      <c r="C53" t="s">
        <v>1497</v>
      </c>
      <c r="D53" t="s">
        <v>1506</v>
      </c>
      <c r="E53" s="296">
        <v>55</v>
      </c>
      <c r="F53" s="296">
        <v>60480</v>
      </c>
      <c r="G53" s="296">
        <v>3326400</v>
      </c>
      <c r="H53" s="296">
        <v>0</v>
      </c>
      <c r="I53" s="296">
        <v>0</v>
      </c>
      <c r="J53" s="296">
        <v>3326400</v>
      </c>
      <c r="K53" s="296">
        <v>0</v>
      </c>
      <c r="L53" s="296">
        <v>332640</v>
      </c>
      <c r="M53" s="296">
        <v>3659040</v>
      </c>
    </row>
    <row r="54" spans="1:13" ht="15.5" hidden="1" x14ac:dyDescent="0.35">
      <c r="A54" t="s">
        <v>1365</v>
      </c>
      <c r="B54" t="s">
        <v>1470</v>
      </c>
      <c r="C54" t="s">
        <v>1497</v>
      </c>
      <c r="D54" t="s">
        <v>1502</v>
      </c>
      <c r="E54" s="296">
        <v>55</v>
      </c>
      <c r="F54" s="296">
        <v>44800</v>
      </c>
      <c r="G54" s="296">
        <v>2464000</v>
      </c>
      <c r="H54" s="296">
        <v>0</v>
      </c>
      <c r="I54" s="296">
        <v>0</v>
      </c>
      <c r="J54" s="296">
        <v>2464000</v>
      </c>
      <c r="K54" s="296">
        <v>0</v>
      </c>
      <c r="L54" s="296">
        <v>246400</v>
      </c>
      <c r="M54" s="296">
        <v>2710400</v>
      </c>
    </row>
    <row r="55" spans="1:13" ht="15.5" hidden="1" x14ac:dyDescent="0.35">
      <c r="A55" t="s">
        <v>4</v>
      </c>
      <c r="B55" t="s">
        <v>1403</v>
      </c>
      <c r="C55" t="s">
        <v>1497</v>
      </c>
      <c r="D55" t="s">
        <v>1500</v>
      </c>
      <c r="E55" s="296">
        <v>54</v>
      </c>
      <c r="F55" s="296">
        <v>0</v>
      </c>
      <c r="G55" s="296">
        <v>0</v>
      </c>
      <c r="H55" s="296">
        <v>0</v>
      </c>
      <c r="I55" s="296">
        <v>0</v>
      </c>
      <c r="J55" s="296">
        <v>0</v>
      </c>
      <c r="K55" s="296">
        <v>0</v>
      </c>
      <c r="L55" s="296">
        <v>0</v>
      </c>
      <c r="M55" s="296">
        <v>0</v>
      </c>
    </row>
    <row r="56" spans="1:13" ht="15.5" hidden="1" x14ac:dyDescent="0.35">
      <c r="A56" t="s">
        <v>1325</v>
      </c>
      <c r="B56" t="s">
        <v>1433</v>
      </c>
      <c r="C56" t="s">
        <v>1503</v>
      </c>
      <c r="D56" t="s">
        <v>1504</v>
      </c>
      <c r="E56" s="296">
        <v>54</v>
      </c>
      <c r="F56" s="296">
        <v>99000</v>
      </c>
      <c r="G56" s="296">
        <v>5346000</v>
      </c>
      <c r="H56" s="296">
        <v>0</v>
      </c>
      <c r="I56" s="296">
        <v>0</v>
      </c>
      <c r="J56" s="296">
        <v>5346000</v>
      </c>
      <c r="K56" s="296">
        <v>374220</v>
      </c>
      <c r="L56" s="296">
        <v>572022</v>
      </c>
      <c r="M56" s="296">
        <v>6292242</v>
      </c>
    </row>
    <row r="57" spans="1:13" ht="15.5" hidden="1" x14ac:dyDescent="0.35">
      <c r="A57" t="s">
        <v>1332</v>
      </c>
      <c r="B57" t="s">
        <v>1440</v>
      </c>
      <c r="C57" t="s">
        <v>1503</v>
      </c>
      <c r="D57" t="s">
        <v>1504</v>
      </c>
      <c r="E57" s="296">
        <v>54</v>
      </c>
      <c r="F57" s="296">
        <v>50000</v>
      </c>
      <c r="G57" s="296">
        <v>2700000</v>
      </c>
      <c r="H57" s="296">
        <v>0</v>
      </c>
      <c r="I57" s="296">
        <v>0</v>
      </c>
      <c r="J57" s="296">
        <v>2700000</v>
      </c>
      <c r="K57" s="296">
        <v>189000</v>
      </c>
      <c r="L57" s="296">
        <v>288900</v>
      </c>
      <c r="M57" s="296">
        <v>3177900</v>
      </c>
    </row>
    <row r="58" spans="1:13" ht="15.5" x14ac:dyDescent="0.35">
      <c r="A58" t="s">
        <v>1026</v>
      </c>
      <c r="B58" t="s">
        <v>1412</v>
      </c>
      <c r="C58" t="s">
        <v>1493</v>
      </c>
      <c r="D58" t="s">
        <v>1499</v>
      </c>
      <c r="E58" s="296">
        <v>8</v>
      </c>
      <c r="F58" s="296">
        <v>0</v>
      </c>
      <c r="G58" s="296">
        <v>0</v>
      </c>
      <c r="H58" s="296">
        <v>0</v>
      </c>
      <c r="I58" s="296">
        <v>0</v>
      </c>
      <c r="J58" s="296">
        <v>0</v>
      </c>
      <c r="K58" s="296">
        <v>0</v>
      </c>
      <c r="L58" s="296">
        <v>0</v>
      </c>
      <c r="M58" s="296">
        <v>0</v>
      </c>
    </row>
    <row r="59" spans="1:13" ht="15.5" hidden="1" x14ac:dyDescent="0.35">
      <c r="A59" t="s">
        <v>1295</v>
      </c>
      <c r="B59" t="s">
        <v>34</v>
      </c>
      <c r="C59" t="s">
        <v>1497</v>
      </c>
      <c r="D59" t="s">
        <v>1500</v>
      </c>
      <c r="E59" s="296">
        <v>49</v>
      </c>
      <c r="F59" s="296">
        <v>259000</v>
      </c>
      <c r="G59" s="296">
        <v>12691000</v>
      </c>
      <c r="H59" s="296">
        <v>155400</v>
      </c>
      <c r="I59" s="296">
        <v>0</v>
      </c>
      <c r="J59" s="296">
        <v>12535600</v>
      </c>
      <c r="K59" s="296">
        <v>877494</v>
      </c>
      <c r="L59" s="296">
        <v>1341309</v>
      </c>
      <c r="M59" s="296">
        <v>14754403</v>
      </c>
    </row>
    <row r="60" spans="1:13" ht="15.5" hidden="1" x14ac:dyDescent="0.35">
      <c r="A60" t="s">
        <v>1519</v>
      </c>
      <c r="B60" t="s">
        <v>1520</v>
      </c>
      <c r="C60" t="s">
        <v>1497</v>
      </c>
      <c r="D60" t="s">
        <v>1510</v>
      </c>
      <c r="E60" s="296">
        <v>40</v>
      </c>
      <c r="F60" s="296">
        <v>59000</v>
      </c>
      <c r="G60" s="296">
        <v>2360000</v>
      </c>
      <c r="H60" s="296">
        <v>29500</v>
      </c>
      <c r="I60" s="296">
        <v>0</v>
      </c>
      <c r="J60" s="296">
        <v>2330500</v>
      </c>
      <c r="K60" s="296">
        <v>155702</v>
      </c>
      <c r="L60" s="296">
        <v>248620</v>
      </c>
      <c r="M60" s="296">
        <v>2734822</v>
      </c>
    </row>
    <row r="61" spans="1:13" ht="15.5" hidden="1" x14ac:dyDescent="0.35">
      <c r="A61" t="s">
        <v>1286</v>
      </c>
      <c r="B61" t="s">
        <v>1395</v>
      </c>
      <c r="C61" t="s">
        <v>1497</v>
      </c>
      <c r="D61" t="s">
        <v>1506</v>
      </c>
      <c r="E61" s="296">
        <v>48</v>
      </c>
      <c r="F61" s="296">
        <v>40000</v>
      </c>
      <c r="G61" s="296">
        <v>1920000</v>
      </c>
      <c r="H61" s="296">
        <v>20000</v>
      </c>
      <c r="I61" s="296">
        <v>0</v>
      </c>
      <c r="J61" s="296">
        <v>1900000</v>
      </c>
      <c r="K61" s="296">
        <v>125160</v>
      </c>
      <c r="L61" s="296">
        <v>202516</v>
      </c>
      <c r="M61" s="296">
        <v>2227676</v>
      </c>
    </row>
    <row r="62" spans="1:13" ht="15.5" hidden="1" x14ac:dyDescent="0.35">
      <c r="A62" t="s">
        <v>1341</v>
      </c>
      <c r="B62" t="s">
        <v>1449</v>
      </c>
      <c r="C62" t="s">
        <v>1497</v>
      </c>
      <c r="D62" t="s">
        <v>1505</v>
      </c>
      <c r="E62" s="296">
        <v>47</v>
      </c>
      <c r="F62" s="296">
        <v>57000</v>
      </c>
      <c r="G62" s="296">
        <v>2679000</v>
      </c>
      <c r="H62" s="296">
        <v>473100</v>
      </c>
      <c r="I62" s="296">
        <v>0</v>
      </c>
      <c r="J62" s="296">
        <v>2205900</v>
      </c>
      <c r="K62" s="296">
        <v>150424</v>
      </c>
      <c r="L62" s="296">
        <v>235632</v>
      </c>
      <c r="M62" s="296">
        <v>2591956</v>
      </c>
    </row>
    <row r="63" spans="1:13" ht="15.5" hidden="1" x14ac:dyDescent="0.35">
      <c r="A63" t="s">
        <v>1293</v>
      </c>
      <c r="B63" t="s">
        <v>1402</v>
      </c>
      <c r="C63" t="s">
        <v>1497</v>
      </c>
      <c r="D63" t="s">
        <v>1506</v>
      </c>
      <c r="E63" s="296">
        <v>46</v>
      </c>
      <c r="F63" s="296">
        <v>50000</v>
      </c>
      <c r="G63" s="296">
        <v>2300000</v>
      </c>
      <c r="H63" s="296">
        <v>55000</v>
      </c>
      <c r="I63" s="296">
        <v>0</v>
      </c>
      <c r="J63" s="296">
        <v>2245000</v>
      </c>
      <c r="K63" s="296">
        <v>146650</v>
      </c>
      <c r="L63" s="296">
        <v>239167</v>
      </c>
      <c r="M63" s="296">
        <v>2630817</v>
      </c>
    </row>
    <row r="64" spans="1:13" ht="15.5" hidden="1" x14ac:dyDescent="0.35">
      <c r="A64" t="s">
        <v>1289</v>
      </c>
      <c r="B64" t="s">
        <v>1398</v>
      </c>
      <c r="C64" t="s">
        <v>1497</v>
      </c>
      <c r="D64" t="s">
        <v>1506</v>
      </c>
      <c r="E64" s="296">
        <v>44</v>
      </c>
      <c r="F64" s="296">
        <v>47000</v>
      </c>
      <c r="G64" s="296">
        <v>2068000</v>
      </c>
      <c r="H64" s="296">
        <v>30550</v>
      </c>
      <c r="I64" s="296">
        <v>0</v>
      </c>
      <c r="J64" s="296">
        <v>2037450</v>
      </c>
      <c r="K64" s="296">
        <v>139991</v>
      </c>
      <c r="L64" s="296">
        <v>217745</v>
      </c>
      <c r="M64" s="296">
        <v>2395186</v>
      </c>
    </row>
    <row r="65" spans="1:13" ht="15.5" hidden="1" x14ac:dyDescent="0.35">
      <c r="A65" t="s">
        <v>1334</v>
      </c>
      <c r="B65" t="s">
        <v>1442</v>
      </c>
      <c r="C65" t="s">
        <v>1503</v>
      </c>
      <c r="D65" t="s">
        <v>1504</v>
      </c>
      <c r="E65" s="296">
        <v>42</v>
      </c>
      <c r="F65" s="296">
        <v>50000</v>
      </c>
      <c r="G65" s="296">
        <v>2100000</v>
      </c>
      <c r="H65" s="296">
        <v>0</v>
      </c>
      <c r="I65" s="296">
        <v>0</v>
      </c>
      <c r="J65" s="296">
        <v>2100000</v>
      </c>
      <c r="K65" s="296">
        <v>147000</v>
      </c>
      <c r="L65" s="296">
        <v>224700</v>
      </c>
      <c r="M65" s="296">
        <v>2471700</v>
      </c>
    </row>
    <row r="66" spans="1:13" ht="15.5" x14ac:dyDescent="0.35">
      <c r="A66" t="s">
        <v>1028</v>
      </c>
      <c r="B66" t="s">
        <v>1029</v>
      </c>
      <c r="C66" t="s">
        <v>1493</v>
      </c>
      <c r="D66" t="s">
        <v>1499</v>
      </c>
      <c r="E66" s="296">
        <v>19</v>
      </c>
      <c r="F66" s="296">
        <v>22800</v>
      </c>
      <c r="G66" s="296">
        <v>433200</v>
      </c>
      <c r="H66" s="296">
        <v>3420</v>
      </c>
      <c r="I66" s="296">
        <v>0</v>
      </c>
      <c r="J66" s="296">
        <v>429780</v>
      </c>
      <c r="K66" s="296">
        <v>30085</v>
      </c>
      <c r="L66" s="296">
        <v>45994</v>
      </c>
      <c r="M66" s="296">
        <v>505859</v>
      </c>
    </row>
    <row r="67" spans="1:13" ht="15.5" hidden="1" x14ac:dyDescent="0.35">
      <c r="A67" t="s">
        <v>1521</v>
      </c>
      <c r="B67" t="s">
        <v>1522</v>
      </c>
      <c r="C67" t="s">
        <v>1497</v>
      </c>
      <c r="D67" t="s">
        <v>1510</v>
      </c>
      <c r="E67" s="296">
        <v>30</v>
      </c>
      <c r="F67" s="296">
        <v>59000</v>
      </c>
      <c r="G67" s="296">
        <v>1770000</v>
      </c>
      <c r="H67" s="296">
        <v>38350</v>
      </c>
      <c r="I67" s="296">
        <v>0</v>
      </c>
      <c r="J67" s="296">
        <v>1731650</v>
      </c>
      <c r="K67" s="296">
        <v>121217</v>
      </c>
      <c r="L67" s="296">
        <v>185286</v>
      </c>
      <c r="M67" s="296">
        <v>2038153</v>
      </c>
    </row>
    <row r="68" spans="1:13" ht="15.5" hidden="1" x14ac:dyDescent="0.35">
      <c r="A68" t="s">
        <v>1346</v>
      </c>
      <c r="B68" t="s">
        <v>1454</v>
      </c>
      <c r="C68" t="s">
        <v>1497</v>
      </c>
      <c r="D68" t="s">
        <v>1505</v>
      </c>
      <c r="E68" s="296">
        <v>41</v>
      </c>
      <c r="F68" s="296">
        <v>50000</v>
      </c>
      <c r="G68" s="296">
        <v>2050000</v>
      </c>
      <c r="H68" s="296">
        <v>19977.38</v>
      </c>
      <c r="I68" s="296">
        <v>0</v>
      </c>
      <c r="J68" s="296">
        <v>2030022.62</v>
      </c>
      <c r="K68" s="296">
        <v>142102</v>
      </c>
      <c r="L68" s="296">
        <v>217213</v>
      </c>
      <c r="M68" s="296">
        <v>2389337.62</v>
      </c>
    </row>
    <row r="69" spans="1:13" ht="15.5" hidden="1" x14ac:dyDescent="0.35">
      <c r="A69" t="s">
        <v>1526</v>
      </c>
      <c r="B69" t="s">
        <v>1527</v>
      </c>
      <c r="C69" t="s">
        <v>1497</v>
      </c>
      <c r="D69" t="s">
        <v>1510</v>
      </c>
      <c r="E69" s="296">
        <v>15</v>
      </c>
      <c r="F69" s="296">
        <v>59000</v>
      </c>
      <c r="G69" s="296">
        <v>885000</v>
      </c>
      <c r="H69" s="296">
        <v>11800</v>
      </c>
      <c r="I69" s="296">
        <v>0</v>
      </c>
      <c r="J69" s="296">
        <v>873200</v>
      </c>
      <c r="K69" s="296">
        <v>56994</v>
      </c>
      <c r="L69" s="296">
        <v>93019</v>
      </c>
      <c r="M69" s="296">
        <v>1023213</v>
      </c>
    </row>
    <row r="70" spans="1:13" ht="15.5" hidden="1" x14ac:dyDescent="0.35">
      <c r="A70" t="s">
        <v>1300</v>
      </c>
      <c r="B70" t="s">
        <v>1406</v>
      </c>
      <c r="C70" t="s">
        <v>1497</v>
      </c>
      <c r="D70" t="s">
        <v>1406</v>
      </c>
      <c r="E70" s="296">
        <v>39</v>
      </c>
      <c r="F70" s="296">
        <v>155000</v>
      </c>
      <c r="G70" s="296">
        <v>6045000</v>
      </c>
      <c r="H70" s="296">
        <v>100750</v>
      </c>
      <c r="I70" s="296">
        <v>0</v>
      </c>
      <c r="J70" s="296">
        <v>5944250</v>
      </c>
      <c r="K70" s="296">
        <v>405249</v>
      </c>
      <c r="L70" s="296">
        <v>634949</v>
      </c>
      <c r="M70" s="296">
        <v>6984448</v>
      </c>
    </row>
    <row r="71" spans="1:13" ht="15.5" hidden="1" x14ac:dyDescent="0.35">
      <c r="A71" t="s">
        <v>1351</v>
      </c>
      <c r="B71" t="s">
        <v>1458</v>
      </c>
      <c r="C71" t="s">
        <v>1497</v>
      </c>
      <c r="D71" t="s">
        <v>1501</v>
      </c>
      <c r="E71" s="296">
        <v>39</v>
      </c>
      <c r="F71" s="296">
        <v>35000</v>
      </c>
      <c r="G71" s="296">
        <v>1365000</v>
      </c>
      <c r="H71" s="296">
        <v>10500</v>
      </c>
      <c r="I71" s="296">
        <v>0</v>
      </c>
      <c r="J71" s="296">
        <v>1354500</v>
      </c>
      <c r="K71" s="296">
        <v>94816</v>
      </c>
      <c r="L71" s="296">
        <v>144931</v>
      </c>
      <c r="M71" s="296">
        <v>1594247</v>
      </c>
    </row>
    <row r="72" spans="1:13" ht="15.5" hidden="1" x14ac:dyDescent="0.35">
      <c r="A72" t="s">
        <v>1267</v>
      </c>
      <c r="B72" t="s">
        <v>1380</v>
      </c>
      <c r="C72" t="s">
        <v>1497</v>
      </c>
      <c r="D72" t="s">
        <v>1498</v>
      </c>
      <c r="E72" s="296">
        <v>36</v>
      </c>
      <c r="F72" s="296">
        <v>17000</v>
      </c>
      <c r="G72" s="296">
        <v>612000</v>
      </c>
      <c r="H72" s="296">
        <v>2550</v>
      </c>
      <c r="I72" s="296">
        <v>0</v>
      </c>
      <c r="J72" s="296">
        <v>609450</v>
      </c>
      <c r="K72" s="296">
        <v>42662</v>
      </c>
      <c r="L72" s="296">
        <v>65211</v>
      </c>
      <c r="M72" s="296">
        <v>717323</v>
      </c>
    </row>
    <row r="73" spans="1:13" ht="15.5" hidden="1" x14ac:dyDescent="0.35">
      <c r="A73" t="s">
        <v>1345</v>
      </c>
      <c r="B73" t="s">
        <v>1453</v>
      </c>
      <c r="C73" t="s">
        <v>1497</v>
      </c>
      <c r="D73" t="s">
        <v>1505</v>
      </c>
      <c r="E73" s="296">
        <v>36</v>
      </c>
      <c r="F73" s="296">
        <v>60480</v>
      </c>
      <c r="G73" s="296">
        <v>2177280</v>
      </c>
      <c r="H73" s="296">
        <v>0</v>
      </c>
      <c r="I73" s="296">
        <v>0</v>
      </c>
      <c r="J73" s="296">
        <v>2177280</v>
      </c>
      <c r="K73" s="296">
        <v>0</v>
      </c>
      <c r="L73" s="296">
        <v>217728</v>
      </c>
      <c r="M73" s="296">
        <v>2395008</v>
      </c>
    </row>
    <row r="74" spans="1:13" ht="15.5" hidden="1" x14ac:dyDescent="0.35">
      <c r="A74" t="s">
        <v>1366</v>
      </c>
      <c r="B74" t="s">
        <v>1471</v>
      </c>
      <c r="C74" t="s">
        <v>1497</v>
      </c>
      <c r="D74" t="s">
        <v>1502</v>
      </c>
      <c r="E74" s="296">
        <v>36</v>
      </c>
      <c r="F74" s="296">
        <v>67200</v>
      </c>
      <c r="G74" s="296">
        <v>2419200</v>
      </c>
      <c r="H74" s="296">
        <v>0</v>
      </c>
      <c r="I74" s="296">
        <v>0</v>
      </c>
      <c r="J74" s="296">
        <v>2419200</v>
      </c>
      <c r="K74" s="296">
        <v>0</v>
      </c>
      <c r="L74" s="296">
        <v>241920</v>
      </c>
      <c r="M74" s="296">
        <v>2661120</v>
      </c>
    </row>
    <row r="75" spans="1:13" ht="15.5" hidden="1" x14ac:dyDescent="0.35">
      <c r="A75" t="s">
        <v>1281</v>
      </c>
      <c r="B75" t="s">
        <v>1393</v>
      </c>
      <c r="C75" t="s">
        <v>1497</v>
      </c>
      <c r="D75" t="s">
        <v>1498</v>
      </c>
      <c r="E75" s="296">
        <v>34</v>
      </c>
      <c r="F75" s="296">
        <v>20000</v>
      </c>
      <c r="G75" s="296">
        <v>680000</v>
      </c>
      <c r="H75" s="296">
        <v>0</v>
      </c>
      <c r="I75" s="296">
        <v>0</v>
      </c>
      <c r="J75" s="296">
        <v>680000</v>
      </c>
      <c r="K75" s="296">
        <v>47600</v>
      </c>
      <c r="L75" s="296">
        <v>72760</v>
      </c>
      <c r="M75" s="296">
        <v>800360</v>
      </c>
    </row>
    <row r="76" spans="1:13" ht="15.5" x14ac:dyDescent="0.35">
      <c r="A76" t="s">
        <v>1028</v>
      </c>
      <c r="B76" t="s">
        <v>1029</v>
      </c>
      <c r="C76" t="s">
        <v>1493</v>
      </c>
      <c r="D76" t="s">
        <v>1499</v>
      </c>
      <c r="E76" s="296">
        <v>1</v>
      </c>
      <c r="F76" s="296">
        <v>25536</v>
      </c>
      <c r="G76" s="296">
        <v>25536</v>
      </c>
      <c r="H76" s="296">
        <v>0</v>
      </c>
      <c r="I76" s="296">
        <v>0</v>
      </c>
      <c r="J76" s="296">
        <v>25536</v>
      </c>
      <c r="K76" s="296">
        <v>0</v>
      </c>
      <c r="L76" s="296">
        <v>2554</v>
      </c>
      <c r="M76" s="296">
        <v>28090</v>
      </c>
    </row>
    <row r="77" spans="1:13" ht="15.5" hidden="1" x14ac:dyDescent="0.35">
      <c r="A77" t="s">
        <v>1340</v>
      </c>
      <c r="B77" t="s">
        <v>1448</v>
      </c>
      <c r="C77" t="s">
        <v>1497</v>
      </c>
      <c r="D77" t="s">
        <v>1505</v>
      </c>
      <c r="E77" s="296">
        <v>31</v>
      </c>
      <c r="F77" s="296">
        <v>57000</v>
      </c>
      <c r="G77" s="296">
        <v>1767000</v>
      </c>
      <c r="H77" s="296">
        <v>330600</v>
      </c>
      <c r="I77" s="296">
        <v>0</v>
      </c>
      <c r="J77" s="296">
        <v>1436400</v>
      </c>
      <c r="K77" s="296">
        <v>96560</v>
      </c>
      <c r="L77" s="296">
        <v>153295</v>
      </c>
      <c r="M77" s="296">
        <v>1686255</v>
      </c>
    </row>
    <row r="78" spans="1:13" ht="15.5" hidden="1" x14ac:dyDescent="0.35">
      <c r="A78" t="s">
        <v>1331</v>
      </c>
      <c r="B78" t="s">
        <v>1439</v>
      </c>
      <c r="C78" t="s">
        <v>1503</v>
      </c>
      <c r="D78" t="s">
        <v>1504</v>
      </c>
      <c r="E78" s="296">
        <v>30</v>
      </c>
      <c r="F78" s="296">
        <v>50000</v>
      </c>
      <c r="G78" s="296">
        <v>1500000</v>
      </c>
      <c r="H78" s="296">
        <v>0</v>
      </c>
      <c r="I78" s="296">
        <v>0</v>
      </c>
      <c r="J78" s="296">
        <v>1500000</v>
      </c>
      <c r="K78" s="296">
        <v>105000</v>
      </c>
      <c r="L78" s="296">
        <v>160500</v>
      </c>
      <c r="M78" s="296">
        <v>1765500</v>
      </c>
    </row>
    <row r="79" spans="1:13" ht="15.5" hidden="1" x14ac:dyDescent="0.35">
      <c r="A79" t="s">
        <v>1517</v>
      </c>
      <c r="B79" t="s">
        <v>1518</v>
      </c>
      <c r="C79" t="s">
        <v>1497</v>
      </c>
      <c r="D79" t="s">
        <v>1510</v>
      </c>
      <c r="E79" s="296">
        <v>49</v>
      </c>
      <c r="F79" s="296">
        <v>89000</v>
      </c>
      <c r="G79" s="296">
        <v>4361000</v>
      </c>
      <c r="H79" s="296">
        <v>40050</v>
      </c>
      <c r="I79" s="296">
        <v>0</v>
      </c>
      <c r="J79" s="296">
        <v>4320950</v>
      </c>
      <c r="K79" s="296">
        <v>302467</v>
      </c>
      <c r="L79" s="296">
        <v>462342</v>
      </c>
      <c r="M79" s="296">
        <v>5085759</v>
      </c>
    </row>
    <row r="80" spans="1:13" ht="15.5" hidden="1" x14ac:dyDescent="0.35">
      <c r="A80" t="s">
        <v>1302</v>
      </c>
      <c r="B80" t="s">
        <v>1408</v>
      </c>
      <c r="C80" t="s">
        <v>1497</v>
      </c>
      <c r="D80" t="s">
        <v>1406</v>
      </c>
      <c r="E80" s="296">
        <v>28</v>
      </c>
      <c r="F80" s="296">
        <v>168000</v>
      </c>
      <c r="G80" s="296">
        <v>4704000</v>
      </c>
      <c r="H80" s="296">
        <v>126000</v>
      </c>
      <c r="I80" s="296">
        <v>0</v>
      </c>
      <c r="J80" s="296">
        <v>4578000</v>
      </c>
      <c r="K80" s="296">
        <v>320460</v>
      </c>
      <c r="L80" s="296">
        <v>489848</v>
      </c>
      <c r="M80" s="296">
        <v>5388308</v>
      </c>
    </row>
    <row r="81" spans="1:13" ht="15.5" hidden="1" x14ac:dyDescent="0.35">
      <c r="A81" t="s">
        <v>1511</v>
      </c>
      <c r="B81" t="s">
        <v>1512</v>
      </c>
      <c r="C81" t="s">
        <v>1497</v>
      </c>
      <c r="D81" t="s">
        <v>1510</v>
      </c>
      <c r="E81" s="296">
        <v>56</v>
      </c>
      <c r="F81" s="296">
        <v>69000</v>
      </c>
      <c r="G81" s="296">
        <v>3864000</v>
      </c>
      <c r="H81" s="296">
        <v>10350</v>
      </c>
      <c r="I81" s="296">
        <v>0</v>
      </c>
      <c r="J81" s="296">
        <v>3853650</v>
      </c>
      <c r="K81" s="296">
        <v>269756</v>
      </c>
      <c r="L81" s="296">
        <v>412341</v>
      </c>
      <c r="M81" s="296">
        <v>4535747</v>
      </c>
    </row>
    <row r="82" spans="1:13" ht="15.5" hidden="1" x14ac:dyDescent="0.35">
      <c r="A82" t="s">
        <v>1301</v>
      </c>
      <c r="B82" t="s">
        <v>1407</v>
      </c>
      <c r="C82" t="s">
        <v>1497</v>
      </c>
      <c r="D82" t="s">
        <v>1406</v>
      </c>
      <c r="E82" s="296">
        <v>27</v>
      </c>
      <c r="F82" s="296">
        <v>196000</v>
      </c>
      <c r="G82" s="296">
        <v>5292000</v>
      </c>
      <c r="H82" s="296">
        <v>19511.310000000001</v>
      </c>
      <c r="I82" s="296">
        <v>0</v>
      </c>
      <c r="J82" s="296">
        <v>5272488.6900000004</v>
      </c>
      <c r="K82" s="296">
        <v>355354</v>
      </c>
      <c r="L82" s="296">
        <v>562784</v>
      </c>
      <c r="M82" s="296">
        <v>6190626.6900000004</v>
      </c>
    </row>
    <row r="83" spans="1:13" ht="15.5" hidden="1" x14ac:dyDescent="0.35">
      <c r="A83" t="s">
        <v>1311</v>
      </c>
      <c r="B83" t="s">
        <v>1420</v>
      </c>
      <c r="C83" t="s">
        <v>1495</v>
      </c>
      <c r="D83" t="s">
        <v>1496</v>
      </c>
      <c r="E83" s="296">
        <v>27</v>
      </c>
      <c r="F83" s="296">
        <v>0</v>
      </c>
      <c r="G83" s="296">
        <v>0</v>
      </c>
      <c r="H83" s="296">
        <v>0</v>
      </c>
      <c r="I83" s="296">
        <v>0</v>
      </c>
      <c r="J83" s="296">
        <v>0</v>
      </c>
      <c r="K83" s="296">
        <v>0</v>
      </c>
      <c r="L83" s="296">
        <v>0</v>
      </c>
      <c r="M83" s="296">
        <v>0</v>
      </c>
    </row>
    <row r="84" spans="1:13" ht="15.5" hidden="1" x14ac:dyDescent="0.35">
      <c r="A84" t="s">
        <v>1363</v>
      </c>
      <c r="B84" t="s">
        <v>1469</v>
      </c>
      <c r="C84" t="s">
        <v>1497</v>
      </c>
      <c r="D84" t="s">
        <v>1501</v>
      </c>
      <c r="E84" s="296">
        <v>26</v>
      </c>
      <c r="F84" s="296">
        <v>27000</v>
      </c>
      <c r="G84" s="296">
        <v>702000</v>
      </c>
      <c r="H84" s="296">
        <v>0</v>
      </c>
      <c r="I84" s="296">
        <v>0</v>
      </c>
      <c r="J84" s="296">
        <v>702000</v>
      </c>
      <c r="K84" s="296">
        <v>47250</v>
      </c>
      <c r="L84" s="296">
        <v>74925</v>
      </c>
      <c r="M84" s="296">
        <v>824175</v>
      </c>
    </row>
    <row r="85" spans="1:13" ht="15.5" hidden="1" x14ac:dyDescent="0.35">
      <c r="A85" t="s">
        <v>1273</v>
      </c>
      <c r="B85" t="s">
        <v>1385</v>
      </c>
      <c r="C85" t="s">
        <v>1497</v>
      </c>
      <c r="D85" t="s">
        <v>1498</v>
      </c>
      <c r="E85" s="296">
        <v>25</v>
      </c>
      <c r="F85" s="296">
        <v>8000</v>
      </c>
      <c r="G85" s="296">
        <v>200000</v>
      </c>
      <c r="H85" s="296">
        <v>3600</v>
      </c>
      <c r="I85" s="296">
        <v>0</v>
      </c>
      <c r="J85" s="296">
        <v>196400</v>
      </c>
      <c r="K85" s="296">
        <v>13748</v>
      </c>
      <c r="L85" s="296">
        <v>21016</v>
      </c>
      <c r="M85" s="296">
        <v>231164</v>
      </c>
    </row>
    <row r="86" spans="1:13" ht="15.5" hidden="1" x14ac:dyDescent="0.35">
      <c r="A86" t="s">
        <v>1338</v>
      </c>
      <c r="B86" t="s">
        <v>1446</v>
      </c>
      <c r="C86" t="s">
        <v>1497</v>
      </c>
      <c r="D86" t="s">
        <v>1505</v>
      </c>
      <c r="E86" s="296">
        <v>25</v>
      </c>
      <c r="F86" s="296">
        <v>57000</v>
      </c>
      <c r="G86" s="296">
        <v>1425000</v>
      </c>
      <c r="H86" s="296">
        <v>114000</v>
      </c>
      <c r="I86" s="296">
        <v>0</v>
      </c>
      <c r="J86" s="296">
        <v>1311000</v>
      </c>
      <c r="K86" s="296">
        <v>63840</v>
      </c>
      <c r="L86" s="296">
        <v>137484</v>
      </c>
      <c r="M86" s="296">
        <v>1512324</v>
      </c>
    </row>
    <row r="87" spans="1:13" ht="15.5" hidden="1" x14ac:dyDescent="0.35">
      <c r="A87" t="s">
        <v>1352</v>
      </c>
      <c r="B87" t="s">
        <v>1459</v>
      </c>
      <c r="C87" t="s">
        <v>1497</v>
      </c>
      <c r="D87" t="s">
        <v>1501</v>
      </c>
      <c r="E87" s="296">
        <v>25</v>
      </c>
      <c r="F87" s="296">
        <v>35000</v>
      </c>
      <c r="G87" s="296">
        <v>875000</v>
      </c>
      <c r="H87" s="296">
        <v>5250</v>
      </c>
      <c r="I87" s="296">
        <v>0</v>
      </c>
      <c r="J87" s="296">
        <v>869750</v>
      </c>
      <c r="K87" s="296">
        <v>58433</v>
      </c>
      <c r="L87" s="296">
        <v>92818</v>
      </c>
      <c r="M87" s="296">
        <v>1021001</v>
      </c>
    </row>
    <row r="88" spans="1:13" ht="15.5" x14ac:dyDescent="0.35">
      <c r="A88" t="s">
        <v>1030</v>
      </c>
      <c r="B88" t="s">
        <v>1031</v>
      </c>
      <c r="C88" t="s">
        <v>1493</v>
      </c>
      <c r="D88" t="s">
        <v>1499</v>
      </c>
      <c r="E88" s="296">
        <v>14</v>
      </c>
      <c r="F88" s="296">
        <v>22800</v>
      </c>
      <c r="G88" s="296">
        <v>319200</v>
      </c>
      <c r="H88" s="296">
        <v>10260</v>
      </c>
      <c r="I88" s="296">
        <v>0</v>
      </c>
      <c r="J88" s="296">
        <v>308940</v>
      </c>
      <c r="K88" s="296">
        <v>21626</v>
      </c>
      <c r="L88" s="296">
        <v>33061</v>
      </c>
      <c r="M88" s="296">
        <v>363627</v>
      </c>
    </row>
    <row r="89" spans="1:13" ht="15.5" hidden="1" x14ac:dyDescent="0.35">
      <c r="A89" t="s">
        <v>1343</v>
      </c>
      <c r="B89" t="s">
        <v>1451</v>
      </c>
      <c r="C89" t="s">
        <v>1497</v>
      </c>
      <c r="D89" t="s">
        <v>1505</v>
      </c>
      <c r="E89" s="296">
        <v>23</v>
      </c>
      <c r="F89" s="296">
        <v>50000</v>
      </c>
      <c r="G89" s="296">
        <v>1150000</v>
      </c>
      <c r="H89" s="296">
        <v>15000</v>
      </c>
      <c r="I89" s="296">
        <v>0</v>
      </c>
      <c r="J89" s="296">
        <v>1135000</v>
      </c>
      <c r="K89" s="296">
        <v>79450</v>
      </c>
      <c r="L89" s="296">
        <v>121446</v>
      </c>
      <c r="M89" s="296">
        <v>1335896</v>
      </c>
    </row>
    <row r="90" spans="1:13" ht="15.5" hidden="1" x14ac:dyDescent="0.35">
      <c r="A90" t="s">
        <v>1312</v>
      </c>
      <c r="B90" t="s">
        <v>1421</v>
      </c>
      <c r="C90" t="s">
        <v>1495</v>
      </c>
      <c r="D90" t="s">
        <v>1496</v>
      </c>
      <c r="E90" s="296">
        <v>22</v>
      </c>
      <c r="F90" s="296">
        <v>0</v>
      </c>
      <c r="G90" s="296">
        <v>0</v>
      </c>
      <c r="H90" s="296">
        <v>0</v>
      </c>
      <c r="I90" s="296">
        <v>0</v>
      </c>
      <c r="J90" s="296">
        <v>0</v>
      </c>
      <c r="K90" s="296">
        <v>0</v>
      </c>
      <c r="L90" s="296">
        <v>0</v>
      </c>
      <c r="M90" s="296">
        <v>0</v>
      </c>
    </row>
    <row r="91" spans="1:13" ht="15.5" hidden="1" x14ac:dyDescent="0.35">
      <c r="A91" t="s">
        <v>1347</v>
      </c>
      <c r="B91" t="s">
        <v>1455</v>
      </c>
      <c r="C91" t="s">
        <v>1497</v>
      </c>
      <c r="D91" t="s">
        <v>1505</v>
      </c>
      <c r="E91" s="296">
        <v>22</v>
      </c>
      <c r="F91" s="296">
        <v>52000</v>
      </c>
      <c r="G91" s="296">
        <v>1144000</v>
      </c>
      <c r="H91" s="296">
        <v>10400</v>
      </c>
      <c r="I91" s="296">
        <v>0</v>
      </c>
      <c r="J91" s="296">
        <v>1133600</v>
      </c>
      <c r="K91" s="296">
        <v>76440</v>
      </c>
      <c r="L91" s="296">
        <v>121004</v>
      </c>
      <c r="M91" s="296">
        <v>1331044</v>
      </c>
    </row>
    <row r="92" spans="1:13" ht="15.5" hidden="1" x14ac:dyDescent="0.35">
      <c r="A92" t="s">
        <v>1354</v>
      </c>
      <c r="B92" t="s">
        <v>857</v>
      </c>
      <c r="C92" t="s">
        <v>1497</v>
      </c>
      <c r="D92" t="s">
        <v>1501</v>
      </c>
      <c r="E92" s="296">
        <v>22</v>
      </c>
      <c r="F92" s="296">
        <v>28000</v>
      </c>
      <c r="G92" s="296">
        <v>616000</v>
      </c>
      <c r="H92" s="296">
        <v>4200</v>
      </c>
      <c r="I92" s="296">
        <v>0</v>
      </c>
      <c r="J92" s="296">
        <v>611800</v>
      </c>
      <c r="K92" s="296">
        <v>40866</v>
      </c>
      <c r="L92" s="296">
        <v>65267</v>
      </c>
      <c r="M92" s="296">
        <v>717933</v>
      </c>
    </row>
    <row r="93" spans="1:13" ht="15.5" hidden="1" x14ac:dyDescent="0.35">
      <c r="A93" t="s">
        <v>1361</v>
      </c>
      <c r="B93" t="s">
        <v>1467</v>
      </c>
      <c r="C93" t="s">
        <v>1497</v>
      </c>
      <c r="D93" t="s">
        <v>1501</v>
      </c>
      <c r="E93" s="296">
        <v>22</v>
      </c>
      <c r="F93" s="296">
        <v>36000</v>
      </c>
      <c r="G93" s="296">
        <v>792000</v>
      </c>
      <c r="H93" s="296">
        <v>5400</v>
      </c>
      <c r="I93" s="296">
        <v>0</v>
      </c>
      <c r="J93" s="296">
        <v>786600</v>
      </c>
      <c r="K93" s="296">
        <v>55062</v>
      </c>
      <c r="L93" s="296">
        <v>84166</v>
      </c>
      <c r="M93" s="296">
        <v>925828</v>
      </c>
    </row>
    <row r="94" spans="1:13" ht="15.5" hidden="1" x14ac:dyDescent="0.35">
      <c r="A94" t="s">
        <v>1358</v>
      </c>
      <c r="B94" t="s">
        <v>1464</v>
      </c>
      <c r="C94" t="s">
        <v>1497</v>
      </c>
      <c r="D94" t="s">
        <v>1501</v>
      </c>
      <c r="E94" s="296">
        <v>21</v>
      </c>
      <c r="F94" s="296">
        <v>48000</v>
      </c>
      <c r="G94" s="296">
        <v>1008000</v>
      </c>
      <c r="H94" s="296">
        <v>14400</v>
      </c>
      <c r="I94" s="296">
        <v>0</v>
      </c>
      <c r="J94" s="296">
        <v>993600</v>
      </c>
      <c r="K94" s="296">
        <v>66192</v>
      </c>
      <c r="L94" s="296">
        <v>105980</v>
      </c>
      <c r="M94" s="296">
        <v>1165772</v>
      </c>
    </row>
    <row r="95" spans="1:13" ht="15.5" hidden="1" x14ac:dyDescent="0.35">
      <c r="A95" t="s">
        <v>1287</v>
      </c>
      <c r="B95" t="s">
        <v>1396</v>
      </c>
      <c r="C95" t="s">
        <v>1497</v>
      </c>
      <c r="D95" t="s">
        <v>1506</v>
      </c>
      <c r="E95" s="296">
        <v>20</v>
      </c>
      <c r="F95" s="296">
        <v>42560</v>
      </c>
      <c r="G95" s="296">
        <v>851200</v>
      </c>
      <c r="H95" s="296">
        <v>0</v>
      </c>
      <c r="I95" s="296">
        <v>0</v>
      </c>
      <c r="J95" s="296">
        <v>851200</v>
      </c>
      <c r="K95" s="296">
        <v>0</v>
      </c>
      <c r="L95" s="296">
        <v>85120</v>
      </c>
      <c r="M95" s="296">
        <v>936320</v>
      </c>
    </row>
    <row r="96" spans="1:13" ht="15.5" hidden="1" x14ac:dyDescent="0.35">
      <c r="A96" t="s">
        <v>1348</v>
      </c>
      <c r="B96" t="s">
        <v>1523</v>
      </c>
      <c r="C96" t="s">
        <v>1497</v>
      </c>
      <c r="D96" t="s">
        <v>1505</v>
      </c>
      <c r="E96" s="296">
        <v>20</v>
      </c>
      <c r="F96" s="296">
        <v>52000</v>
      </c>
      <c r="G96" s="296">
        <v>1040000</v>
      </c>
      <c r="H96" s="296">
        <v>59800</v>
      </c>
      <c r="I96" s="296">
        <v>0</v>
      </c>
      <c r="J96" s="296">
        <v>980200</v>
      </c>
      <c r="K96" s="296">
        <v>68614</v>
      </c>
      <c r="L96" s="296">
        <v>104881</v>
      </c>
      <c r="M96" s="296">
        <v>1153695</v>
      </c>
    </row>
    <row r="97" spans="1:13" ht="15.5" hidden="1" x14ac:dyDescent="0.35">
      <c r="A97" t="s">
        <v>1350</v>
      </c>
      <c r="B97" t="s">
        <v>1457</v>
      </c>
      <c r="C97" t="s">
        <v>1497</v>
      </c>
      <c r="D97" t="s">
        <v>1501</v>
      </c>
      <c r="E97" s="296">
        <v>20</v>
      </c>
      <c r="F97" s="296">
        <v>53760</v>
      </c>
      <c r="G97" s="296">
        <v>1075200</v>
      </c>
      <c r="H97" s="296">
        <v>0</v>
      </c>
      <c r="I97" s="296">
        <v>0</v>
      </c>
      <c r="J97" s="296">
        <v>1075200</v>
      </c>
      <c r="K97" s="296">
        <v>0</v>
      </c>
      <c r="L97" s="296">
        <v>107520</v>
      </c>
      <c r="M97" s="296">
        <v>1182720</v>
      </c>
    </row>
    <row r="98" spans="1:13" ht="15.5" hidden="1" x14ac:dyDescent="0.35">
      <c r="A98" t="s">
        <v>1359</v>
      </c>
      <c r="B98" t="s">
        <v>1465</v>
      </c>
      <c r="C98" t="s">
        <v>1497</v>
      </c>
      <c r="D98" t="s">
        <v>1501</v>
      </c>
      <c r="E98" s="296">
        <v>20</v>
      </c>
      <c r="F98" s="296">
        <v>22000</v>
      </c>
      <c r="G98" s="296">
        <v>440000</v>
      </c>
      <c r="H98" s="296">
        <v>7700</v>
      </c>
      <c r="I98" s="296">
        <v>0</v>
      </c>
      <c r="J98" s="296">
        <v>432300</v>
      </c>
      <c r="K98" s="296">
        <v>30261</v>
      </c>
      <c r="L98" s="296">
        <v>46256</v>
      </c>
      <c r="M98" s="296">
        <v>508817</v>
      </c>
    </row>
    <row r="99" spans="1:13" ht="15.5" hidden="1" x14ac:dyDescent="0.35">
      <c r="A99" t="s">
        <v>1303</v>
      </c>
      <c r="B99" t="s">
        <v>1409</v>
      </c>
      <c r="C99" t="s">
        <v>1497</v>
      </c>
      <c r="D99" t="s">
        <v>1406</v>
      </c>
      <c r="E99" s="296">
        <v>19</v>
      </c>
      <c r="F99" s="296">
        <v>209000</v>
      </c>
      <c r="G99" s="296">
        <v>3971000</v>
      </c>
      <c r="H99" s="296">
        <v>62700</v>
      </c>
      <c r="I99" s="296">
        <v>0</v>
      </c>
      <c r="J99" s="296">
        <v>3908300</v>
      </c>
      <c r="K99" s="296">
        <v>273582</v>
      </c>
      <c r="L99" s="296">
        <v>418189</v>
      </c>
      <c r="M99" s="296">
        <v>4600071</v>
      </c>
    </row>
    <row r="100" spans="1:13" ht="15.5" x14ac:dyDescent="0.35">
      <c r="A100" t="s">
        <v>1030</v>
      </c>
      <c r="B100" t="s">
        <v>1894</v>
      </c>
      <c r="C100" t="s">
        <v>1493</v>
      </c>
      <c r="D100" t="s">
        <v>1499</v>
      </c>
      <c r="E100" s="296">
        <v>1</v>
      </c>
      <c r="F100" s="296">
        <v>0</v>
      </c>
      <c r="G100" s="296">
        <v>0</v>
      </c>
      <c r="H100" s="296">
        <v>0</v>
      </c>
      <c r="I100" s="296">
        <v>0</v>
      </c>
      <c r="J100" s="296">
        <v>0</v>
      </c>
      <c r="K100" s="296">
        <v>0</v>
      </c>
      <c r="L100" s="296">
        <v>0</v>
      </c>
      <c r="M100" s="296">
        <v>0</v>
      </c>
    </row>
    <row r="101" spans="1:13" ht="15.5" x14ac:dyDescent="0.35">
      <c r="A101" t="s">
        <v>1030</v>
      </c>
      <c r="B101" t="s">
        <v>1031</v>
      </c>
      <c r="C101" t="s">
        <v>1493</v>
      </c>
      <c r="D101" t="s">
        <v>1499</v>
      </c>
      <c r="E101" s="296">
        <v>1</v>
      </c>
      <c r="F101" s="296">
        <v>25536</v>
      </c>
      <c r="G101" s="296">
        <v>25536</v>
      </c>
      <c r="H101" s="296">
        <v>0</v>
      </c>
      <c r="I101" s="296">
        <v>0</v>
      </c>
      <c r="J101" s="296">
        <v>25536</v>
      </c>
      <c r="K101" s="296">
        <v>0</v>
      </c>
      <c r="L101" s="296">
        <v>2554</v>
      </c>
      <c r="M101" s="296">
        <v>28090</v>
      </c>
    </row>
    <row r="102" spans="1:13" ht="15.5" hidden="1" x14ac:dyDescent="0.35">
      <c r="A102" t="s">
        <v>1291</v>
      </c>
      <c r="B102" t="s">
        <v>1400</v>
      </c>
      <c r="C102" t="s">
        <v>1497</v>
      </c>
      <c r="D102" t="s">
        <v>1506</v>
      </c>
      <c r="E102" s="296">
        <v>18</v>
      </c>
      <c r="F102" s="296">
        <v>50400</v>
      </c>
      <c r="G102" s="296">
        <v>907200</v>
      </c>
      <c r="H102" s="296">
        <v>0</v>
      </c>
      <c r="I102" s="296">
        <v>0</v>
      </c>
      <c r="J102" s="296">
        <v>907200</v>
      </c>
      <c r="K102" s="296">
        <v>0</v>
      </c>
      <c r="L102" s="296">
        <v>90720</v>
      </c>
      <c r="M102" s="296">
        <v>997920</v>
      </c>
    </row>
    <row r="103" spans="1:13" ht="15.5" x14ac:dyDescent="0.35">
      <c r="A103" t="s">
        <v>1032</v>
      </c>
      <c r="B103" t="s">
        <v>1033</v>
      </c>
      <c r="C103" t="s">
        <v>1493</v>
      </c>
      <c r="D103" t="s">
        <v>1499</v>
      </c>
      <c r="E103" s="296">
        <v>24</v>
      </c>
      <c r="F103" s="296">
        <v>22800</v>
      </c>
      <c r="G103" s="296">
        <v>547200</v>
      </c>
      <c r="H103" s="296">
        <v>6840</v>
      </c>
      <c r="I103" s="296">
        <v>0</v>
      </c>
      <c r="J103" s="296">
        <v>540360</v>
      </c>
      <c r="K103" s="296">
        <v>29846</v>
      </c>
      <c r="L103" s="296">
        <v>57028</v>
      </c>
      <c r="M103" s="296">
        <v>627234</v>
      </c>
    </row>
    <row r="104" spans="1:13" ht="15.5" hidden="1" x14ac:dyDescent="0.35">
      <c r="A104" t="s">
        <v>1330</v>
      </c>
      <c r="B104" t="s">
        <v>1438</v>
      </c>
      <c r="C104" t="s">
        <v>1503</v>
      </c>
      <c r="D104" t="s">
        <v>1504</v>
      </c>
      <c r="E104" s="296">
        <v>18</v>
      </c>
      <c r="F104" s="296">
        <v>50000</v>
      </c>
      <c r="G104" s="296">
        <v>900000</v>
      </c>
      <c r="H104" s="296">
        <v>0</v>
      </c>
      <c r="I104" s="296">
        <v>0</v>
      </c>
      <c r="J104" s="296">
        <v>900000</v>
      </c>
      <c r="K104" s="296">
        <v>63000</v>
      </c>
      <c r="L104" s="296">
        <v>96300</v>
      </c>
      <c r="M104" s="296">
        <v>1059300</v>
      </c>
    </row>
    <row r="105" spans="1:13" ht="15.5" hidden="1" x14ac:dyDescent="0.35">
      <c r="A105" t="s">
        <v>1367</v>
      </c>
      <c r="B105" t="s">
        <v>1472</v>
      </c>
      <c r="C105" t="s">
        <v>1497</v>
      </c>
      <c r="D105" t="s">
        <v>1502</v>
      </c>
      <c r="E105" s="296">
        <v>18</v>
      </c>
      <c r="F105" s="296">
        <v>50400</v>
      </c>
      <c r="G105" s="296">
        <v>907200</v>
      </c>
      <c r="H105" s="296">
        <v>0</v>
      </c>
      <c r="I105" s="296">
        <v>0</v>
      </c>
      <c r="J105" s="296">
        <v>907200</v>
      </c>
      <c r="K105" s="296">
        <v>0</v>
      </c>
      <c r="L105" s="296">
        <v>90720</v>
      </c>
      <c r="M105" s="296">
        <v>997920</v>
      </c>
    </row>
    <row r="106" spans="1:13" ht="15.5" hidden="1" x14ac:dyDescent="0.35">
      <c r="A106" t="s">
        <v>1528</v>
      </c>
      <c r="B106" t="s">
        <v>1529</v>
      </c>
      <c r="C106" t="s">
        <v>1497</v>
      </c>
      <c r="D106" t="s">
        <v>1498</v>
      </c>
      <c r="E106" s="296">
        <v>17</v>
      </c>
      <c r="F106" s="296">
        <v>14000</v>
      </c>
      <c r="G106" s="296">
        <v>238000</v>
      </c>
      <c r="H106" s="296">
        <v>8400</v>
      </c>
      <c r="I106" s="296">
        <v>0</v>
      </c>
      <c r="J106" s="296">
        <v>229600</v>
      </c>
      <c r="K106" s="296">
        <v>16072</v>
      </c>
      <c r="L106" s="296">
        <v>24567</v>
      </c>
      <c r="M106" s="296">
        <v>270239</v>
      </c>
    </row>
    <row r="107" spans="1:13" ht="15.5" hidden="1" x14ac:dyDescent="0.35">
      <c r="A107" t="s">
        <v>1290</v>
      </c>
      <c r="B107" t="s">
        <v>1399</v>
      </c>
      <c r="C107" t="s">
        <v>1497</v>
      </c>
      <c r="D107" t="s">
        <v>1506</v>
      </c>
      <c r="E107" s="296">
        <v>17</v>
      </c>
      <c r="F107" s="296">
        <v>47000</v>
      </c>
      <c r="G107" s="296">
        <v>799000</v>
      </c>
      <c r="H107" s="296">
        <v>0</v>
      </c>
      <c r="I107" s="296">
        <v>0</v>
      </c>
      <c r="J107" s="296">
        <v>799000</v>
      </c>
      <c r="K107" s="296">
        <v>52640</v>
      </c>
      <c r="L107" s="296">
        <v>85164</v>
      </c>
      <c r="M107" s="296">
        <v>936804</v>
      </c>
    </row>
    <row r="108" spans="1:13" ht="15.5" hidden="1" x14ac:dyDescent="0.35">
      <c r="A108" t="s">
        <v>1315</v>
      </c>
      <c r="B108" t="s">
        <v>1424</v>
      </c>
      <c r="C108" t="s">
        <v>1495</v>
      </c>
      <c r="D108" t="s">
        <v>1496</v>
      </c>
      <c r="E108" s="296">
        <v>17</v>
      </c>
      <c r="F108" s="296">
        <v>0</v>
      </c>
      <c r="G108" s="296">
        <v>0</v>
      </c>
      <c r="H108" s="296">
        <v>0</v>
      </c>
      <c r="I108" s="296">
        <v>0</v>
      </c>
      <c r="J108" s="296">
        <v>0</v>
      </c>
      <c r="K108" s="296">
        <v>0</v>
      </c>
      <c r="L108" s="296">
        <v>0</v>
      </c>
      <c r="M108" s="296">
        <v>0</v>
      </c>
    </row>
    <row r="109" spans="1:13" ht="15.5" hidden="1" x14ac:dyDescent="0.35">
      <c r="A109" t="s">
        <v>1292</v>
      </c>
      <c r="B109" t="s">
        <v>1401</v>
      </c>
      <c r="C109" t="s">
        <v>1497</v>
      </c>
      <c r="D109" t="s">
        <v>1506</v>
      </c>
      <c r="E109" s="296">
        <v>16</v>
      </c>
      <c r="F109" s="296">
        <v>45000</v>
      </c>
      <c r="G109" s="296">
        <v>720000</v>
      </c>
      <c r="H109" s="296">
        <v>0</v>
      </c>
      <c r="I109" s="296">
        <v>0</v>
      </c>
      <c r="J109" s="296">
        <v>720000</v>
      </c>
      <c r="K109" s="296">
        <v>47250</v>
      </c>
      <c r="L109" s="296">
        <v>76725</v>
      </c>
      <c r="M109" s="296">
        <v>843975</v>
      </c>
    </row>
    <row r="110" spans="1:13" ht="15.5" hidden="1" x14ac:dyDescent="0.35">
      <c r="A110" t="s">
        <v>1339</v>
      </c>
      <c r="B110" t="s">
        <v>1447</v>
      </c>
      <c r="C110" t="s">
        <v>1497</v>
      </c>
      <c r="D110" t="s">
        <v>1505</v>
      </c>
      <c r="E110" s="296">
        <v>16</v>
      </c>
      <c r="F110" s="296">
        <v>70560</v>
      </c>
      <c r="G110" s="296">
        <v>1128960</v>
      </c>
      <c r="H110" s="296">
        <v>0</v>
      </c>
      <c r="I110" s="296">
        <v>0</v>
      </c>
      <c r="J110" s="296">
        <v>1128960</v>
      </c>
      <c r="K110" s="296">
        <v>0</v>
      </c>
      <c r="L110" s="296">
        <v>112896</v>
      </c>
      <c r="M110" s="296">
        <v>1241856</v>
      </c>
    </row>
    <row r="111" spans="1:13" ht="15.5" hidden="1" x14ac:dyDescent="0.35">
      <c r="A111" t="s">
        <v>1257</v>
      </c>
      <c r="B111" t="s">
        <v>723</v>
      </c>
      <c r="C111" t="s">
        <v>1497</v>
      </c>
      <c r="D111" t="s">
        <v>1524</v>
      </c>
      <c r="E111" s="296">
        <v>15</v>
      </c>
      <c r="F111" s="296">
        <v>88000</v>
      </c>
      <c r="G111" s="296">
        <v>1320000</v>
      </c>
      <c r="H111" s="296">
        <v>13200</v>
      </c>
      <c r="I111" s="296">
        <v>0</v>
      </c>
      <c r="J111" s="296">
        <v>1306800</v>
      </c>
      <c r="K111" s="296">
        <v>91476</v>
      </c>
      <c r="L111" s="296">
        <v>139828</v>
      </c>
      <c r="M111" s="296">
        <v>1538104</v>
      </c>
    </row>
    <row r="112" spans="1:13" ht="15.5" hidden="1" x14ac:dyDescent="0.35">
      <c r="A112" t="s">
        <v>1291</v>
      </c>
      <c r="B112" t="s">
        <v>1400</v>
      </c>
      <c r="C112" t="s">
        <v>1497</v>
      </c>
      <c r="D112" t="s">
        <v>1506</v>
      </c>
      <c r="E112" s="296">
        <v>15</v>
      </c>
      <c r="F112" s="296">
        <v>45000</v>
      </c>
      <c r="G112" s="296">
        <v>675000</v>
      </c>
      <c r="H112" s="296">
        <v>6750</v>
      </c>
      <c r="I112" s="296">
        <v>0</v>
      </c>
      <c r="J112" s="296">
        <v>668250</v>
      </c>
      <c r="K112" s="296">
        <v>40478</v>
      </c>
      <c r="L112" s="296">
        <v>70873</v>
      </c>
      <c r="M112" s="296">
        <v>779601</v>
      </c>
    </row>
    <row r="113" spans="1:13" ht="15.5" hidden="1" x14ac:dyDescent="0.35">
      <c r="A113" t="s">
        <v>1296</v>
      </c>
      <c r="B113" t="s">
        <v>35</v>
      </c>
      <c r="C113" t="s">
        <v>1497</v>
      </c>
      <c r="D113" t="s">
        <v>1500</v>
      </c>
      <c r="E113" s="296">
        <v>15</v>
      </c>
      <c r="F113" s="296">
        <v>118000</v>
      </c>
      <c r="G113" s="296">
        <v>1770000</v>
      </c>
      <c r="H113" s="296">
        <v>17700</v>
      </c>
      <c r="I113" s="296">
        <v>0</v>
      </c>
      <c r="J113" s="296">
        <v>1752300</v>
      </c>
      <c r="K113" s="296">
        <v>122661</v>
      </c>
      <c r="L113" s="296">
        <v>187496</v>
      </c>
      <c r="M113" s="296">
        <v>2062457</v>
      </c>
    </row>
    <row r="114" spans="1:13" ht="15.5" hidden="1" x14ac:dyDescent="0.35">
      <c r="A114" t="s">
        <v>1515</v>
      </c>
      <c r="B114" t="s">
        <v>1516</v>
      </c>
      <c r="C114" t="s">
        <v>1497</v>
      </c>
      <c r="D114" t="s">
        <v>1510</v>
      </c>
      <c r="E114" s="296">
        <v>41</v>
      </c>
      <c r="F114" s="296">
        <v>72000</v>
      </c>
      <c r="G114" s="296">
        <v>2952000</v>
      </c>
      <c r="H114" s="296">
        <v>39600</v>
      </c>
      <c r="I114" s="296">
        <v>0</v>
      </c>
      <c r="J114" s="296">
        <v>2912400</v>
      </c>
      <c r="K114" s="296">
        <v>198828</v>
      </c>
      <c r="L114" s="296">
        <v>311122</v>
      </c>
      <c r="M114" s="296">
        <v>3422350</v>
      </c>
    </row>
    <row r="115" spans="1:13" ht="15.5" hidden="1" x14ac:dyDescent="0.35">
      <c r="A115" t="s">
        <v>1508</v>
      </c>
      <c r="B115" t="s">
        <v>1509</v>
      </c>
      <c r="C115" t="s">
        <v>1497</v>
      </c>
      <c r="D115" t="s">
        <v>1510</v>
      </c>
      <c r="E115" s="296">
        <v>60</v>
      </c>
      <c r="F115" s="296">
        <v>72000</v>
      </c>
      <c r="G115" s="296">
        <v>4320000</v>
      </c>
      <c r="H115" s="296">
        <v>54000</v>
      </c>
      <c r="I115" s="296">
        <v>0</v>
      </c>
      <c r="J115" s="296">
        <v>4266000</v>
      </c>
      <c r="K115" s="296">
        <v>298620</v>
      </c>
      <c r="L115" s="296">
        <v>456461</v>
      </c>
      <c r="M115" s="296">
        <v>5021081</v>
      </c>
    </row>
    <row r="116" spans="1:13" ht="15.5" hidden="1" x14ac:dyDescent="0.35">
      <c r="A116" t="s">
        <v>1341</v>
      </c>
      <c r="B116" t="s">
        <v>1449</v>
      </c>
      <c r="C116" t="s">
        <v>1497</v>
      </c>
      <c r="D116" t="s">
        <v>1505</v>
      </c>
      <c r="E116" s="296">
        <v>15</v>
      </c>
      <c r="F116" s="296">
        <v>63840</v>
      </c>
      <c r="G116" s="296">
        <v>957600</v>
      </c>
      <c r="H116" s="296">
        <v>0</v>
      </c>
      <c r="I116" s="296">
        <v>0</v>
      </c>
      <c r="J116" s="296">
        <v>957600</v>
      </c>
      <c r="K116" s="296">
        <v>0</v>
      </c>
      <c r="L116" s="296">
        <v>95760</v>
      </c>
      <c r="M116" s="296">
        <v>1053360</v>
      </c>
    </row>
    <row r="117" spans="1:13" ht="15.5" hidden="1" x14ac:dyDescent="0.35">
      <c r="A117" t="s">
        <v>1344</v>
      </c>
      <c r="B117" t="s">
        <v>1452</v>
      </c>
      <c r="C117" t="s">
        <v>1497</v>
      </c>
      <c r="D117" t="s">
        <v>1505</v>
      </c>
      <c r="E117" s="296">
        <v>15</v>
      </c>
      <c r="F117" s="296">
        <v>68320</v>
      </c>
      <c r="G117" s="296">
        <v>1024800</v>
      </c>
      <c r="H117" s="296">
        <v>0</v>
      </c>
      <c r="I117" s="296">
        <v>0</v>
      </c>
      <c r="J117" s="296">
        <v>1024800</v>
      </c>
      <c r="K117" s="296">
        <v>0</v>
      </c>
      <c r="L117" s="296">
        <v>102480</v>
      </c>
      <c r="M117" s="296">
        <v>1127280</v>
      </c>
    </row>
    <row r="118" spans="1:13" ht="15.5" hidden="1" x14ac:dyDescent="0.35">
      <c r="A118" t="s">
        <v>1262</v>
      </c>
      <c r="B118" t="s">
        <v>1375</v>
      </c>
      <c r="C118" t="s">
        <v>1497</v>
      </c>
      <c r="D118" t="s">
        <v>1525</v>
      </c>
      <c r="E118" s="296">
        <v>14</v>
      </c>
      <c r="F118" s="296">
        <v>52640</v>
      </c>
      <c r="G118" s="296">
        <v>736960</v>
      </c>
      <c r="H118" s="296">
        <v>0</v>
      </c>
      <c r="I118" s="296">
        <v>0</v>
      </c>
      <c r="J118" s="296">
        <v>736960</v>
      </c>
      <c r="K118" s="296">
        <v>0</v>
      </c>
      <c r="L118" s="296">
        <v>73696</v>
      </c>
      <c r="M118" s="296">
        <v>810656</v>
      </c>
    </row>
    <row r="119" spans="1:13" ht="15.5" hidden="1" x14ac:dyDescent="0.35">
      <c r="A119" t="s">
        <v>1272</v>
      </c>
      <c r="B119" t="s">
        <v>1384</v>
      </c>
      <c r="C119" t="s">
        <v>1497</v>
      </c>
      <c r="D119" t="s">
        <v>1498</v>
      </c>
      <c r="E119" s="296">
        <v>14</v>
      </c>
      <c r="F119" s="296">
        <v>8000</v>
      </c>
      <c r="G119" s="296">
        <v>112000</v>
      </c>
      <c r="H119" s="296">
        <v>2400</v>
      </c>
      <c r="I119" s="296">
        <v>0</v>
      </c>
      <c r="J119" s="296">
        <v>109600</v>
      </c>
      <c r="K119" s="296">
        <v>7672</v>
      </c>
      <c r="L119" s="296">
        <v>11728</v>
      </c>
      <c r="M119" s="296">
        <v>129000</v>
      </c>
    </row>
    <row r="120" spans="1:13" ht="15.5" x14ac:dyDescent="0.35">
      <c r="A120" t="s">
        <v>1034</v>
      </c>
      <c r="B120" t="s">
        <v>1035</v>
      </c>
      <c r="C120" t="s">
        <v>1493</v>
      </c>
      <c r="D120" t="s">
        <v>1499</v>
      </c>
      <c r="E120" s="296">
        <v>32</v>
      </c>
      <c r="F120" s="296">
        <v>22800</v>
      </c>
      <c r="G120" s="296">
        <v>729600</v>
      </c>
      <c r="H120" s="296">
        <v>11400</v>
      </c>
      <c r="I120" s="296">
        <v>0</v>
      </c>
      <c r="J120" s="296">
        <v>718200</v>
      </c>
      <c r="K120" s="296">
        <v>47402</v>
      </c>
      <c r="L120" s="296">
        <v>76572</v>
      </c>
      <c r="M120" s="296">
        <v>842174</v>
      </c>
    </row>
    <row r="121" spans="1:13" ht="15.5" hidden="1" x14ac:dyDescent="0.35">
      <c r="A121" t="s">
        <v>1353</v>
      </c>
      <c r="B121" t="s">
        <v>1460</v>
      </c>
      <c r="C121" t="s">
        <v>1497</v>
      </c>
      <c r="D121" t="s">
        <v>1501</v>
      </c>
      <c r="E121" s="296">
        <v>14</v>
      </c>
      <c r="F121" s="296">
        <v>28000</v>
      </c>
      <c r="G121" s="296">
        <v>392000</v>
      </c>
      <c r="H121" s="296">
        <v>4200</v>
      </c>
      <c r="I121" s="296">
        <v>0</v>
      </c>
      <c r="J121" s="296">
        <v>387800</v>
      </c>
      <c r="K121" s="296">
        <v>27146</v>
      </c>
      <c r="L121" s="296">
        <v>41495</v>
      </c>
      <c r="M121" s="296">
        <v>456441</v>
      </c>
    </row>
    <row r="122" spans="1:13" ht="15.5" hidden="1" x14ac:dyDescent="0.35">
      <c r="A122" t="s">
        <v>1360</v>
      </c>
      <c r="B122" t="s">
        <v>1466</v>
      </c>
      <c r="C122" t="s">
        <v>1497</v>
      </c>
      <c r="D122" t="s">
        <v>1501</v>
      </c>
      <c r="E122" s="296">
        <v>14</v>
      </c>
      <c r="F122" s="296">
        <v>30000</v>
      </c>
      <c r="G122" s="296">
        <v>420000</v>
      </c>
      <c r="H122" s="296">
        <v>0</v>
      </c>
      <c r="I122" s="296">
        <v>0</v>
      </c>
      <c r="J122" s="296">
        <v>420000</v>
      </c>
      <c r="K122" s="296">
        <v>29400</v>
      </c>
      <c r="L122" s="296">
        <v>44940</v>
      </c>
      <c r="M122" s="296">
        <v>494340</v>
      </c>
    </row>
    <row r="123" spans="1:13" ht="15.5" hidden="1" x14ac:dyDescent="0.35">
      <c r="A123" t="s">
        <v>1267</v>
      </c>
      <c r="B123" t="s">
        <v>1380</v>
      </c>
      <c r="C123" t="s">
        <v>1497</v>
      </c>
      <c r="D123" t="s">
        <v>1498</v>
      </c>
      <c r="E123" s="296">
        <v>13</v>
      </c>
      <c r="F123" s="296">
        <v>19040</v>
      </c>
      <c r="G123" s="296">
        <v>247520</v>
      </c>
      <c r="H123" s="296">
        <v>0</v>
      </c>
      <c r="I123" s="296">
        <v>0</v>
      </c>
      <c r="J123" s="296">
        <v>247520</v>
      </c>
      <c r="K123" s="296">
        <v>0</v>
      </c>
      <c r="L123" s="296">
        <v>24752</v>
      </c>
      <c r="M123" s="296">
        <v>272272</v>
      </c>
    </row>
    <row r="124" spans="1:13" ht="15.5" hidden="1" x14ac:dyDescent="0.35">
      <c r="A124" t="s">
        <v>1287</v>
      </c>
      <c r="B124" t="s">
        <v>1396</v>
      </c>
      <c r="C124" t="s">
        <v>1497</v>
      </c>
      <c r="D124" t="s">
        <v>1506</v>
      </c>
      <c r="E124" s="296">
        <v>13</v>
      </c>
      <c r="F124" s="296">
        <v>38000</v>
      </c>
      <c r="G124" s="296">
        <v>494000</v>
      </c>
      <c r="H124" s="296">
        <v>0</v>
      </c>
      <c r="I124" s="296">
        <v>0</v>
      </c>
      <c r="J124" s="296">
        <v>494000</v>
      </c>
      <c r="K124" s="296">
        <v>31920</v>
      </c>
      <c r="L124" s="296">
        <v>52592</v>
      </c>
      <c r="M124" s="296">
        <v>578512</v>
      </c>
    </row>
    <row r="125" spans="1:13" ht="15.5" hidden="1" x14ac:dyDescent="0.35">
      <c r="A125" t="s">
        <v>1322</v>
      </c>
      <c r="B125" t="s">
        <v>1430</v>
      </c>
      <c r="C125" t="s">
        <v>1503</v>
      </c>
      <c r="D125" t="s">
        <v>1503</v>
      </c>
      <c r="E125" s="296">
        <v>13</v>
      </c>
      <c r="F125" s="296">
        <v>0</v>
      </c>
      <c r="G125" s="296">
        <v>0</v>
      </c>
      <c r="H125" s="296">
        <v>0</v>
      </c>
      <c r="I125" s="296">
        <v>0</v>
      </c>
      <c r="J125" s="296">
        <v>0</v>
      </c>
      <c r="K125" s="296">
        <v>0</v>
      </c>
      <c r="L125" s="296">
        <v>0</v>
      </c>
      <c r="M125" s="296">
        <v>0</v>
      </c>
    </row>
    <row r="126" spans="1:13" ht="15.5" hidden="1" x14ac:dyDescent="0.35">
      <c r="A126" t="s">
        <v>1323</v>
      </c>
      <c r="B126" t="s">
        <v>1431</v>
      </c>
      <c r="C126" t="s">
        <v>1503</v>
      </c>
      <c r="D126" t="s">
        <v>1503</v>
      </c>
      <c r="E126" s="296">
        <v>13</v>
      </c>
      <c r="F126" s="296">
        <v>0</v>
      </c>
      <c r="G126" s="296">
        <v>0</v>
      </c>
      <c r="H126" s="296">
        <v>0</v>
      </c>
      <c r="I126" s="296">
        <v>0</v>
      </c>
      <c r="J126" s="296">
        <v>0</v>
      </c>
      <c r="K126" s="296">
        <v>0</v>
      </c>
      <c r="L126" s="296">
        <v>0</v>
      </c>
      <c r="M126" s="296">
        <v>0</v>
      </c>
    </row>
    <row r="127" spans="1:13" ht="15.5" hidden="1" x14ac:dyDescent="0.35">
      <c r="A127" t="s">
        <v>1351</v>
      </c>
      <c r="B127" t="s">
        <v>1458</v>
      </c>
      <c r="C127" t="s">
        <v>1497</v>
      </c>
      <c r="D127" t="s">
        <v>1501</v>
      </c>
      <c r="E127" s="296">
        <v>13</v>
      </c>
      <c r="F127" s="296">
        <v>39200</v>
      </c>
      <c r="G127" s="296">
        <v>509600</v>
      </c>
      <c r="H127" s="296">
        <v>0</v>
      </c>
      <c r="I127" s="296">
        <v>0</v>
      </c>
      <c r="J127" s="296">
        <v>509600</v>
      </c>
      <c r="K127" s="296">
        <v>0</v>
      </c>
      <c r="L127" s="296">
        <v>50960</v>
      </c>
      <c r="M127" s="296">
        <v>560560</v>
      </c>
    </row>
    <row r="128" spans="1:13" ht="15.5" hidden="1" x14ac:dyDescent="0.35">
      <c r="A128" t="s">
        <v>1357</v>
      </c>
      <c r="B128" t="s">
        <v>1463</v>
      </c>
      <c r="C128" t="s">
        <v>1497</v>
      </c>
      <c r="D128" t="s">
        <v>1501</v>
      </c>
      <c r="E128" s="296">
        <v>13</v>
      </c>
      <c r="F128" s="296">
        <v>53760</v>
      </c>
      <c r="G128" s="296">
        <v>698880</v>
      </c>
      <c r="H128" s="296">
        <v>0</v>
      </c>
      <c r="I128" s="296">
        <v>0</v>
      </c>
      <c r="J128" s="296">
        <v>698880</v>
      </c>
      <c r="K128" s="296">
        <v>0</v>
      </c>
      <c r="L128" s="296">
        <v>69888</v>
      </c>
      <c r="M128" s="296">
        <v>768768</v>
      </c>
    </row>
    <row r="129" spans="1:13" ht="15.5" hidden="1" x14ac:dyDescent="0.35">
      <c r="A129" t="s">
        <v>1284</v>
      </c>
      <c r="B129" t="s">
        <v>886</v>
      </c>
      <c r="C129" t="s">
        <v>1497</v>
      </c>
      <c r="D129" t="s">
        <v>1498</v>
      </c>
      <c r="E129" s="296">
        <v>12</v>
      </c>
      <c r="F129" s="296">
        <v>2000</v>
      </c>
      <c r="G129" s="296">
        <v>24000</v>
      </c>
      <c r="H129" s="296">
        <v>300</v>
      </c>
      <c r="I129" s="296">
        <v>0</v>
      </c>
      <c r="J129" s="296">
        <v>23700</v>
      </c>
      <c r="K129" s="296">
        <v>1659</v>
      </c>
      <c r="L129" s="296">
        <v>2536</v>
      </c>
      <c r="M129" s="296">
        <v>27895</v>
      </c>
    </row>
    <row r="130" spans="1:13" ht="15.5" hidden="1" x14ac:dyDescent="0.35">
      <c r="A130" t="s">
        <v>1293</v>
      </c>
      <c r="B130" t="s">
        <v>1402</v>
      </c>
      <c r="C130" t="s">
        <v>1497</v>
      </c>
      <c r="D130" t="s">
        <v>1506</v>
      </c>
      <c r="E130" s="296">
        <v>12</v>
      </c>
      <c r="F130" s="296">
        <v>56000</v>
      </c>
      <c r="G130" s="296">
        <v>672000</v>
      </c>
      <c r="H130" s="296">
        <v>0</v>
      </c>
      <c r="I130" s="296">
        <v>0</v>
      </c>
      <c r="J130" s="296">
        <v>672000</v>
      </c>
      <c r="K130" s="296">
        <v>0</v>
      </c>
      <c r="L130" s="296">
        <v>67200</v>
      </c>
      <c r="M130" s="296">
        <v>739200</v>
      </c>
    </row>
    <row r="131" spans="1:13" ht="15.5" hidden="1" x14ac:dyDescent="0.35">
      <c r="A131" t="s">
        <v>1328</v>
      </c>
      <c r="B131" t="s">
        <v>1436</v>
      </c>
      <c r="C131" t="s">
        <v>1503</v>
      </c>
      <c r="D131" t="s">
        <v>1504</v>
      </c>
      <c r="E131" s="296">
        <v>12</v>
      </c>
      <c r="F131" s="296">
        <v>50000</v>
      </c>
      <c r="G131" s="296">
        <v>600000</v>
      </c>
      <c r="H131" s="296">
        <v>0</v>
      </c>
      <c r="I131" s="296">
        <v>0</v>
      </c>
      <c r="J131" s="296">
        <v>600000</v>
      </c>
      <c r="K131" s="296">
        <v>42000</v>
      </c>
      <c r="L131" s="296">
        <v>64200</v>
      </c>
      <c r="M131" s="296">
        <v>706200</v>
      </c>
    </row>
    <row r="132" spans="1:13" ht="15.5" hidden="1" x14ac:dyDescent="0.35">
      <c r="A132" t="s">
        <v>1356</v>
      </c>
      <c r="B132" t="s">
        <v>1462</v>
      </c>
      <c r="C132" t="s">
        <v>1497</v>
      </c>
      <c r="D132" t="s">
        <v>1501</v>
      </c>
      <c r="E132" s="296">
        <v>12</v>
      </c>
      <c r="F132" s="296">
        <v>30000</v>
      </c>
      <c r="G132" s="296">
        <v>360000</v>
      </c>
      <c r="H132" s="296">
        <v>0</v>
      </c>
      <c r="I132" s="296">
        <v>0</v>
      </c>
      <c r="J132" s="296">
        <v>360000</v>
      </c>
      <c r="K132" s="296">
        <v>25200</v>
      </c>
      <c r="L132" s="296">
        <v>38520</v>
      </c>
      <c r="M132" s="296">
        <v>423720</v>
      </c>
    </row>
    <row r="133" spans="1:13" ht="15.5" hidden="1" x14ac:dyDescent="0.35">
      <c r="A133" t="s">
        <v>1289</v>
      </c>
      <c r="B133" t="s">
        <v>1398</v>
      </c>
      <c r="C133" t="s">
        <v>1497</v>
      </c>
      <c r="D133" t="s">
        <v>1506</v>
      </c>
      <c r="E133" s="296">
        <v>11</v>
      </c>
      <c r="F133" s="296">
        <v>52640</v>
      </c>
      <c r="G133" s="296">
        <v>579040</v>
      </c>
      <c r="H133" s="296">
        <v>0</v>
      </c>
      <c r="I133" s="296">
        <v>0</v>
      </c>
      <c r="J133" s="296">
        <v>579040</v>
      </c>
      <c r="K133" s="296">
        <v>0</v>
      </c>
      <c r="L133" s="296">
        <v>57904</v>
      </c>
      <c r="M133" s="296">
        <v>636944</v>
      </c>
    </row>
    <row r="134" spans="1:13" ht="15.5" hidden="1" x14ac:dyDescent="0.35">
      <c r="A134" t="s">
        <v>1327</v>
      </c>
      <c r="B134" t="s">
        <v>1435</v>
      </c>
      <c r="C134" t="s">
        <v>1503</v>
      </c>
      <c r="D134" t="s">
        <v>1504</v>
      </c>
      <c r="E134" s="296">
        <v>11</v>
      </c>
      <c r="F134" s="296">
        <v>50000</v>
      </c>
      <c r="G134" s="296">
        <v>550000</v>
      </c>
      <c r="H134" s="296">
        <v>0</v>
      </c>
      <c r="I134" s="296">
        <v>0</v>
      </c>
      <c r="J134" s="296">
        <v>550000</v>
      </c>
      <c r="K134" s="296">
        <v>38500</v>
      </c>
      <c r="L134" s="296">
        <v>58850</v>
      </c>
      <c r="M134" s="296">
        <v>647350</v>
      </c>
    </row>
    <row r="135" spans="1:13" ht="15.5" hidden="1" x14ac:dyDescent="0.35">
      <c r="A135" t="s">
        <v>1329</v>
      </c>
      <c r="B135" t="s">
        <v>1437</v>
      </c>
      <c r="C135" t="s">
        <v>1503</v>
      </c>
      <c r="D135" t="s">
        <v>1504</v>
      </c>
      <c r="E135" s="296">
        <v>11</v>
      </c>
      <c r="F135" s="296">
        <v>50000</v>
      </c>
      <c r="G135" s="296">
        <v>550000</v>
      </c>
      <c r="H135" s="296">
        <v>0</v>
      </c>
      <c r="I135" s="296">
        <v>0</v>
      </c>
      <c r="J135" s="296">
        <v>550000</v>
      </c>
      <c r="K135" s="296">
        <v>38500</v>
      </c>
      <c r="L135" s="296">
        <v>58850</v>
      </c>
      <c r="M135" s="296">
        <v>647350</v>
      </c>
    </row>
    <row r="136" spans="1:13" ht="15.5" hidden="1" x14ac:dyDescent="0.35">
      <c r="A136" t="s">
        <v>1342</v>
      </c>
      <c r="B136" t="s">
        <v>1450</v>
      </c>
      <c r="C136" t="s">
        <v>1497</v>
      </c>
      <c r="D136" t="s">
        <v>1505</v>
      </c>
      <c r="E136" s="296">
        <v>11</v>
      </c>
      <c r="F136" s="296">
        <v>50400</v>
      </c>
      <c r="G136" s="296">
        <v>554400</v>
      </c>
      <c r="H136" s="296">
        <v>0</v>
      </c>
      <c r="I136" s="296">
        <v>0</v>
      </c>
      <c r="J136" s="296">
        <v>554400</v>
      </c>
      <c r="K136" s="296">
        <v>0</v>
      </c>
      <c r="L136" s="296">
        <v>55440</v>
      </c>
      <c r="M136" s="296">
        <v>609840</v>
      </c>
    </row>
    <row r="137" spans="1:13" ht="15.5" hidden="1" x14ac:dyDescent="0.35">
      <c r="A137" t="s">
        <v>1349</v>
      </c>
      <c r="B137" t="s">
        <v>1456</v>
      </c>
      <c r="C137" t="s">
        <v>1497</v>
      </c>
      <c r="D137" t="s">
        <v>1501</v>
      </c>
      <c r="E137" s="296">
        <v>11</v>
      </c>
      <c r="F137" s="296">
        <v>53760</v>
      </c>
      <c r="G137" s="296">
        <v>591360</v>
      </c>
      <c r="H137" s="296">
        <v>0</v>
      </c>
      <c r="I137" s="296">
        <v>0</v>
      </c>
      <c r="J137" s="296">
        <v>591360</v>
      </c>
      <c r="K137" s="296">
        <v>0</v>
      </c>
      <c r="L137" s="296">
        <v>59136</v>
      </c>
      <c r="M137" s="296">
        <v>650496</v>
      </c>
    </row>
    <row r="138" spans="1:13" ht="15.5" hidden="1" x14ac:dyDescent="0.35">
      <c r="A138" t="s">
        <v>1259</v>
      </c>
      <c r="B138" t="s">
        <v>1372</v>
      </c>
      <c r="C138" t="s">
        <v>1497</v>
      </c>
      <c r="D138" t="s">
        <v>1524</v>
      </c>
      <c r="E138" s="296">
        <v>10</v>
      </c>
      <c r="F138" s="296">
        <v>19000</v>
      </c>
      <c r="G138" s="296">
        <v>190000</v>
      </c>
      <c r="H138" s="296">
        <v>2850</v>
      </c>
      <c r="I138" s="296">
        <v>0</v>
      </c>
      <c r="J138" s="296">
        <v>187150</v>
      </c>
      <c r="K138" s="296">
        <v>13101</v>
      </c>
      <c r="L138" s="296">
        <v>20025</v>
      </c>
      <c r="M138" s="296">
        <v>220276</v>
      </c>
    </row>
    <row r="139" spans="1:13" ht="15.5" hidden="1" x14ac:dyDescent="0.35">
      <c r="A139" t="s">
        <v>1342</v>
      </c>
      <c r="B139" t="s">
        <v>1450</v>
      </c>
      <c r="C139" t="s">
        <v>1497</v>
      </c>
      <c r="D139" t="s">
        <v>1505</v>
      </c>
      <c r="E139" s="296">
        <v>10</v>
      </c>
      <c r="F139" s="296">
        <v>45000</v>
      </c>
      <c r="G139" s="296">
        <v>450000</v>
      </c>
      <c r="H139" s="296">
        <v>9000</v>
      </c>
      <c r="I139" s="296">
        <v>0</v>
      </c>
      <c r="J139" s="296">
        <v>441000</v>
      </c>
      <c r="K139" s="296">
        <v>22050</v>
      </c>
      <c r="L139" s="296">
        <v>46305</v>
      </c>
      <c r="M139" s="296">
        <v>509355</v>
      </c>
    </row>
    <row r="140" spans="1:13" ht="15.5" hidden="1" x14ac:dyDescent="0.35">
      <c r="A140" t="s">
        <v>1343</v>
      </c>
      <c r="B140" t="s">
        <v>1451</v>
      </c>
      <c r="C140" t="s">
        <v>1497</v>
      </c>
      <c r="D140" t="s">
        <v>1505</v>
      </c>
      <c r="E140" s="296">
        <v>10</v>
      </c>
      <c r="F140" s="296">
        <v>56000</v>
      </c>
      <c r="G140" s="296">
        <v>560000</v>
      </c>
      <c r="H140" s="296">
        <v>0</v>
      </c>
      <c r="I140" s="296">
        <v>0</v>
      </c>
      <c r="J140" s="296">
        <v>560000</v>
      </c>
      <c r="K140" s="296">
        <v>0</v>
      </c>
      <c r="L140" s="296">
        <v>56000</v>
      </c>
      <c r="M140" s="296">
        <v>616000</v>
      </c>
    </row>
    <row r="141" spans="1:13" ht="15.5" hidden="1" x14ac:dyDescent="0.35">
      <c r="A141" t="s">
        <v>1359</v>
      </c>
      <c r="B141" t="s">
        <v>1465</v>
      </c>
      <c r="C141" t="s">
        <v>1497</v>
      </c>
      <c r="D141" t="s">
        <v>1501</v>
      </c>
      <c r="E141" s="296">
        <v>10</v>
      </c>
      <c r="F141" s="296">
        <v>24640</v>
      </c>
      <c r="G141" s="296">
        <v>246400</v>
      </c>
      <c r="H141" s="296">
        <v>0</v>
      </c>
      <c r="I141" s="296">
        <v>0</v>
      </c>
      <c r="J141" s="296">
        <v>246400</v>
      </c>
      <c r="K141" s="296">
        <v>0</v>
      </c>
      <c r="L141" s="296">
        <v>24640</v>
      </c>
      <c r="M141" s="296">
        <v>271040</v>
      </c>
    </row>
    <row r="142" spans="1:13" ht="15.5" hidden="1" x14ac:dyDescent="0.35">
      <c r="A142" t="s">
        <v>1262</v>
      </c>
      <c r="B142" t="s">
        <v>1375</v>
      </c>
      <c r="C142" t="s">
        <v>1497</v>
      </c>
      <c r="D142" t="s">
        <v>1525</v>
      </c>
      <c r="E142" s="296">
        <v>9</v>
      </c>
      <c r="F142" s="296">
        <v>47000</v>
      </c>
      <c r="G142" s="296">
        <v>423000</v>
      </c>
      <c r="H142" s="296">
        <v>16450</v>
      </c>
      <c r="I142" s="296">
        <v>0</v>
      </c>
      <c r="J142" s="296">
        <v>406550</v>
      </c>
      <c r="K142" s="296">
        <v>22537</v>
      </c>
      <c r="L142" s="296">
        <v>42909</v>
      </c>
      <c r="M142" s="296">
        <v>471996</v>
      </c>
    </row>
    <row r="143" spans="1:13" ht="15.5" hidden="1" x14ac:dyDescent="0.35">
      <c r="A143" t="s">
        <v>1264</v>
      </c>
      <c r="B143" t="s">
        <v>1377</v>
      </c>
      <c r="C143" t="s">
        <v>1497</v>
      </c>
      <c r="D143" t="s">
        <v>1525</v>
      </c>
      <c r="E143" s="296">
        <v>9</v>
      </c>
      <c r="F143" s="296">
        <v>72800</v>
      </c>
      <c r="G143" s="296">
        <v>655200</v>
      </c>
      <c r="H143" s="296">
        <v>0</v>
      </c>
      <c r="I143" s="296">
        <v>0</v>
      </c>
      <c r="J143" s="296">
        <v>655200</v>
      </c>
      <c r="K143" s="296">
        <v>0</v>
      </c>
      <c r="L143" s="296">
        <v>65520</v>
      </c>
      <c r="M143" s="296">
        <v>720720</v>
      </c>
    </row>
    <row r="144" spans="1:13" ht="15.5" hidden="1" x14ac:dyDescent="0.35">
      <c r="A144" t="s">
        <v>1274</v>
      </c>
      <c r="B144" t="s">
        <v>1386</v>
      </c>
      <c r="C144" t="s">
        <v>1497</v>
      </c>
      <c r="D144" t="s">
        <v>1498</v>
      </c>
      <c r="E144" s="296">
        <v>9</v>
      </c>
      <c r="F144" s="296">
        <v>48000</v>
      </c>
      <c r="G144" s="296">
        <v>432000</v>
      </c>
      <c r="H144" s="296">
        <v>21600</v>
      </c>
      <c r="I144" s="296">
        <v>0</v>
      </c>
      <c r="J144" s="296">
        <v>410400</v>
      </c>
      <c r="K144" s="296">
        <v>28728</v>
      </c>
      <c r="L144" s="296">
        <v>43913</v>
      </c>
      <c r="M144" s="296">
        <v>483041</v>
      </c>
    </row>
    <row r="145" spans="1:13" ht="15.5" hidden="1" x14ac:dyDescent="0.35">
      <c r="A145" t="s">
        <v>1278</v>
      </c>
      <c r="B145" t="s">
        <v>1390</v>
      </c>
      <c r="C145" t="s">
        <v>1497</v>
      </c>
      <c r="D145" t="s">
        <v>1498</v>
      </c>
      <c r="E145" s="296">
        <v>9</v>
      </c>
      <c r="F145" s="296">
        <v>0</v>
      </c>
      <c r="G145" s="296">
        <v>0</v>
      </c>
      <c r="H145" s="296">
        <v>0</v>
      </c>
      <c r="I145" s="296">
        <v>0</v>
      </c>
      <c r="J145" s="296">
        <v>0</v>
      </c>
      <c r="K145" s="296">
        <v>0</v>
      </c>
      <c r="L145" s="296">
        <v>0</v>
      </c>
      <c r="M145" s="296">
        <v>0</v>
      </c>
    </row>
    <row r="146" spans="1:13" ht="15.5" x14ac:dyDescent="0.35">
      <c r="A146" t="s">
        <v>1034</v>
      </c>
      <c r="B146" t="s">
        <v>1035</v>
      </c>
      <c r="C146" t="s">
        <v>1493</v>
      </c>
      <c r="D146" t="s">
        <v>1499</v>
      </c>
      <c r="E146" s="296">
        <v>3</v>
      </c>
      <c r="F146" s="296">
        <v>25536</v>
      </c>
      <c r="G146" s="296">
        <v>76608</v>
      </c>
      <c r="H146" s="296">
        <v>0</v>
      </c>
      <c r="I146" s="296">
        <v>0</v>
      </c>
      <c r="J146" s="296">
        <v>76608</v>
      </c>
      <c r="K146" s="296">
        <v>0</v>
      </c>
      <c r="L146" s="296">
        <v>7661</v>
      </c>
      <c r="M146" s="296">
        <v>84269</v>
      </c>
    </row>
    <row r="147" spans="1:13" ht="15.5" hidden="1" x14ac:dyDescent="0.35">
      <c r="A147" t="s">
        <v>1307</v>
      </c>
      <c r="B147" t="s">
        <v>1416</v>
      </c>
      <c r="C147" t="s">
        <v>1495</v>
      </c>
      <c r="D147" t="s">
        <v>1496</v>
      </c>
      <c r="E147" s="296">
        <v>9</v>
      </c>
      <c r="F147" s="296">
        <v>0</v>
      </c>
      <c r="G147" s="296">
        <v>0</v>
      </c>
      <c r="H147" s="296">
        <v>0</v>
      </c>
      <c r="I147" s="296">
        <v>0</v>
      </c>
      <c r="J147" s="296">
        <v>0</v>
      </c>
      <c r="K147" s="296">
        <v>0</v>
      </c>
      <c r="L147" s="296">
        <v>0</v>
      </c>
      <c r="M147" s="296">
        <v>0</v>
      </c>
    </row>
    <row r="148" spans="1:13" ht="15.5" hidden="1" x14ac:dyDescent="0.35">
      <c r="A148" t="s">
        <v>1362</v>
      </c>
      <c r="B148" t="s">
        <v>1468</v>
      </c>
      <c r="C148" t="s">
        <v>1497</v>
      </c>
      <c r="D148" t="s">
        <v>1501</v>
      </c>
      <c r="E148" s="296">
        <v>9</v>
      </c>
      <c r="F148" s="296">
        <v>36000</v>
      </c>
      <c r="G148" s="296">
        <v>324000</v>
      </c>
      <c r="H148" s="296">
        <v>5400</v>
      </c>
      <c r="I148" s="296">
        <v>0</v>
      </c>
      <c r="J148" s="296">
        <v>318600</v>
      </c>
      <c r="K148" s="296">
        <v>19782</v>
      </c>
      <c r="L148" s="296">
        <v>33838</v>
      </c>
      <c r="M148" s="296">
        <v>372220</v>
      </c>
    </row>
    <row r="149" spans="1:13" ht="15.5" hidden="1" x14ac:dyDescent="0.35">
      <c r="A149" t="s">
        <v>1258</v>
      </c>
      <c r="B149" t="s">
        <v>37</v>
      </c>
      <c r="C149" t="s">
        <v>1497</v>
      </c>
      <c r="D149" t="s">
        <v>1524</v>
      </c>
      <c r="E149" s="296">
        <v>8</v>
      </c>
      <c r="F149" s="296">
        <v>125000</v>
      </c>
      <c r="G149" s="296">
        <v>1000000</v>
      </c>
      <c r="H149" s="296">
        <v>0</v>
      </c>
      <c r="I149" s="296">
        <v>0</v>
      </c>
      <c r="J149" s="296">
        <v>1000000</v>
      </c>
      <c r="K149" s="296">
        <v>70000</v>
      </c>
      <c r="L149" s="296">
        <v>107000</v>
      </c>
      <c r="M149" s="296">
        <v>1177000</v>
      </c>
    </row>
    <row r="150" spans="1:13" ht="15.5" hidden="1" x14ac:dyDescent="0.35">
      <c r="A150" t="s">
        <v>1265</v>
      </c>
      <c r="B150" t="s">
        <v>1378</v>
      </c>
      <c r="C150" t="s">
        <v>1497</v>
      </c>
      <c r="D150" t="s">
        <v>1525</v>
      </c>
      <c r="E150" s="296">
        <v>8</v>
      </c>
      <c r="F150" s="296">
        <v>52640</v>
      </c>
      <c r="G150" s="296">
        <v>421120</v>
      </c>
      <c r="H150" s="296">
        <v>0</v>
      </c>
      <c r="I150" s="296">
        <v>0</v>
      </c>
      <c r="J150" s="296">
        <v>421120</v>
      </c>
      <c r="K150" s="296">
        <v>0</v>
      </c>
      <c r="L150" s="296">
        <v>42112</v>
      </c>
      <c r="M150" s="296">
        <v>463232</v>
      </c>
    </row>
    <row r="151" spans="1:13" ht="15.5" hidden="1" x14ac:dyDescent="0.35">
      <c r="A151" t="s">
        <v>1268</v>
      </c>
      <c r="B151" t="s">
        <v>1381</v>
      </c>
      <c r="C151" t="s">
        <v>1497</v>
      </c>
      <c r="D151" t="s">
        <v>1498</v>
      </c>
      <c r="E151" s="296">
        <v>8</v>
      </c>
      <c r="F151" s="296">
        <v>5000</v>
      </c>
      <c r="G151" s="296">
        <v>40000</v>
      </c>
      <c r="H151" s="296">
        <v>750</v>
      </c>
      <c r="I151" s="296">
        <v>0</v>
      </c>
      <c r="J151" s="296">
        <v>39250</v>
      </c>
      <c r="K151" s="296">
        <v>2748</v>
      </c>
      <c r="L151" s="296">
        <v>4200</v>
      </c>
      <c r="M151" s="296">
        <v>46198</v>
      </c>
    </row>
    <row r="152" spans="1:13" ht="15.5" hidden="1" x14ac:dyDescent="0.35">
      <c r="A152" t="s">
        <v>1290</v>
      </c>
      <c r="B152" t="s">
        <v>1399</v>
      </c>
      <c r="C152" t="s">
        <v>1497</v>
      </c>
      <c r="D152" t="s">
        <v>1506</v>
      </c>
      <c r="E152" s="296">
        <v>8</v>
      </c>
      <c r="F152" s="296">
        <v>52640</v>
      </c>
      <c r="G152" s="296">
        <v>421120</v>
      </c>
      <c r="H152" s="296">
        <v>0</v>
      </c>
      <c r="I152" s="296">
        <v>0</v>
      </c>
      <c r="J152" s="296">
        <v>421120</v>
      </c>
      <c r="K152" s="296">
        <v>0</v>
      </c>
      <c r="L152" s="296">
        <v>42112</v>
      </c>
      <c r="M152" s="296">
        <v>463232</v>
      </c>
    </row>
    <row r="153" spans="1:13" ht="15.5" x14ac:dyDescent="0.35">
      <c r="A153" t="s">
        <v>1036</v>
      </c>
      <c r="B153" t="s">
        <v>1037</v>
      </c>
      <c r="C153" t="s">
        <v>1493</v>
      </c>
      <c r="D153" t="s">
        <v>1499</v>
      </c>
      <c r="E153" s="296">
        <v>50</v>
      </c>
      <c r="F153" s="296">
        <v>22800</v>
      </c>
      <c r="G153" s="296">
        <v>1140000</v>
      </c>
      <c r="H153" s="296">
        <v>13680</v>
      </c>
      <c r="I153" s="296">
        <v>0</v>
      </c>
      <c r="J153" s="296">
        <v>1126320</v>
      </c>
      <c r="K153" s="296">
        <v>74056</v>
      </c>
      <c r="L153" s="296">
        <v>120055</v>
      </c>
      <c r="M153" s="296">
        <v>1320431</v>
      </c>
    </row>
    <row r="154" spans="1:13" ht="15.5" hidden="1" x14ac:dyDescent="0.35">
      <c r="A154" t="s">
        <v>1353</v>
      </c>
      <c r="B154" t="s">
        <v>1460</v>
      </c>
      <c r="C154" t="s">
        <v>1497</v>
      </c>
      <c r="D154" t="s">
        <v>1501</v>
      </c>
      <c r="E154" s="296">
        <v>8</v>
      </c>
      <c r="F154" s="296">
        <v>31360</v>
      </c>
      <c r="G154" s="296">
        <v>250880</v>
      </c>
      <c r="H154" s="296">
        <v>0</v>
      </c>
      <c r="I154" s="296">
        <v>0</v>
      </c>
      <c r="J154" s="296">
        <v>250880</v>
      </c>
      <c r="K154" s="296">
        <v>0</v>
      </c>
      <c r="L154" s="296">
        <v>25088</v>
      </c>
      <c r="M154" s="296">
        <v>275968</v>
      </c>
    </row>
    <row r="155" spans="1:13" ht="15.5" hidden="1" x14ac:dyDescent="0.35">
      <c r="A155" t="s">
        <v>1370</v>
      </c>
      <c r="B155" t="s">
        <v>1475</v>
      </c>
      <c r="C155" t="s">
        <v>1497</v>
      </c>
      <c r="D155" t="s">
        <v>1502</v>
      </c>
      <c r="E155" s="296">
        <v>8</v>
      </c>
      <c r="F155" s="296">
        <v>80000</v>
      </c>
      <c r="G155" s="296">
        <v>640000</v>
      </c>
      <c r="H155" s="296">
        <v>12000</v>
      </c>
      <c r="I155" s="296">
        <v>0</v>
      </c>
      <c r="J155" s="296">
        <v>628000</v>
      </c>
      <c r="K155" s="296">
        <v>38360</v>
      </c>
      <c r="L155" s="296">
        <v>66636</v>
      </c>
      <c r="M155" s="296">
        <v>732996</v>
      </c>
    </row>
    <row r="156" spans="1:13" ht="15.5" hidden="1" x14ac:dyDescent="0.35">
      <c r="A156" t="s">
        <v>1263</v>
      </c>
      <c r="B156" t="s">
        <v>1376</v>
      </c>
      <c r="C156" t="s">
        <v>1497</v>
      </c>
      <c r="D156" t="s">
        <v>1525</v>
      </c>
      <c r="E156" s="296">
        <v>7</v>
      </c>
      <c r="F156" s="296">
        <v>52640</v>
      </c>
      <c r="G156" s="296">
        <v>368480</v>
      </c>
      <c r="H156" s="296">
        <v>0</v>
      </c>
      <c r="I156" s="296">
        <v>0</v>
      </c>
      <c r="J156" s="296">
        <v>368480</v>
      </c>
      <c r="K156" s="296">
        <v>0</v>
      </c>
      <c r="L156" s="296">
        <v>36848</v>
      </c>
      <c r="M156" s="296">
        <v>405328</v>
      </c>
    </row>
    <row r="157" spans="1:13" ht="15.5" hidden="1" x14ac:dyDescent="0.35">
      <c r="A157" t="s">
        <v>1279</v>
      </c>
      <c r="B157" t="s">
        <v>1391</v>
      </c>
      <c r="C157" t="s">
        <v>1497</v>
      </c>
      <c r="D157" t="s">
        <v>1498</v>
      </c>
      <c r="E157" s="296">
        <v>7</v>
      </c>
      <c r="F157" s="296">
        <v>0</v>
      </c>
      <c r="G157" s="296">
        <v>0</v>
      </c>
      <c r="H157" s="296">
        <v>0</v>
      </c>
      <c r="I157" s="296">
        <v>0</v>
      </c>
      <c r="J157" s="296">
        <v>0</v>
      </c>
      <c r="K157" s="296">
        <v>0</v>
      </c>
      <c r="L157" s="296">
        <v>0</v>
      </c>
      <c r="M157" s="296">
        <v>0</v>
      </c>
    </row>
    <row r="158" spans="1:13" ht="15.5" hidden="1" x14ac:dyDescent="0.35">
      <c r="A158" t="s">
        <v>1292</v>
      </c>
      <c r="B158" t="s">
        <v>1401</v>
      </c>
      <c r="C158" t="s">
        <v>1497</v>
      </c>
      <c r="D158" t="s">
        <v>1506</v>
      </c>
      <c r="E158" s="296">
        <v>7</v>
      </c>
      <c r="F158" s="296">
        <v>50400</v>
      </c>
      <c r="G158" s="296">
        <v>352800</v>
      </c>
      <c r="H158" s="296">
        <v>0</v>
      </c>
      <c r="I158" s="296">
        <v>0</v>
      </c>
      <c r="J158" s="296">
        <v>352800</v>
      </c>
      <c r="K158" s="296">
        <v>0</v>
      </c>
      <c r="L158" s="296">
        <v>35280</v>
      </c>
      <c r="M158" s="296">
        <v>388080</v>
      </c>
    </row>
    <row r="159" spans="1:13" ht="15.5" hidden="1" x14ac:dyDescent="0.35">
      <c r="A159" t="s">
        <v>1263</v>
      </c>
      <c r="B159" t="s">
        <v>1376</v>
      </c>
      <c r="C159" t="s">
        <v>1497</v>
      </c>
      <c r="D159" t="s">
        <v>1525</v>
      </c>
      <c r="E159" s="296">
        <v>6</v>
      </c>
      <c r="F159" s="296">
        <v>47000</v>
      </c>
      <c r="G159" s="296">
        <v>282000</v>
      </c>
      <c r="H159" s="296">
        <v>0</v>
      </c>
      <c r="I159" s="296">
        <v>0</v>
      </c>
      <c r="J159" s="296">
        <v>282000</v>
      </c>
      <c r="K159" s="296">
        <v>16450</v>
      </c>
      <c r="L159" s="296">
        <v>29845</v>
      </c>
      <c r="M159" s="296">
        <v>328295</v>
      </c>
    </row>
    <row r="160" spans="1:13" ht="15.5" x14ac:dyDescent="0.35">
      <c r="A160" t="s">
        <v>1038</v>
      </c>
      <c r="B160" t="s">
        <v>1039</v>
      </c>
      <c r="C160" t="s">
        <v>1493</v>
      </c>
      <c r="D160" t="s">
        <v>1499</v>
      </c>
      <c r="E160" s="296">
        <v>18</v>
      </c>
      <c r="F160" s="296">
        <v>22800</v>
      </c>
      <c r="G160" s="296">
        <v>410400</v>
      </c>
      <c r="H160" s="296">
        <v>3420</v>
      </c>
      <c r="I160" s="296">
        <v>0</v>
      </c>
      <c r="J160" s="296">
        <v>406980</v>
      </c>
      <c r="K160" s="296">
        <v>23701</v>
      </c>
      <c r="L160" s="296">
        <v>43074</v>
      </c>
      <c r="M160" s="296">
        <v>473755</v>
      </c>
    </row>
    <row r="161" spans="1:13" ht="15.5" hidden="1" x14ac:dyDescent="0.35">
      <c r="A161" t="s">
        <v>1304</v>
      </c>
      <c r="B161" t="s">
        <v>1413</v>
      </c>
      <c r="C161" t="s">
        <v>1497</v>
      </c>
      <c r="D161" t="s">
        <v>1507</v>
      </c>
      <c r="E161" s="296">
        <v>6</v>
      </c>
      <c r="F161" s="296">
        <v>39200</v>
      </c>
      <c r="G161" s="296">
        <v>235200</v>
      </c>
      <c r="H161" s="296">
        <v>0</v>
      </c>
      <c r="I161" s="296">
        <v>0</v>
      </c>
      <c r="J161" s="296">
        <v>235200</v>
      </c>
      <c r="K161" s="296">
        <v>0</v>
      </c>
      <c r="L161" s="296">
        <v>23520</v>
      </c>
      <c r="M161" s="296">
        <v>258720</v>
      </c>
    </row>
    <row r="162" spans="1:13" ht="15.5" hidden="1" x14ac:dyDescent="0.35">
      <c r="A162" t="s">
        <v>1347</v>
      </c>
      <c r="B162" t="s">
        <v>1455</v>
      </c>
      <c r="C162" t="s">
        <v>1497</v>
      </c>
      <c r="D162" t="s">
        <v>1505</v>
      </c>
      <c r="E162" s="296">
        <v>6</v>
      </c>
      <c r="F162" s="296">
        <v>58240</v>
      </c>
      <c r="G162" s="296">
        <v>349440</v>
      </c>
      <c r="H162" s="296">
        <v>0</v>
      </c>
      <c r="I162" s="296">
        <v>0</v>
      </c>
      <c r="J162" s="296">
        <v>349440</v>
      </c>
      <c r="K162" s="296">
        <v>0</v>
      </c>
      <c r="L162" s="296">
        <v>34944</v>
      </c>
      <c r="M162" s="296">
        <v>384384</v>
      </c>
    </row>
    <row r="163" spans="1:13" ht="15.5" hidden="1" x14ac:dyDescent="0.35">
      <c r="A163" t="s">
        <v>1352</v>
      </c>
      <c r="B163" t="s">
        <v>1459</v>
      </c>
      <c r="C163" t="s">
        <v>1497</v>
      </c>
      <c r="D163" t="s">
        <v>1501</v>
      </c>
      <c r="E163" s="296">
        <v>6</v>
      </c>
      <c r="F163" s="296">
        <v>39200</v>
      </c>
      <c r="G163" s="296">
        <v>235200</v>
      </c>
      <c r="H163" s="296">
        <v>0</v>
      </c>
      <c r="I163" s="296">
        <v>0</v>
      </c>
      <c r="J163" s="296">
        <v>235200</v>
      </c>
      <c r="K163" s="296">
        <v>0</v>
      </c>
      <c r="L163" s="296">
        <v>23520</v>
      </c>
      <c r="M163" s="296">
        <v>258720</v>
      </c>
    </row>
    <row r="164" spans="1:13" ht="15.5" hidden="1" x14ac:dyDescent="0.35">
      <c r="A164" t="s">
        <v>1355</v>
      </c>
      <c r="B164" t="s">
        <v>1461</v>
      </c>
      <c r="C164" t="s">
        <v>1497</v>
      </c>
      <c r="D164" t="s">
        <v>1501</v>
      </c>
      <c r="E164" s="296">
        <v>6</v>
      </c>
      <c r="F164" s="296">
        <v>42560</v>
      </c>
      <c r="G164" s="296">
        <v>255360</v>
      </c>
      <c r="H164" s="296">
        <v>0</v>
      </c>
      <c r="I164" s="296">
        <v>0</v>
      </c>
      <c r="J164" s="296">
        <v>255360</v>
      </c>
      <c r="K164" s="296">
        <v>0</v>
      </c>
      <c r="L164" s="296">
        <v>25536</v>
      </c>
      <c r="M164" s="296">
        <v>280896</v>
      </c>
    </row>
    <row r="165" spans="1:13" ht="15.5" hidden="1" x14ac:dyDescent="0.35">
      <c r="A165" t="s">
        <v>1360</v>
      </c>
      <c r="B165" t="s">
        <v>1466</v>
      </c>
      <c r="C165" t="s">
        <v>1497</v>
      </c>
      <c r="D165" t="s">
        <v>1501</v>
      </c>
      <c r="E165" s="296">
        <v>6</v>
      </c>
      <c r="F165" s="296">
        <v>33600</v>
      </c>
      <c r="G165" s="296">
        <v>201600</v>
      </c>
      <c r="H165" s="296">
        <v>0</v>
      </c>
      <c r="I165" s="296">
        <v>0</v>
      </c>
      <c r="J165" s="296">
        <v>201600</v>
      </c>
      <c r="K165" s="296">
        <v>0</v>
      </c>
      <c r="L165" s="296">
        <v>20160</v>
      </c>
      <c r="M165" s="296">
        <v>221760</v>
      </c>
    </row>
    <row r="166" spans="1:13" ht="15.5" hidden="1" x14ac:dyDescent="0.35">
      <c r="A166" t="s">
        <v>1890</v>
      </c>
      <c r="B166" t="s">
        <v>1228</v>
      </c>
      <c r="C166" t="s">
        <v>1497</v>
      </c>
      <c r="D166" t="s">
        <v>1501</v>
      </c>
      <c r="E166" s="296">
        <v>6</v>
      </c>
      <c r="F166" s="296">
        <v>38000</v>
      </c>
      <c r="G166" s="296">
        <v>228000</v>
      </c>
      <c r="H166" s="296">
        <v>7600</v>
      </c>
      <c r="I166" s="296">
        <v>0</v>
      </c>
      <c r="J166" s="296">
        <v>220400</v>
      </c>
      <c r="K166" s="296">
        <v>13300</v>
      </c>
      <c r="L166" s="296">
        <v>23370</v>
      </c>
      <c r="M166" s="296">
        <v>257070</v>
      </c>
    </row>
    <row r="167" spans="1:13" ht="15.5" hidden="1" x14ac:dyDescent="0.35">
      <c r="A167" t="s">
        <v>1368</v>
      </c>
      <c r="B167" t="s">
        <v>1473</v>
      </c>
      <c r="C167" t="s">
        <v>1497</v>
      </c>
      <c r="D167" t="s">
        <v>1502</v>
      </c>
      <c r="E167" s="296">
        <v>6</v>
      </c>
      <c r="F167" s="296">
        <v>72800</v>
      </c>
      <c r="G167" s="296">
        <v>436800</v>
      </c>
      <c r="H167" s="296">
        <v>0</v>
      </c>
      <c r="I167" s="296">
        <v>0</v>
      </c>
      <c r="J167" s="296">
        <v>436800</v>
      </c>
      <c r="K167" s="296">
        <v>0</v>
      </c>
      <c r="L167" s="296">
        <v>43680</v>
      </c>
      <c r="M167" s="296">
        <v>480480</v>
      </c>
    </row>
    <row r="168" spans="1:13" ht="15.5" hidden="1" x14ac:dyDescent="0.35">
      <c r="A168" t="s">
        <v>1260</v>
      </c>
      <c r="B168" t="s">
        <v>1373</v>
      </c>
      <c r="C168" t="s">
        <v>1497</v>
      </c>
      <c r="D168" t="s">
        <v>1524</v>
      </c>
      <c r="E168" s="296">
        <v>5</v>
      </c>
      <c r="F168" s="296">
        <v>19000</v>
      </c>
      <c r="G168" s="296">
        <v>95000</v>
      </c>
      <c r="H168" s="296">
        <v>0</v>
      </c>
      <c r="I168" s="296">
        <v>0</v>
      </c>
      <c r="J168" s="296">
        <v>95000</v>
      </c>
      <c r="K168" s="296">
        <v>6650</v>
      </c>
      <c r="L168" s="296">
        <v>10165</v>
      </c>
      <c r="M168" s="296">
        <v>111815</v>
      </c>
    </row>
    <row r="169" spans="1:13" ht="15.5" hidden="1" x14ac:dyDescent="0.35">
      <c r="A169" t="s">
        <v>1264</v>
      </c>
      <c r="B169" t="s">
        <v>1377</v>
      </c>
      <c r="C169" t="s">
        <v>1497</v>
      </c>
      <c r="D169" t="s">
        <v>1525</v>
      </c>
      <c r="E169" s="296">
        <v>5</v>
      </c>
      <c r="F169" s="296">
        <v>65000</v>
      </c>
      <c r="G169" s="296">
        <v>325000</v>
      </c>
      <c r="H169" s="296">
        <v>0</v>
      </c>
      <c r="I169" s="296">
        <v>0</v>
      </c>
      <c r="J169" s="296">
        <v>325000</v>
      </c>
      <c r="K169" s="296">
        <v>22750</v>
      </c>
      <c r="L169" s="296">
        <v>34775</v>
      </c>
      <c r="M169" s="296">
        <v>382525</v>
      </c>
    </row>
    <row r="170" spans="1:13" ht="15.5" hidden="1" x14ac:dyDescent="0.35">
      <c r="A170" t="s">
        <v>1281</v>
      </c>
      <c r="B170" t="s">
        <v>1393</v>
      </c>
      <c r="C170" t="s">
        <v>1497</v>
      </c>
      <c r="D170" t="s">
        <v>1498</v>
      </c>
      <c r="E170" s="296">
        <v>5</v>
      </c>
      <c r="F170" s="296">
        <v>23000</v>
      </c>
      <c r="G170" s="296">
        <v>115000</v>
      </c>
      <c r="H170" s="296">
        <v>0</v>
      </c>
      <c r="I170" s="296">
        <v>0</v>
      </c>
      <c r="J170" s="296">
        <v>115000</v>
      </c>
      <c r="K170" s="296">
        <v>0</v>
      </c>
      <c r="L170" s="296">
        <v>11500</v>
      </c>
      <c r="M170" s="296">
        <v>126500</v>
      </c>
    </row>
    <row r="171" spans="1:13" ht="15.5" hidden="1" x14ac:dyDescent="0.35">
      <c r="A171" t="s">
        <v>1348</v>
      </c>
      <c r="B171" t="s">
        <v>1523</v>
      </c>
      <c r="C171" t="s">
        <v>1497</v>
      </c>
      <c r="D171" t="s">
        <v>1505</v>
      </c>
      <c r="E171" s="296">
        <v>5</v>
      </c>
      <c r="F171" s="296">
        <v>58240</v>
      </c>
      <c r="G171" s="296">
        <v>291200</v>
      </c>
      <c r="H171" s="296">
        <v>0</v>
      </c>
      <c r="I171" s="296">
        <v>0</v>
      </c>
      <c r="J171" s="296">
        <v>291200</v>
      </c>
      <c r="K171" s="296">
        <v>0</v>
      </c>
      <c r="L171" s="296">
        <v>29120</v>
      </c>
      <c r="M171" s="296">
        <v>320320</v>
      </c>
    </row>
    <row r="172" spans="1:13" ht="15.5" hidden="1" x14ac:dyDescent="0.35">
      <c r="A172" t="s">
        <v>1262</v>
      </c>
      <c r="B172" t="s">
        <v>1375</v>
      </c>
      <c r="C172" t="s">
        <v>1497</v>
      </c>
      <c r="D172" t="s">
        <v>1525</v>
      </c>
      <c r="E172" s="296">
        <v>4</v>
      </c>
      <c r="F172" s="296">
        <v>54091</v>
      </c>
      <c r="G172" s="296">
        <v>216364</v>
      </c>
      <c r="H172" s="296">
        <v>0</v>
      </c>
      <c r="I172" s="296">
        <v>0</v>
      </c>
      <c r="J172" s="296">
        <v>216364</v>
      </c>
      <c r="K172" s="296">
        <v>0</v>
      </c>
      <c r="L172" s="296">
        <v>21636</v>
      </c>
      <c r="M172" s="296">
        <v>238000</v>
      </c>
    </row>
    <row r="173" spans="1:13" ht="15.5" hidden="1" x14ac:dyDescent="0.35">
      <c r="A173" t="s">
        <v>1266</v>
      </c>
      <c r="B173" t="s">
        <v>1379</v>
      </c>
      <c r="C173" t="s">
        <v>1497</v>
      </c>
      <c r="D173" t="s">
        <v>1498</v>
      </c>
      <c r="E173" s="296">
        <v>4</v>
      </c>
      <c r="F173" s="296">
        <v>11200</v>
      </c>
      <c r="G173" s="296">
        <v>44800</v>
      </c>
      <c r="H173" s="296">
        <v>0</v>
      </c>
      <c r="I173" s="296">
        <v>0</v>
      </c>
      <c r="J173" s="296">
        <v>44800</v>
      </c>
      <c r="K173" s="296">
        <v>0</v>
      </c>
      <c r="L173" s="296">
        <v>4480</v>
      </c>
      <c r="M173" s="296">
        <v>49280</v>
      </c>
    </row>
    <row r="174" spans="1:13" ht="15.5" hidden="1" x14ac:dyDescent="0.35">
      <c r="A174" t="s">
        <v>1277</v>
      </c>
      <c r="B174" t="s">
        <v>1389</v>
      </c>
      <c r="C174" t="s">
        <v>1497</v>
      </c>
      <c r="D174" t="s">
        <v>1498</v>
      </c>
      <c r="E174" s="296">
        <v>4</v>
      </c>
      <c r="F174" s="296">
        <v>22000</v>
      </c>
      <c r="G174" s="296">
        <v>88000</v>
      </c>
      <c r="H174" s="296">
        <v>2356.1799999999998</v>
      </c>
      <c r="I174" s="296">
        <v>0</v>
      </c>
      <c r="J174" s="296">
        <v>85643.82</v>
      </c>
      <c r="K174" s="296">
        <v>5995</v>
      </c>
      <c r="L174" s="296">
        <v>9164</v>
      </c>
      <c r="M174" s="296">
        <v>100802.82</v>
      </c>
    </row>
    <row r="175" spans="1:13" ht="15.5" hidden="1" x14ac:dyDescent="0.35">
      <c r="A175" t="s">
        <v>1283</v>
      </c>
      <c r="B175" t="s">
        <v>885</v>
      </c>
      <c r="C175" t="s">
        <v>1497</v>
      </c>
      <c r="D175" t="s">
        <v>1498</v>
      </c>
      <c r="E175" s="296">
        <v>4</v>
      </c>
      <c r="F175" s="296">
        <v>9000</v>
      </c>
      <c r="G175" s="296">
        <v>36000</v>
      </c>
      <c r="H175" s="296">
        <v>0</v>
      </c>
      <c r="I175" s="296">
        <v>0</v>
      </c>
      <c r="J175" s="296">
        <v>36000</v>
      </c>
      <c r="K175" s="296">
        <v>2520</v>
      </c>
      <c r="L175" s="296">
        <v>3852</v>
      </c>
      <c r="M175" s="296">
        <v>42372</v>
      </c>
    </row>
    <row r="176" spans="1:13" ht="15.5" hidden="1" x14ac:dyDescent="0.35">
      <c r="A176" t="s">
        <v>1340</v>
      </c>
      <c r="B176" t="s">
        <v>1448</v>
      </c>
      <c r="C176" t="s">
        <v>1497</v>
      </c>
      <c r="D176" t="s">
        <v>1505</v>
      </c>
      <c r="E176" s="296">
        <v>4</v>
      </c>
      <c r="F176" s="296">
        <v>63840</v>
      </c>
      <c r="G176" s="296">
        <v>255360</v>
      </c>
      <c r="H176" s="296">
        <v>0</v>
      </c>
      <c r="I176" s="296">
        <v>0</v>
      </c>
      <c r="J176" s="296">
        <v>255360</v>
      </c>
      <c r="K176" s="296">
        <v>0</v>
      </c>
      <c r="L176" s="296">
        <v>25536</v>
      </c>
      <c r="M176" s="296">
        <v>280896</v>
      </c>
    </row>
    <row r="177" spans="1:13" ht="15.5" hidden="1" x14ac:dyDescent="0.35">
      <c r="A177" t="s">
        <v>1346</v>
      </c>
      <c r="B177" t="s">
        <v>1454</v>
      </c>
      <c r="C177" t="s">
        <v>1497</v>
      </c>
      <c r="D177" t="s">
        <v>1505</v>
      </c>
      <c r="E177" s="296">
        <v>4</v>
      </c>
      <c r="F177" s="296">
        <v>56000</v>
      </c>
      <c r="G177" s="296">
        <v>224000</v>
      </c>
      <c r="H177" s="296">
        <v>0</v>
      </c>
      <c r="I177" s="296">
        <v>0</v>
      </c>
      <c r="J177" s="296">
        <v>224000</v>
      </c>
      <c r="K177" s="296">
        <v>0</v>
      </c>
      <c r="L177" s="296">
        <v>22400</v>
      </c>
      <c r="M177" s="296">
        <v>246400</v>
      </c>
    </row>
    <row r="178" spans="1:13" ht="15.5" hidden="1" x14ac:dyDescent="0.35">
      <c r="A178" t="s">
        <v>1356</v>
      </c>
      <c r="B178" t="s">
        <v>1462</v>
      </c>
      <c r="C178" t="s">
        <v>1497</v>
      </c>
      <c r="D178" t="s">
        <v>1501</v>
      </c>
      <c r="E178" s="296">
        <v>4</v>
      </c>
      <c r="F178" s="296">
        <v>33600</v>
      </c>
      <c r="G178" s="296">
        <v>134400</v>
      </c>
      <c r="H178" s="296">
        <v>0</v>
      </c>
      <c r="I178" s="296">
        <v>0</v>
      </c>
      <c r="J178" s="296">
        <v>134400</v>
      </c>
      <c r="K178" s="296">
        <v>0</v>
      </c>
      <c r="L178" s="296">
        <v>13440</v>
      </c>
      <c r="M178" s="296">
        <v>147840</v>
      </c>
    </row>
    <row r="179" spans="1:13" ht="15.5" hidden="1" x14ac:dyDescent="0.35">
      <c r="A179" t="s">
        <v>1369</v>
      </c>
      <c r="B179" t="s">
        <v>1474</v>
      </c>
      <c r="C179" t="s">
        <v>1497</v>
      </c>
      <c r="D179" t="s">
        <v>1502</v>
      </c>
      <c r="E179" s="296">
        <v>4</v>
      </c>
      <c r="F179" s="296">
        <v>60000</v>
      </c>
      <c r="G179" s="296">
        <v>240000</v>
      </c>
      <c r="H179" s="296">
        <v>0</v>
      </c>
      <c r="I179" s="296">
        <v>0</v>
      </c>
      <c r="J179" s="296">
        <v>240000</v>
      </c>
      <c r="K179" s="296">
        <v>16800</v>
      </c>
      <c r="L179" s="296">
        <v>25680</v>
      </c>
      <c r="M179" s="296">
        <v>282480</v>
      </c>
    </row>
    <row r="180" spans="1:13" ht="15.5" hidden="1" x14ac:dyDescent="0.35">
      <c r="A180" t="s">
        <v>1265</v>
      </c>
      <c r="B180" t="s">
        <v>1378</v>
      </c>
      <c r="C180" t="s">
        <v>1497</v>
      </c>
      <c r="D180" t="s">
        <v>1525</v>
      </c>
      <c r="E180" s="296">
        <v>3</v>
      </c>
      <c r="F180" s="296">
        <v>47000</v>
      </c>
      <c r="G180" s="296">
        <v>141000</v>
      </c>
      <c r="H180" s="296">
        <v>7050</v>
      </c>
      <c r="I180" s="296">
        <v>0</v>
      </c>
      <c r="J180" s="296">
        <v>133950</v>
      </c>
      <c r="K180" s="296">
        <v>6087</v>
      </c>
      <c r="L180" s="296">
        <v>14004</v>
      </c>
      <c r="M180" s="296">
        <v>154041</v>
      </c>
    </row>
    <row r="181" spans="1:13" ht="15.5" hidden="1" x14ac:dyDescent="0.35">
      <c r="A181" t="s">
        <v>1269</v>
      </c>
      <c r="B181" t="s">
        <v>1382</v>
      </c>
      <c r="C181" t="s">
        <v>1497</v>
      </c>
      <c r="D181" t="s">
        <v>1498</v>
      </c>
      <c r="E181" s="296">
        <v>3</v>
      </c>
      <c r="F181" s="296">
        <v>8000</v>
      </c>
      <c r="G181" s="296">
        <v>24000</v>
      </c>
      <c r="H181" s="296">
        <v>0</v>
      </c>
      <c r="I181" s="296">
        <v>0</v>
      </c>
      <c r="J181" s="296">
        <v>24000</v>
      </c>
      <c r="K181" s="296">
        <v>1680</v>
      </c>
      <c r="L181" s="296">
        <v>2568</v>
      </c>
      <c r="M181" s="296">
        <v>28248</v>
      </c>
    </row>
    <row r="182" spans="1:13" ht="15.5" hidden="1" x14ac:dyDescent="0.35">
      <c r="A182" t="s">
        <v>1285</v>
      </c>
      <c r="B182" t="s">
        <v>1394</v>
      </c>
      <c r="C182" t="s">
        <v>1497</v>
      </c>
      <c r="D182" t="s">
        <v>1498</v>
      </c>
      <c r="E182" s="296">
        <v>3</v>
      </c>
      <c r="F182" s="296">
        <v>0</v>
      </c>
      <c r="G182" s="296">
        <v>0</v>
      </c>
      <c r="H182" s="296">
        <v>0</v>
      </c>
      <c r="I182" s="296">
        <v>0</v>
      </c>
      <c r="J182" s="296">
        <v>0</v>
      </c>
      <c r="K182" s="296">
        <v>0</v>
      </c>
      <c r="L182" s="296">
        <v>0</v>
      </c>
      <c r="M182" s="296">
        <v>0</v>
      </c>
    </row>
    <row r="183" spans="1:13" ht="15.5" hidden="1" x14ac:dyDescent="0.35">
      <c r="A183" t="s">
        <v>1532</v>
      </c>
      <c r="B183" t="s">
        <v>1533</v>
      </c>
      <c r="C183" t="s">
        <v>1497</v>
      </c>
      <c r="D183" t="s">
        <v>1498</v>
      </c>
      <c r="E183" s="296">
        <v>3</v>
      </c>
      <c r="F183" s="296">
        <v>72000</v>
      </c>
      <c r="G183" s="296">
        <v>216000</v>
      </c>
      <c r="H183" s="296">
        <v>0</v>
      </c>
      <c r="I183" s="296">
        <v>0</v>
      </c>
      <c r="J183" s="296">
        <v>216000</v>
      </c>
      <c r="K183" s="296">
        <v>15120</v>
      </c>
      <c r="L183" s="296">
        <v>23112</v>
      </c>
      <c r="M183" s="296">
        <v>254232</v>
      </c>
    </row>
    <row r="184" spans="1:13" ht="15.5" hidden="1" x14ac:dyDescent="0.35">
      <c r="A184" t="s">
        <v>1891</v>
      </c>
      <c r="B184" t="s">
        <v>1892</v>
      </c>
      <c r="C184" t="s">
        <v>1497</v>
      </c>
      <c r="D184" t="s">
        <v>1498</v>
      </c>
      <c r="E184" s="296">
        <v>3</v>
      </c>
      <c r="F184" s="296">
        <v>10000</v>
      </c>
      <c r="G184" s="296">
        <v>30000</v>
      </c>
      <c r="H184" s="296">
        <v>0</v>
      </c>
      <c r="I184" s="296">
        <v>0</v>
      </c>
      <c r="J184" s="296">
        <v>30000</v>
      </c>
      <c r="K184" s="296">
        <v>2100</v>
      </c>
      <c r="L184" s="296">
        <v>3210</v>
      </c>
      <c r="M184" s="296">
        <v>35310</v>
      </c>
    </row>
    <row r="185" spans="1:13" ht="15.5" hidden="1" x14ac:dyDescent="0.35">
      <c r="A185" t="s">
        <v>1299</v>
      </c>
      <c r="B185" t="s">
        <v>1207</v>
      </c>
      <c r="C185" t="s">
        <v>1497</v>
      </c>
      <c r="D185" t="s">
        <v>1500</v>
      </c>
      <c r="E185" s="296">
        <v>3</v>
      </c>
      <c r="F185" s="296">
        <v>167000</v>
      </c>
      <c r="G185" s="296">
        <v>501000</v>
      </c>
      <c r="H185" s="296">
        <v>0</v>
      </c>
      <c r="I185" s="296">
        <v>0</v>
      </c>
      <c r="J185" s="296">
        <v>501000</v>
      </c>
      <c r="K185" s="296">
        <v>35070</v>
      </c>
      <c r="L185" s="296">
        <v>53607</v>
      </c>
      <c r="M185" s="296">
        <v>589677</v>
      </c>
    </row>
    <row r="186" spans="1:13" ht="15.5" x14ac:dyDescent="0.35">
      <c r="A186" t="s">
        <v>1040</v>
      </c>
      <c r="B186" t="s">
        <v>1041</v>
      </c>
      <c r="C186" t="s">
        <v>1493</v>
      </c>
      <c r="D186" t="s">
        <v>1499</v>
      </c>
      <c r="E186" s="296">
        <v>19</v>
      </c>
      <c r="F186" s="296">
        <v>22800</v>
      </c>
      <c r="G186" s="296">
        <v>433200</v>
      </c>
      <c r="H186" s="296">
        <v>3420</v>
      </c>
      <c r="I186" s="296">
        <v>0</v>
      </c>
      <c r="J186" s="296">
        <v>429780</v>
      </c>
      <c r="K186" s="296">
        <v>26893</v>
      </c>
      <c r="L186" s="296">
        <v>45673</v>
      </c>
      <c r="M186" s="296">
        <v>502346</v>
      </c>
    </row>
    <row r="187" spans="1:13" ht="15.5" hidden="1" x14ac:dyDescent="0.35">
      <c r="A187" t="s">
        <v>1306</v>
      </c>
      <c r="B187" t="s">
        <v>1415</v>
      </c>
      <c r="C187" t="s">
        <v>1495</v>
      </c>
      <c r="D187" t="s">
        <v>1496</v>
      </c>
      <c r="E187" s="296">
        <v>3</v>
      </c>
      <c r="F187" s="296">
        <v>0</v>
      </c>
      <c r="G187" s="296">
        <v>0</v>
      </c>
      <c r="H187" s="296">
        <v>0</v>
      </c>
      <c r="I187" s="296">
        <v>0</v>
      </c>
      <c r="J187" s="296">
        <v>0</v>
      </c>
      <c r="K187" s="296">
        <v>0</v>
      </c>
      <c r="L187" s="296">
        <v>0</v>
      </c>
      <c r="M187" s="296">
        <v>0</v>
      </c>
    </row>
    <row r="188" spans="1:13" ht="15.5" hidden="1" x14ac:dyDescent="0.35">
      <c r="A188" t="s">
        <v>1530</v>
      </c>
      <c r="B188" t="s">
        <v>1531</v>
      </c>
      <c r="C188" t="s">
        <v>1495</v>
      </c>
      <c r="D188" t="s">
        <v>1496</v>
      </c>
      <c r="E188" s="296">
        <v>3</v>
      </c>
      <c r="F188" s="296">
        <v>3000</v>
      </c>
      <c r="G188" s="296">
        <v>9000</v>
      </c>
      <c r="H188" s="296">
        <v>0</v>
      </c>
      <c r="I188" s="296">
        <v>0</v>
      </c>
      <c r="J188" s="296">
        <v>9000</v>
      </c>
      <c r="K188" s="296">
        <v>210</v>
      </c>
      <c r="L188" s="296">
        <v>921</v>
      </c>
      <c r="M188" s="296">
        <v>10131</v>
      </c>
    </row>
    <row r="189" spans="1:13" ht="15.5" hidden="1" x14ac:dyDescent="0.35">
      <c r="A189" t="s">
        <v>1338</v>
      </c>
      <c r="B189" t="s">
        <v>1446</v>
      </c>
      <c r="C189" t="s">
        <v>1497</v>
      </c>
      <c r="D189" t="s">
        <v>1505</v>
      </c>
      <c r="E189" s="296">
        <v>3</v>
      </c>
      <c r="F189" s="296">
        <v>63840</v>
      </c>
      <c r="G189" s="296">
        <v>191520</v>
      </c>
      <c r="H189" s="296">
        <v>0</v>
      </c>
      <c r="I189" s="296">
        <v>0</v>
      </c>
      <c r="J189" s="296">
        <v>191520</v>
      </c>
      <c r="K189" s="296">
        <v>0</v>
      </c>
      <c r="L189" s="296">
        <v>19152</v>
      </c>
      <c r="M189" s="296">
        <v>210672</v>
      </c>
    </row>
    <row r="190" spans="1:13" ht="15.5" hidden="1" x14ac:dyDescent="0.35">
      <c r="A190" t="s">
        <v>1354</v>
      </c>
      <c r="B190" t="s">
        <v>857</v>
      </c>
      <c r="C190" t="s">
        <v>1497</v>
      </c>
      <c r="D190" t="s">
        <v>1501</v>
      </c>
      <c r="E190" s="296">
        <v>3</v>
      </c>
      <c r="F190" s="296">
        <v>31360</v>
      </c>
      <c r="G190" s="296">
        <v>94080</v>
      </c>
      <c r="H190" s="296">
        <v>0</v>
      </c>
      <c r="I190" s="296">
        <v>0</v>
      </c>
      <c r="J190" s="296">
        <v>94080</v>
      </c>
      <c r="K190" s="296">
        <v>0</v>
      </c>
      <c r="L190" s="296">
        <v>9408</v>
      </c>
      <c r="M190" s="296">
        <v>103488</v>
      </c>
    </row>
    <row r="191" spans="1:13" ht="15.5" hidden="1" x14ac:dyDescent="0.35">
      <c r="A191" t="s">
        <v>1358</v>
      </c>
      <c r="B191" t="s">
        <v>1464</v>
      </c>
      <c r="C191" t="s">
        <v>1497</v>
      </c>
      <c r="D191" t="s">
        <v>1501</v>
      </c>
      <c r="E191" s="296">
        <v>3</v>
      </c>
      <c r="F191" s="296">
        <v>53760</v>
      </c>
      <c r="G191" s="296">
        <v>161280</v>
      </c>
      <c r="H191" s="296">
        <v>0</v>
      </c>
      <c r="I191" s="296">
        <v>0</v>
      </c>
      <c r="J191" s="296">
        <v>161280</v>
      </c>
      <c r="K191" s="296">
        <v>0</v>
      </c>
      <c r="L191" s="296">
        <v>16128</v>
      </c>
      <c r="M191" s="296">
        <v>177408</v>
      </c>
    </row>
    <row r="192" spans="1:13" ht="15.5" hidden="1" x14ac:dyDescent="0.35">
      <c r="A192" t="s">
        <v>1362</v>
      </c>
      <c r="B192" t="s">
        <v>1468</v>
      </c>
      <c r="C192" t="s">
        <v>1497</v>
      </c>
      <c r="D192" t="s">
        <v>1501</v>
      </c>
      <c r="E192" s="296">
        <v>3</v>
      </c>
      <c r="F192" s="296">
        <v>40320</v>
      </c>
      <c r="G192" s="296">
        <v>120960</v>
      </c>
      <c r="H192" s="296">
        <v>0</v>
      </c>
      <c r="I192" s="296">
        <v>0</v>
      </c>
      <c r="J192" s="296">
        <v>120960</v>
      </c>
      <c r="K192" s="296">
        <v>0</v>
      </c>
      <c r="L192" s="296">
        <v>12096</v>
      </c>
      <c r="M192" s="296">
        <v>133056</v>
      </c>
    </row>
    <row r="193" spans="1:13" ht="15.5" hidden="1" x14ac:dyDescent="0.35">
      <c r="A193" t="s">
        <v>1263</v>
      </c>
      <c r="B193" t="s">
        <v>1893</v>
      </c>
      <c r="C193" t="s">
        <v>1497</v>
      </c>
      <c r="D193" t="s">
        <v>1525</v>
      </c>
      <c r="E193" s="296">
        <v>2</v>
      </c>
      <c r="F193" s="296">
        <v>54091</v>
      </c>
      <c r="G193" s="296">
        <v>108182</v>
      </c>
      <c r="H193" s="296">
        <v>0</v>
      </c>
      <c r="I193" s="296">
        <v>0</v>
      </c>
      <c r="J193" s="296">
        <v>108182</v>
      </c>
      <c r="K193" s="296">
        <v>0</v>
      </c>
      <c r="L193" s="296">
        <v>10818</v>
      </c>
      <c r="M193" s="296">
        <v>119000</v>
      </c>
    </row>
    <row r="194" spans="1:13" ht="15.5" hidden="1" x14ac:dyDescent="0.35">
      <c r="A194" t="s">
        <v>1276</v>
      </c>
      <c r="B194" t="s">
        <v>1388</v>
      </c>
      <c r="C194" t="s">
        <v>1497</v>
      </c>
      <c r="D194" t="s">
        <v>1498</v>
      </c>
      <c r="E194" s="296">
        <v>2</v>
      </c>
      <c r="F194" s="296">
        <v>78000</v>
      </c>
      <c r="G194" s="296">
        <v>156000</v>
      </c>
      <c r="H194" s="296">
        <v>11700</v>
      </c>
      <c r="I194" s="296">
        <v>0</v>
      </c>
      <c r="J194" s="296">
        <v>144300</v>
      </c>
      <c r="K194" s="296">
        <v>10101</v>
      </c>
      <c r="L194" s="296">
        <v>15440</v>
      </c>
      <c r="M194" s="296">
        <v>169841</v>
      </c>
    </row>
    <row r="195" spans="1:13" ht="15.5" hidden="1" x14ac:dyDescent="0.35">
      <c r="A195" t="s">
        <v>1534</v>
      </c>
      <c r="B195" t="s">
        <v>1535</v>
      </c>
      <c r="C195" t="s">
        <v>1497</v>
      </c>
      <c r="D195" t="s">
        <v>1498</v>
      </c>
      <c r="E195" s="296">
        <v>2</v>
      </c>
      <c r="F195" s="296">
        <v>48000</v>
      </c>
      <c r="G195" s="296">
        <v>96000</v>
      </c>
      <c r="H195" s="296">
        <v>0</v>
      </c>
      <c r="I195" s="296">
        <v>0</v>
      </c>
      <c r="J195" s="296">
        <v>96000</v>
      </c>
      <c r="K195" s="296">
        <v>6720</v>
      </c>
      <c r="L195" s="296">
        <v>10272</v>
      </c>
      <c r="M195" s="296">
        <v>112992</v>
      </c>
    </row>
    <row r="196" spans="1:13" ht="15.5" hidden="1" x14ac:dyDescent="0.35">
      <c r="A196" t="s">
        <v>1298</v>
      </c>
      <c r="B196" t="s">
        <v>1405</v>
      </c>
      <c r="C196" t="s">
        <v>1497</v>
      </c>
      <c r="D196" t="s">
        <v>1500</v>
      </c>
      <c r="E196" s="296">
        <v>2</v>
      </c>
      <c r="F196" s="296">
        <v>35000</v>
      </c>
      <c r="G196" s="296">
        <v>70000</v>
      </c>
      <c r="H196" s="296">
        <v>10500</v>
      </c>
      <c r="I196" s="296">
        <v>0</v>
      </c>
      <c r="J196" s="296">
        <v>59500</v>
      </c>
      <c r="K196" s="296">
        <v>4166</v>
      </c>
      <c r="L196" s="296">
        <v>6366</v>
      </c>
      <c r="M196" s="296">
        <v>70032</v>
      </c>
    </row>
    <row r="197" spans="1:13" ht="15.5" x14ac:dyDescent="0.35">
      <c r="A197" t="s">
        <v>1044</v>
      </c>
      <c r="B197" t="s">
        <v>1045</v>
      </c>
      <c r="C197" t="s">
        <v>1493</v>
      </c>
      <c r="D197" t="s">
        <v>1499</v>
      </c>
      <c r="E197" s="296">
        <v>58</v>
      </c>
      <c r="F197" s="296">
        <v>22800</v>
      </c>
      <c r="G197" s="296">
        <v>1322400</v>
      </c>
      <c r="H197" s="296">
        <v>17100</v>
      </c>
      <c r="I197" s="296">
        <v>0</v>
      </c>
      <c r="J197" s="296">
        <v>1305300</v>
      </c>
      <c r="K197" s="296">
        <v>84989</v>
      </c>
      <c r="L197" s="296">
        <v>139045</v>
      </c>
      <c r="M197" s="296">
        <v>1529334</v>
      </c>
    </row>
    <row r="198" spans="1:13" ht="15.5" x14ac:dyDescent="0.35">
      <c r="A198" t="s">
        <v>1335</v>
      </c>
      <c r="B198" t="s">
        <v>1443</v>
      </c>
      <c r="C198" t="s">
        <v>1493</v>
      </c>
      <c r="D198" t="s">
        <v>1494</v>
      </c>
      <c r="E198" s="296">
        <v>974</v>
      </c>
      <c r="F198" s="296">
        <v>14000</v>
      </c>
      <c r="G198" s="296">
        <v>13636000</v>
      </c>
      <c r="H198" s="296">
        <v>141486.72</v>
      </c>
      <c r="I198" s="296">
        <v>0</v>
      </c>
      <c r="J198" s="296">
        <v>13494513.279999999</v>
      </c>
      <c r="K198" s="296">
        <v>944616</v>
      </c>
      <c r="L198" s="296">
        <v>1443911</v>
      </c>
      <c r="M198" s="296">
        <v>15883040.279999999</v>
      </c>
    </row>
    <row r="199" spans="1:13" ht="15.5" x14ac:dyDescent="0.35">
      <c r="A199" t="s">
        <v>1336</v>
      </c>
      <c r="B199" t="s">
        <v>1444</v>
      </c>
      <c r="C199" t="s">
        <v>1493</v>
      </c>
      <c r="D199" t="s">
        <v>1494</v>
      </c>
      <c r="E199" s="296">
        <v>205</v>
      </c>
      <c r="F199" s="296">
        <v>14000</v>
      </c>
      <c r="G199" s="296">
        <v>2870000</v>
      </c>
      <c r="H199" s="296">
        <v>27300</v>
      </c>
      <c r="I199" s="296">
        <v>0</v>
      </c>
      <c r="J199" s="296">
        <v>2842700</v>
      </c>
      <c r="K199" s="296">
        <v>198989</v>
      </c>
      <c r="L199" s="296">
        <v>304168</v>
      </c>
      <c r="M199" s="296">
        <v>3345857</v>
      </c>
    </row>
    <row r="200" spans="1:13" ht="15.5" hidden="1" x14ac:dyDescent="0.35">
      <c r="A200" t="s">
        <v>1261</v>
      </c>
      <c r="B200" t="s">
        <v>1374</v>
      </c>
      <c r="C200" t="s">
        <v>1497</v>
      </c>
      <c r="D200" t="s">
        <v>1524</v>
      </c>
      <c r="E200" s="296">
        <v>1</v>
      </c>
      <c r="F200" s="296">
        <v>22000</v>
      </c>
      <c r="G200" s="296">
        <v>22000</v>
      </c>
      <c r="H200" s="296">
        <v>0</v>
      </c>
      <c r="I200" s="296">
        <v>0</v>
      </c>
      <c r="J200" s="296">
        <v>22000</v>
      </c>
      <c r="K200" s="296">
        <v>1540</v>
      </c>
      <c r="L200" s="296">
        <v>2354</v>
      </c>
      <c r="M200" s="296">
        <v>25894</v>
      </c>
    </row>
    <row r="201" spans="1:13" ht="15.5" hidden="1" x14ac:dyDescent="0.35">
      <c r="A201" t="s">
        <v>1263</v>
      </c>
      <c r="B201" t="s">
        <v>1893</v>
      </c>
      <c r="C201" t="s">
        <v>1497</v>
      </c>
      <c r="D201" t="s">
        <v>1525</v>
      </c>
      <c r="E201" s="296">
        <v>1</v>
      </c>
      <c r="F201" s="296">
        <v>52000</v>
      </c>
      <c r="G201" s="296">
        <v>52000</v>
      </c>
      <c r="H201" s="296">
        <v>0</v>
      </c>
      <c r="I201" s="296">
        <v>0</v>
      </c>
      <c r="J201" s="296">
        <v>52000</v>
      </c>
      <c r="K201" s="296">
        <v>3640</v>
      </c>
      <c r="L201" s="296">
        <v>5564</v>
      </c>
      <c r="M201" s="296">
        <v>61204</v>
      </c>
    </row>
    <row r="202" spans="1:13" ht="15.5" hidden="1" x14ac:dyDescent="0.35">
      <c r="A202" t="s">
        <v>1263</v>
      </c>
      <c r="B202" t="s">
        <v>1893</v>
      </c>
      <c r="C202" t="s">
        <v>1497</v>
      </c>
      <c r="D202" t="s">
        <v>1525</v>
      </c>
      <c r="E202" s="296">
        <v>1</v>
      </c>
      <c r="F202" s="296">
        <v>52640</v>
      </c>
      <c r="G202" s="296">
        <v>52640</v>
      </c>
      <c r="H202" s="296">
        <v>0</v>
      </c>
      <c r="I202" s="296">
        <v>0</v>
      </c>
      <c r="J202" s="296">
        <v>52640</v>
      </c>
      <c r="K202" s="296">
        <v>0</v>
      </c>
      <c r="L202" s="296">
        <v>5264</v>
      </c>
      <c r="M202" s="296">
        <v>57904</v>
      </c>
    </row>
    <row r="203" spans="1:13" ht="15.5" hidden="1" x14ac:dyDescent="0.35">
      <c r="A203" t="s">
        <v>1270</v>
      </c>
      <c r="B203" t="s">
        <v>1383</v>
      </c>
      <c r="C203" t="s">
        <v>1497</v>
      </c>
      <c r="D203" t="s">
        <v>1498</v>
      </c>
      <c r="E203" s="296">
        <v>1</v>
      </c>
      <c r="F203" s="296">
        <v>8000</v>
      </c>
      <c r="G203" s="296">
        <v>8000</v>
      </c>
      <c r="H203" s="296">
        <v>0</v>
      </c>
      <c r="I203" s="296">
        <v>0</v>
      </c>
      <c r="J203" s="296">
        <v>8000</v>
      </c>
      <c r="K203" s="296">
        <v>560</v>
      </c>
      <c r="L203" s="296">
        <v>856</v>
      </c>
      <c r="M203" s="296">
        <v>9416</v>
      </c>
    </row>
    <row r="204" spans="1:13" ht="15.5" hidden="1" x14ac:dyDescent="0.35">
      <c r="A204" t="s">
        <v>1275</v>
      </c>
      <c r="B204" t="s">
        <v>1387</v>
      </c>
      <c r="C204" t="s">
        <v>1497</v>
      </c>
      <c r="D204" t="s">
        <v>1498</v>
      </c>
      <c r="E204" s="296">
        <v>1</v>
      </c>
      <c r="F204" s="296">
        <v>88000</v>
      </c>
      <c r="G204" s="296">
        <v>88000</v>
      </c>
      <c r="H204" s="296">
        <v>13200</v>
      </c>
      <c r="I204" s="296">
        <v>0</v>
      </c>
      <c r="J204" s="296">
        <v>74800</v>
      </c>
      <c r="K204" s="296">
        <v>5236</v>
      </c>
      <c r="L204" s="296">
        <v>8004</v>
      </c>
      <c r="M204" s="296">
        <v>88040</v>
      </c>
    </row>
    <row r="205" spans="1:13" ht="15.5" hidden="1" x14ac:dyDescent="0.35">
      <c r="A205" t="s">
        <v>4</v>
      </c>
      <c r="B205" t="s">
        <v>1</v>
      </c>
      <c r="C205" t="s">
        <v>1497</v>
      </c>
      <c r="D205" t="s">
        <v>1500</v>
      </c>
      <c r="E205" s="296">
        <v>1</v>
      </c>
      <c r="F205" s="296">
        <v>149760</v>
      </c>
      <c r="G205" s="296">
        <v>149760</v>
      </c>
      <c r="H205" s="296">
        <v>0</v>
      </c>
      <c r="I205" s="296">
        <v>0</v>
      </c>
      <c r="J205" s="296">
        <v>149760</v>
      </c>
      <c r="K205" s="296">
        <v>0</v>
      </c>
      <c r="L205" s="296">
        <v>14976</v>
      </c>
      <c r="M205" s="296">
        <v>164736</v>
      </c>
    </row>
    <row r="206" spans="1:13" ht="15.5" x14ac:dyDescent="0.35">
      <c r="A206" t="s">
        <v>1337</v>
      </c>
      <c r="B206" t="s">
        <v>1445</v>
      </c>
      <c r="C206" t="s">
        <v>1493</v>
      </c>
      <c r="D206" t="s">
        <v>1494</v>
      </c>
      <c r="E206" s="296">
        <v>91</v>
      </c>
      <c r="F206" s="296">
        <v>18000</v>
      </c>
      <c r="G206" s="296">
        <v>1638000</v>
      </c>
      <c r="H206" s="296">
        <v>8100</v>
      </c>
      <c r="I206" s="296">
        <v>0</v>
      </c>
      <c r="J206" s="296">
        <v>1629900</v>
      </c>
      <c r="K206" s="296">
        <v>111573</v>
      </c>
      <c r="L206" s="296">
        <v>174147</v>
      </c>
      <c r="M206" s="296">
        <v>1915620</v>
      </c>
    </row>
    <row r="207" spans="1:13" ht="15.5" x14ac:dyDescent="0.35">
      <c r="A207" t="s">
        <v>1018</v>
      </c>
      <c r="B207" t="s">
        <v>1019</v>
      </c>
      <c r="C207" t="s">
        <v>1493</v>
      </c>
      <c r="D207" t="s">
        <v>1494</v>
      </c>
      <c r="E207" s="296">
        <v>242</v>
      </c>
      <c r="F207" s="296">
        <v>11000</v>
      </c>
      <c r="G207" s="296">
        <v>2662000</v>
      </c>
      <c r="H207" s="296">
        <v>14850</v>
      </c>
      <c r="I207" s="296">
        <v>0</v>
      </c>
      <c r="J207" s="296">
        <v>2647150</v>
      </c>
      <c r="K207" s="296">
        <v>182994</v>
      </c>
      <c r="L207" s="296">
        <v>283018</v>
      </c>
      <c r="M207" s="296">
        <v>3113162</v>
      </c>
    </row>
    <row r="208" spans="1:13" ht="15.5" x14ac:dyDescent="0.35">
      <c r="A208" t="s">
        <v>1018</v>
      </c>
      <c r="B208" t="s">
        <v>1019</v>
      </c>
      <c r="C208" t="s">
        <v>1493</v>
      </c>
      <c r="D208" t="s">
        <v>1494</v>
      </c>
      <c r="E208" s="296">
        <v>2</v>
      </c>
      <c r="F208" s="296">
        <v>12320</v>
      </c>
      <c r="G208" s="296">
        <v>24640</v>
      </c>
      <c r="H208" s="296">
        <v>0</v>
      </c>
      <c r="I208" s="296">
        <v>0</v>
      </c>
      <c r="J208" s="296">
        <v>24640</v>
      </c>
      <c r="K208" s="296">
        <v>0</v>
      </c>
      <c r="L208" s="296">
        <v>2464</v>
      </c>
      <c r="M208" s="296">
        <v>27104</v>
      </c>
    </row>
    <row r="209" spans="1:13" ht="15.5" hidden="1" x14ac:dyDescent="0.35">
      <c r="A209" t="s">
        <v>1318</v>
      </c>
      <c r="B209" t="s">
        <v>1427</v>
      </c>
      <c r="C209" t="s">
        <v>1495</v>
      </c>
      <c r="D209" t="s">
        <v>1496</v>
      </c>
      <c r="E209" s="296">
        <v>1</v>
      </c>
      <c r="F209" s="296">
        <v>0</v>
      </c>
      <c r="G209" s="296">
        <v>0</v>
      </c>
      <c r="H209" s="296">
        <v>0</v>
      </c>
      <c r="I209" s="296">
        <v>0</v>
      </c>
      <c r="J209" s="296">
        <v>0</v>
      </c>
      <c r="K209" s="296">
        <v>0</v>
      </c>
      <c r="L209" s="296">
        <v>0</v>
      </c>
      <c r="M209" s="296">
        <v>0</v>
      </c>
    </row>
    <row r="210" spans="1:13" ht="15.5" hidden="1" x14ac:dyDescent="0.35">
      <c r="A210" t="s">
        <v>1321</v>
      </c>
      <c r="B210" t="s">
        <v>1429</v>
      </c>
      <c r="C210" t="s">
        <v>1495</v>
      </c>
      <c r="D210" t="s">
        <v>1496</v>
      </c>
      <c r="E210" s="296">
        <v>1</v>
      </c>
      <c r="F210" s="296">
        <v>0</v>
      </c>
      <c r="G210" s="296">
        <v>0</v>
      </c>
      <c r="H210" s="296">
        <v>0</v>
      </c>
      <c r="I210" s="296">
        <v>0</v>
      </c>
      <c r="J210" s="296">
        <v>0</v>
      </c>
      <c r="K210" s="296">
        <v>0</v>
      </c>
      <c r="L210" s="296">
        <v>0</v>
      </c>
      <c r="M210" s="296">
        <v>0</v>
      </c>
    </row>
    <row r="211" spans="1:13" ht="15.5" hidden="1" x14ac:dyDescent="0.35">
      <c r="A211" t="s">
        <v>1364</v>
      </c>
      <c r="B211" t="s">
        <v>1205</v>
      </c>
      <c r="C211" t="s">
        <v>1497</v>
      </c>
      <c r="D211" t="s">
        <v>1501</v>
      </c>
      <c r="E211" s="296">
        <v>1</v>
      </c>
      <c r="F211" s="296">
        <v>35000</v>
      </c>
      <c r="G211" s="296">
        <v>35000</v>
      </c>
      <c r="H211" s="296">
        <v>5250</v>
      </c>
      <c r="I211" s="296">
        <v>0</v>
      </c>
      <c r="J211" s="296">
        <v>29750</v>
      </c>
      <c r="K211" s="296">
        <v>2083</v>
      </c>
      <c r="L211" s="296">
        <v>3183</v>
      </c>
      <c r="M211" s="296">
        <v>35016</v>
      </c>
    </row>
    <row r="212" spans="1:13" ht="15.5" hidden="1" x14ac:dyDescent="0.35">
      <c r="A212" t="s">
        <v>1371</v>
      </c>
      <c r="B212" t="s">
        <v>1476</v>
      </c>
      <c r="C212" t="s">
        <v>1497</v>
      </c>
      <c r="D212" t="s">
        <v>1502</v>
      </c>
      <c r="E212" s="296">
        <v>1</v>
      </c>
      <c r="F212" s="296">
        <v>65000</v>
      </c>
      <c r="G212" s="296">
        <v>65000</v>
      </c>
      <c r="H212" s="296">
        <v>0</v>
      </c>
      <c r="I212" s="296">
        <v>0</v>
      </c>
      <c r="J212" s="296">
        <v>65000</v>
      </c>
      <c r="K212" s="296">
        <v>4550</v>
      </c>
      <c r="L212" s="296">
        <v>6955</v>
      </c>
      <c r="M212" s="296">
        <v>76505</v>
      </c>
    </row>
    <row r="213" spans="1:13" ht="15.5" hidden="1" x14ac:dyDescent="0.35">
      <c r="A213" t="s">
        <v>1536</v>
      </c>
      <c r="B213" t="s">
        <v>1895</v>
      </c>
      <c r="C213" t="s">
        <v>1497</v>
      </c>
      <c r="D213" t="s">
        <v>1502</v>
      </c>
      <c r="E213" s="296">
        <v>1</v>
      </c>
      <c r="F213" s="296">
        <v>85000</v>
      </c>
      <c r="G213" s="296">
        <v>85000</v>
      </c>
      <c r="H213" s="296">
        <v>0</v>
      </c>
      <c r="I213" s="296">
        <v>0</v>
      </c>
      <c r="J213" s="296">
        <v>85000</v>
      </c>
      <c r="K213" s="296">
        <v>5950</v>
      </c>
      <c r="L213" s="296">
        <v>9095</v>
      </c>
      <c r="M213" s="296">
        <v>100045</v>
      </c>
    </row>
  </sheetData>
  <autoFilter ref="A9:M213" xr:uid="{C1A92894-D276-448A-A559-5FD0C70CCE38}">
    <filterColumn colId="2">
      <filters>
        <filter val="BEVERAGE"/>
      </filters>
    </filterColumn>
    <sortState xmlns:xlrd2="http://schemas.microsoft.com/office/spreadsheetml/2017/richdata2" ref="A10:M208">
      <sortCondition ref="A9:A213"/>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3C9BE9-332D-4A8F-97C4-E5EE7FA3AA31}">
  <sheetPr codeName="Sheet8">
    <pageSetUpPr fitToPage="1"/>
  </sheetPr>
  <dimension ref="A1:T252"/>
  <sheetViews>
    <sheetView topLeftCell="A91" zoomScale="80" zoomScaleNormal="80" workbookViewId="0">
      <selection activeCell="A191" sqref="A191"/>
    </sheetView>
  </sheetViews>
  <sheetFormatPr defaultColWidth="8.81640625" defaultRowHeight="14.5" x14ac:dyDescent="0.35"/>
  <cols>
    <col min="1" max="1" width="12.90625" style="207" customWidth="1"/>
    <col min="2" max="2" width="57.90625" style="207" bestFit="1" customWidth="1"/>
    <col min="3" max="3" width="27.7265625" style="2" customWidth="1"/>
    <col min="4" max="4" width="13.54296875" style="2" customWidth="1"/>
    <col min="5" max="5" width="20.81640625" style="270" customWidth="1"/>
    <col min="6" max="7" width="17.6328125" style="270" customWidth="1"/>
    <col min="8" max="8" width="19.7265625" style="270" bestFit="1" customWidth="1"/>
    <col min="9" max="9" width="19.7265625" style="270" customWidth="1"/>
    <col min="10" max="10" width="77.36328125" style="207" customWidth="1"/>
    <col min="11" max="11" width="15.90625" style="207" customWidth="1"/>
    <col min="12" max="16384" width="8.81640625" style="207"/>
  </cols>
  <sheetData>
    <row r="1" spans="1:10" x14ac:dyDescent="0.35">
      <c r="A1" s="204"/>
      <c r="B1" s="204"/>
      <c r="C1" s="205"/>
      <c r="D1" s="205"/>
      <c r="E1" s="206"/>
      <c r="F1" s="206"/>
      <c r="G1" s="273"/>
      <c r="H1" s="273"/>
      <c r="I1" s="273"/>
    </row>
    <row r="2" spans="1:10" x14ac:dyDescent="0.35">
      <c r="A2" s="208" t="s">
        <v>1540</v>
      </c>
      <c r="B2" s="208" t="s">
        <v>1541</v>
      </c>
      <c r="C2" s="208" t="s">
        <v>1542</v>
      </c>
      <c r="D2" s="208" t="s">
        <v>1543</v>
      </c>
      <c r="E2" s="209" t="s">
        <v>901</v>
      </c>
      <c r="F2" s="209" t="s">
        <v>1544</v>
      </c>
      <c r="G2" s="209" t="s">
        <v>1761</v>
      </c>
      <c r="H2" s="209" t="s">
        <v>1896</v>
      </c>
      <c r="I2" s="274"/>
    </row>
    <row r="3" spans="1:10" x14ac:dyDescent="0.35">
      <c r="A3" s="210" t="s">
        <v>1545</v>
      </c>
      <c r="B3" s="211"/>
      <c r="C3" s="211"/>
      <c r="D3" s="211"/>
      <c r="E3" s="211"/>
      <c r="F3" s="212"/>
      <c r="G3" s="275"/>
      <c r="H3" s="275"/>
      <c r="I3" s="275"/>
    </row>
    <row r="4" spans="1:10" x14ac:dyDescent="0.35">
      <c r="A4" s="213" t="s">
        <v>260</v>
      </c>
      <c r="B4" s="204" t="s">
        <v>1546</v>
      </c>
      <c r="C4" s="205" t="s">
        <v>1547</v>
      </c>
      <c r="D4" s="205" t="s">
        <v>1547</v>
      </c>
      <c r="E4" s="206" t="s">
        <v>73</v>
      </c>
      <c r="F4" s="214" t="s">
        <v>1548</v>
      </c>
      <c r="G4" s="214">
        <v>21842.23</v>
      </c>
      <c r="H4" s="214">
        <v>5460.5574999999999</v>
      </c>
      <c r="I4" s="285"/>
    </row>
    <row r="5" spans="1:10" x14ac:dyDescent="0.35">
      <c r="A5" s="210" t="s">
        <v>1549</v>
      </c>
      <c r="B5" s="211"/>
      <c r="C5" s="211"/>
      <c r="D5" s="211"/>
      <c r="E5" s="211"/>
      <c r="F5" s="300"/>
      <c r="G5" s="275"/>
      <c r="H5" s="275"/>
      <c r="I5" s="297"/>
    </row>
    <row r="6" spans="1:10" x14ac:dyDescent="0.35">
      <c r="A6" s="204" t="s">
        <v>505</v>
      </c>
      <c r="B6" s="204" t="s">
        <v>1550</v>
      </c>
      <c r="C6" s="215" t="s">
        <v>1551</v>
      </c>
      <c r="D6" s="205" t="s">
        <v>1552</v>
      </c>
      <c r="E6" s="206" t="s">
        <v>73</v>
      </c>
      <c r="F6" s="231"/>
      <c r="G6" s="231">
        <v>1211.3599999999999</v>
      </c>
      <c r="H6" s="231">
        <v>302.83999999999997</v>
      </c>
      <c r="I6" s="285"/>
      <c r="J6" s="748" t="s">
        <v>1553</v>
      </c>
    </row>
    <row r="7" spans="1:10" x14ac:dyDescent="0.35">
      <c r="A7" s="213" t="s">
        <v>596</v>
      </c>
      <c r="B7" s="204" t="s">
        <v>1554</v>
      </c>
      <c r="C7" s="215" t="s">
        <v>1555</v>
      </c>
      <c r="D7" s="205" t="s">
        <v>1556</v>
      </c>
      <c r="E7" s="206" t="s">
        <v>1762</v>
      </c>
      <c r="F7" s="231"/>
      <c r="G7" s="231"/>
      <c r="H7" s="231"/>
      <c r="I7" s="285"/>
      <c r="J7" s="749"/>
    </row>
    <row r="8" spans="1:10" x14ac:dyDescent="0.35">
      <c r="A8" s="204" t="s">
        <v>525</v>
      </c>
      <c r="B8" s="204" t="s">
        <v>1557</v>
      </c>
      <c r="C8" s="215" t="s">
        <v>1551</v>
      </c>
      <c r="D8" s="215" t="s">
        <v>1558</v>
      </c>
      <c r="E8" s="206" t="s">
        <v>73</v>
      </c>
      <c r="F8" s="231"/>
      <c r="G8" s="231">
        <v>17.09</v>
      </c>
      <c r="H8" s="231">
        <v>4.2725</v>
      </c>
      <c r="I8" s="285"/>
      <c r="J8" s="749"/>
    </row>
    <row r="9" spans="1:10" s="220" customFormat="1" x14ac:dyDescent="0.35">
      <c r="A9" s="216" t="s">
        <v>682</v>
      </c>
      <c r="B9" s="216" t="s">
        <v>1560</v>
      </c>
      <c r="C9" s="215" t="s">
        <v>1551</v>
      </c>
      <c r="D9" s="217" t="s">
        <v>1561</v>
      </c>
      <c r="E9" s="206" t="s">
        <v>73</v>
      </c>
      <c r="F9" s="219"/>
      <c r="G9" s="219">
        <v>1034</v>
      </c>
      <c r="H9" s="219">
        <v>258.5</v>
      </c>
      <c r="I9" s="285"/>
      <c r="J9" s="749"/>
    </row>
    <row r="10" spans="1:10" s="220" customFormat="1" x14ac:dyDescent="0.35">
      <c r="A10" s="216" t="s">
        <v>511</v>
      </c>
      <c r="B10" s="216" t="s">
        <v>1562</v>
      </c>
      <c r="C10" s="215" t="s">
        <v>1551</v>
      </c>
      <c r="D10" s="217" t="s">
        <v>1563</v>
      </c>
      <c r="E10" s="206" t="s">
        <v>73</v>
      </c>
      <c r="F10" s="219"/>
      <c r="G10" s="219">
        <v>3964.95</v>
      </c>
      <c r="H10" s="219">
        <v>991.23749999999995</v>
      </c>
      <c r="I10" s="285"/>
      <c r="J10" s="749"/>
    </row>
    <row r="11" spans="1:10" x14ac:dyDescent="0.35">
      <c r="A11" s="213" t="s">
        <v>529</v>
      </c>
      <c r="B11" s="204" t="s">
        <v>1565</v>
      </c>
      <c r="C11" s="215" t="s">
        <v>1551</v>
      </c>
      <c r="D11" s="205" t="s">
        <v>1566</v>
      </c>
      <c r="E11" s="291" t="s">
        <v>1762</v>
      </c>
      <c r="F11" s="231"/>
      <c r="G11" s="231">
        <v>469.66</v>
      </c>
      <c r="H11" s="231">
        <v>117.41500000000001</v>
      </c>
      <c r="I11" s="285"/>
      <c r="J11" s="749"/>
    </row>
    <row r="12" spans="1:10" x14ac:dyDescent="0.35">
      <c r="A12" s="204" t="s">
        <v>55</v>
      </c>
      <c r="B12" s="204" t="s">
        <v>1567</v>
      </c>
      <c r="C12" s="215" t="s">
        <v>1551</v>
      </c>
      <c r="D12" s="205" t="s">
        <v>1552</v>
      </c>
      <c r="E12" s="214" t="s">
        <v>810</v>
      </c>
      <c r="F12" s="231"/>
      <c r="G12" s="231">
        <v>90.13</v>
      </c>
      <c r="H12" s="231">
        <v>22.532499999999999</v>
      </c>
      <c r="I12" s="285"/>
      <c r="J12" s="749"/>
    </row>
    <row r="13" spans="1:10" x14ac:dyDescent="0.35">
      <c r="A13" s="213" t="s">
        <v>543</v>
      </c>
      <c r="B13" s="213" t="s">
        <v>544</v>
      </c>
      <c r="C13" s="215" t="s">
        <v>1551</v>
      </c>
      <c r="D13" s="215" t="s">
        <v>1568</v>
      </c>
      <c r="E13" s="214" t="s">
        <v>1559</v>
      </c>
      <c r="F13" s="231"/>
      <c r="G13" s="231"/>
      <c r="H13" s="231"/>
      <c r="I13" s="285"/>
      <c r="J13" s="749"/>
    </row>
    <row r="14" spans="1:10" x14ac:dyDescent="0.35">
      <c r="A14" s="244" t="s">
        <v>541</v>
      </c>
      <c r="B14" s="213" t="s">
        <v>542</v>
      </c>
      <c r="C14" s="215" t="s">
        <v>1551</v>
      </c>
      <c r="D14" s="215" t="s">
        <v>1568</v>
      </c>
      <c r="E14" s="214" t="s">
        <v>1559</v>
      </c>
      <c r="F14" s="231"/>
      <c r="G14" s="231"/>
      <c r="H14" s="231"/>
      <c r="I14" s="285"/>
      <c r="J14" s="749"/>
    </row>
    <row r="15" spans="1:10" x14ac:dyDescent="0.35">
      <c r="A15" s="213" t="s">
        <v>537</v>
      </c>
      <c r="B15" s="204" t="s">
        <v>1569</v>
      </c>
      <c r="C15" s="215" t="s">
        <v>1551</v>
      </c>
      <c r="D15" s="205" t="s">
        <v>1568</v>
      </c>
      <c r="E15" s="214" t="s">
        <v>1559</v>
      </c>
      <c r="F15" s="231"/>
      <c r="G15" s="231">
        <v>41.23</v>
      </c>
      <c r="H15" s="231">
        <v>10.307499999999999</v>
      </c>
      <c r="I15" s="285"/>
      <c r="J15" s="749"/>
    </row>
    <row r="16" spans="1:10" x14ac:dyDescent="0.35">
      <c r="A16" s="204" t="s">
        <v>53</v>
      </c>
      <c r="B16" s="204" t="s">
        <v>116</v>
      </c>
      <c r="C16" s="215" t="s">
        <v>1551</v>
      </c>
      <c r="D16" s="205"/>
      <c r="E16" s="298" t="s">
        <v>73</v>
      </c>
      <c r="F16" s="231"/>
      <c r="G16" s="231">
        <v>23057.62</v>
      </c>
      <c r="H16" s="231">
        <v>5764.4049999999997</v>
      </c>
      <c r="I16" s="285"/>
      <c r="J16" s="749"/>
    </row>
    <row r="17" spans="1:10" x14ac:dyDescent="0.35">
      <c r="A17" s="204" t="s">
        <v>60</v>
      </c>
      <c r="B17" s="204" t="s">
        <v>1571</v>
      </c>
      <c r="C17" s="215" t="s">
        <v>1551</v>
      </c>
      <c r="D17" s="205"/>
      <c r="E17" s="298" t="s">
        <v>73</v>
      </c>
      <c r="F17" s="231"/>
      <c r="G17" s="231">
        <v>37611.43</v>
      </c>
      <c r="H17" s="231">
        <v>9402.8575000000001</v>
      </c>
      <c r="I17" s="285"/>
      <c r="J17" s="749"/>
    </row>
    <row r="18" spans="1:10" x14ac:dyDescent="0.35">
      <c r="A18" s="204" t="s">
        <v>369</v>
      </c>
      <c r="B18" s="204" t="s">
        <v>1572</v>
      </c>
      <c r="C18" s="215" t="s">
        <v>1551</v>
      </c>
      <c r="D18" s="205"/>
      <c r="E18" s="298" t="s">
        <v>73</v>
      </c>
      <c r="F18" s="231"/>
      <c r="G18" s="231">
        <v>16563.95</v>
      </c>
      <c r="H18" s="231">
        <v>4140.9875000000002</v>
      </c>
      <c r="I18" s="285"/>
      <c r="J18" s="749"/>
    </row>
    <row r="19" spans="1:10" x14ac:dyDescent="0.35">
      <c r="A19" s="204" t="s">
        <v>371</v>
      </c>
      <c r="B19" s="204" t="s">
        <v>808</v>
      </c>
      <c r="C19" s="215" t="s">
        <v>1551</v>
      </c>
      <c r="D19" s="205"/>
      <c r="E19" s="298" t="s">
        <v>73</v>
      </c>
      <c r="F19" s="231"/>
      <c r="G19" s="231">
        <v>28840.82</v>
      </c>
      <c r="H19" s="231">
        <v>7210.2049999999999</v>
      </c>
      <c r="I19" s="285"/>
      <c r="J19" s="749"/>
    </row>
    <row r="20" spans="1:10" x14ac:dyDescent="0.35">
      <c r="A20" s="204" t="s">
        <v>373</v>
      </c>
      <c r="B20" s="204" t="s">
        <v>1573</v>
      </c>
      <c r="C20" s="215" t="s">
        <v>1551</v>
      </c>
      <c r="D20" s="205"/>
      <c r="E20" s="298" t="s">
        <v>73</v>
      </c>
      <c r="F20" s="231"/>
      <c r="G20" s="231">
        <v>16553.669999999998</v>
      </c>
      <c r="H20" s="231">
        <v>4138.4174999999996</v>
      </c>
      <c r="I20" s="285"/>
      <c r="J20" s="749"/>
    </row>
    <row r="21" spans="1:10" x14ac:dyDescent="0.35">
      <c r="A21" s="204" t="s">
        <v>375</v>
      </c>
      <c r="B21" s="204" t="s">
        <v>900</v>
      </c>
      <c r="C21" s="215" t="s">
        <v>1551</v>
      </c>
      <c r="D21" s="205"/>
      <c r="E21" s="298" t="s">
        <v>73</v>
      </c>
      <c r="F21" s="231"/>
      <c r="G21" s="231">
        <v>4813</v>
      </c>
      <c r="H21" s="231">
        <v>1203.25</v>
      </c>
      <c r="I21" s="285"/>
      <c r="J21" s="749"/>
    </row>
    <row r="22" spans="1:10" x14ac:dyDescent="0.35">
      <c r="A22" s="204" t="s">
        <v>377</v>
      </c>
      <c r="B22" s="204" t="s">
        <v>975</v>
      </c>
      <c r="C22" s="215" t="s">
        <v>1551</v>
      </c>
      <c r="D22" s="205"/>
      <c r="E22" s="298" t="s">
        <v>73</v>
      </c>
      <c r="F22" s="231"/>
      <c r="G22" s="231">
        <v>7421.34</v>
      </c>
      <c r="H22" s="231">
        <v>1855.335</v>
      </c>
      <c r="I22" s="285"/>
      <c r="J22" s="749"/>
    </row>
    <row r="23" spans="1:10" x14ac:dyDescent="0.35">
      <c r="A23" s="204" t="s">
        <v>379</v>
      </c>
      <c r="B23" s="204" t="s">
        <v>919</v>
      </c>
      <c r="C23" s="215" t="s">
        <v>1551</v>
      </c>
      <c r="D23" s="205"/>
      <c r="E23" s="298" t="s">
        <v>73</v>
      </c>
      <c r="F23" s="231"/>
      <c r="G23" s="231">
        <v>2758.55</v>
      </c>
      <c r="H23" s="231">
        <v>689.63750000000005</v>
      </c>
      <c r="I23" s="285"/>
      <c r="J23" s="749"/>
    </row>
    <row r="24" spans="1:10" x14ac:dyDescent="0.35">
      <c r="A24" s="204" t="s">
        <v>381</v>
      </c>
      <c r="B24" s="204" t="s">
        <v>762</v>
      </c>
      <c r="C24" s="215" t="s">
        <v>1551</v>
      </c>
      <c r="D24" s="205"/>
      <c r="E24" s="298" t="s">
        <v>73</v>
      </c>
      <c r="F24" s="231"/>
      <c r="G24" s="231">
        <v>3978.64</v>
      </c>
      <c r="H24" s="231">
        <v>994.66</v>
      </c>
      <c r="I24" s="285"/>
      <c r="J24" s="749"/>
    </row>
    <row r="25" spans="1:10" x14ac:dyDescent="0.35">
      <c r="A25" s="204" t="s">
        <v>385</v>
      </c>
      <c r="B25" s="204" t="s">
        <v>990</v>
      </c>
      <c r="C25" s="215" t="s">
        <v>1551</v>
      </c>
      <c r="D25" s="205"/>
      <c r="E25" s="298" t="s">
        <v>73</v>
      </c>
      <c r="F25" s="231"/>
      <c r="G25" s="231">
        <v>2620.46</v>
      </c>
      <c r="H25" s="231">
        <v>655.11500000000001</v>
      </c>
      <c r="I25" s="273"/>
      <c r="J25" s="749"/>
    </row>
    <row r="26" spans="1:10" x14ac:dyDescent="0.35">
      <c r="A26" s="204" t="s">
        <v>389</v>
      </c>
      <c r="B26" s="204" t="s">
        <v>1574</v>
      </c>
      <c r="C26" s="215" t="s">
        <v>1551</v>
      </c>
      <c r="D26" s="205"/>
      <c r="E26" s="298" t="s">
        <v>73</v>
      </c>
      <c r="F26" s="231"/>
      <c r="G26" s="231">
        <v>870.83</v>
      </c>
      <c r="H26" s="231">
        <v>217.70750000000001</v>
      </c>
      <c r="I26" s="273"/>
      <c r="J26" s="749"/>
    </row>
    <row r="27" spans="1:10" x14ac:dyDescent="0.35">
      <c r="A27" s="204" t="s">
        <v>48</v>
      </c>
      <c r="B27" s="204" t="s">
        <v>809</v>
      </c>
      <c r="C27" s="215" t="s">
        <v>1551</v>
      </c>
      <c r="D27" s="205"/>
      <c r="E27" s="298" t="s">
        <v>73</v>
      </c>
      <c r="F27" s="231"/>
      <c r="G27" s="231">
        <v>48713.52</v>
      </c>
      <c r="H27" s="231">
        <v>12178.38</v>
      </c>
      <c r="I27" s="273"/>
      <c r="J27" s="749"/>
    </row>
    <row r="28" spans="1:10" x14ac:dyDescent="0.35">
      <c r="A28" s="204" t="s">
        <v>392</v>
      </c>
      <c r="B28" s="204" t="s">
        <v>1575</v>
      </c>
      <c r="C28" s="215" t="s">
        <v>1551</v>
      </c>
      <c r="D28" s="205"/>
      <c r="E28" s="298" t="s">
        <v>73</v>
      </c>
      <c r="F28" s="231"/>
      <c r="G28" s="231">
        <v>3336.69</v>
      </c>
      <c r="H28" s="231">
        <v>834.17250000000001</v>
      </c>
      <c r="I28" s="273"/>
      <c r="J28" s="749"/>
    </row>
    <row r="29" spans="1:10" x14ac:dyDescent="0.35">
      <c r="A29" s="204" t="s">
        <v>50</v>
      </c>
      <c r="B29" s="204" t="s">
        <v>1161</v>
      </c>
      <c r="C29" s="215" t="s">
        <v>1551</v>
      </c>
      <c r="D29" s="205"/>
      <c r="E29" s="298" t="s">
        <v>73</v>
      </c>
      <c r="F29" s="231"/>
      <c r="G29" s="231">
        <v>50785.7</v>
      </c>
      <c r="H29" s="231">
        <v>12696.424999999999</v>
      </c>
      <c r="I29" s="273"/>
      <c r="J29" s="749"/>
    </row>
    <row r="30" spans="1:10" x14ac:dyDescent="0.35">
      <c r="A30" s="213" t="s">
        <v>507</v>
      </c>
      <c r="B30" s="213" t="s">
        <v>1576</v>
      </c>
      <c r="C30" s="215" t="s">
        <v>1551</v>
      </c>
      <c r="D30" s="205"/>
      <c r="E30" s="214" t="s">
        <v>1564</v>
      </c>
      <c r="F30" s="231"/>
      <c r="G30" s="231"/>
      <c r="H30" s="231"/>
      <c r="I30" s="273"/>
      <c r="J30" s="749"/>
    </row>
    <row r="31" spans="1:10" x14ac:dyDescent="0.35">
      <c r="A31" s="204" t="s">
        <v>49</v>
      </c>
      <c r="B31" s="204" t="s">
        <v>1577</v>
      </c>
      <c r="C31" s="215" t="s">
        <v>1551</v>
      </c>
      <c r="D31" s="205"/>
      <c r="E31" s="298" t="s">
        <v>73</v>
      </c>
      <c r="F31" s="231"/>
      <c r="G31" s="231">
        <v>4184.88</v>
      </c>
      <c r="H31" s="231">
        <v>1046.22</v>
      </c>
      <c r="I31" s="273"/>
      <c r="J31" s="749"/>
    </row>
    <row r="32" spans="1:10" x14ac:dyDescent="0.35">
      <c r="A32" s="204" t="s">
        <v>398</v>
      </c>
      <c r="B32" s="204" t="s">
        <v>1578</v>
      </c>
      <c r="C32" s="215" t="s">
        <v>1551</v>
      </c>
      <c r="D32" s="205"/>
      <c r="E32" s="298" t="s">
        <v>73</v>
      </c>
      <c r="F32" s="231"/>
      <c r="G32" s="231">
        <v>7678.37</v>
      </c>
      <c r="H32" s="231">
        <v>1919.5925</v>
      </c>
      <c r="I32" s="273"/>
      <c r="J32" s="749"/>
    </row>
    <row r="33" spans="1:10" x14ac:dyDescent="0.35">
      <c r="A33" s="204" t="s">
        <v>400</v>
      </c>
      <c r="B33" s="204" t="s">
        <v>1579</v>
      </c>
      <c r="C33" s="215" t="s">
        <v>1551</v>
      </c>
      <c r="D33" s="205"/>
      <c r="E33" s="298" t="s">
        <v>73</v>
      </c>
      <c r="F33" s="231"/>
      <c r="G33" s="231">
        <v>3706.81</v>
      </c>
      <c r="H33" s="231">
        <v>926.70249999999999</v>
      </c>
      <c r="I33" s="273"/>
      <c r="J33" s="749"/>
    </row>
    <row r="34" spans="1:10" x14ac:dyDescent="0.35">
      <c r="A34" s="204" t="s">
        <v>402</v>
      </c>
      <c r="B34" s="213" t="s">
        <v>1580</v>
      </c>
      <c r="C34" s="215" t="s">
        <v>1551</v>
      </c>
      <c r="D34" s="205"/>
      <c r="E34" s="298" t="s">
        <v>73</v>
      </c>
      <c r="F34" s="231"/>
      <c r="G34" s="231">
        <v>24947.62</v>
      </c>
      <c r="H34" s="231">
        <v>6236.9049999999997</v>
      </c>
      <c r="I34" s="273"/>
      <c r="J34" s="749"/>
    </row>
    <row r="35" spans="1:10" x14ac:dyDescent="0.35">
      <c r="A35" s="213" t="s">
        <v>387</v>
      </c>
      <c r="B35" s="204" t="s">
        <v>1581</v>
      </c>
      <c r="C35" s="215" t="s">
        <v>1551</v>
      </c>
      <c r="D35" s="205"/>
      <c r="E35" s="298" t="s">
        <v>73</v>
      </c>
      <c r="F35" s="231"/>
      <c r="G35" s="231">
        <v>1144</v>
      </c>
      <c r="H35" s="231">
        <v>286</v>
      </c>
      <c r="I35" s="273"/>
      <c r="J35" s="749"/>
    </row>
    <row r="36" spans="1:10" x14ac:dyDescent="0.35">
      <c r="A36" s="204" t="s">
        <v>43</v>
      </c>
      <c r="B36" s="213" t="s">
        <v>1582</v>
      </c>
      <c r="C36" s="215" t="s">
        <v>1551</v>
      </c>
      <c r="D36" s="205" t="s">
        <v>1583</v>
      </c>
      <c r="E36" s="214" t="s">
        <v>1584</v>
      </c>
      <c r="F36" s="231"/>
      <c r="G36" s="231">
        <v>3257.38</v>
      </c>
      <c r="H36" s="231">
        <v>814.34500000000003</v>
      </c>
      <c r="I36" s="273"/>
      <c r="J36" s="749"/>
    </row>
    <row r="37" spans="1:10" x14ac:dyDescent="0.35">
      <c r="A37" s="204" t="s">
        <v>42</v>
      </c>
      <c r="B37" s="204" t="s">
        <v>1585</v>
      </c>
      <c r="C37" s="215" t="s">
        <v>1551</v>
      </c>
      <c r="D37" s="205" t="s">
        <v>95</v>
      </c>
      <c r="E37" s="214" t="s">
        <v>1586</v>
      </c>
      <c r="F37" s="231"/>
      <c r="G37" s="231">
        <v>770.22</v>
      </c>
      <c r="H37" s="231">
        <v>192.55500000000001</v>
      </c>
      <c r="I37" s="273"/>
      <c r="J37" s="749"/>
    </row>
    <row r="38" spans="1:10" x14ac:dyDescent="0.35">
      <c r="A38" s="204" t="s">
        <v>333</v>
      </c>
      <c r="B38" s="204" t="s">
        <v>1587</v>
      </c>
      <c r="C38" s="215" t="s">
        <v>1551</v>
      </c>
      <c r="D38" s="205" t="s">
        <v>1588</v>
      </c>
      <c r="E38" s="291" t="s">
        <v>73</v>
      </c>
      <c r="F38" s="231"/>
      <c r="G38" s="231">
        <v>3296.41</v>
      </c>
      <c r="H38" s="231">
        <v>824.10249999999996</v>
      </c>
      <c r="I38" s="273"/>
      <c r="J38" s="749"/>
    </row>
    <row r="39" spans="1:10" x14ac:dyDescent="0.35">
      <c r="A39" s="213" t="s">
        <v>325</v>
      </c>
      <c r="B39" s="213" t="s">
        <v>1589</v>
      </c>
      <c r="C39" s="215" t="s">
        <v>1551</v>
      </c>
      <c r="D39" s="215" t="s">
        <v>1590</v>
      </c>
      <c r="E39" s="214" t="s">
        <v>1591</v>
      </c>
      <c r="F39" s="231"/>
      <c r="G39" s="231">
        <v>384.41</v>
      </c>
      <c r="H39" s="231">
        <v>96.102500000000006</v>
      </c>
      <c r="I39" s="273"/>
      <c r="J39" s="749"/>
    </row>
    <row r="40" spans="1:10" x14ac:dyDescent="0.35">
      <c r="A40" s="213" t="s">
        <v>445</v>
      </c>
      <c r="B40" s="213" t="s">
        <v>1592</v>
      </c>
      <c r="C40" s="215" t="s">
        <v>1551</v>
      </c>
      <c r="D40" s="215"/>
      <c r="E40" s="214" t="s">
        <v>1593</v>
      </c>
      <c r="F40" s="231"/>
      <c r="G40" s="231">
        <v>1029.5999999999999</v>
      </c>
      <c r="H40" s="231">
        <v>257.39999999999998</v>
      </c>
      <c r="I40" s="273"/>
      <c r="J40" s="749"/>
    </row>
    <row r="41" spans="1:10" x14ac:dyDescent="0.35">
      <c r="A41" s="213" t="s">
        <v>513</v>
      </c>
      <c r="B41" s="213" t="s">
        <v>1594</v>
      </c>
      <c r="C41" s="215" t="s">
        <v>1551</v>
      </c>
      <c r="D41" s="215" t="s">
        <v>1595</v>
      </c>
      <c r="E41" s="214" t="s">
        <v>1596</v>
      </c>
      <c r="F41" s="231"/>
      <c r="G41" s="231">
        <v>1249.22</v>
      </c>
      <c r="H41" s="231">
        <v>312.30500000000001</v>
      </c>
      <c r="I41" s="273"/>
      <c r="J41" s="749"/>
    </row>
    <row r="42" spans="1:10" x14ac:dyDescent="0.35">
      <c r="A42" s="213" t="s">
        <v>515</v>
      </c>
      <c r="B42" s="213" t="s">
        <v>1597</v>
      </c>
      <c r="C42" s="215" t="s">
        <v>1551</v>
      </c>
      <c r="D42" s="215" t="s">
        <v>1598</v>
      </c>
      <c r="E42" s="214" t="s">
        <v>1596</v>
      </c>
      <c r="F42" s="231"/>
      <c r="G42" s="231"/>
      <c r="H42" s="231"/>
      <c r="I42" s="273"/>
      <c r="J42" s="749"/>
    </row>
    <row r="43" spans="1:10" x14ac:dyDescent="0.35">
      <c r="A43" s="213" t="s">
        <v>39</v>
      </c>
      <c r="B43" s="213" t="s">
        <v>1599</v>
      </c>
      <c r="C43" s="215" t="s">
        <v>1551</v>
      </c>
      <c r="D43" s="215"/>
      <c r="E43" s="291" t="s">
        <v>73</v>
      </c>
      <c r="F43" s="231"/>
      <c r="G43" s="231">
        <v>27457.22</v>
      </c>
      <c r="H43" s="231">
        <v>6864.3050000000003</v>
      </c>
      <c r="I43" s="273"/>
      <c r="J43" s="749"/>
    </row>
    <row r="44" spans="1:10" x14ac:dyDescent="0.35">
      <c r="A44" s="221" t="s">
        <v>1600</v>
      </c>
      <c r="B44" s="221" t="s">
        <v>1601</v>
      </c>
      <c r="C44" s="215" t="s">
        <v>1551</v>
      </c>
      <c r="D44" s="222" t="s">
        <v>1602</v>
      </c>
      <c r="E44" s="222" t="s">
        <v>1603</v>
      </c>
      <c r="F44" s="231"/>
      <c r="G44" s="231">
        <v>0</v>
      </c>
      <c r="H44" s="231">
        <v>0</v>
      </c>
      <c r="I44" s="273"/>
      <c r="J44" s="223"/>
    </row>
    <row r="45" spans="1:10" x14ac:dyDescent="0.35">
      <c r="A45" s="221" t="s">
        <v>1604</v>
      </c>
      <c r="B45" s="221" t="s">
        <v>1605</v>
      </c>
      <c r="C45" s="224" t="s">
        <v>1551</v>
      </c>
      <c r="D45" s="222" t="s">
        <v>1606</v>
      </c>
      <c r="E45" s="225" t="s">
        <v>1607</v>
      </c>
      <c r="F45" s="231"/>
      <c r="G45" s="231">
        <v>0</v>
      </c>
      <c r="H45" s="231">
        <v>0</v>
      </c>
      <c r="I45" s="273"/>
      <c r="J45" s="223"/>
    </row>
    <row r="46" spans="1:10" x14ac:dyDescent="0.35">
      <c r="A46" s="287" t="s">
        <v>1608</v>
      </c>
      <c r="B46" s="288"/>
      <c r="C46" s="288"/>
      <c r="D46" s="288"/>
      <c r="E46" s="288"/>
      <c r="F46" s="301"/>
      <c r="G46" s="278"/>
      <c r="H46" s="278"/>
      <c r="I46" s="278"/>
    </row>
    <row r="47" spans="1:10" ht="43.5" x14ac:dyDescent="0.35">
      <c r="A47" s="204" t="s">
        <v>521</v>
      </c>
      <c r="B47" s="204" t="s">
        <v>1609</v>
      </c>
      <c r="C47" s="215" t="s">
        <v>1610</v>
      </c>
      <c r="D47" s="205"/>
      <c r="E47" s="206" t="s">
        <v>1611</v>
      </c>
      <c r="F47" s="206" t="s">
        <v>1612</v>
      </c>
      <c r="G47" s="231">
        <v>67234.5</v>
      </c>
      <c r="H47" s="231">
        <v>16808.625</v>
      </c>
      <c r="I47" s="273"/>
      <c r="J47" s="226" t="s">
        <v>1613</v>
      </c>
    </row>
    <row r="48" spans="1:10" x14ac:dyDescent="0.35">
      <c r="A48" s="287" t="s">
        <v>1614</v>
      </c>
      <c r="B48" s="288"/>
      <c r="C48" s="288"/>
      <c r="D48" s="288"/>
      <c r="E48" s="288"/>
      <c r="F48" s="289"/>
      <c r="G48" s="278"/>
      <c r="H48" s="278"/>
      <c r="I48" s="278"/>
    </row>
    <row r="49" spans="1:12" x14ac:dyDescent="0.35">
      <c r="A49" s="227" t="s">
        <v>1939</v>
      </c>
      <c r="B49" s="227" t="s">
        <v>1615</v>
      </c>
      <c r="C49" s="228" t="s">
        <v>1616</v>
      </c>
      <c r="D49" s="229" t="s">
        <v>1617</v>
      </c>
      <c r="E49" s="230" t="s">
        <v>1618</v>
      </c>
      <c r="F49" s="766" t="s">
        <v>1619</v>
      </c>
      <c r="G49" s="231">
        <v>0</v>
      </c>
      <c r="H49" s="231">
        <v>0</v>
      </c>
      <c r="I49" s="273"/>
      <c r="J49" s="232" t="s">
        <v>1620</v>
      </c>
    </row>
    <row r="50" spans="1:12" x14ac:dyDescent="0.35">
      <c r="A50" s="213" t="s">
        <v>302</v>
      </c>
      <c r="B50" s="213" t="s">
        <v>1621</v>
      </c>
      <c r="C50" s="215" t="s">
        <v>1616</v>
      </c>
      <c r="D50" s="205"/>
      <c r="E50" s="214" t="s">
        <v>1564</v>
      </c>
      <c r="F50" s="766"/>
      <c r="G50" s="231"/>
      <c r="H50" s="231"/>
      <c r="I50" s="273"/>
    </row>
    <row r="51" spans="1:12" ht="16" x14ac:dyDescent="0.5">
      <c r="A51" s="233" t="s">
        <v>497</v>
      </c>
      <c r="B51" s="204" t="s">
        <v>1622</v>
      </c>
      <c r="C51" s="215" t="s">
        <v>1616</v>
      </c>
      <c r="D51" s="205" t="s">
        <v>1623</v>
      </c>
      <c r="E51" s="214" t="s">
        <v>1603</v>
      </c>
      <c r="F51" s="766"/>
      <c r="G51" s="231">
        <v>2099.35</v>
      </c>
      <c r="H51" s="231">
        <v>524.83749999999998</v>
      </c>
      <c r="I51" s="273"/>
    </row>
    <row r="52" spans="1:12" s="236" customFormat="1" x14ac:dyDescent="0.35">
      <c r="A52" s="234" t="s">
        <v>1070</v>
      </c>
      <c r="B52" s="234" t="s">
        <v>1624</v>
      </c>
      <c r="C52" s="235" t="s">
        <v>1616</v>
      </c>
      <c r="D52" s="235"/>
      <c r="E52" s="235" t="s">
        <v>1625</v>
      </c>
      <c r="F52" s="766"/>
      <c r="G52" s="231">
        <v>91581.88</v>
      </c>
      <c r="H52" s="231">
        <v>22895.47</v>
      </c>
      <c r="I52" s="273"/>
    </row>
    <row r="53" spans="1:12" s="236" customFormat="1" x14ac:dyDescent="0.35">
      <c r="A53" s="234" t="s">
        <v>1626</v>
      </c>
      <c r="B53" s="234" t="s">
        <v>1627</v>
      </c>
      <c r="C53" s="235" t="s">
        <v>1616</v>
      </c>
      <c r="D53" s="235" t="s">
        <v>1628</v>
      </c>
      <c r="E53" s="235" t="s">
        <v>1586</v>
      </c>
      <c r="F53" s="766"/>
      <c r="G53" s="231">
        <v>0</v>
      </c>
      <c r="H53" s="231">
        <v>0</v>
      </c>
      <c r="I53" s="273"/>
    </row>
    <row r="54" spans="1:12" x14ac:dyDescent="0.35">
      <c r="A54" s="287" t="s">
        <v>1629</v>
      </c>
      <c r="B54" s="288"/>
      <c r="C54" s="288"/>
      <c r="D54" s="288"/>
      <c r="E54" s="288"/>
      <c r="F54" s="289"/>
      <c r="G54" s="278"/>
      <c r="H54" s="278"/>
      <c r="I54" s="278"/>
    </row>
    <row r="55" spans="1:12" x14ac:dyDescent="0.35">
      <c r="A55" s="237" t="s">
        <v>523</v>
      </c>
      <c r="B55" s="237" t="s">
        <v>1630</v>
      </c>
      <c r="C55" s="229" t="s">
        <v>1631</v>
      </c>
      <c r="D55" s="229"/>
      <c r="E55" s="230" t="s">
        <v>1632</v>
      </c>
      <c r="F55" s="767" t="s">
        <v>1633</v>
      </c>
      <c r="G55" s="302"/>
      <c r="H55" s="302"/>
      <c r="I55" s="279"/>
      <c r="J55" s="750" t="s">
        <v>1634</v>
      </c>
    </row>
    <row r="56" spans="1:12" x14ac:dyDescent="0.35">
      <c r="A56" s="238" t="s">
        <v>527</v>
      </c>
      <c r="B56" s="237" t="s">
        <v>1635</v>
      </c>
      <c r="C56" s="229" t="s">
        <v>1631</v>
      </c>
      <c r="D56" s="229"/>
      <c r="E56" s="230" t="s">
        <v>1632</v>
      </c>
      <c r="F56" s="768"/>
      <c r="G56" s="302"/>
      <c r="H56" s="302"/>
      <c r="I56" s="279"/>
      <c r="J56" s="750"/>
    </row>
    <row r="57" spans="1:12" x14ac:dyDescent="0.35">
      <c r="A57" s="763" t="s">
        <v>1636</v>
      </c>
      <c r="B57" s="764"/>
      <c r="C57" s="764"/>
      <c r="D57" s="764"/>
      <c r="E57" s="764"/>
      <c r="F57" s="765"/>
      <c r="G57" s="278"/>
      <c r="H57" s="278"/>
      <c r="I57" s="278"/>
    </row>
    <row r="58" spans="1:12" s="243" customFormat="1" x14ac:dyDescent="0.35">
      <c r="A58" s="239" t="s">
        <v>475</v>
      </c>
      <c r="B58" s="239" t="s">
        <v>476</v>
      </c>
      <c r="C58" s="240"/>
      <c r="D58" s="239"/>
      <c r="E58" s="240" t="s">
        <v>1637</v>
      </c>
      <c r="F58" s="239"/>
      <c r="G58" s="280"/>
      <c r="H58" s="280"/>
      <c r="I58" s="280"/>
      <c r="J58" s="751" t="s">
        <v>1638</v>
      </c>
      <c r="K58" s="241"/>
      <c r="L58" s="242"/>
    </row>
    <row r="59" spans="1:12" x14ac:dyDescent="0.35">
      <c r="A59" s="204" t="s">
        <v>63</v>
      </c>
      <c r="B59" s="244" t="s">
        <v>1639</v>
      </c>
      <c r="C59" s="215" t="s">
        <v>1640</v>
      </c>
      <c r="D59" s="205"/>
      <c r="E59" s="206" t="s">
        <v>1570</v>
      </c>
      <c r="F59" s="206"/>
      <c r="G59" s="231">
        <v>104078.14</v>
      </c>
      <c r="H59" s="231">
        <v>26019.535</v>
      </c>
      <c r="I59" s="277"/>
      <c r="J59" s="751"/>
      <c r="K59" s="245"/>
      <c r="L59" s="246"/>
    </row>
    <row r="60" spans="1:12" x14ac:dyDescent="0.35">
      <c r="A60" s="287" t="s">
        <v>1641</v>
      </c>
      <c r="B60" s="288"/>
      <c r="C60" s="288"/>
      <c r="D60" s="288"/>
      <c r="E60" s="288"/>
      <c r="F60" s="289"/>
      <c r="G60" s="278"/>
      <c r="H60" s="278"/>
      <c r="I60" s="278"/>
    </row>
    <row r="61" spans="1:12" x14ac:dyDescent="0.35">
      <c r="A61" s="213" t="s">
        <v>61</v>
      </c>
      <c r="B61" s="244" t="s">
        <v>1642</v>
      </c>
      <c r="C61" s="205" t="s">
        <v>1643</v>
      </c>
      <c r="D61" s="205"/>
      <c r="E61" s="214" t="s">
        <v>1570</v>
      </c>
      <c r="F61" s="214" t="s">
        <v>1644</v>
      </c>
      <c r="G61" s="214">
        <v>26797.22</v>
      </c>
      <c r="H61" s="214">
        <v>6699.3050000000003</v>
      </c>
      <c r="I61" s="276"/>
    </row>
    <row r="62" spans="1:12" x14ac:dyDescent="0.35">
      <c r="A62" s="213" t="s">
        <v>454</v>
      </c>
      <c r="B62" s="244" t="s">
        <v>455</v>
      </c>
      <c r="C62" s="205" t="s">
        <v>1643</v>
      </c>
      <c r="D62" s="205"/>
      <c r="E62" s="214" t="s">
        <v>1570</v>
      </c>
      <c r="F62" s="214" t="s">
        <v>1645</v>
      </c>
      <c r="G62" s="214">
        <v>7291.75</v>
      </c>
      <c r="H62" s="214">
        <v>1822.9375</v>
      </c>
      <c r="I62" s="276"/>
    </row>
    <row r="63" spans="1:12" x14ac:dyDescent="0.35">
      <c r="A63" s="287" t="s">
        <v>1646</v>
      </c>
      <c r="B63" s="288"/>
      <c r="C63" s="288"/>
      <c r="D63" s="288"/>
      <c r="E63" s="288"/>
      <c r="F63" s="289"/>
      <c r="G63" s="278"/>
      <c r="H63" s="278"/>
      <c r="I63" s="278"/>
    </row>
    <row r="64" spans="1:12" x14ac:dyDescent="0.35">
      <c r="A64" s="204" t="s">
        <v>1647</v>
      </c>
      <c r="B64" s="213" t="s">
        <v>1648</v>
      </c>
      <c r="C64" s="205" t="s">
        <v>1649</v>
      </c>
      <c r="D64" s="205" t="s">
        <v>1650</v>
      </c>
      <c r="E64" s="214" t="s">
        <v>1651</v>
      </c>
      <c r="F64" s="760" t="s">
        <v>1619</v>
      </c>
      <c r="G64" s="231">
        <v>0</v>
      </c>
      <c r="H64" s="231">
        <v>0</v>
      </c>
      <c r="I64" s="273"/>
    </row>
    <row r="65" spans="1:20" x14ac:dyDescent="0.35">
      <c r="A65" s="204" t="s">
        <v>318</v>
      </c>
      <c r="B65" s="213" t="s">
        <v>1652</v>
      </c>
      <c r="C65" s="205" t="s">
        <v>1649</v>
      </c>
      <c r="D65" s="205"/>
      <c r="E65" s="206" t="s">
        <v>1653</v>
      </c>
      <c r="F65" s="761"/>
      <c r="G65" s="231"/>
      <c r="H65" s="231"/>
      <c r="I65" s="273"/>
    </row>
    <row r="66" spans="1:20" x14ac:dyDescent="0.35">
      <c r="A66" s="204" t="s">
        <v>45</v>
      </c>
      <c r="B66" s="213" t="s">
        <v>1654</v>
      </c>
      <c r="C66" s="205" t="s">
        <v>1655</v>
      </c>
      <c r="D66" s="205" t="s">
        <v>1656</v>
      </c>
      <c r="E66" s="214" t="s">
        <v>810</v>
      </c>
      <c r="F66" s="761"/>
      <c r="G66" s="231">
        <v>2453.64</v>
      </c>
      <c r="H66" s="231">
        <v>613.41</v>
      </c>
      <c r="I66" s="273"/>
    </row>
    <row r="67" spans="1:20" x14ac:dyDescent="0.35">
      <c r="A67" s="247" t="s">
        <v>563</v>
      </c>
      <c r="B67" s="247" t="s">
        <v>1657</v>
      </c>
      <c r="C67" s="248" t="s">
        <v>1649</v>
      </c>
      <c r="D67" s="248" t="s">
        <v>1658</v>
      </c>
      <c r="E67" s="249" t="s">
        <v>1659</v>
      </c>
      <c r="F67" s="761"/>
      <c r="G67" s="231">
        <v>16500</v>
      </c>
      <c r="H67" s="231">
        <v>4125</v>
      </c>
      <c r="I67" s="273"/>
    </row>
    <row r="68" spans="1:20" x14ac:dyDescent="0.35">
      <c r="A68" s="250" t="s">
        <v>1660</v>
      </c>
      <c r="B68" s="251" t="s">
        <v>1661</v>
      </c>
      <c r="C68" s="252" t="s">
        <v>1649</v>
      </c>
      <c r="D68" s="253" t="s">
        <v>1656</v>
      </c>
      <c r="E68" s="225" t="s">
        <v>810</v>
      </c>
      <c r="F68" s="254"/>
      <c r="G68" s="231">
        <v>101004.31</v>
      </c>
      <c r="H68" s="231">
        <v>25251.077499999999</v>
      </c>
      <c r="I68" s="273"/>
    </row>
    <row r="69" spans="1:20" x14ac:dyDescent="0.35">
      <c r="A69" s="290" t="s">
        <v>1646</v>
      </c>
      <c r="B69" s="290"/>
      <c r="C69" s="290"/>
      <c r="D69" s="290"/>
      <c r="E69" s="290"/>
      <c r="F69" s="290"/>
      <c r="G69" s="281"/>
      <c r="H69" s="281"/>
      <c r="I69" s="281"/>
    </row>
    <row r="70" spans="1:20" x14ac:dyDescent="0.35">
      <c r="A70" s="234" t="s">
        <v>262</v>
      </c>
      <c r="B70" s="255" t="s">
        <v>1662</v>
      </c>
      <c r="C70" s="224" t="s">
        <v>1649</v>
      </c>
      <c r="D70" s="235" t="s">
        <v>1656</v>
      </c>
      <c r="E70" s="225" t="s">
        <v>810</v>
      </c>
      <c r="F70" s="256"/>
      <c r="G70" s="225">
        <v>2290.75</v>
      </c>
      <c r="H70" s="225">
        <v>572.6875</v>
      </c>
      <c r="I70" s="282"/>
    </row>
    <row r="71" spans="1:20" x14ac:dyDescent="0.35">
      <c r="A71" s="287" t="s">
        <v>1663</v>
      </c>
      <c r="B71" s="288"/>
      <c r="C71" s="288"/>
      <c r="D71" s="288"/>
      <c r="E71" s="288"/>
      <c r="F71" s="289"/>
      <c r="G71" s="278"/>
      <c r="H71" s="278"/>
      <c r="I71" s="278"/>
    </row>
    <row r="72" spans="1:20" s="257" customFormat="1" x14ac:dyDescent="0.35">
      <c r="A72" s="213" t="s">
        <v>307</v>
      </c>
      <c r="B72" s="204" t="s">
        <v>1664</v>
      </c>
      <c r="C72" s="205" t="s">
        <v>1665</v>
      </c>
      <c r="D72" s="205" t="s">
        <v>1666</v>
      </c>
      <c r="E72" s="214" t="s">
        <v>1667</v>
      </c>
      <c r="F72" s="760" t="s">
        <v>1668</v>
      </c>
      <c r="G72" s="231">
        <v>1578.31</v>
      </c>
      <c r="H72" s="231">
        <v>394.57749999999999</v>
      </c>
      <c r="I72" s="273"/>
      <c r="J72" s="207"/>
      <c r="K72" s="207"/>
      <c r="L72" s="207"/>
      <c r="M72" s="207"/>
      <c r="N72" s="207"/>
      <c r="O72" s="207"/>
      <c r="P72" s="207"/>
      <c r="Q72" s="207"/>
      <c r="R72" s="207"/>
      <c r="S72" s="207"/>
      <c r="T72" s="207"/>
    </row>
    <row r="73" spans="1:20" s="257" customFormat="1" x14ac:dyDescent="0.35">
      <c r="A73" s="213" t="s">
        <v>1669</v>
      </c>
      <c r="B73" s="213" t="s">
        <v>1670</v>
      </c>
      <c r="C73" s="215" t="s">
        <v>1665</v>
      </c>
      <c r="D73" s="215" t="s">
        <v>1666</v>
      </c>
      <c r="E73" s="214" t="s">
        <v>810</v>
      </c>
      <c r="F73" s="761"/>
      <c r="G73" s="231"/>
      <c r="H73" s="231"/>
      <c r="I73" s="273"/>
      <c r="J73" s="207"/>
      <c r="K73" s="207"/>
      <c r="L73" s="207"/>
      <c r="M73" s="207"/>
      <c r="N73" s="207"/>
      <c r="O73" s="207"/>
      <c r="P73" s="207"/>
      <c r="Q73" s="207"/>
      <c r="R73" s="207"/>
      <c r="S73" s="207"/>
      <c r="T73" s="207"/>
    </row>
    <row r="74" spans="1:20" x14ac:dyDescent="0.35">
      <c r="A74" s="204" t="s">
        <v>310</v>
      </c>
      <c r="B74" s="213" t="s">
        <v>1671</v>
      </c>
      <c r="C74" s="205" t="s">
        <v>1665</v>
      </c>
      <c r="D74" s="205" t="s">
        <v>1672</v>
      </c>
      <c r="E74" s="214" t="s">
        <v>810</v>
      </c>
      <c r="F74" s="761"/>
      <c r="G74" s="231"/>
      <c r="H74" s="231"/>
      <c r="I74" s="273"/>
    </row>
    <row r="75" spans="1:20" s="257" customFormat="1" x14ac:dyDescent="0.35">
      <c r="A75" s="244" t="s">
        <v>312</v>
      </c>
      <c r="B75" s="213" t="s">
        <v>1673</v>
      </c>
      <c r="C75" s="205" t="s">
        <v>1665</v>
      </c>
      <c r="D75" s="215" t="s">
        <v>1672</v>
      </c>
      <c r="E75" s="214" t="s">
        <v>810</v>
      </c>
      <c r="F75" s="761"/>
      <c r="G75" s="231">
        <v>1306.8</v>
      </c>
      <c r="H75" s="231">
        <v>326.7</v>
      </c>
      <c r="I75" s="273"/>
      <c r="J75" s="207"/>
      <c r="K75" s="207"/>
      <c r="L75" s="207"/>
      <c r="M75" s="207"/>
      <c r="N75" s="207"/>
      <c r="O75" s="207"/>
      <c r="P75" s="207"/>
      <c r="Q75" s="207"/>
      <c r="R75" s="207"/>
      <c r="S75" s="207"/>
      <c r="T75" s="207"/>
    </row>
    <row r="76" spans="1:20" s="257" customFormat="1" x14ac:dyDescent="0.35">
      <c r="A76" s="244" t="s">
        <v>570</v>
      </c>
      <c r="B76" s="213" t="s">
        <v>1674</v>
      </c>
      <c r="C76" s="205" t="s">
        <v>1665</v>
      </c>
      <c r="D76" s="215" t="s">
        <v>1675</v>
      </c>
      <c r="E76" s="214" t="s">
        <v>810</v>
      </c>
      <c r="F76" s="762"/>
      <c r="G76" s="231">
        <v>611.6</v>
      </c>
      <c r="H76" s="231">
        <v>152.9</v>
      </c>
      <c r="I76" s="273"/>
      <c r="J76" s="207"/>
      <c r="K76" s="207"/>
      <c r="L76" s="207"/>
      <c r="M76" s="207"/>
      <c r="N76" s="207"/>
      <c r="O76" s="207"/>
      <c r="P76" s="207"/>
      <c r="Q76" s="207"/>
      <c r="R76" s="207"/>
      <c r="S76" s="207"/>
      <c r="T76" s="207"/>
    </row>
    <row r="77" spans="1:20" s="257" customFormat="1" x14ac:dyDescent="0.35">
      <c r="A77" s="287" t="s">
        <v>1676</v>
      </c>
      <c r="B77" s="288"/>
      <c r="C77" s="288"/>
      <c r="D77" s="288"/>
      <c r="E77" s="288"/>
      <c r="F77" s="289"/>
      <c r="G77" s="278"/>
      <c r="H77" s="278"/>
      <c r="I77" s="278"/>
      <c r="J77" s="207" t="s">
        <v>1677</v>
      </c>
      <c r="K77" s="207"/>
      <c r="L77" s="207"/>
      <c r="M77" s="207"/>
      <c r="N77" s="207"/>
      <c r="O77" s="207"/>
      <c r="P77" s="207"/>
      <c r="Q77" s="207"/>
      <c r="R77" s="207"/>
      <c r="S77" s="207"/>
      <c r="T77" s="207"/>
    </row>
    <row r="78" spans="1:20" ht="15.5" customHeight="1" x14ac:dyDescent="0.35">
      <c r="A78" s="258" t="s">
        <v>491</v>
      </c>
      <c r="B78" s="259" t="s">
        <v>1678</v>
      </c>
      <c r="C78" s="260" t="s">
        <v>1666</v>
      </c>
      <c r="D78" s="260" t="s">
        <v>1625</v>
      </c>
      <c r="E78" s="261" t="s">
        <v>1679</v>
      </c>
      <c r="F78" s="215" t="s">
        <v>1680</v>
      </c>
      <c r="G78" s="215">
        <v>761.48</v>
      </c>
      <c r="H78" s="215">
        <v>190.37</v>
      </c>
      <c r="I78" s="283"/>
      <c r="J78" s="752" t="s">
        <v>1681</v>
      </c>
    </row>
    <row r="79" spans="1:20" x14ac:dyDescent="0.35">
      <c r="A79" s="213" t="s">
        <v>549</v>
      </c>
      <c r="B79" s="213" t="s">
        <v>1682</v>
      </c>
      <c r="C79" s="215" t="s">
        <v>1672</v>
      </c>
      <c r="D79" s="205"/>
      <c r="E79" s="214" t="s">
        <v>1659</v>
      </c>
      <c r="F79" s="214" t="s">
        <v>1683</v>
      </c>
      <c r="G79" s="214">
        <v>30845.08</v>
      </c>
      <c r="H79" s="214">
        <v>7711.27</v>
      </c>
      <c r="I79" s="284"/>
      <c r="J79" s="752"/>
    </row>
    <row r="80" spans="1:20" x14ac:dyDescent="0.35">
      <c r="A80" s="287" t="s">
        <v>1684</v>
      </c>
      <c r="B80" s="288"/>
      <c r="C80" s="288"/>
      <c r="D80" s="288"/>
      <c r="E80" s="288"/>
      <c r="F80" s="289"/>
      <c r="G80" s="278"/>
      <c r="H80" s="278"/>
      <c r="I80" s="278"/>
    </row>
    <row r="81" spans="1:10" ht="29" customHeight="1" x14ac:dyDescent="0.35">
      <c r="A81" s="204" t="s">
        <v>57</v>
      </c>
      <c r="B81" s="213" t="s">
        <v>1685</v>
      </c>
      <c r="C81" s="215" t="s">
        <v>1686</v>
      </c>
      <c r="D81" s="205"/>
      <c r="E81" s="214" t="s">
        <v>1687</v>
      </c>
      <c r="F81" s="760" t="s">
        <v>1688</v>
      </c>
      <c r="G81" s="231">
        <v>23353.38</v>
      </c>
      <c r="H81" s="231">
        <v>5838.3450000000003</v>
      </c>
      <c r="I81" s="277"/>
      <c r="J81" s="753" t="s">
        <v>1689</v>
      </c>
    </row>
    <row r="82" spans="1:10" x14ac:dyDescent="0.35">
      <c r="A82" s="204" t="s">
        <v>54</v>
      </c>
      <c r="B82" s="213" t="s">
        <v>1690</v>
      </c>
      <c r="C82" s="215" t="s">
        <v>1686</v>
      </c>
      <c r="D82" s="205"/>
      <c r="E82" s="214" t="s">
        <v>1659</v>
      </c>
      <c r="F82" s="762"/>
      <c r="G82" s="231">
        <v>35060.92</v>
      </c>
      <c r="H82" s="231">
        <v>8765.23</v>
      </c>
      <c r="I82" s="277"/>
      <c r="J82" s="753"/>
    </row>
    <row r="83" spans="1:10" x14ac:dyDescent="0.35">
      <c r="A83" s="287" t="s">
        <v>1691</v>
      </c>
      <c r="B83" s="288"/>
      <c r="C83" s="288"/>
      <c r="D83" s="288"/>
      <c r="E83" s="288"/>
      <c r="F83" s="289"/>
      <c r="G83" s="278"/>
      <c r="H83" s="278"/>
      <c r="I83" s="278"/>
    </row>
    <row r="84" spans="1:10" x14ac:dyDescent="0.35">
      <c r="A84" s="213" t="s">
        <v>1692</v>
      </c>
      <c r="B84" s="204" t="s">
        <v>1693</v>
      </c>
      <c r="C84" s="215" t="s">
        <v>1694</v>
      </c>
      <c r="D84" s="215" t="s">
        <v>1695</v>
      </c>
      <c r="E84" s="206" t="s">
        <v>1696</v>
      </c>
      <c r="F84" s="206" t="s">
        <v>1697</v>
      </c>
      <c r="G84" s="231"/>
      <c r="H84" s="231"/>
      <c r="I84" s="273"/>
    </row>
    <row r="85" spans="1:10" x14ac:dyDescent="0.35">
      <c r="A85" s="287" t="s">
        <v>1698</v>
      </c>
      <c r="B85" s="288"/>
      <c r="C85" s="288"/>
      <c r="D85" s="288"/>
      <c r="E85" s="288"/>
      <c r="F85" s="289"/>
      <c r="G85" s="278"/>
      <c r="H85" s="278"/>
      <c r="I85" s="278"/>
      <c r="J85" s="232" t="s">
        <v>1699</v>
      </c>
    </row>
    <row r="86" spans="1:10" x14ac:dyDescent="0.35">
      <c r="A86" s="244" t="s">
        <v>44</v>
      </c>
      <c r="B86" s="213" t="s">
        <v>1700</v>
      </c>
      <c r="C86" s="215" t="s">
        <v>1701</v>
      </c>
      <c r="D86" s="215" t="s">
        <v>1702</v>
      </c>
      <c r="E86" s="214" t="s">
        <v>810</v>
      </c>
      <c r="F86" s="206" t="s">
        <v>1679</v>
      </c>
      <c r="G86" s="231">
        <v>58156.7</v>
      </c>
      <c r="H86" s="231">
        <v>14539.174999999999</v>
      </c>
      <c r="I86" s="273"/>
    </row>
    <row r="87" spans="1:10" x14ac:dyDescent="0.35">
      <c r="A87" s="287" t="s">
        <v>1703</v>
      </c>
      <c r="B87" s="288"/>
      <c r="C87" s="288"/>
      <c r="D87" s="288"/>
      <c r="E87" s="288"/>
      <c r="F87" s="289"/>
      <c r="G87" s="278"/>
      <c r="H87" s="278"/>
      <c r="I87" s="278"/>
    </row>
    <row r="88" spans="1:10" x14ac:dyDescent="0.35">
      <c r="A88" s="244" t="s">
        <v>672</v>
      </c>
      <c r="B88" s="213" t="s">
        <v>1704</v>
      </c>
      <c r="C88" s="215" t="s">
        <v>1705</v>
      </c>
      <c r="D88" s="205"/>
      <c r="E88" s="215" t="s">
        <v>1706</v>
      </c>
      <c r="F88" s="757" t="s">
        <v>1619</v>
      </c>
      <c r="G88" s="214">
        <v>949.25</v>
      </c>
      <c r="H88" s="214">
        <v>237.3125</v>
      </c>
      <c r="I88" s="276"/>
    </row>
    <row r="89" spans="1:10" x14ac:dyDescent="0.35">
      <c r="A89" s="262" t="s">
        <v>493</v>
      </c>
      <c r="B89" s="262" t="s">
        <v>1615</v>
      </c>
      <c r="C89" s="263" t="s">
        <v>1705</v>
      </c>
      <c r="D89" s="263" t="s">
        <v>1707</v>
      </c>
      <c r="E89" s="263" t="s">
        <v>1564</v>
      </c>
      <c r="F89" s="758"/>
      <c r="G89" s="214">
        <v>6388.91</v>
      </c>
      <c r="H89" s="214">
        <v>1597.2275</v>
      </c>
      <c r="I89" s="276"/>
    </row>
    <row r="90" spans="1:10" ht="14.4" customHeight="1" x14ac:dyDescent="0.35">
      <c r="A90" s="204" t="s">
        <v>545</v>
      </c>
      <c r="B90" s="213" t="s">
        <v>1708</v>
      </c>
      <c r="C90" s="205" t="s">
        <v>1705</v>
      </c>
      <c r="D90" s="215" t="s">
        <v>1707</v>
      </c>
      <c r="E90" s="205" t="s">
        <v>810</v>
      </c>
      <c r="F90" s="759"/>
      <c r="G90" s="214">
        <v>4004</v>
      </c>
      <c r="H90" s="214">
        <v>1001</v>
      </c>
      <c r="I90" s="276"/>
    </row>
    <row r="91" spans="1:10" x14ac:dyDescent="0.35">
      <c r="A91" s="287" t="s">
        <v>1709</v>
      </c>
      <c r="B91" s="288"/>
      <c r="C91" s="288"/>
      <c r="D91" s="288"/>
      <c r="E91" s="288"/>
      <c r="F91" s="289"/>
      <c r="G91" s="278"/>
      <c r="H91" s="278"/>
      <c r="I91" s="278"/>
    </row>
    <row r="92" spans="1:10" x14ac:dyDescent="0.35">
      <c r="A92" s="216" t="s">
        <v>473</v>
      </c>
      <c r="B92" s="264" t="s">
        <v>1710</v>
      </c>
      <c r="C92" s="217" t="s">
        <v>1711</v>
      </c>
      <c r="D92" s="217"/>
      <c r="E92" s="218" t="s">
        <v>1570</v>
      </c>
      <c r="F92" s="218" t="s">
        <v>1712</v>
      </c>
      <c r="G92" s="218">
        <v>13943</v>
      </c>
      <c r="H92" s="218">
        <v>3485.75</v>
      </c>
      <c r="I92" s="285"/>
    </row>
    <row r="93" spans="1:10" x14ac:dyDescent="0.35">
      <c r="A93" s="287" t="s">
        <v>1713</v>
      </c>
      <c r="B93" s="288"/>
      <c r="C93" s="288"/>
      <c r="D93" s="288"/>
      <c r="E93" s="288"/>
      <c r="F93" s="289"/>
      <c r="G93" s="278"/>
      <c r="H93" s="278"/>
      <c r="I93" s="278"/>
      <c r="J93" s="2" t="s">
        <v>1677</v>
      </c>
    </row>
    <row r="94" spans="1:10" x14ac:dyDescent="0.35">
      <c r="A94" s="244" t="s">
        <v>56</v>
      </c>
      <c r="B94" s="264" t="s">
        <v>1714</v>
      </c>
      <c r="C94" s="217" t="s">
        <v>1715</v>
      </c>
      <c r="D94" s="217"/>
      <c r="E94" s="218" t="s">
        <v>810</v>
      </c>
      <c r="F94" s="218" t="s">
        <v>1716</v>
      </c>
      <c r="G94" s="218">
        <v>4175.6000000000004</v>
      </c>
      <c r="H94" s="218">
        <v>1043.9000000000001</v>
      </c>
      <c r="I94" s="285"/>
    </row>
    <row r="95" spans="1:10" x14ac:dyDescent="0.35">
      <c r="A95" s="287" t="s">
        <v>1717</v>
      </c>
      <c r="B95" s="288"/>
      <c r="C95" s="288"/>
      <c r="D95" s="288"/>
      <c r="E95" s="288"/>
      <c r="F95" s="289"/>
      <c r="G95" s="278"/>
      <c r="H95" s="278"/>
      <c r="I95" s="278"/>
      <c r="J95" s="755" t="s">
        <v>1718</v>
      </c>
    </row>
    <row r="96" spans="1:10" ht="60" customHeight="1" x14ac:dyDescent="0.35">
      <c r="A96" s="244" t="s">
        <v>1719</v>
      </c>
      <c r="B96" s="264" t="s">
        <v>1720</v>
      </c>
      <c r="C96" s="217" t="s">
        <v>1721</v>
      </c>
      <c r="D96" s="217"/>
      <c r="E96" s="218" t="s">
        <v>1570</v>
      </c>
      <c r="F96" s="769">
        <v>500000</v>
      </c>
      <c r="G96" s="218"/>
      <c r="H96" s="218"/>
      <c r="I96" s="285"/>
      <c r="J96" s="756"/>
    </row>
    <row r="97" spans="1:10" x14ac:dyDescent="0.35">
      <c r="A97" s="204" t="s">
        <v>489</v>
      </c>
      <c r="B97" s="213" t="s">
        <v>1722</v>
      </c>
      <c r="C97" s="205" t="s">
        <v>1721</v>
      </c>
      <c r="D97" s="205"/>
      <c r="E97" s="214" t="s">
        <v>810</v>
      </c>
      <c r="F97" s="770"/>
      <c r="G97" s="218">
        <v>96052</v>
      </c>
      <c r="H97" s="218">
        <v>24013</v>
      </c>
      <c r="I97" s="285"/>
    </row>
    <row r="98" spans="1:10" x14ac:dyDescent="0.35">
      <c r="A98" s="287" t="s">
        <v>1723</v>
      </c>
      <c r="B98" s="288"/>
      <c r="C98" s="288"/>
      <c r="D98" s="288"/>
      <c r="E98" s="288"/>
      <c r="F98" s="299"/>
      <c r="G98" s="313"/>
      <c r="H98" s="313"/>
      <c r="I98" s="278"/>
      <c r="J98" s="232" t="s">
        <v>1724</v>
      </c>
    </row>
    <row r="99" spans="1:10" x14ac:dyDescent="0.35">
      <c r="A99" s="213" t="s">
        <v>618</v>
      </c>
      <c r="B99" s="213" t="s">
        <v>1725</v>
      </c>
      <c r="C99" s="215" t="s">
        <v>1726</v>
      </c>
      <c r="D99" s="215" t="s">
        <v>1727</v>
      </c>
      <c r="E99" s="214" t="s">
        <v>811</v>
      </c>
      <c r="F99" s="754">
        <v>600000</v>
      </c>
      <c r="G99" s="298">
        <v>4164.29</v>
      </c>
      <c r="H99" s="298">
        <v>1041.0725</v>
      </c>
      <c r="I99" s="273"/>
    </row>
    <row r="100" spans="1:10" x14ac:dyDescent="0.35">
      <c r="A100" s="213" t="s">
        <v>670</v>
      </c>
      <c r="B100" s="213" t="s">
        <v>999</v>
      </c>
      <c r="C100" s="215" t="s">
        <v>1726</v>
      </c>
      <c r="D100" s="215" t="s">
        <v>1728</v>
      </c>
      <c r="E100" s="214" t="s">
        <v>811</v>
      </c>
      <c r="F100" s="754"/>
      <c r="G100" s="298">
        <v>1034</v>
      </c>
      <c r="H100" s="298">
        <v>258.5</v>
      </c>
      <c r="I100" s="273"/>
    </row>
    <row r="101" spans="1:10" x14ac:dyDescent="0.35">
      <c r="A101" s="287" t="s">
        <v>1729</v>
      </c>
      <c r="B101" s="288"/>
      <c r="C101" s="288"/>
      <c r="D101" s="288"/>
      <c r="E101" s="288"/>
      <c r="F101" s="299"/>
      <c r="G101" s="313"/>
      <c r="H101" s="313"/>
      <c r="I101" s="278"/>
      <c r="J101" s="265" t="s">
        <v>1730</v>
      </c>
    </row>
    <row r="102" spans="1:10" x14ac:dyDescent="0.35">
      <c r="A102" s="213" t="s">
        <v>640</v>
      </c>
      <c r="B102" s="213" t="s">
        <v>1731</v>
      </c>
      <c r="C102" s="215" t="s">
        <v>1732</v>
      </c>
      <c r="D102" s="205"/>
      <c r="E102" s="214" t="s">
        <v>1733</v>
      </c>
      <c r="F102" s="311"/>
      <c r="G102" s="298">
        <v>2673</v>
      </c>
      <c r="H102" s="298">
        <v>668.25</v>
      </c>
      <c r="I102" s="273"/>
    </row>
    <row r="103" spans="1:10" ht="29" x14ac:dyDescent="0.35">
      <c r="A103" s="287" t="s">
        <v>1734</v>
      </c>
      <c r="B103" s="288"/>
      <c r="C103" s="288"/>
      <c r="D103" s="288"/>
      <c r="E103" s="288"/>
      <c r="F103" s="299"/>
      <c r="G103" s="313"/>
      <c r="H103" s="313"/>
      <c r="I103" s="278"/>
      <c r="J103" s="266" t="s">
        <v>1735</v>
      </c>
    </row>
    <row r="104" spans="1:10" x14ac:dyDescent="0.35">
      <c r="A104" s="213" t="s">
        <v>997</v>
      </c>
      <c r="B104" s="213" t="s">
        <v>1736</v>
      </c>
      <c r="C104" s="215" t="s">
        <v>1737</v>
      </c>
      <c r="D104" s="205"/>
      <c r="E104" s="214" t="s">
        <v>1637</v>
      </c>
      <c r="F104" s="312" t="s">
        <v>1738</v>
      </c>
      <c r="G104" s="214">
        <v>37290</v>
      </c>
      <c r="H104" s="214">
        <v>9322.5</v>
      </c>
      <c r="I104" s="276"/>
    </row>
    <row r="105" spans="1:10" x14ac:dyDescent="0.35">
      <c r="A105" s="287" t="s">
        <v>1739</v>
      </c>
      <c r="B105" s="288"/>
      <c r="C105" s="288"/>
      <c r="D105" s="288"/>
      <c r="E105" s="288"/>
      <c r="F105" s="299"/>
      <c r="G105" s="313"/>
      <c r="H105" s="313"/>
      <c r="I105" s="278"/>
      <c r="J105" s="207" t="s">
        <v>1677</v>
      </c>
    </row>
    <row r="106" spans="1:10" x14ac:dyDescent="0.35">
      <c r="A106" s="204" t="s">
        <v>1740</v>
      </c>
      <c r="B106" s="204" t="s">
        <v>1741</v>
      </c>
      <c r="C106" s="205" t="s">
        <v>1742</v>
      </c>
      <c r="D106" s="205" t="s">
        <v>1743</v>
      </c>
      <c r="E106" s="206" t="s">
        <v>1744</v>
      </c>
      <c r="F106" s="311" t="s">
        <v>1745</v>
      </c>
      <c r="G106" s="298">
        <v>0</v>
      </c>
      <c r="H106" s="298">
        <v>0</v>
      </c>
      <c r="I106" s="273"/>
    </row>
    <row r="107" spans="1:10" x14ac:dyDescent="0.35">
      <c r="A107" s="287" t="s">
        <v>1746</v>
      </c>
      <c r="B107" s="288"/>
      <c r="C107" s="288"/>
      <c r="D107" s="288"/>
      <c r="E107" s="288"/>
      <c r="F107" s="299"/>
      <c r="G107" s="313"/>
      <c r="H107" s="313"/>
      <c r="I107" s="278"/>
      <c r="J107" s="207" t="s">
        <v>1747</v>
      </c>
    </row>
    <row r="108" spans="1:10" x14ac:dyDescent="0.35">
      <c r="A108" s="267" t="s">
        <v>1748</v>
      </c>
      <c r="B108" s="267" t="s">
        <v>1749</v>
      </c>
      <c r="C108" s="268" t="s">
        <v>1750</v>
      </c>
      <c r="D108" s="215" t="s">
        <v>1750</v>
      </c>
      <c r="E108" s="214" t="s">
        <v>1559</v>
      </c>
      <c r="F108" s="311"/>
      <c r="G108" s="298"/>
      <c r="H108" s="298"/>
      <c r="I108" s="273"/>
    </row>
    <row r="109" spans="1:10" x14ac:dyDescent="0.35">
      <c r="A109" s="287" t="s">
        <v>1751</v>
      </c>
      <c r="B109" s="288"/>
      <c r="C109" s="288"/>
      <c r="D109" s="288"/>
      <c r="E109" s="288"/>
      <c r="F109" s="299"/>
      <c r="G109" s="313"/>
      <c r="H109" s="313"/>
      <c r="I109" s="278"/>
    </row>
    <row r="110" spans="1:10" x14ac:dyDescent="0.35">
      <c r="A110" s="269" t="s">
        <v>1068</v>
      </c>
      <c r="B110" s="269" t="s">
        <v>1752</v>
      </c>
      <c r="C110" s="268" t="s">
        <v>1751</v>
      </c>
      <c r="D110" s="215"/>
      <c r="E110" s="214" t="s">
        <v>1753</v>
      </c>
      <c r="F110" s="311" t="s">
        <v>1688</v>
      </c>
      <c r="G110" s="298">
        <v>14575.45</v>
      </c>
      <c r="H110" s="298">
        <v>3643.8625000000002</v>
      </c>
      <c r="I110" s="273"/>
      <c r="J110" s="207" t="s">
        <v>1754</v>
      </c>
    </row>
    <row r="111" spans="1:10" x14ac:dyDescent="0.35">
      <c r="A111" s="287" t="s">
        <v>1755</v>
      </c>
      <c r="B111" s="288"/>
      <c r="C111" s="288"/>
      <c r="D111" s="288"/>
      <c r="E111" s="288"/>
      <c r="F111" s="292"/>
      <c r="G111" s="314"/>
      <c r="H111" s="314"/>
      <c r="I111" s="292"/>
    </row>
    <row r="112" spans="1:10" ht="30.5" customHeight="1" x14ac:dyDescent="0.35">
      <c r="A112" s="271" t="s">
        <v>1756</v>
      </c>
      <c r="B112" s="271" t="s">
        <v>1757</v>
      </c>
      <c r="C112" s="263" t="s">
        <v>1758</v>
      </c>
      <c r="D112" s="272"/>
      <c r="E112" s="272" t="s">
        <v>1625</v>
      </c>
      <c r="F112" s="272" t="s">
        <v>1759</v>
      </c>
      <c r="G112" s="272">
        <v>0</v>
      </c>
      <c r="H112" s="272">
        <v>0</v>
      </c>
      <c r="I112" s="286"/>
      <c r="J112" s="265" t="s">
        <v>1760</v>
      </c>
    </row>
    <row r="115" spans="1:9" x14ac:dyDescent="0.35">
      <c r="A115" s="293" t="s">
        <v>1763</v>
      </c>
      <c r="B115" s="303"/>
      <c r="C115" s="304"/>
      <c r="D115" s="304"/>
      <c r="E115" s="305"/>
      <c r="F115" s="305"/>
      <c r="G115" s="305"/>
      <c r="H115" s="306"/>
      <c r="I115" s="292"/>
    </row>
    <row r="116" spans="1:9" x14ac:dyDescent="0.35">
      <c r="A116" s="307" t="s">
        <v>241</v>
      </c>
      <c r="B116" s="307" t="s">
        <v>242</v>
      </c>
      <c r="C116" s="205"/>
      <c r="D116" s="205"/>
      <c r="E116" s="231"/>
      <c r="F116" s="231"/>
      <c r="G116" s="231"/>
      <c r="H116" s="231"/>
    </row>
    <row r="117" spans="1:9" x14ac:dyDescent="0.35">
      <c r="A117" s="307" t="s">
        <v>243</v>
      </c>
      <c r="B117" s="307" t="s">
        <v>244</v>
      </c>
      <c r="C117" s="205"/>
      <c r="D117" s="205"/>
      <c r="E117" s="231"/>
      <c r="F117" s="231"/>
      <c r="G117" s="231"/>
      <c r="H117" s="231"/>
    </row>
    <row r="118" spans="1:9" x14ac:dyDescent="0.35">
      <c r="A118" s="307" t="s">
        <v>52</v>
      </c>
      <c r="B118" s="307" t="s">
        <v>245</v>
      </c>
      <c r="C118" s="205"/>
      <c r="D118" s="205"/>
      <c r="E118" s="231"/>
      <c r="F118" s="231"/>
      <c r="G118" s="231">
        <v>50.17</v>
      </c>
      <c r="H118" s="231">
        <v>12.5425</v>
      </c>
    </row>
    <row r="119" spans="1:9" x14ac:dyDescent="0.35">
      <c r="A119" s="307" t="s">
        <v>246</v>
      </c>
      <c r="B119" s="307" t="s">
        <v>247</v>
      </c>
      <c r="C119" s="205"/>
      <c r="D119" s="205"/>
      <c r="E119" s="231"/>
      <c r="F119" s="231"/>
      <c r="G119" s="231"/>
      <c r="H119" s="231"/>
    </row>
    <row r="120" spans="1:9" x14ac:dyDescent="0.35">
      <c r="A120" s="307" t="s">
        <v>248</v>
      </c>
      <c r="B120" s="307" t="s">
        <v>249</v>
      </c>
      <c r="C120" s="205"/>
      <c r="D120" s="205"/>
      <c r="E120" s="231"/>
      <c r="F120" s="231"/>
      <c r="G120" s="231"/>
      <c r="H120" s="231"/>
    </row>
    <row r="121" spans="1:9" x14ac:dyDescent="0.35">
      <c r="A121" s="307" t="s">
        <v>250</v>
      </c>
      <c r="B121" s="307" t="s">
        <v>251</v>
      </c>
      <c r="C121" s="205"/>
      <c r="D121" s="205"/>
      <c r="E121" s="231"/>
      <c r="F121" s="231"/>
      <c r="G121" s="231"/>
      <c r="H121" s="231"/>
    </row>
    <row r="122" spans="1:9" x14ac:dyDescent="0.35">
      <c r="A122" s="307" t="s">
        <v>252</v>
      </c>
      <c r="B122" s="307" t="s">
        <v>253</v>
      </c>
      <c r="C122" s="205"/>
      <c r="D122" s="205"/>
      <c r="E122" s="231"/>
      <c r="F122" s="231"/>
      <c r="G122" s="231"/>
      <c r="H122" s="231"/>
    </row>
    <row r="123" spans="1:9" x14ac:dyDescent="0.35">
      <c r="A123" s="307" t="s">
        <v>1250</v>
      </c>
      <c r="B123" s="307" t="s">
        <v>1236</v>
      </c>
      <c r="C123" s="205"/>
      <c r="D123" s="205"/>
      <c r="E123" s="231"/>
      <c r="F123" s="231"/>
      <c r="G123" s="231">
        <v>0</v>
      </c>
      <c r="H123" s="231">
        <v>0</v>
      </c>
    </row>
    <row r="124" spans="1:9" x14ac:dyDescent="0.35">
      <c r="A124" s="307" t="s">
        <v>254</v>
      </c>
      <c r="B124" s="307" t="s">
        <v>255</v>
      </c>
      <c r="C124" s="205"/>
      <c r="D124" s="205"/>
      <c r="E124" s="231"/>
      <c r="F124" s="231"/>
      <c r="G124" s="231"/>
      <c r="H124" s="231"/>
    </row>
    <row r="125" spans="1:9" x14ac:dyDescent="0.35">
      <c r="A125" s="307" t="s">
        <v>256</v>
      </c>
      <c r="B125" s="307" t="s">
        <v>257</v>
      </c>
      <c r="C125" s="205"/>
      <c r="D125" s="205"/>
      <c r="E125" s="231"/>
      <c r="F125" s="231"/>
      <c r="G125" s="231"/>
      <c r="H125" s="231"/>
    </row>
    <row r="126" spans="1:9" x14ac:dyDescent="0.35">
      <c r="A126" s="307" t="s">
        <v>258</v>
      </c>
      <c r="B126" s="307" t="s">
        <v>259</v>
      </c>
      <c r="C126" s="205"/>
      <c r="D126" s="205"/>
      <c r="E126" s="231"/>
      <c r="F126" s="231"/>
      <c r="G126" s="231"/>
      <c r="H126" s="231"/>
    </row>
    <row r="127" spans="1:9" x14ac:dyDescent="0.35">
      <c r="A127" s="307" t="s">
        <v>1764</v>
      </c>
      <c r="B127" s="307" t="s">
        <v>1765</v>
      </c>
      <c r="C127" s="205"/>
      <c r="D127" s="205"/>
      <c r="E127" s="231"/>
      <c r="F127" s="231"/>
      <c r="G127" s="231"/>
      <c r="H127" s="231"/>
    </row>
    <row r="128" spans="1:9" x14ac:dyDescent="0.35">
      <c r="A128" s="307" t="s">
        <v>189</v>
      </c>
      <c r="B128" s="307" t="s">
        <v>190</v>
      </c>
      <c r="C128" s="205"/>
      <c r="D128" s="205"/>
      <c r="E128" s="231"/>
      <c r="F128" s="231"/>
      <c r="G128" s="231"/>
      <c r="H128" s="231"/>
    </row>
    <row r="129" spans="1:8" x14ac:dyDescent="0.35">
      <c r="A129" s="307" t="s">
        <v>191</v>
      </c>
      <c r="B129" s="307" t="s">
        <v>192</v>
      </c>
      <c r="C129" s="205"/>
      <c r="D129" s="205"/>
      <c r="E129" s="231"/>
      <c r="F129" s="231"/>
      <c r="G129" s="231"/>
      <c r="H129" s="231"/>
    </row>
    <row r="130" spans="1:8" x14ac:dyDescent="0.35">
      <c r="A130" s="307" t="s">
        <v>193</v>
      </c>
      <c r="B130" s="307" t="s">
        <v>194</v>
      </c>
      <c r="C130" s="205"/>
      <c r="D130" s="205"/>
      <c r="E130" s="231"/>
      <c r="F130" s="231"/>
      <c r="G130" s="231">
        <v>3326.75</v>
      </c>
      <c r="H130" s="231">
        <v>831.6875</v>
      </c>
    </row>
    <row r="131" spans="1:8" x14ac:dyDescent="0.35">
      <c r="A131" s="307" t="s">
        <v>195</v>
      </c>
      <c r="B131" s="307" t="s">
        <v>1766</v>
      </c>
      <c r="C131" s="205"/>
      <c r="D131" s="205"/>
      <c r="E131" s="231"/>
      <c r="F131" s="231"/>
      <c r="G131" s="231"/>
      <c r="H131" s="231"/>
    </row>
    <row r="132" spans="1:8" x14ac:dyDescent="0.35">
      <c r="A132" s="307" t="s">
        <v>197</v>
      </c>
      <c r="B132" s="307" t="s">
        <v>1767</v>
      </c>
      <c r="C132" s="205"/>
      <c r="D132" s="205"/>
      <c r="E132" s="231"/>
      <c r="F132" s="231"/>
      <c r="G132" s="231"/>
      <c r="H132" s="231"/>
    </row>
    <row r="133" spans="1:8" x14ac:dyDescent="0.35">
      <c r="A133" s="307" t="s">
        <v>199</v>
      </c>
      <c r="B133" s="307" t="s">
        <v>200</v>
      </c>
      <c r="C133" s="205"/>
      <c r="D133" s="205"/>
      <c r="E133" s="231"/>
      <c r="F133" s="231"/>
      <c r="G133" s="231"/>
      <c r="H133" s="231"/>
    </row>
    <row r="134" spans="1:8" x14ac:dyDescent="0.35">
      <c r="A134" s="307" t="s">
        <v>201</v>
      </c>
      <c r="B134" s="307" t="s">
        <v>202</v>
      </c>
      <c r="C134" s="205"/>
      <c r="D134" s="205"/>
      <c r="E134" s="231"/>
      <c r="F134" s="231"/>
      <c r="G134" s="231"/>
      <c r="H134" s="231"/>
    </row>
    <row r="135" spans="1:8" x14ac:dyDescent="0.35">
      <c r="A135" s="307" t="s">
        <v>203</v>
      </c>
      <c r="B135" s="307" t="s">
        <v>204</v>
      </c>
      <c r="C135" s="205"/>
      <c r="D135" s="205"/>
      <c r="E135" s="231"/>
      <c r="F135" s="231"/>
      <c r="G135" s="231">
        <v>2010.8</v>
      </c>
      <c r="H135" s="231">
        <v>502.7</v>
      </c>
    </row>
    <row r="136" spans="1:8" x14ac:dyDescent="0.35">
      <c r="A136" s="307" t="s">
        <v>205</v>
      </c>
      <c r="B136" s="307" t="s">
        <v>206</v>
      </c>
      <c r="C136" s="205"/>
      <c r="D136" s="205"/>
      <c r="E136" s="231"/>
      <c r="F136" s="231"/>
      <c r="G136" s="231"/>
      <c r="H136" s="231"/>
    </row>
    <row r="137" spans="1:8" x14ac:dyDescent="0.35">
      <c r="A137" s="307" t="s">
        <v>207</v>
      </c>
      <c r="B137" s="307" t="s">
        <v>208</v>
      </c>
      <c r="C137" s="205"/>
      <c r="D137" s="205"/>
      <c r="E137" s="231"/>
      <c r="F137" s="231"/>
      <c r="G137" s="231">
        <v>435.6</v>
      </c>
      <c r="H137" s="231">
        <v>108.9</v>
      </c>
    </row>
    <row r="138" spans="1:8" x14ac:dyDescent="0.35">
      <c r="A138" s="307" t="s">
        <v>59</v>
      </c>
      <c r="B138" s="307" t="s">
        <v>1768</v>
      </c>
      <c r="C138" s="205"/>
      <c r="D138" s="205"/>
      <c r="E138" s="231"/>
      <c r="F138" s="231"/>
      <c r="G138" s="231">
        <v>14067.71</v>
      </c>
      <c r="H138" s="231">
        <v>3516.9274999999998</v>
      </c>
    </row>
    <row r="139" spans="1:8" x14ac:dyDescent="0.35">
      <c r="A139" s="307" t="s">
        <v>125</v>
      </c>
      <c r="B139" s="307" t="s">
        <v>1769</v>
      </c>
      <c r="C139" s="205"/>
      <c r="D139" s="205"/>
      <c r="E139" s="231"/>
      <c r="F139" s="231"/>
      <c r="G139" s="231">
        <v>57851.8</v>
      </c>
      <c r="H139" s="231">
        <v>14462.95</v>
      </c>
    </row>
    <row r="140" spans="1:8" x14ac:dyDescent="0.35">
      <c r="A140" s="307" t="s">
        <v>127</v>
      </c>
      <c r="B140" s="307" t="s">
        <v>128</v>
      </c>
      <c r="C140" s="205"/>
      <c r="D140" s="205"/>
      <c r="E140" s="231"/>
      <c r="F140" s="231"/>
      <c r="G140" s="231">
        <v>5223.0200000000004</v>
      </c>
      <c r="H140" s="231">
        <v>1305.7550000000001</v>
      </c>
    </row>
    <row r="141" spans="1:8" x14ac:dyDescent="0.35">
      <c r="A141" s="307" t="s">
        <v>129</v>
      </c>
      <c r="B141" s="307" t="s">
        <v>130</v>
      </c>
      <c r="C141" s="205"/>
      <c r="D141" s="205"/>
      <c r="E141" s="231"/>
      <c r="F141" s="231"/>
      <c r="G141" s="231">
        <v>19738.07</v>
      </c>
      <c r="H141" s="231">
        <v>4934.5174999999999</v>
      </c>
    </row>
    <row r="142" spans="1:8" x14ac:dyDescent="0.35">
      <c r="A142" s="307" t="s">
        <v>131</v>
      </c>
      <c r="B142" s="307" t="s">
        <v>132</v>
      </c>
      <c r="C142" s="205"/>
      <c r="D142" s="205"/>
      <c r="E142" s="231"/>
      <c r="F142" s="231"/>
      <c r="G142" s="231">
        <v>6758.4</v>
      </c>
      <c r="H142" s="231">
        <v>1689.6</v>
      </c>
    </row>
    <row r="143" spans="1:8" x14ac:dyDescent="0.35">
      <c r="A143" s="307" t="s">
        <v>133</v>
      </c>
      <c r="B143" s="307" t="s">
        <v>134</v>
      </c>
      <c r="C143" s="205"/>
      <c r="D143" s="205"/>
      <c r="E143" s="231"/>
      <c r="F143" s="231"/>
      <c r="G143" s="231"/>
      <c r="H143" s="231"/>
    </row>
    <row r="144" spans="1:8" x14ac:dyDescent="0.35">
      <c r="A144" s="307" t="s">
        <v>135</v>
      </c>
      <c r="B144" s="307" t="s">
        <v>136</v>
      </c>
      <c r="C144" s="205"/>
      <c r="D144" s="205"/>
      <c r="E144" s="231"/>
      <c r="F144" s="231"/>
      <c r="G144" s="231"/>
      <c r="H144" s="231"/>
    </row>
    <row r="145" spans="1:8" x14ac:dyDescent="0.35">
      <c r="A145" s="307" t="s">
        <v>137</v>
      </c>
      <c r="B145" s="307" t="s">
        <v>138</v>
      </c>
      <c r="C145" s="205"/>
      <c r="D145" s="205"/>
      <c r="E145" s="231"/>
      <c r="F145" s="231"/>
      <c r="G145" s="231"/>
      <c r="H145" s="231"/>
    </row>
    <row r="146" spans="1:8" x14ac:dyDescent="0.35">
      <c r="A146" s="307" t="s">
        <v>139</v>
      </c>
      <c r="B146" s="307" t="s">
        <v>140</v>
      </c>
      <c r="C146" s="205"/>
      <c r="D146" s="205"/>
      <c r="E146" s="231"/>
      <c r="F146" s="231"/>
      <c r="G146" s="231">
        <v>6072.68</v>
      </c>
      <c r="H146" s="231">
        <v>1518.17</v>
      </c>
    </row>
    <row r="147" spans="1:8" x14ac:dyDescent="0.35">
      <c r="A147" s="307" t="s">
        <v>141</v>
      </c>
      <c r="B147" s="307" t="s">
        <v>142</v>
      </c>
      <c r="C147" s="205"/>
      <c r="D147" s="205"/>
      <c r="E147" s="231"/>
      <c r="F147" s="231"/>
      <c r="G147" s="231">
        <v>12735.86</v>
      </c>
      <c r="H147" s="231">
        <v>3183.9650000000001</v>
      </c>
    </row>
    <row r="148" spans="1:8" x14ac:dyDescent="0.35">
      <c r="A148" s="307" t="s">
        <v>143</v>
      </c>
      <c r="B148" s="307" t="s">
        <v>144</v>
      </c>
      <c r="C148" s="205"/>
      <c r="D148" s="205"/>
      <c r="E148" s="231"/>
      <c r="F148" s="231"/>
      <c r="G148" s="231">
        <v>523.6</v>
      </c>
      <c r="H148" s="231">
        <v>130.9</v>
      </c>
    </row>
    <row r="149" spans="1:8" x14ac:dyDescent="0.35">
      <c r="A149" s="307" t="s">
        <v>145</v>
      </c>
      <c r="B149" s="307" t="s">
        <v>1770</v>
      </c>
      <c r="C149" s="205"/>
      <c r="D149" s="205"/>
      <c r="E149" s="231"/>
      <c r="F149" s="231"/>
      <c r="G149" s="231">
        <v>14.32</v>
      </c>
      <c r="H149" s="231">
        <v>3.58</v>
      </c>
    </row>
    <row r="150" spans="1:8" x14ac:dyDescent="0.35">
      <c r="A150" s="307" t="s">
        <v>147</v>
      </c>
      <c r="B150" s="307" t="s">
        <v>148</v>
      </c>
      <c r="C150" s="205"/>
      <c r="D150" s="205"/>
      <c r="E150" s="231"/>
      <c r="F150" s="231"/>
      <c r="G150" s="231">
        <v>4483.92</v>
      </c>
      <c r="H150" s="231">
        <v>1120.98</v>
      </c>
    </row>
    <row r="151" spans="1:8" x14ac:dyDescent="0.35">
      <c r="A151" s="307" t="s">
        <v>149</v>
      </c>
      <c r="B151" s="307" t="s">
        <v>150</v>
      </c>
      <c r="C151" s="205"/>
      <c r="D151" s="205"/>
      <c r="E151" s="231"/>
      <c r="F151" s="231"/>
      <c r="G151" s="231"/>
      <c r="H151" s="231"/>
    </row>
    <row r="152" spans="1:8" x14ac:dyDescent="0.35">
      <c r="A152" s="307" t="s">
        <v>151</v>
      </c>
      <c r="B152" s="307" t="s">
        <v>152</v>
      </c>
      <c r="C152" s="205"/>
      <c r="D152" s="205"/>
      <c r="E152" s="231"/>
      <c r="F152" s="231"/>
      <c r="G152" s="231"/>
      <c r="H152" s="231"/>
    </row>
    <row r="153" spans="1:8" x14ac:dyDescent="0.35">
      <c r="A153" s="307" t="s">
        <v>153</v>
      </c>
      <c r="B153" s="307" t="s">
        <v>154</v>
      </c>
      <c r="C153" s="205"/>
      <c r="D153" s="205"/>
      <c r="E153" s="231"/>
      <c r="F153" s="231"/>
      <c r="G153" s="231"/>
      <c r="H153" s="231"/>
    </row>
    <row r="154" spans="1:8" x14ac:dyDescent="0.35">
      <c r="A154" s="307" t="s">
        <v>155</v>
      </c>
      <c r="B154" s="307" t="s">
        <v>1771</v>
      </c>
      <c r="C154" s="205"/>
      <c r="D154" s="205"/>
      <c r="E154" s="231"/>
      <c r="F154" s="231"/>
      <c r="G154" s="231"/>
      <c r="H154" s="231"/>
    </row>
    <row r="155" spans="1:8" x14ac:dyDescent="0.35">
      <c r="A155" s="307" t="s">
        <v>157</v>
      </c>
      <c r="B155" s="307" t="s">
        <v>1772</v>
      </c>
      <c r="C155" s="205"/>
      <c r="D155" s="205"/>
      <c r="E155" s="231"/>
      <c r="F155" s="231"/>
      <c r="G155" s="231"/>
      <c r="H155" s="231"/>
    </row>
    <row r="156" spans="1:8" x14ac:dyDescent="0.35">
      <c r="A156" s="307" t="s">
        <v>159</v>
      </c>
      <c r="B156" s="307" t="s">
        <v>1773</v>
      </c>
      <c r="C156" s="205"/>
      <c r="D156" s="205"/>
      <c r="E156" s="231"/>
      <c r="F156" s="231"/>
      <c r="G156" s="231"/>
      <c r="H156" s="231"/>
    </row>
    <row r="157" spans="1:8" x14ac:dyDescent="0.35">
      <c r="A157" s="307" t="s">
        <v>161</v>
      </c>
      <c r="B157" s="307" t="s">
        <v>1774</v>
      </c>
      <c r="C157" s="205"/>
      <c r="D157" s="205"/>
      <c r="E157" s="231"/>
      <c r="F157" s="231"/>
      <c r="G157" s="231">
        <v>7365.6</v>
      </c>
      <c r="H157" s="231">
        <v>1841.4</v>
      </c>
    </row>
    <row r="158" spans="1:8" x14ac:dyDescent="0.35">
      <c r="A158" s="307" t="s">
        <v>163</v>
      </c>
      <c r="B158" s="307" t="s">
        <v>164</v>
      </c>
      <c r="C158" s="205"/>
      <c r="D158" s="205"/>
      <c r="E158" s="231"/>
      <c r="F158" s="231"/>
      <c r="G158" s="231">
        <v>11851.79</v>
      </c>
      <c r="H158" s="231">
        <v>2962.9475000000002</v>
      </c>
    </row>
    <row r="159" spans="1:8" x14ac:dyDescent="0.35">
      <c r="A159" s="307" t="s">
        <v>165</v>
      </c>
      <c r="B159" s="307" t="s">
        <v>1775</v>
      </c>
      <c r="C159" s="205"/>
      <c r="D159" s="205"/>
      <c r="E159" s="231"/>
      <c r="F159" s="231"/>
      <c r="G159" s="231"/>
      <c r="H159" s="231"/>
    </row>
    <row r="160" spans="1:8" x14ac:dyDescent="0.35">
      <c r="A160" s="307" t="s">
        <v>167</v>
      </c>
      <c r="B160" s="307" t="s">
        <v>168</v>
      </c>
      <c r="C160" s="205"/>
      <c r="D160" s="205"/>
      <c r="E160" s="231"/>
      <c r="F160" s="231"/>
      <c r="G160" s="231">
        <v>2070.7199999999998</v>
      </c>
      <c r="H160" s="231">
        <v>517.67999999999995</v>
      </c>
    </row>
    <row r="161" spans="1:8" x14ac:dyDescent="0.35">
      <c r="A161" s="307" t="s">
        <v>169</v>
      </c>
      <c r="B161" s="307" t="s">
        <v>170</v>
      </c>
      <c r="C161" s="205"/>
      <c r="D161" s="205"/>
      <c r="E161" s="231"/>
      <c r="F161" s="231"/>
      <c r="G161" s="231"/>
      <c r="H161" s="231"/>
    </row>
    <row r="162" spans="1:8" x14ac:dyDescent="0.35">
      <c r="A162" s="307" t="s">
        <v>171</v>
      </c>
      <c r="B162" s="307" t="s">
        <v>172</v>
      </c>
      <c r="C162" s="205"/>
      <c r="D162" s="205"/>
      <c r="E162" s="231"/>
      <c r="F162" s="231"/>
      <c r="G162" s="231">
        <v>228.8</v>
      </c>
      <c r="H162" s="231">
        <v>57.2</v>
      </c>
    </row>
    <row r="163" spans="1:8" x14ac:dyDescent="0.35">
      <c r="A163" s="307" t="s">
        <v>173</v>
      </c>
      <c r="B163" s="307" t="s">
        <v>1237</v>
      </c>
      <c r="C163" s="205"/>
      <c r="D163" s="205"/>
      <c r="E163" s="231"/>
      <c r="F163" s="231"/>
      <c r="G163" s="231"/>
      <c r="H163" s="231"/>
    </row>
    <row r="164" spans="1:8" x14ac:dyDescent="0.35">
      <c r="A164" s="307" t="s">
        <v>175</v>
      </c>
      <c r="B164" s="307" t="s">
        <v>176</v>
      </c>
      <c r="C164" s="205"/>
      <c r="D164" s="205"/>
      <c r="E164" s="231"/>
      <c r="F164" s="231"/>
      <c r="G164" s="231"/>
      <c r="H164" s="231"/>
    </row>
    <row r="165" spans="1:8" x14ac:dyDescent="0.35">
      <c r="A165" s="307" t="s">
        <v>177</v>
      </c>
      <c r="B165" s="307" t="s">
        <v>178</v>
      </c>
      <c r="C165" s="205"/>
      <c r="D165" s="205"/>
      <c r="E165" s="231"/>
      <c r="F165" s="231"/>
      <c r="G165" s="231"/>
      <c r="H165" s="231"/>
    </row>
    <row r="166" spans="1:8" x14ac:dyDescent="0.35">
      <c r="A166" s="307" t="s">
        <v>179</v>
      </c>
      <c r="B166" s="307" t="s">
        <v>180</v>
      </c>
      <c r="C166" s="205"/>
      <c r="D166" s="205"/>
      <c r="E166" s="231"/>
      <c r="F166" s="231"/>
      <c r="G166" s="231"/>
      <c r="H166" s="231"/>
    </row>
    <row r="167" spans="1:8" x14ac:dyDescent="0.35">
      <c r="A167" s="307" t="s">
        <v>181</v>
      </c>
      <c r="B167" s="307" t="s">
        <v>182</v>
      </c>
      <c r="C167" s="205"/>
      <c r="D167" s="205"/>
      <c r="E167" s="231"/>
      <c r="F167" s="231"/>
      <c r="G167" s="231"/>
      <c r="H167" s="231"/>
    </row>
    <row r="168" spans="1:8" x14ac:dyDescent="0.35">
      <c r="A168" s="307" t="s">
        <v>183</v>
      </c>
      <c r="B168" s="307" t="s">
        <v>184</v>
      </c>
      <c r="C168" s="205"/>
      <c r="D168" s="205"/>
      <c r="E168" s="231"/>
      <c r="F168" s="231"/>
      <c r="G168" s="231"/>
      <c r="H168" s="231"/>
    </row>
    <row r="169" spans="1:8" x14ac:dyDescent="0.35">
      <c r="A169" s="307" t="s">
        <v>185</v>
      </c>
      <c r="B169" s="307" t="s">
        <v>186</v>
      </c>
      <c r="C169" s="205"/>
      <c r="D169" s="205"/>
      <c r="E169" s="231"/>
      <c r="F169" s="231"/>
      <c r="G169" s="231">
        <v>0</v>
      </c>
      <c r="H169" s="231">
        <v>0</v>
      </c>
    </row>
    <row r="170" spans="1:8" x14ac:dyDescent="0.35">
      <c r="A170" s="307" t="s">
        <v>187</v>
      </c>
      <c r="B170" s="307" t="s">
        <v>188</v>
      </c>
      <c r="C170" s="205"/>
      <c r="D170" s="205"/>
      <c r="E170" s="231"/>
      <c r="F170" s="231"/>
      <c r="G170" s="231"/>
      <c r="H170" s="231"/>
    </row>
    <row r="171" spans="1:8" x14ac:dyDescent="0.35">
      <c r="A171" s="307" t="s">
        <v>1776</v>
      </c>
      <c r="B171" s="307" t="s">
        <v>1777</v>
      </c>
      <c r="C171" s="205"/>
      <c r="D171" s="205"/>
      <c r="E171" s="231"/>
      <c r="F171" s="231"/>
      <c r="G171" s="231"/>
      <c r="H171" s="231"/>
    </row>
    <row r="172" spans="1:8" x14ac:dyDescent="0.35">
      <c r="A172" s="307" t="s">
        <v>1248</v>
      </c>
      <c r="B172" s="307" t="s">
        <v>1219</v>
      </c>
      <c r="C172" s="205"/>
      <c r="D172" s="205"/>
      <c r="E172" s="231"/>
      <c r="F172" s="231"/>
      <c r="G172" s="231"/>
      <c r="H172" s="231"/>
    </row>
    <row r="173" spans="1:8" x14ac:dyDescent="0.35">
      <c r="A173" s="307" t="s">
        <v>1778</v>
      </c>
      <c r="B173" s="307" t="s">
        <v>1779</v>
      </c>
      <c r="C173" s="205"/>
      <c r="D173" s="205"/>
      <c r="E173" s="231"/>
      <c r="F173" s="231"/>
      <c r="G173" s="231"/>
      <c r="H173" s="231"/>
    </row>
    <row r="174" spans="1:8" x14ac:dyDescent="0.35">
      <c r="A174" s="307" t="s">
        <v>1780</v>
      </c>
      <c r="B174" s="307" t="s">
        <v>1781</v>
      </c>
      <c r="C174" s="205"/>
      <c r="D174" s="205"/>
      <c r="E174" s="231"/>
      <c r="F174" s="231"/>
      <c r="G174" s="231"/>
      <c r="H174" s="231"/>
    </row>
    <row r="175" spans="1:8" x14ac:dyDescent="0.35">
      <c r="A175" s="307" t="s">
        <v>1782</v>
      </c>
      <c r="B175" s="307" t="s">
        <v>1783</v>
      </c>
      <c r="C175" s="205"/>
      <c r="D175" s="205"/>
      <c r="E175" s="231"/>
      <c r="F175" s="231"/>
      <c r="G175" s="231"/>
      <c r="H175" s="231"/>
    </row>
    <row r="176" spans="1:8" x14ac:dyDescent="0.35">
      <c r="A176" s="307" t="s">
        <v>209</v>
      </c>
      <c r="B176" s="307" t="s">
        <v>1784</v>
      </c>
      <c r="C176" s="205"/>
      <c r="D176" s="205"/>
      <c r="E176" s="231"/>
      <c r="F176" s="231"/>
      <c r="G176" s="231">
        <v>0</v>
      </c>
      <c r="H176" s="231">
        <v>0</v>
      </c>
    </row>
    <row r="177" spans="1:8" x14ac:dyDescent="0.35">
      <c r="A177" s="307" t="s">
        <v>211</v>
      </c>
      <c r="B177" s="307" t="s">
        <v>1785</v>
      </c>
      <c r="C177" s="205"/>
      <c r="D177" s="205"/>
      <c r="E177" s="231"/>
      <c r="F177" s="231"/>
      <c r="G177" s="231">
        <v>0</v>
      </c>
      <c r="H177" s="231">
        <v>0</v>
      </c>
    </row>
    <row r="178" spans="1:8" x14ac:dyDescent="0.35">
      <c r="A178" s="307" t="s">
        <v>213</v>
      </c>
      <c r="B178" s="307" t="s">
        <v>1786</v>
      </c>
      <c r="C178" s="205"/>
      <c r="D178" s="205"/>
      <c r="E178" s="231"/>
      <c r="F178" s="231"/>
      <c r="G178" s="231">
        <v>0</v>
      </c>
      <c r="H178" s="231">
        <v>0</v>
      </c>
    </row>
    <row r="179" spans="1:8" x14ac:dyDescent="0.35">
      <c r="A179" s="307" t="s">
        <v>215</v>
      </c>
      <c r="B179" s="307" t="s">
        <v>1787</v>
      </c>
      <c r="C179" s="205"/>
      <c r="D179" s="205"/>
      <c r="E179" s="231"/>
      <c r="F179" s="231"/>
      <c r="G179" s="231">
        <v>0</v>
      </c>
      <c r="H179" s="231">
        <v>0</v>
      </c>
    </row>
    <row r="180" spans="1:8" x14ac:dyDescent="0.35">
      <c r="A180" s="307" t="s">
        <v>217</v>
      </c>
      <c r="B180" s="307" t="s">
        <v>1788</v>
      </c>
      <c r="C180" s="205"/>
      <c r="D180" s="205"/>
      <c r="E180" s="231"/>
      <c r="F180" s="231"/>
      <c r="G180" s="231">
        <v>0</v>
      </c>
      <c r="H180" s="231">
        <v>0</v>
      </c>
    </row>
    <row r="181" spans="1:8" x14ac:dyDescent="0.35">
      <c r="A181" s="307" t="s">
        <v>219</v>
      </c>
      <c r="B181" s="307" t="s">
        <v>1789</v>
      </c>
      <c r="C181" s="205"/>
      <c r="D181" s="205"/>
      <c r="E181" s="231"/>
      <c r="F181" s="231"/>
      <c r="G181" s="231">
        <v>0</v>
      </c>
      <c r="H181" s="231">
        <v>0</v>
      </c>
    </row>
    <row r="182" spans="1:8" x14ac:dyDescent="0.35">
      <c r="A182" s="307" t="s">
        <v>221</v>
      </c>
      <c r="B182" s="307" t="s">
        <v>1790</v>
      </c>
      <c r="C182" s="205"/>
      <c r="D182" s="205"/>
      <c r="E182" s="231"/>
      <c r="F182" s="231"/>
      <c r="G182" s="231">
        <v>0</v>
      </c>
      <c r="H182" s="231">
        <v>0</v>
      </c>
    </row>
    <row r="183" spans="1:8" x14ac:dyDescent="0.35">
      <c r="A183" s="307" t="s">
        <v>223</v>
      </c>
      <c r="B183" s="307" t="s">
        <v>1791</v>
      </c>
      <c r="C183" s="205"/>
      <c r="D183" s="205"/>
      <c r="E183" s="231"/>
      <c r="F183" s="231"/>
      <c r="G183" s="231">
        <v>0</v>
      </c>
      <c r="H183" s="231">
        <v>0</v>
      </c>
    </row>
    <row r="184" spans="1:8" x14ac:dyDescent="0.35">
      <c r="A184" s="307" t="s">
        <v>225</v>
      </c>
      <c r="B184" s="307" t="s">
        <v>1792</v>
      </c>
      <c r="C184" s="205"/>
      <c r="D184" s="205"/>
      <c r="E184" s="231"/>
      <c r="F184" s="231"/>
      <c r="G184" s="231">
        <v>0</v>
      </c>
      <c r="H184" s="231">
        <v>0</v>
      </c>
    </row>
    <row r="185" spans="1:8" x14ac:dyDescent="0.35">
      <c r="A185" s="307" t="s">
        <v>227</v>
      </c>
      <c r="B185" s="307" t="s">
        <v>1793</v>
      </c>
      <c r="C185" s="205"/>
      <c r="D185" s="205"/>
      <c r="E185" s="231"/>
      <c r="F185" s="231"/>
      <c r="G185" s="231"/>
      <c r="H185" s="231"/>
    </row>
    <row r="186" spans="1:8" x14ac:dyDescent="0.35">
      <c r="A186" s="307" t="s">
        <v>229</v>
      </c>
      <c r="B186" s="307" t="s">
        <v>1794</v>
      </c>
      <c r="C186" s="205"/>
      <c r="D186" s="205"/>
      <c r="E186" s="231"/>
      <c r="F186" s="231"/>
      <c r="G186" s="231">
        <v>0</v>
      </c>
      <c r="H186" s="231">
        <v>0</v>
      </c>
    </row>
    <row r="187" spans="1:8" x14ac:dyDescent="0.35">
      <c r="A187" s="307" t="s">
        <v>231</v>
      </c>
      <c r="B187" s="307" t="s">
        <v>1795</v>
      </c>
      <c r="C187" s="205"/>
      <c r="D187" s="205"/>
      <c r="E187" s="231"/>
      <c r="F187" s="231"/>
      <c r="G187" s="231"/>
      <c r="H187" s="231"/>
    </row>
    <row r="188" spans="1:8" x14ac:dyDescent="0.35">
      <c r="A188" s="307" t="s">
        <v>233</v>
      </c>
      <c r="B188" s="307" t="s">
        <v>1796</v>
      </c>
      <c r="C188" s="205"/>
      <c r="D188" s="205"/>
      <c r="E188" s="231"/>
      <c r="F188" s="231"/>
      <c r="G188" s="231">
        <v>0</v>
      </c>
      <c r="H188" s="231">
        <v>0</v>
      </c>
    </row>
    <row r="189" spans="1:8" x14ac:dyDescent="0.35">
      <c r="A189" s="307" t="s">
        <v>235</v>
      </c>
      <c r="B189" s="307" t="s">
        <v>236</v>
      </c>
      <c r="C189" s="205"/>
      <c r="D189" s="205"/>
      <c r="E189" s="231"/>
      <c r="F189" s="231"/>
      <c r="G189" s="231"/>
      <c r="H189" s="231"/>
    </row>
    <row r="190" spans="1:8" x14ac:dyDescent="0.35">
      <c r="A190" s="307" t="s">
        <v>237</v>
      </c>
      <c r="B190" s="307" t="s">
        <v>1797</v>
      </c>
      <c r="C190" s="205"/>
      <c r="D190" s="205"/>
      <c r="E190" s="231"/>
      <c r="F190" s="231"/>
      <c r="G190" s="231"/>
      <c r="H190" s="231"/>
    </row>
    <row r="191" spans="1:8" x14ac:dyDescent="0.35">
      <c r="A191" s="307" t="s">
        <v>239</v>
      </c>
      <c r="B191" s="307" t="s">
        <v>1798</v>
      </c>
      <c r="C191" s="205"/>
      <c r="D191" s="205"/>
      <c r="E191" s="231"/>
      <c r="F191" s="231"/>
      <c r="G191" s="231">
        <v>0</v>
      </c>
      <c r="H191" s="231">
        <v>0</v>
      </c>
    </row>
    <row r="193" spans="1:9" x14ac:dyDescent="0.35">
      <c r="A193" s="293" t="s">
        <v>1799</v>
      </c>
      <c r="B193" s="303"/>
      <c r="C193" s="304"/>
      <c r="D193" s="304"/>
      <c r="E193" s="305"/>
      <c r="F193" s="305"/>
      <c r="G193" s="305"/>
      <c r="H193" s="306"/>
      <c r="I193" s="292"/>
    </row>
    <row r="194" spans="1:9" x14ac:dyDescent="0.35">
      <c r="A194" s="307" t="s">
        <v>316</v>
      </c>
      <c r="B194" s="307" t="str">
        <f>IFERROR(VLOOKUP(A194,'[1]MASTER ITEM'!$F$2:$L$2147,2,FALSE),"0")</f>
        <v>ANCHOVY FISH SAUCE (KECAP IKAN TERI) 800 G</v>
      </c>
      <c r="C194" s="205"/>
      <c r="D194" s="205"/>
      <c r="E194" s="231"/>
      <c r="F194" s="231"/>
      <c r="G194" s="231"/>
      <c r="H194" s="231"/>
    </row>
    <row r="195" spans="1:9" x14ac:dyDescent="0.35">
      <c r="A195" s="307" t="s">
        <v>41</v>
      </c>
      <c r="B195" s="307" t="str">
        <f>IFERROR(VLOOKUP(A195,'[1]MASTER ITEM'!$F$2:$L$2147,2,FALSE),"0")</f>
        <v>BLACK SESAME OIL 5 L</v>
      </c>
      <c r="C195" s="205"/>
      <c r="D195" s="205"/>
      <c r="E195" s="231"/>
      <c r="F195" s="231"/>
      <c r="G195" s="231">
        <v>6220.85</v>
      </c>
      <c r="H195" s="231">
        <v>1555.2125000000001</v>
      </c>
    </row>
    <row r="196" spans="1:9" x14ac:dyDescent="0.35">
      <c r="A196" s="307" t="s">
        <v>1800</v>
      </c>
      <c r="B196" s="307" t="str">
        <f>IFERROR(VLOOKUP(A196,'[1]MASTER ITEM'!$F$2:$L$2147,2,FALSE),"0")</f>
        <v>BOX PROPACK BB40A HMP 4 SEKAT</v>
      </c>
      <c r="C196" s="205"/>
      <c r="D196" s="205"/>
      <c r="E196" s="231"/>
      <c r="F196" s="231"/>
      <c r="G196" s="231"/>
      <c r="H196" s="231"/>
    </row>
    <row r="197" spans="1:9" x14ac:dyDescent="0.35">
      <c r="A197" s="307" t="s">
        <v>1801</v>
      </c>
      <c r="B197" s="307" t="str">
        <f>IFERROR(VLOOKUP(A197,'[1]MASTER ITEM'!$F$2:$L$2147,2,FALSE),"0")</f>
        <v>BOX TAKE AWAY POLOS S @ 1000 PCS</v>
      </c>
      <c r="C197" s="205"/>
      <c r="D197" s="205"/>
      <c r="E197" s="231"/>
      <c r="F197" s="231"/>
      <c r="G197" s="231"/>
      <c r="H197" s="231"/>
    </row>
    <row r="198" spans="1:9" x14ac:dyDescent="0.35">
      <c r="A198" s="307" t="s">
        <v>314</v>
      </c>
      <c r="B198" s="307" t="str">
        <f>IFERROR(VLOOKUP(A198,'[1]MASTER ITEM'!$F$2:$L$2147,2,FALSE),"0")</f>
        <v>CAPSICUM CHILI OIL 30 G</v>
      </c>
      <c r="C198" s="205"/>
      <c r="D198" s="205"/>
      <c r="E198" s="231"/>
      <c r="F198" s="231"/>
      <c r="G198" s="231">
        <v>0.38</v>
      </c>
      <c r="H198" s="231">
        <v>9.5000000000000001E-2</v>
      </c>
    </row>
    <row r="199" spans="1:9" x14ac:dyDescent="0.35">
      <c r="A199" s="307" t="s">
        <v>698</v>
      </c>
      <c r="B199" s="307" t="str">
        <f>IFERROR(VLOOKUP(A199,'[1]MASTER ITEM'!$F$2:$L$2147,2,FALSE),"0")</f>
        <v>CIRIO PASSATA SIEVED TOMATO 2,5 KG</v>
      </c>
      <c r="C199" s="205"/>
      <c r="D199" s="205"/>
      <c r="E199" s="231"/>
      <c r="F199" s="231"/>
      <c r="G199" s="231">
        <v>4259.62</v>
      </c>
      <c r="H199" s="231">
        <v>1064.905</v>
      </c>
    </row>
    <row r="200" spans="1:9" x14ac:dyDescent="0.35">
      <c r="A200" s="307" t="s">
        <v>1802</v>
      </c>
      <c r="B200" s="307" t="str">
        <f>IFERROR(VLOOKUP(A200,'[1]MASTER ITEM'!$F$2:$L$2147,2,FALSE),"0")</f>
        <v>CLING WRAP 45 x 50 @ 6 ROLL</v>
      </c>
      <c r="C200" s="205"/>
      <c r="D200" s="205"/>
      <c r="E200" s="231"/>
      <c r="F200" s="231"/>
      <c r="G200" s="231"/>
      <c r="H200" s="231"/>
    </row>
    <row r="201" spans="1:9" x14ac:dyDescent="0.35">
      <c r="A201" s="307" t="s">
        <v>1803</v>
      </c>
      <c r="B201" s="307" t="str">
        <f>IFERROR(VLOOKUP(A201,'[1]MASTER ITEM'!$F$2:$L$2147,2,FALSE),"0")</f>
        <v>CUP PLASTIK 16R (K-DRINK) 1000 PCS</v>
      </c>
      <c r="C201" s="205"/>
      <c r="D201" s="205"/>
      <c r="E201" s="231"/>
      <c r="F201" s="231"/>
      <c r="G201" s="231"/>
      <c r="H201" s="231"/>
    </row>
    <row r="202" spans="1:9" x14ac:dyDescent="0.35">
      <c r="A202" s="307" t="s">
        <v>674</v>
      </c>
      <c r="B202" s="307" t="str">
        <f>IFERROR(VLOOKUP(A202,'[1]MASTER ITEM'!$F$2:$L$2147,2,FALSE),"0")</f>
        <v>DOENJANG PASTE 1 KG</v>
      </c>
      <c r="C202" s="205"/>
      <c r="D202" s="205"/>
      <c r="E202" s="231"/>
      <c r="F202" s="231"/>
      <c r="G202" s="231">
        <v>1325.87</v>
      </c>
      <c r="H202" s="231">
        <v>331.46749999999997</v>
      </c>
    </row>
    <row r="203" spans="1:9" x14ac:dyDescent="0.35">
      <c r="A203" s="307" t="s">
        <v>40</v>
      </c>
      <c r="B203" s="307" t="str">
        <f>IFERROR(VLOOKUP(A203,'[1]MASTER ITEM'!$F$2:$L$2147,2,FALSE),"0")</f>
        <v>GOCHUGARU KASAR 1 KG</v>
      </c>
      <c r="C203" s="205"/>
      <c r="D203" s="205"/>
      <c r="E203" s="231"/>
      <c r="F203" s="231"/>
      <c r="G203" s="231">
        <v>819.12</v>
      </c>
      <c r="H203" s="231">
        <v>204.78</v>
      </c>
    </row>
    <row r="204" spans="1:9" ht="15.5" x14ac:dyDescent="0.35">
      <c r="A204" s="308" t="s">
        <v>733</v>
      </c>
      <c r="B204" s="307" t="str">
        <f>IFERROR(VLOOKUP(A204,'[1]MASTER ITEM'!$F$2:$L$2147,2,FALSE),"0")</f>
        <v>GREASE PAPER LAMINATED 33x33</v>
      </c>
      <c r="C204" s="205"/>
      <c r="D204" s="205"/>
      <c r="E204" s="231"/>
      <c r="F204" s="231"/>
      <c r="G204" s="231">
        <v>89.93</v>
      </c>
      <c r="H204" s="231">
        <v>22.482500000000002</v>
      </c>
    </row>
    <row r="205" spans="1:9" x14ac:dyDescent="0.35">
      <c r="A205" s="307" t="s">
        <v>1804</v>
      </c>
      <c r="B205" s="307" t="str">
        <f>IFERROR(VLOOKUP(A205,'[1]MASTER ITEM'!$F$2:$L$2147,2,FALSE),"0")</f>
        <v>GREASE PAPER NEWSPAPER 20 X 20CM</v>
      </c>
      <c r="C205" s="205"/>
      <c r="D205" s="205"/>
      <c r="E205" s="231"/>
      <c r="F205" s="231"/>
      <c r="G205" s="231"/>
      <c r="H205" s="231"/>
    </row>
    <row r="206" spans="1:9" x14ac:dyDescent="0.35">
      <c r="A206" s="307" t="s">
        <v>1805</v>
      </c>
      <c r="B206" s="307" t="s">
        <v>1806</v>
      </c>
      <c r="C206" s="205"/>
      <c r="D206" s="205"/>
      <c r="E206" s="231"/>
      <c r="F206" s="231"/>
      <c r="G206" s="231"/>
      <c r="H206" s="231"/>
    </row>
    <row r="207" spans="1:9" x14ac:dyDescent="0.35">
      <c r="A207" s="307" t="s">
        <v>1807</v>
      </c>
      <c r="B207" s="307" t="s">
        <v>1808</v>
      </c>
      <c r="C207" s="205"/>
      <c r="D207" s="205"/>
      <c r="E207" s="231"/>
      <c r="F207" s="231"/>
      <c r="G207" s="231"/>
      <c r="H207" s="231"/>
    </row>
    <row r="208" spans="1:9" x14ac:dyDescent="0.35">
      <c r="A208" s="307" t="s">
        <v>1809</v>
      </c>
      <c r="B208" s="307" t="s">
        <v>1810</v>
      </c>
      <c r="C208" s="205"/>
      <c r="D208" s="205"/>
      <c r="E208" s="231"/>
      <c r="F208" s="231"/>
      <c r="G208" s="231"/>
      <c r="H208" s="231"/>
    </row>
    <row r="209" spans="1:8" ht="15.5" x14ac:dyDescent="0.35">
      <c r="A209" s="308" t="s">
        <v>46</v>
      </c>
      <c r="B209" s="307" t="s">
        <v>309</v>
      </c>
      <c r="C209" s="205"/>
      <c r="D209" s="205"/>
      <c r="E209" s="231"/>
      <c r="F209" s="231"/>
      <c r="G209" s="231">
        <v>1407.16</v>
      </c>
      <c r="H209" s="231">
        <v>351.79</v>
      </c>
    </row>
    <row r="210" spans="1:8" ht="15.5" x14ac:dyDescent="0.35">
      <c r="A210" s="308" t="s">
        <v>1811</v>
      </c>
      <c r="B210" s="307" t="s">
        <v>1812</v>
      </c>
      <c r="C210" s="205"/>
      <c r="D210" s="205"/>
      <c r="E210" s="231"/>
      <c r="F210" s="231"/>
      <c r="G210" s="231"/>
      <c r="H210" s="231"/>
    </row>
    <row r="211" spans="1:8" x14ac:dyDescent="0.35">
      <c r="A211" s="307" t="s">
        <v>1813</v>
      </c>
      <c r="B211" s="307" t="s">
        <v>1814</v>
      </c>
      <c r="C211" s="205"/>
      <c r="D211" s="205"/>
      <c r="E211" s="231"/>
      <c r="F211" s="231"/>
      <c r="G211" s="231"/>
      <c r="H211" s="231"/>
    </row>
    <row r="212" spans="1:8" x14ac:dyDescent="0.35">
      <c r="A212" s="307" t="s">
        <v>1815</v>
      </c>
      <c r="B212" s="307" t="s">
        <v>1816</v>
      </c>
      <c r="C212" s="205"/>
      <c r="D212" s="205"/>
      <c r="E212" s="231"/>
      <c r="F212" s="231"/>
      <c r="G212" s="231"/>
      <c r="H212" s="231"/>
    </row>
    <row r="213" spans="1:8" x14ac:dyDescent="0.35">
      <c r="A213" s="307" t="s">
        <v>1817</v>
      </c>
      <c r="B213" s="307" t="s">
        <v>1818</v>
      </c>
      <c r="C213" s="205"/>
      <c r="D213" s="205"/>
      <c r="E213" s="231"/>
      <c r="F213" s="231"/>
      <c r="G213" s="231"/>
      <c r="H213" s="231"/>
    </row>
    <row r="214" spans="1:8" ht="15.5" x14ac:dyDescent="0.35">
      <c r="A214" s="308" t="s">
        <v>1819</v>
      </c>
      <c r="B214" s="307" t="s">
        <v>1820</v>
      </c>
      <c r="C214" s="205"/>
      <c r="D214" s="205"/>
      <c r="E214" s="231"/>
      <c r="F214" s="231"/>
      <c r="G214" s="231"/>
      <c r="H214" s="231"/>
    </row>
    <row r="215" spans="1:8" x14ac:dyDescent="0.35">
      <c r="A215" s="307" t="s">
        <v>1821</v>
      </c>
      <c r="B215" s="307" t="s">
        <v>1822</v>
      </c>
      <c r="C215" s="205"/>
      <c r="D215" s="205"/>
      <c r="E215" s="231"/>
      <c r="F215" s="231"/>
      <c r="G215" s="231"/>
      <c r="H215" s="231"/>
    </row>
    <row r="216" spans="1:8" x14ac:dyDescent="0.35">
      <c r="A216" s="307" t="s">
        <v>1823</v>
      </c>
      <c r="B216" s="307" t="s">
        <v>1824</v>
      </c>
      <c r="C216" s="205"/>
      <c r="D216" s="205"/>
      <c r="E216" s="231"/>
      <c r="F216" s="231"/>
      <c r="G216" s="231"/>
      <c r="H216" s="231"/>
    </row>
    <row r="217" spans="1:8" x14ac:dyDescent="0.35">
      <c r="A217" s="307" t="s">
        <v>1825</v>
      </c>
      <c r="B217" s="307" t="s">
        <v>1826</v>
      </c>
      <c r="C217" s="205"/>
      <c r="D217" s="205"/>
      <c r="E217" s="231"/>
      <c r="F217" s="231"/>
      <c r="G217" s="231"/>
      <c r="H217" s="231"/>
    </row>
    <row r="218" spans="1:8" x14ac:dyDescent="0.35">
      <c r="A218" s="307" t="s">
        <v>1827</v>
      </c>
      <c r="B218" s="307" t="s">
        <v>1828</v>
      </c>
      <c r="C218" s="205"/>
      <c r="D218" s="205"/>
      <c r="E218" s="231"/>
      <c r="F218" s="231"/>
      <c r="G218" s="231"/>
      <c r="H218" s="231"/>
    </row>
    <row r="219" spans="1:8" x14ac:dyDescent="0.35">
      <c r="A219" s="307" t="s">
        <v>1829</v>
      </c>
      <c r="B219" s="307" t="s">
        <v>1830</v>
      </c>
      <c r="C219" s="205"/>
      <c r="D219" s="205"/>
      <c r="E219" s="231"/>
      <c r="F219" s="231"/>
      <c r="G219" s="231"/>
      <c r="H219" s="231"/>
    </row>
    <row r="220" spans="1:8" x14ac:dyDescent="0.35">
      <c r="A220" s="307" t="s">
        <v>1831</v>
      </c>
      <c r="B220" s="307" t="s">
        <v>1832</v>
      </c>
      <c r="C220" s="205"/>
      <c r="D220" s="205"/>
      <c r="E220" s="231"/>
      <c r="F220" s="231"/>
      <c r="G220" s="231"/>
      <c r="H220" s="231"/>
    </row>
    <row r="221" spans="1:8" x14ac:dyDescent="0.35">
      <c r="A221" s="307" t="s">
        <v>1833</v>
      </c>
      <c r="B221" s="307" t="s">
        <v>1834</v>
      </c>
      <c r="C221" s="205"/>
      <c r="D221" s="205"/>
      <c r="E221" s="231"/>
      <c r="F221" s="231"/>
      <c r="G221" s="231"/>
      <c r="H221" s="231"/>
    </row>
    <row r="222" spans="1:8" x14ac:dyDescent="0.35">
      <c r="A222" s="307" t="s">
        <v>1835</v>
      </c>
      <c r="B222" s="307" t="s">
        <v>1836</v>
      </c>
      <c r="C222" s="205"/>
      <c r="D222" s="205"/>
      <c r="E222" s="231"/>
      <c r="F222" s="231"/>
      <c r="G222" s="231"/>
      <c r="H222" s="231"/>
    </row>
    <row r="223" spans="1:8" x14ac:dyDescent="0.35">
      <c r="A223" s="307" t="s">
        <v>1837</v>
      </c>
      <c r="B223" s="307" t="s">
        <v>1838</v>
      </c>
      <c r="C223" s="205"/>
      <c r="D223" s="205"/>
      <c r="E223" s="231"/>
      <c r="F223" s="231"/>
      <c r="G223" s="231"/>
      <c r="H223" s="231"/>
    </row>
    <row r="224" spans="1:8" x14ac:dyDescent="0.35">
      <c r="A224" s="307" t="s">
        <v>1839</v>
      </c>
      <c r="B224" s="307" t="s">
        <v>1840</v>
      </c>
      <c r="C224" s="205"/>
      <c r="D224" s="205"/>
      <c r="E224" s="231"/>
      <c r="F224" s="231"/>
      <c r="G224" s="231"/>
      <c r="H224" s="231"/>
    </row>
    <row r="225" spans="1:8" x14ac:dyDescent="0.35">
      <c r="A225" s="307" t="s">
        <v>1841</v>
      </c>
      <c r="B225" s="307" t="s">
        <v>1842</v>
      </c>
      <c r="C225" s="205"/>
      <c r="D225" s="205"/>
      <c r="E225" s="231"/>
      <c r="F225" s="231"/>
      <c r="G225" s="231"/>
      <c r="H225" s="231"/>
    </row>
    <row r="226" spans="1:8" x14ac:dyDescent="0.35">
      <c r="A226" s="307" t="s">
        <v>1843</v>
      </c>
      <c r="B226" s="307" t="s">
        <v>1844</v>
      </c>
      <c r="C226" s="205"/>
      <c r="D226" s="205"/>
      <c r="E226" s="231"/>
      <c r="F226" s="231"/>
      <c r="G226" s="231"/>
      <c r="H226" s="231"/>
    </row>
    <row r="227" spans="1:8" x14ac:dyDescent="0.35">
      <c r="A227" s="307" t="s">
        <v>1845</v>
      </c>
      <c r="B227" s="307" t="s">
        <v>1846</v>
      </c>
      <c r="C227" s="205"/>
      <c r="D227" s="205"/>
      <c r="E227" s="231"/>
      <c r="F227" s="231"/>
      <c r="G227" s="231"/>
      <c r="H227" s="231"/>
    </row>
    <row r="228" spans="1:8" x14ac:dyDescent="0.35">
      <c r="A228" s="307" t="s">
        <v>694</v>
      </c>
      <c r="B228" s="307" t="s">
        <v>695</v>
      </c>
      <c r="C228" s="205"/>
      <c r="D228" s="205"/>
      <c r="E228" s="231"/>
      <c r="F228" s="231"/>
      <c r="G228" s="231"/>
      <c r="H228" s="231"/>
    </row>
    <row r="229" spans="1:8" x14ac:dyDescent="0.35">
      <c r="A229" s="307" t="s">
        <v>684</v>
      </c>
      <c r="B229" s="307" t="s">
        <v>685</v>
      </c>
      <c r="C229" s="205"/>
      <c r="D229" s="205"/>
      <c r="E229" s="231"/>
      <c r="F229" s="231"/>
      <c r="G229" s="231"/>
      <c r="H229" s="231"/>
    </row>
    <row r="230" spans="1:8" x14ac:dyDescent="0.35">
      <c r="A230" s="307" t="s">
        <v>696</v>
      </c>
      <c r="B230" s="307" t="s">
        <v>697</v>
      </c>
      <c r="C230" s="205"/>
      <c r="D230" s="205"/>
      <c r="E230" s="231"/>
      <c r="F230" s="231"/>
      <c r="G230" s="231">
        <v>315</v>
      </c>
      <c r="H230" s="231">
        <v>78.75</v>
      </c>
    </row>
    <row r="231" spans="1:8" x14ac:dyDescent="0.35">
      <c r="A231" s="307" t="s">
        <v>1847</v>
      </c>
      <c r="B231" s="307" t="s">
        <v>1848</v>
      </c>
      <c r="C231" s="205"/>
      <c r="D231" s="205"/>
      <c r="E231" s="231"/>
      <c r="F231" s="231"/>
      <c r="G231" s="231"/>
      <c r="H231" s="231"/>
    </row>
    <row r="232" spans="1:8" x14ac:dyDescent="0.35">
      <c r="A232" s="307" t="s">
        <v>1849</v>
      </c>
      <c r="B232" s="307" t="s">
        <v>1850</v>
      </c>
      <c r="C232" s="205"/>
      <c r="D232" s="205"/>
      <c r="E232" s="231"/>
      <c r="F232" s="231"/>
      <c r="G232" s="231"/>
      <c r="H232" s="231"/>
    </row>
    <row r="233" spans="1:8" x14ac:dyDescent="0.35">
      <c r="A233" s="307" t="s">
        <v>1851</v>
      </c>
      <c r="B233" s="307" t="s">
        <v>1428</v>
      </c>
      <c r="C233" s="205"/>
      <c r="D233" s="205"/>
      <c r="E233" s="231"/>
      <c r="F233" s="231"/>
      <c r="G233" s="231"/>
      <c r="H233" s="231"/>
    </row>
    <row r="234" spans="1:8" x14ac:dyDescent="0.35">
      <c r="A234" s="307" t="s">
        <v>748</v>
      </c>
      <c r="B234" s="307" t="s">
        <v>749</v>
      </c>
      <c r="C234" s="205"/>
      <c r="D234" s="205"/>
      <c r="E234" s="231"/>
      <c r="F234" s="231"/>
      <c r="G234" s="231">
        <v>548.9</v>
      </c>
      <c r="H234" s="231">
        <v>137.22499999999999</v>
      </c>
    </row>
    <row r="235" spans="1:8" x14ac:dyDescent="0.35">
      <c r="A235" s="307" t="s">
        <v>1852</v>
      </c>
      <c r="B235" s="307" t="s">
        <v>1853</v>
      </c>
      <c r="C235" s="205"/>
      <c r="D235" s="205"/>
      <c r="E235" s="231"/>
      <c r="F235" s="231"/>
      <c r="G235" s="231"/>
      <c r="H235" s="231"/>
    </row>
    <row r="236" spans="1:8" x14ac:dyDescent="0.35">
      <c r="A236" s="307" t="s">
        <v>1854</v>
      </c>
      <c r="B236" s="307" t="s">
        <v>1855</v>
      </c>
      <c r="C236" s="205"/>
      <c r="D236" s="205"/>
      <c r="E236" s="231"/>
      <c r="F236" s="231"/>
      <c r="G236" s="231"/>
      <c r="H236" s="231"/>
    </row>
    <row r="237" spans="1:8" x14ac:dyDescent="0.35">
      <c r="A237" s="307" t="s">
        <v>495</v>
      </c>
      <c r="B237" s="307" t="s">
        <v>496</v>
      </c>
      <c r="C237" s="205"/>
      <c r="D237" s="205"/>
      <c r="E237" s="231"/>
      <c r="F237" s="231"/>
      <c r="G237" s="231">
        <v>19167.25</v>
      </c>
      <c r="H237" s="231">
        <v>4791.8125</v>
      </c>
    </row>
    <row r="238" spans="1:8" x14ac:dyDescent="0.35">
      <c r="A238" s="307" t="s">
        <v>1856</v>
      </c>
      <c r="B238" s="307" t="s">
        <v>1857</v>
      </c>
      <c r="C238" s="205"/>
      <c r="D238" s="205"/>
      <c r="E238" s="231"/>
      <c r="F238" s="231"/>
      <c r="G238" s="231"/>
      <c r="H238" s="231"/>
    </row>
    <row r="239" spans="1:8" x14ac:dyDescent="0.35">
      <c r="A239" s="307" t="s">
        <v>1858</v>
      </c>
      <c r="B239" s="307" t="s">
        <v>1859</v>
      </c>
      <c r="C239" s="205"/>
      <c r="D239" s="205"/>
      <c r="E239" s="231"/>
      <c r="F239" s="231"/>
      <c r="G239" s="231"/>
      <c r="H239" s="231"/>
    </row>
    <row r="240" spans="1:8" x14ac:dyDescent="0.35">
      <c r="A240" s="307" t="s">
        <v>1860</v>
      </c>
      <c r="B240" s="307" t="s">
        <v>1861</v>
      </c>
      <c r="C240" s="205"/>
      <c r="D240" s="205"/>
      <c r="E240" s="231"/>
      <c r="F240" s="231"/>
      <c r="G240" s="231"/>
      <c r="H240" s="231"/>
    </row>
    <row r="241" spans="1:8" x14ac:dyDescent="0.35">
      <c r="A241" s="213" t="s">
        <v>1862</v>
      </c>
      <c r="B241" s="307" t="s">
        <v>1863</v>
      </c>
      <c r="C241" s="205"/>
      <c r="D241" s="205"/>
      <c r="E241" s="231"/>
      <c r="F241" s="231"/>
      <c r="G241" s="231"/>
      <c r="H241" s="231"/>
    </row>
    <row r="242" spans="1:8" x14ac:dyDescent="0.35">
      <c r="A242" s="307" t="s">
        <v>1864</v>
      </c>
      <c r="B242" s="307" t="s">
        <v>1865</v>
      </c>
      <c r="C242" s="205"/>
      <c r="D242" s="205"/>
      <c r="E242" s="231"/>
      <c r="F242" s="231"/>
      <c r="G242" s="231"/>
      <c r="H242" s="231"/>
    </row>
    <row r="243" spans="1:8" x14ac:dyDescent="0.35">
      <c r="A243" s="309" t="s">
        <v>570</v>
      </c>
      <c r="B243" s="307" t="s">
        <v>571</v>
      </c>
      <c r="C243" s="205"/>
      <c r="D243" s="205"/>
      <c r="E243" s="231"/>
      <c r="F243" s="231"/>
      <c r="G243" s="231"/>
      <c r="H243" s="231"/>
    </row>
    <row r="244" spans="1:8" x14ac:dyDescent="0.35">
      <c r="A244" s="307" t="s">
        <v>1866</v>
      </c>
      <c r="B244" s="307" t="s">
        <v>1867</v>
      </c>
      <c r="C244" s="205"/>
      <c r="D244" s="205"/>
      <c r="E244" s="231"/>
      <c r="F244" s="231"/>
      <c r="G244" s="231"/>
      <c r="H244" s="231"/>
    </row>
    <row r="245" spans="1:8" x14ac:dyDescent="0.35">
      <c r="A245" s="307" t="s">
        <v>362</v>
      </c>
      <c r="B245" s="307" t="s">
        <v>1868</v>
      </c>
      <c r="C245" s="205"/>
      <c r="D245" s="205"/>
      <c r="E245" s="231"/>
      <c r="F245" s="231"/>
      <c r="G245" s="231"/>
      <c r="H245" s="231"/>
    </row>
    <row r="246" spans="1:8" x14ac:dyDescent="0.35">
      <c r="A246" s="307" t="s">
        <v>1869</v>
      </c>
      <c r="B246" s="307" t="s">
        <v>1870</v>
      </c>
      <c r="C246" s="205"/>
      <c r="D246" s="205"/>
      <c r="E246" s="231"/>
      <c r="F246" s="231"/>
      <c r="G246" s="231"/>
      <c r="H246" s="231"/>
    </row>
    <row r="247" spans="1:8" x14ac:dyDescent="0.35">
      <c r="A247" s="307" t="s">
        <v>1871</v>
      </c>
      <c r="B247" s="307" t="s">
        <v>1872</v>
      </c>
      <c r="C247" s="205"/>
      <c r="D247" s="205"/>
      <c r="E247" s="231"/>
      <c r="F247" s="231"/>
      <c r="G247" s="231">
        <v>0</v>
      </c>
      <c r="H247" s="231">
        <v>0</v>
      </c>
    </row>
    <row r="248" spans="1:8" x14ac:dyDescent="0.35">
      <c r="A248" s="307" t="s">
        <v>1873</v>
      </c>
      <c r="B248" s="307" t="s">
        <v>1874</v>
      </c>
      <c r="C248" s="205"/>
      <c r="D248" s="205"/>
      <c r="E248" s="231"/>
      <c r="F248" s="231"/>
      <c r="G248" s="231"/>
      <c r="H248" s="231"/>
    </row>
    <row r="249" spans="1:8" x14ac:dyDescent="0.35">
      <c r="A249" s="307" t="s">
        <v>1875</v>
      </c>
      <c r="B249" s="307" t="s">
        <v>1876</v>
      </c>
      <c r="C249" s="205"/>
      <c r="D249" s="205"/>
      <c r="E249" s="231"/>
      <c r="F249" s="231"/>
      <c r="G249" s="231"/>
      <c r="H249" s="231"/>
    </row>
    <row r="250" spans="1:8" x14ac:dyDescent="0.35">
      <c r="A250" s="307" t="s">
        <v>1877</v>
      </c>
      <c r="B250" s="307" t="s">
        <v>1878</v>
      </c>
      <c r="C250" s="205"/>
      <c r="D250" s="205"/>
      <c r="E250" s="231"/>
      <c r="F250" s="231"/>
      <c r="G250" s="231"/>
      <c r="H250" s="231"/>
    </row>
    <row r="251" spans="1:8" x14ac:dyDescent="0.35">
      <c r="A251" s="310" t="s">
        <v>1879</v>
      </c>
      <c r="B251" s="310" t="s">
        <v>1880</v>
      </c>
      <c r="C251" s="205"/>
      <c r="D251" s="205"/>
      <c r="E251" s="231"/>
      <c r="F251" s="231"/>
      <c r="G251" s="231"/>
      <c r="H251" s="231"/>
    </row>
    <row r="252" spans="1:8" x14ac:dyDescent="0.35">
      <c r="A252" s="310" t="s">
        <v>1881</v>
      </c>
      <c r="B252" s="310" t="s">
        <v>1882</v>
      </c>
      <c r="C252" s="205"/>
      <c r="D252" s="205"/>
      <c r="E252" s="231"/>
      <c r="F252" s="231"/>
      <c r="G252" s="231"/>
      <c r="H252" s="231"/>
    </row>
  </sheetData>
  <mergeCells count="15">
    <mergeCell ref="A57:F57"/>
    <mergeCell ref="F64:F67"/>
    <mergeCell ref="F49:F53"/>
    <mergeCell ref="F55:F56"/>
    <mergeCell ref="F96:F97"/>
    <mergeCell ref="F99:F100"/>
    <mergeCell ref="J95:J96"/>
    <mergeCell ref="F88:F90"/>
    <mergeCell ref="F72:F76"/>
    <mergeCell ref="F81:F82"/>
    <mergeCell ref="J6:J43"/>
    <mergeCell ref="J55:J56"/>
    <mergeCell ref="J58:J59"/>
    <mergeCell ref="J78:J79"/>
    <mergeCell ref="J81:J82"/>
  </mergeCells>
  <conditionalFormatting sqref="A194:A240">
    <cfRule type="duplicateValues" dxfId="101" priority="1"/>
  </conditionalFormatting>
  <printOptions horizontalCentered="1"/>
  <pageMargins left="0.5" right="0.5" top="0.5" bottom="0.5" header="0.3" footer="0.3"/>
  <pageSetup scale="56" fitToHeight="0"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ACD47-DCDA-4FDB-86FB-60D0C812A90B}">
  <sheetPr codeName="Sheet2">
    <tabColor rgb="FFFFFF00"/>
  </sheetPr>
  <dimension ref="A2:E338"/>
  <sheetViews>
    <sheetView topLeftCell="A156" zoomScale="70" zoomScaleNormal="70" workbookViewId="0">
      <selection activeCell="B166" sqref="B166"/>
    </sheetView>
  </sheetViews>
  <sheetFormatPr defaultRowHeight="14.5" x14ac:dyDescent="0.35"/>
  <cols>
    <col min="1" max="1" width="42.54296875" style="129" bestFit="1" customWidth="1"/>
    <col min="2" max="2" width="43.90625" style="129" bestFit="1" customWidth="1"/>
    <col min="3" max="3" width="30.36328125" style="129" bestFit="1" customWidth="1"/>
    <col min="4" max="4" width="11.81640625" style="129" bestFit="1" customWidth="1"/>
    <col min="5" max="7" width="8.7265625" style="129"/>
    <col min="8" max="10" width="8.7265625" style="129" customWidth="1"/>
    <col min="11" max="16384" width="8.7265625" style="129"/>
  </cols>
  <sheetData>
    <row r="2" spans="1:4" x14ac:dyDescent="0.35">
      <c r="D2" s="130"/>
    </row>
    <row r="3" spans="1:4" x14ac:dyDescent="0.35">
      <c r="A3" s="106"/>
      <c r="B3" s="12" t="s">
        <v>78</v>
      </c>
      <c r="C3" s="27">
        <v>40</v>
      </c>
      <c r="D3" s="13" t="s">
        <v>73</v>
      </c>
    </row>
    <row r="4" spans="1:4" x14ac:dyDescent="0.35">
      <c r="A4" s="103" t="s">
        <v>57</v>
      </c>
      <c r="B4" s="93" t="s">
        <v>96</v>
      </c>
      <c r="C4" s="9">
        <v>100</v>
      </c>
      <c r="D4" s="33" t="s">
        <v>73</v>
      </c>
    </row>
    <row r="5" spans="1:4" x14ac:dyDescent="0.35">
      <c r="A5" s="103" t="s">
        <v>41</v>
      </c>
      <c r="B5" s="92" t="s">
        <v>97</v>
      </c>
      <c r="C5" s="11">
        <v>3</v>
      </c>
      <c r="D5" s="151" t="s">
        <v>73</v>
      </c>
    </row>
    <row r="6" spans="1:4" x14ac:dyDescent="0.35">
      <c r="A6" s="152"/>
      <c r="B6" s="94" t="s">
        <v>23</v>
      </c>
      <c r="C6" s="13">
        <v>0.3</v>
      </c>
      <c r="D6" s="13" t="s">
        <v>73</v>
      </c>
    </row>
    <row r="7" spans="1:4" x14ac:dyDescent="0.35">
      <c r="A7" s="153" t="s">
        <v>43</v>
      </c>
      <c r="B7" s="100" t="s">
        <v>94</v>
      </c>
      <c r="C7" s="11">
        <v>85</v>
      </c>
      <c r="D7" s="154" t="s">
        <v>73</v>
      </c>
    </row>
    <row r="8" spans="1:4" x14ac:dyDescent="0.35">
      <c r="A8" s="153" t="s">
        <v>42</v>
      </c>
      <c r="B8" s="99" t="s">
        <v>95</v>
      </c>
      <c r="C8" s="9">
        <v>15</v>
      </c>
      <c r="D8" s="33" t="s">
        <v>73</v>
      </c>
    </row>
    <row r="10" spans="1:4" x14ac:dyDescent="0.35">
      <c r="D10" s="130"/>
    </row>
    <row r="11" spans="1:4" x14ac:dyDescent="0.35">
      <c r="D11" s="130"/>
    </row>
    <row r="12" spans="1:4" x14ac:dyDescent="0.35">
      <c r="A12" s="106"/>
      <c r="B12" s="12" t="s">
        <v>80</v>
      </c>
      <c r="C12" s="13">
        <v>15</v>
      </c>
      <c r="D12" s="13" t="s">
        <v>73</v>
      </c>
    </row>
    <row r="13" spans="1:4" x14ac:dyDescent="0.35">
      <c r="A13" s="103" t="s">
        <v>47</v>
      </c>
      <c r="B13" s="15" t="s">
        <v>93</v>
      </c>
      <c r="C13" s="9">
        <v>600</v>
      </c>
      <c r="D13" s="33" t="s">
        <v>73</v>
      </c>
    </row>
    <row r="14" spans="1:4" x14ac:dyDescent="0.35">
      <c r="A14" s="103" t="s">
        <v>48</v>
      </c>
      <c r="B14" s="14" t="s">
        <v>91</v>
      </c>
      <c r="C14" s="11">
        <v>100</v>
      </c>
      <c r="D14" s="154" t="s">
        <v>73</v>
      </c>
    </row>
    <row r="15" spans="1:4" x14ac:dyDescent="0.35">
      <c r="A15" s="103" t="s">
        <v>50</v>
      </c>
      <c r="B15" s="15" t="s">
        <v>92</v>
      </c>
      <c r="C15" s="9">
        <v>100</v>
      </c>
      <c r="D15" s="33" t="s">
        <v>73</v>
      </c>
    </row>
    <row r="16" spans="1:4" x14ac:dyDescent="0.35">
      <c r="A16" s="103" t="s">
        <v>49</v>
      </c>
      <c r="B16" s="14" t="s">
        <v>99</v>
      </c>
      <c r="C16" s="11">
        <v>50</v>
      </c>
      <c r="D16" s="154" t="s">
        <v>73</v>
      </c>
    </row>
    <row r="17" spans="1:4" x14ac:dyDescent="0.35">
      <c r="A17" s="103" t="s">
        <v>51</v>
      </c>
      <c r="B17" s="15" t="s">
        <v>98</v>
      </c>
      <c r="C17" s="9">
        <v>50</v>
      </c>
      <c r="D17" s="33" t="s">
        <v>73</v>
      </c>
    </row>
    <row r="18" spans="1:4" x14ac:dyDescent="0.35">
      <c r="D18" s="130"/>
    </row>
    <row r="19" spans="1:4" x14ac:dyDescent="0.35">
      <c r="D19" s="130"/>
    </row>
    <row r="20" spans="1:4" x14ac:dyDescent="0.35">
      <c r="D20" s="130"/>
    </row>
    <row r="21" spans="1:4" x14ac:dyDescent="0.35">
      <c r="A21" s="106"/>
      <c r="B21" s="12" t="s">
        <v>83</v>
      </c>
      <c r="C21" s="13">
        <v>150</v>
      </c>
      <c r="D21" s="13" t="s">
        <v>73</v>
      </c>
    </row>
    <row r="22" spans="1:4" x14ac:dyDescent="0.35">
      <c r="A22" s="103" t="s">
        <v>44</v>
      </c>
      <c r="B22" s="15" t="s">
        <v>100</v>
      </c>
      <c r="C22" s="9">
        <v>2000</v>
      </c>
      <c r="D22" s="9" t="s">
        <v>73</v>
      </c>
    </row>
    <row r="23" spans="1:4" x14ac:dyDescent="0.35">
      <c r="A23" s="128"/>
      <c r="B23" s="101" t="s">
        <v>81</v>
      </c>
      <c r="C23" s="98">
        <v>1000</v>
      </c>
      <c r="D23" s="98" t="s">
        <v>73</v>
      </c>
    </row>
    <row r="24" spans="1:4" x14ac:dyDescent="0.35">
      <c r="A24" s="103" t="s">
        <v>45</v>
      </c>
      <c r="B24" s="15" t="s">
        <v>101</v>
      </c>
      <c r="C24" s="9">
        <v>57</v>
      </c>
      <c r="D24" s="9" t="s">
        <v>73</v>
      </c>
    </row>
    <row r="25" spans="1:4" x14ac:dyDescent="0.35">
      <c r="A25" s="103" t="s">
        <v>46</v>
      </c>
      <c r="B25" s="14" t="s">
        <v>102</v>
      </c>
      <c r="C25" s="11">
        <v>17</v>
      </c>
      <c r="D25" s="11" t="s">
        <v>73</v>
      </c>
    </row>
    <row r="26" spans="1:4" x14ac:dyDescent="0.35">
      <c r="D26" s="130"/>
    </row>
    <row r="27" spans="1:4" x14ac:dyDescent="0.35">
      <c r="D27" s="130"/>
    </row>
    <row r="28" spans="1:4" x14ac:dyDescent="0.35">
      <c r="D28" s="130"/>
    </row>
    <row r="29" spans="1:4" x14ac:dyDescent="0.35">
      <c r="A29" s="152"/>
      <c r="B29" s="12" t="s">
        <v>82</v>
      </c>
      <c r="C29" s="13">
        <v>50</v>
      </c>
      <c r="D29" s="13" t="s">
        <v>73</v>
      </c>
    </row>
    <row r="30" spans="1:4" x14ac:dyDescent="0.35">
      <c r="A30" s="153" t="s">
        <v>39</v>
      </c>
      <c r="B30" s="14" t="s">
        <v>103</v>
      </c>
      <c r="C30" s="11">
        <v>1000</v>
      </c>
      <c r="D30" s="11" t="s">
        <v>73</v>
      </c>
    </row>
    <row r="31" spans="1:4" x14ac:dyDescent="0.35">
      <c r="A31" s="153" t="s">
        <v>40</v>
      </c>
      <c r="B31" s="15" t="s">
        <v>104</v>
      </c>
      <c r="C31" s="9">
        <v>15</v>
      </c>
      <c r="D31" s="9" t="s">
        <v>73</v>
      </c>
    </row>
    <row r="32" spans="1:4" x14ac:dyDescent="0.35">
      <c r="A32" s="153" t="s">
        <v>41</v>
      </c>
      <c r="B32" s="14" t="s">
        <v>97</v>
      </c>
      <c r="C32" s="11">
        <v>30</v>
      </c>
      <c r="D32" s="11" t="s">
        <v>73</v>
      </c>
    </row>
    <row r="33" spans="1:5" x14ac:dyDescent="0.35">
      <c r="A33" s="152"/>
      <c r="B33" s="16" t="s">
        <v>23</v>
      </c>
      <c r="C33" s="13">
        <v>20</v>
      </c>
      <c r="D33" s="13" t="s">
        <v>73</v>
      </c>
    </row>
    <row r="34" spans="1:5" x14ac:dyDescent="0.35">
      <c r="A34" s="153" t="s">
        <v>43</v>
      </c>
      <c r="B34" s="100" t="s">
        <v>105</v>
      </c>
      <c r="C34" s="11">
        <v>85</v>
      </c>
      <c r="D34" s="11" t="s">
        <v>73</v>
      </c>
    </row>
    <row r="35" spans="1:5" x14ac:dyDescent="0.35">
      <c r="A35" s="153" t="s">
        <v>42</v>
      </c>
      <c r="B35" s="99" t="s">
        <v>95</v>
      </c>
      <c r="C35" s="9">
        <v>15</v>
      </c>
      <c r="D35" s="9" t="s">
        <v>73</v>
      </c>
    </row>
    <row r="36" spans="1:5" x14ac:dyDescent="0.35">
      <c r="D36" s="130"/>
    </row>
    <row r="37" spans="1:5" x14ac:dyDescent="0.35">
      <c r="D37" s="130"/>
    </row>
    <row r="38" spans="1:5" x14ac:dyDescent="0.35">
      <c r="D38" s="130"/>
    </row>
    <row r="39" spans="1:5" x14ac:dyDescent="0.35">
      <c r="A39" s="152"/>
      <c r="B39" s="12" t="s">
        <v>84</v>
      </c>
      <c r="C39" s="13">
        <v>80</v>
      </c>
      <c r="D39" s="13" t="s">
        <v>73</v>
      </c>
    </row>
    <row r="40" spans="1:5" x14ac:dyDescent="0.35">
      <c r="A40" s="152"/>
      <c r="B40" s="16" t="s">
        <v>26</v>
      </c>
      <c r="C40" s="13">
        <v>1000</v>
      </c>
      <c r="D40" s="13" t="s">
        <v>73</v>
      </c>
    </row>
    <row r="41" spans="1:5" x14ac:dyDescent="0.35">
      <c r="A41" s="153" t="s">
        <v>60</v>
      </c>
      <c r="B41" s="155" t="s">
        <v>121</v>
      </c>
      <c r="C41" s="11">
        <v>1000</v>
      </c>
      <c r="D41" s="11" t="s">
        <v>73</v>
      </c>
    </row>
    <row r="42" spans="1:5" x14ac:dyDescent="0.35">
      <c r="A42" s="153" t="s">
        <v>43</v>
      </c>
      <c r="B42" s="99" t="s">
        <v>94</v>
      </c>
      <c r="C42" s="9">
        <v>30</v>
      </c>
      <c r="D42" s="9" t="s">
        <v>73</v>
      </c>
    </row>
    <row r="43" spans="1:5" x14ac:dyDescent="0.35">
      <c r="A43" s="156"/>
      <c r="B43" s="157" t="s">
        <v>81</v>
      </c>
      <c r="C43" s="98">
        <v>400</v>
      </c>
      <c r="D43" s="98" t="s">
        <v>73</v>
      </c>
      <c r="E43" s="131"/>
    </row>
    <row r="44" spans="1:5" x14ac:dyDescent="0.35">
      <c r="A44" s="153" t="s">
        <v>59</v>
      </c>
      <c r="B44" s="15" t="s">
        <v>27</v>
      </c>
      <c r="C44" s="9">
        <v>350</v>
      </c>
      <c r="D44" s="9" t="s">
        <v>73</v>
      </c>
      <c r="E44" s="131"/>
    </row>
    <row r="45" spans="1:5" x14ac:dyDescent="0.35">
      <c r="A45" s="153" t="s">
        <v>48</v>
      </c>
      <c r="B45" s="14" t="s">
        <v>91</v>
      </c>
      <c r="C45" s="11">
        <v>100</v>
      </c>
      <c r="D45" s="11" t="s">
        <v>73</v>
      </c>
      <c r="E45" s="131"/>
    </row>
    <row r="46" spans="1:5" x14ac:dyDescent="0.35">
      <c r="C46" s="131"/>
      <c r="D46" s="131"/>
      <c r="E46" s="131"/>
    </row>
    <row r="47" spans="1:5" x14ac:dyDescent="0.35">
      <c r="C47" s="131"/>
      <c r="D47" s="131"/>
      <c r="E47" s="131"/>
    </row>
    <row r="49" spans="1:5" x14ac:dyDescent="0.35">
      <c r="A49" s="106"/>
      <c r="B49" s="12" t="s">
        <v>85</v>
      </c>
      <c r="C49" s="13">
        <v>0.3</v>
      </c>
      <c r="D49" s="13" t="s">
        <v>73</v>
      </c>
      <c r="E49" s="131"/>
    </row>
    <row r="50" spans="1:5" x14ac:dyDescent="0.35">
      <c r="A50" s="103" t="s">
        <v>52</v>
      </c>
      <c r="B50" s="14" t="s">
        <v>106</v>
      </c>
      <c r="C50" s="11">
        <v>5</v>
      </c>
      <c r="D50" s="11" t="s">
        <v>73</v>
      </c>
      <c r="E50" s="131"/>
    </row>
    <row r="51" spans="1:5" x14ac:dyDescent="0.35">
      <c r="A51" s="106"/>
      <c r="B51" s="16" t="s">
        <v>23</v>
      </c>
      <c r="C51" s="13">
        <v>20</v>
      </c>
      <c r="D51" s="13" t="s">
        <v>73</v>
      </c>
    </row>
    <row r="52" spans="1:5" x14ac:dyDescent="0.35">
      <c r="A52" s="103" t="s">
        <v>43</v>
      </c>
      <c r="B52" s="17" t="s">
        <v>94</v>
      </c>
      <c r="C52" s="11">
        <v>85</v>
      </c>
      <c r="D52" s="11" t="s">
        <v>73</v>
      </c>
      <c r="E52" s="131"/>
    </row>
    <row r="53" spans="1:5" x14ac:dyDescent="0.35">
      <c r="A53" s="153" t="s">
        <v>42</v>
      </c>
      <c r="B53" s="31" t="s">
        <v>95</v>
      </c>
      <c r="C53" s="9">
        <v>15</v>
      </c>
      <c r="D53" s="9" t="s">
        <v>73</v>
      </c>
      <c r="E53" s="131"/>
    </row>
    <row r="54" spans="1:5" x14ac:dyDescent="0.35">
      <c r="C54" s="131"/>
      <c r="D54" s="132"/>
      <c r="E54" s="131"/>
    </row>
    <row r="55" spans="1:5" x14ac:dyDescent="0.35">
      <c r="C55" s="131"/>
      <c r="D55" s="132"/>
      <c r="E55" s="131"/>
    </row>
    <row r="56" spans="1:5" ht="15" thickBot="1" x14ac:dyDescent="0.4">
      <c r="C56" s="131"/>
      <c r="D56" s="131"/>
      <c r="E56" s="131"/>
    </row>
    <row r="57" spans="1:5" ht="15" thickTop="1" x14ac:dyDescent="0.35">
      <c r="A57" s="105" t="s">
        <v>63</v>
      </c>
      <c r="B57" s="158" t="s">
        <v>75</v>
      </c>
      <c r="C57" s="159">
        <v>150</v>
      </c>
      <c r="D57" s="159" t="s">
        <v>73</v>
      </c>
    </row>
    <row r="58" spans="1:5" x14ac:dyDescent="0.35">
      <c r="A58" s="106"/>
      <c r="B58" s="145" t="s">
        <v>1119</v>
      </c>
      <c r="C58" s="13">
        <v>1000</v>
      </c>
      <c r="D58" s="13" t="s">
        <v>73</v>
      </c>
      <c r="E58" s="131"/>
    </row>
    <row r="59" spans="1:5" x14ac:dyDescent="0.35">
      <c r="A59" s="103" t="s">
        <v>525</v>
      </c>
      <c r="B59" s="99" t="s">
        <v>714</v>
      </c>
      <c r="C59" s="9">
        <v>7</v>
      </c>
      <c r="D59" s="9" t="s">
        <v>73</v>
      </c>
      <c r="E59" s="131"/>
    </row>
    <row r="60" spans="1:5" x14ac:dyDescent="0.35">
      <c r="C60" s="131"/>
      <c r="D60" s="131"/>
      <c r="E60" s="131"/>
    </row>
    <row r="61" spans="1:5" x14ac:dyDescent="0.35">
      <c r="C61" s="131"/>
      <c r="D61" s="133"/>
      <c r="E61" s="131"/>
    </row>
    <row r="62" spans="1:5" x14ac:dyDescent="0.35">
      <c r="C62" s="131"/>
      <c r="D62" s="132"/>
      <c r="E62" s="131"/>
    </row>
    <row r="63" spans="1:5" x14ac:dyDescent="0.35">
      <c r="A63" s="106"/>
      <c r="B63" s="25" t="s">
        <v>751</v>
      </c>
      <c r="C63" s="13">
        <v>100</v>
      </c>
      <c r="D63" s="13" t="s">
        <v>73</v>
      </c>
    </row>
    <row r="64" spans="1:5" x14ac:dyDescent="0.35">
      <c r="A64" s="106"/>
      <c r="B64" s="26" t="s">
        <v>754</v>
      </c>
      <c r="C64" s="27">
        <v>1000</v>
      </c>
      <c r="D64" s="13" t="s">
        <v>73</v>
      </c>
    </row>
    <row r="65" spans="1:4" x14ac:dyDescent="0.35">
      <c r="A65" s="128"/>
      <c r="B65" s="160" t="s">
        <v>81</v>
      </c>
      <c r="C65" s="98">
        <v>1300</v>
      </c>
      <c r="D65" s="98" t="s">
        <v>73</v>
      </c>
    </row>
    <row r="66" spans="1:4" x14ac:dyDescent="0.35">
      <c r="A66" s="103" t="s">
        <v>523</v>
      </c>
      <c r="B66" s="161" t="s">
        <v>752</v>
      </c>
      <c r="C66" s="9">
        <v>700</v>
      </c>
      <c r="D66" s="9" t="s">
        <v>73</v>
      </c>
    </row>
    <row r="67" spans="1:4" x14ac:dyDescent="0.35">
      <c r="A67" s="103" t="s">
        <v>527</v>
      </c>
      <c r="B67" s="162" t="s">
        <v>753</v>
      </c>
      <c r="C67" s="11">
        <v>300</v>
      </c>
      <c r="D67" s="11" t="s">
        <v>73</v>
      </c>
    </row>
    <row r="68" spans="1:4" x14ac:dyDescent="0.35">
      <c r="A68" s="106"/>
      <c r="B68" s="26" t="s">
        <v>755</v>
      </c>
      <c r="C68" s="13">
        <v>55</v>
      </c>
      <c r="D68" s="13" t="s">
        <v>73</v>
      </c>
    </row>
    <row r="69" spans="1:4" x14ac:dyDescent="0.35">
      <c r="A69" s="103" t="s">
        <v>333</v>
      </c>
      <c r="B69" s="162" t="s">
        <v>756</v>
      </c>
      <c r="C69" s="11">
        <v>20</v>
      </c>
      <c r="D69" s="11" t="s">
        <v>73</v>
      </c>
    </row>
    <row r="70" spans="1:4" x14ac:dyDescent="0.35">
      <c r="A70" s="103" t="s">
        <v>43</v>
      </c>
      <c r="B70" s="161" t="s">
        <v>105</v>
      </c>
      <c r="C70" s="9">
        <v>20</v>
      </c>
      <c r="D70" s="9" t="s">
        <v>73</v>
      </c>
    </row>
    <row r="71" spans="1:4" x14ac:dyDescent="0.35">
      <c r="A71" s="103" t="s">
        <v>42</v>
      </c>
      <c r="B71" s="162" t="s">
        <v>66</v>
      </c>
      <c r="C71" s="11">
        <v>2</v>
      </c>
      <c r="D71" s="11" t="s">
        <v>73</v>
      </c>
    </row>
    <row r="72" spans="1:4" x14ac:dyDescent="0.35">
      <c r="A72" s="128"/>
      <c r="B72" s="160" t="s">
        <v>81</v>
      </c>
      <c r="C72" s="98">
        <v>200</v>
      </c>
      <c r="D72" s="98" t="s">
        <v>73</v>
      </c>
    </row>
    <row r="73" spans="1:4" x14ac:dyDescent="0.35">
      <c r="A73" s="103" t="s">
        <v>41</v>
      </c>
      <c r="B73" s="17" t="s">
        <v>757</v>
      </c>
      <c r="C73" s="11">
        <v>55</v>
      </c>
      <c r="D73" s="11" t="s">
        <v>73</v>
      </c>
    </row>
    <row r="74" spans="1:4" x14ac:dyDescent="0.35">
      <c r="A74" s="103" t="s">
        <v>505</v>
      </c>
      <c r="B74" s="31" t="s">
        <v>758</v>
      </c>
      <c r="C74" s="9">
        <v>10</v>
      </c>
      <c r="D74" s="9" t="s">
        <v>73</v>
      </c>
    </row>
    <row r="75" spans="1:4" x14ac:dyDescent="0.35">
      <c r="A75" s="134"/>
      <c r="B75" s="111"/>
      <c r="C75" s="111"/>
    </row>
    <row r="76" spans="1:4" x14ac:dyDescent="0.35">
      <c r="A76" s="134"/>
      <c r="B76" s="111"/>
      <c r="C76" s="111"/>
    </row>
    <row r="77" spans="1:4" x14ac:dyDescent="0.35">
      <c r="A77" s="134"/>
      <c r="B77" s="111"/>
      <c r="C77" s="111"/>
    </row>
    <row r="78" spans="1:4" x14ac:dyDescent="0.35">
      <c r="A78" s="106"/>
      <c r="B78" s="25" t="s">
        <v>759</v>
      </c>
      <c r="C78" s="13">
        <v>30</v>
      </c>
      <c r="D78" s="13" t="s">
        <v>73</v>
      </c>
    </row>
    <row r="79" spans="1:4" x14ac:dyDescent="0.35">
      <c r="A79" s="163"/>
      <c r="B79" s="164" t="s">
        <v>81</v>
      </c>
      <c r="C79" s="165">
        <v>1000</v>
      </c>
      <c r="D79" s="165" t="s">
        <v>73</v>
      </c>
    </row>
    <row r="80" spans="1:4" x14ac:dyDescent="0.35">
      <c r="A80" s="103" t="s">
        <v>43</v>
      </c>
      <c r="B80" s="17" t="s">
        <v>105</v>
      </c>
      <c r="C80" s="11">
        <v>10</v>
      </c>
      <c r="D80" s="11" t="s">
        <v>73</v>
      </c>
    </row>
    <row r="81" spans="1:4" x14ac:dyDescent="0.35">
      <c r="A81" s="103" t="s">
        <v>41</v>
      </c>
      <c r="B81" s="31" t="s">
        <v>760</v>
      </c>
      <c r="C81" s="9">
        <v>25</v>
      </c>
      <c r="D81" s="9" t="s">
        <v>73</v>
      </c>
    </row>
    <row r="82" spans="1:4" x14ac:dyDescent="0.35">
      <c r="A82" s="103" t="s">
        <v>371</v>
      </c>
      <c r="B82" s="17" t="s">
        <v>761</v>
      </c>
      <c r="C82" s="11">
        <v>1000</v>
      </c>
      <c r="D82" s="11" t="s">
        <v>73</v>
      </c>
    </row>
    <row r="83" spans="1:4" x14ac:dyDescent="0.35">
      <c r="A83" s="134"/>
      <c r="B83" s="111"/>
      <c r="C83" s="111"/>
    </row>
    <row r="84" spans="1:4" x14ac:dyDescent="0.35">
      <c r="A84" s="135"/>
      <c r="B84" s="111"/>
      <c r="C84" s="111"/>
    </row>
    <row r="85" spans="1:4" x14ac:dyDescent="0.35">
      <c r="A85" s="135"/>
      <c r="B85" s="111"/>
      <c r="C85" s="111"/>
    </row>
    <row r="86" spans="1:4" x14ac:dyDescent="0.35">
      <c r="A86" s="106"/>
      <c r="B86" s="25" t="s">
        <v>762</v>
      </c>
      <c r="C86" s="13">
        <v>15</v>
      </c>
      <c r="D86" s="13" t="s">
        <v>73</v>
      </c>
    </row>
    <row r="87" spans="1:4" x14ac:dyDescent="0.35">
      <c r="A87" s="128"/>
      <c r="B87" s="97" t="s">
        <v>81</v>
      </c>
      <c r="C87" s="98">
        <v>500</v>
      </c>
      <c r="D87" s="98" t="s">
        <v>73</v>
      </c>
    </row>
    <row r="88" spans="1:4" x14ac:dyDescent="0.35">
      <c r="A88" s="103" t="s">
        <v>333</v>
      </c>
      <c r="B88" s="31" t="s">
        <v>756</v>
      </c>
      <c r="C88" s="9">
        <v>15</v>
      </c>
      <c r="D88" s="9" t="s">
        <v>73</v>
      </c>
    </row>
    <row r="89" spans="1:4" x14ac:dyDescent="0.35">
      <c r="A89" s="103" t="s">
        <v>46</v>
      </c>
      <c r="B89" s="17" t="s">
        <v>763</v>
      </c>
      <c r="C89" s="11">
        <v>20</v>
      </c>
      <c r="D89" s="11" t="s">
        <v>73</v>
      </c>
    </row>
    <row r="90" spans="1:4" x14ac:dyDescent="0.35">
      <c r="A90" s="106"/>
      <c r="B90" s="26" t="s">
        <v>114</v>
      </c>
      <c r="C90" s="13">
        <v>3</v>
      </c>
      <c r="D90" s="13" t="s">
        <v>73</v>
      </c>
    </row>
    <row r="91" spans="1:4" x14ac:dyDescent="0.35">
      <c r="A91" s="103" t="s">
        <v>43</v>
      </c>
      <c r="B91" s="96" t="s">
        <v>768</v>
      </c>
      <c r="C91" s="11">
        <v>15</v>
      </c>
      <c r="D91" s="11" t="s">
        <v>73</v>
      </c>
    </row>
    <row r="92" spans="1:4" x14ac:dyDescent="0.35">
      <c r="A92" s="103" t="s">
        <v>42</v>
      </c>
      <c r="B92" s="95" t="s">
        <v>95</v>
      </c>
      <c r="C92" s="9">
        <v>85</v>
      </c>
      <c r="D92" s="9" t="s">
        <v>73</v>
      </c>
    </row>
    <row r="93" spans="1:4" x14ac:dyDescent="0.35">
      <c r="A93" s="103" t="s">
        <v>341</v>
      </c>
      <c r="B93" s="17" t="s">
        <v>764</v>
      </c>
      <c r="C93" s="11">
        <v>3</v>
      </c>
      <c r="D93" s="11" t="s">
        <v>73</v>
      </c>
    </row>
    <row r="94" spans="1:4" x14ac:dyDescent="0.35">
      <c r="A94" s="103" t="s">
        <v>41</v>
      </c>
      <c r="B94" s="31" t="s">
        <v>779</v>
      </c>
      <c r="C94" s="9">
        <v>5</v>
      </c>
      <c r="D94" s="9" t="s">
        <v>73</v>
      </c>
    </row>
    <row r="95" spans="1:4" x14ac:dyDescent="0.35">
      <c r="A95" s="103" t="s">
        <v>325</v>
      </c>
      <c r="B95" s="17" t="s">
        <v>765</v>
      </c>
      <c r="C95" s="11">
        <v>20</v>
      </c>
      <c r="D95" s="11" t="s">
        <v>73</v>
      </c>
    </row>
    <row r="96" spans="1:4" x14ac:dyDescent="0.35">
      <c r="A96" s="103" t="s">
        <v>307</v>
      </c>
      <c r="B96" s="31" t="s">
        <v>766</v>
      </c>
      <c r="C96" s="9">
        <v>30</v>
      </c>
      <c r="D96" s="9" t="s">
        <v>73</v>
      </c>
    </row>
    <row r="97" spans="1:4" x14ac:dyDescent="0.35">
      <c r="A97" s="103" t="s">
        <v>381</v>
      </c>
      <c r="B97" s="17" t="s">
        <v>767</v>
      </c>
      <c r="C97" s="11">
        <v>200</v>
      </c>
      <c r="D97" s="11" t="s">
        <v>73</v>
      </c>
    </row>
    <row r="98" spans="1:4" x14ac:dyDescent="0.35">
      <c r="A98" s="110"/>
      <c r="B98" s="109"/>
      <c r="C98" s="109"/>
    </row>
    <row r="99" spans="1:4" x14ac:dyDescent="0.35">
      <c r="A99" s="136"/>
      <c r="B99" s="109"/>
      <c r="C99" s="109"/>
    </row>
    <row r="100" spans="1:4" x14ac:dyDescent="0.35">
      <c r="A100" s="136"/>
      <c r="B100" s="109"/>
      <c r="C100" s="109"/>
    </row>
    <row r="101" spans="1:4" x14ac:dyDescent="0.35">
      <c r="A101" s="106"/>
      <c r="B101" s="25" t="s">
        <v>769</v>
      </c>
      <c r="C101" s="13">
        <v>40</v>
      </c>
      <c r="D101" s="13" t="s">
        <v>73</v>
      </c>
    </row>
    <row r="102" spans="1:4" x14ac:dyDescent="0.35">
      <c r="A102" s="103" t="s">
        <v>521</v>
      </c>
      <c r="B102" s="17" t="s">
        <v>906</v>
      </c>
      <c r="C102" s="11">
        <v>200</v>
      </c>
      <c r="D102" s="11" t="s">
        <v>73</v>
      </c>
    </row>
    <row r="103" spans="1:4" x14ac:dyDescent="0.35">
      <c r="A103" s="106"/>
      <c r="B103" s="26" t="s">
        <v>770</v>
      </c>
      <c r="C103" s="13">
        <v>30</v>
      </c>
      <c r="D103" s="13" t="s">
        <v>73</v>
      </c>
    </row>
    <row r="104" spans="1:4" x14ac:dyDescent="0.35">
      <c r="A104" s="103" t="s">
        <v>537</v>
      </c>
      <c r="B104" s="29" t="s">
        <v>771</v>
      </c>
      <c r="C104" s="11">
        <v>1</v>
      </c>
      <c r="D104" s="11" t="s">
        <v>73</v>
      </c>
    </row>
    <row r="105" spans="1:4" x14ac:dyDescent="0.35">
      <c r="A105" s="128"/>
      <c r="B105" s="115" t="s">
        <v>81</v>
      </c>
      <c r="C105" s="98">
        <v>100</v>
      </c>
      <c r="D105" s="98" t="s">
        <v>73</v>
      </c>
    </row>
    <row r="106" spans="1:4" x14ac:dyDescent="0.35">
      <c r="A106" s="106"/>
      <c r="B106" s="26" t="s">
        <v>726</v>
      </c>
      <c r="C106" s="13">
        <v>2</v>
      </c>
      <c r="D106" s="13" t="s">
        <v>73</v>
      </c>
    </row>
    <row r="107" spans="1:4" x14ac:dyDescent="0.35">
      <c r="A107" s="103" t="s">
        <v>43</v>
      </c>
      <c r="B107" s="30" t="s">
        <v>105</v>
      </c>
      <c r="C107" s="9">
        <v>15</v>
      </c>
      <c r="D107" s="9" t="s">
        <v>73</v>
      </c>
    </row>
    <row r="108" spans="1:4" x14ac:dyDescent="0.35">
      <c r="A108" s="103" t="s">
        <v>42</v>
      </c>
      <c r="B108" s="29" t="s">
        <v>95</v>
      </c>
      <c r="C108" s="11">
        <v>85</v>
      </c>
      <c r="D108" s="11" t="s">
        <v>73</v>
      </c>
    </row>
    <row r="109" spans="1:4" x14ac:dyDescent="0.35">
      <c r="A109" s="103" t="s">
        <v>517</v>
      </c>
      <c r="B109" s="31" t="s">
        <v>724</v>
      </c>
      <c r="C109" s="9">
        <v>8</v>
      </c>
      <c r="D109" s="9" t="s">
        <v>73</v>
      </c>
    </row>
    <row r="110" spans="1:4" x14ac:dyDescent="0.35">
      <c r="A110" s="103" t="s">
        <v>45</v>
      </c>
      <c r="B110" s="17" t="s">
        <v>101</v>
      </c>
      <c r="C110" s="11">
        <v>1</v>
      </c>
      <c r="D110" s="11" t="s">
        <v>73</v>
      </c>
    </row>
    <row r="112" spans="1:4" x14ac:dyDescent="0.35">
      <c r="A112" s="110"/>
      <c r="B112" s="109"/>
      <c r="C112" s="109"/>
    </row>
    <row r="113" spans="1:4" x14ac:dyDescent="0.35">
      <c r="A113" s="137"/>
      <c r="B113" s="109"/>
      <c r="C113" s="109"/>
    </row>
    <row r="114" spans="1:4" x14ac:dyDescent="0.35">
      <c r="A114" s="106"/>
      <c r="B114" s="25" t="s">
        <v>774</v>
      </c>
      <c r="C114" s="13">
        <v>10</v>
      </c>
      <c r="D114" s="13" t="s">
        <v>73</v>
      </c>
    </row>
    <row r="115" spans="1:4" x14ac:dyDescent="0.35">
      <c r="A115" s="128"/>
      <c r="B115" s="97" t="s">
        <v>81</v>
      </c>
      <c r="C115" s="98">
        <v>600</v>
      </c>
      <c r="D115" s="98" t="s">
        <v>73</v>
      </c>
    </row>
    <row r="116" spans="1:4" x14ac:dyDescent="0.35">
      <c r="A116" s="103" t="s">
        <v>529</v>
      </c>
      <c r="B116" s="31" t="s">
        <v>775</v>
      </c>
      <c r="C116" s="9">
        <v>16</v>
      </c>
      <c r="D116" s="9" t="s">
        <v>73</v>
      </c>
    </row>
    <row r="117" spans="1:4" x14ac:dyDescent="0.35">
      <c r="A117" s="103" t="s">
        <v>333</v>
      </c>
      <c r="B117" s="17" t="s">
        <v>756</v>
      </c>
      <c r="C117" s="11">
        <v>70</v>
      </c>
      <c r="D117" s="11" t="s">
        <v>73</v>
      </c>
    </row>
    <row r="118" spans="1:4" x14ac:dyDescent="0.35">
      <c r="A118" s="106"/>
      <c r="B118" s="26" t="s">
        <v>776</v>
      </c>
      <c r="C118" s="13">
        <v>200</v>
      </c>
      <c r="D118" s="13" t="s">
        <v>73</v>
      </c>
    </row>
    <row r="119" spans="1:4" x14ac:dyDescent="0.35">
      <c r="A119" s="103" t="s">
        <v>377</v>
      </c>
      <c r="B119" s="29" t="s">
        <v>777</v>
      </c>
      <c r="C119" s="11">
        <v>500</v>
      </c>
      <c r="D119" s="11" t="s">
        <v>73</v>
      </c>
    </row>
    <row r="120" spans="1:4" x14ac:dyDescent="0.35">
      <c r="A120" s="103" t="s">
        <v>43</v>
      </c>
      <c r="B120" s="30" t="s">
        <v>105</v>
      </c>
      <c r="C120" s="9">
        <v>10</v>
      </c>
      <c r="D120" s="9" t="s">
        <v>73</v>
      </c>
    </row>
    <row r="121" spans="1:4" x14ac:dyDescent="0.35">
      <c r="A121" s="103" t="s">
        <v>389</v>
      </c>
      <c r="B121" s="17" t="s">
        <v>778</v>
      </c>
      <c r="C121" s="11">
        <v>30</v>
      </c>
      <c r="D121" s="11" t="s">
        <v>73</v>
      </c>
    </row>
    <row r="122" spans="1:4" x14ac:dyDescent="0.35">
      <c r="A122" s="112"/>
      <c r="B122" s="111"/>
      <c r="C122" s="111"/>
    </row>
    <row r="123" spans="1:4" x14ac:dyDescent="0.35">
      <c r="A123" s="112"/>
      <c r="B123" s="111"/>
      <c r="C123" s="111"/>
    </row>
    <row r="125" spans="1:4" x14ac:dyDescent="0.35">
      <c r="A125" s="106"/>
      <c r="B125" s="25" t="s">
        <v>781</v>
      </c>
      <c r="C125" s="13">
        <v>35</v>
      </c>
      <c r="D125" s="13" t="s">
        <v>73</v>
      </c>
    </row>
    <row r="126" spans="1:4" x14ac:dyDescent="0.35">
      <c r="A126" s="103" t="s">
        <v>262</v>
      </c>
      <c r="B126" s="31" t="s">
        <v>782</v>
      </c>
      <c r="C126" s="9">
        <v>100</v>
      </c>
      <c r="D126" s="9" t="s">
        <v>73</v>
      </c>
    </row>
    <row r="127" spans="1:4" ht="15" thickBot="1" x14ac:dyDescent="0.4">
      <c r="A127" s="102" t="s">
        <v>676</v>
      </c>
      <c r="B127" s="17" t="s">
        <v>727</v>
      </c>
      <c r="C127" s="11">
        <v>100</v>
      </c>
      <c r="D127" s="11" t="s">
        <v>73</v>
      </c>
    </row>
    <row r="128" spans="1:4" ht="15" thickTop="1" x14ac:dyDescent="0.35"/>
    <row r="131" spans="1:4" x14ac:dyDescent="0.35">
      <c r="A131" s="106"/>
      <c r="B131" s="12" t="s">
        <v>801</v>
      </c>
      <c r="C131" s="27">
        <v>1</v>
      </c>
      <c r="D131" s="27" t="s">
        <v>811</v>
      </c>
    </row>
    <row r="132" spans="1:4" x14ac:dyDescent="0.35">
      <c r="A132" s="103" t="s">
        <v>371</v>
      </c>
      <c r="B132" s="100" t="s">
        <v>808</v>
      </c>
      <c r="C132" s="85">
        <v>10</v>
      </c>
      <c r="D132" s="85" t="s">
        <v>73</v>
      </c>
    </row>
    <row r="133" spans="1:4" x14ac:dyDescent="0.35">
      <c r="A133" s="103" t="s">
        <v>369</v>
      </c>
      <c r="B133" s="99" t="s">
        <v>802</v>
      </c>
      <c r="C133" s="84">
        <v>15</v>
      </c>
      <c r="D133" s="84" t="s">
        <v>73</v>
      </c>
    </row>
    <row r="134" spans="1:4" ht="15" thickBot="1" x14ac:dyDescent="0.4">
      <c r="A134" s="102" t="s">
        <v>48</v>
      </c>
      <c r="B134" s="100" t="s">
        <v>809</v>
      </c>
      <c r="C134" s="85">
        <v>5</v>
      </c>
      <c r="D134" s="85" t="s">
        <v>73</v>
      </c>
    </row>
    <row r="135" spans="1:4" ht="15" thickTop="1" x14ac:dyDescent="0.35"/>
    <row r="138" spans="1:4" x14ac:dyDescent="0.35">
      <c r="A138" s="106"/>
      <c r="B138" s="12" t="s">
        <v>814</v>
      </c>
      <c r="C138" s="27">
        <v>205</v>
      </c>
      <c r="D138" s="27" t="s">
        <v>73</v>
      </c>
    </row>
    <row r="139" spans="1:4" x14ac:dyDescent="0.35">
      <c r="A139" s="103" t="s">
        <v>698</v>
      </c>
      <c r="B139" s="100" t="s">
        <v>699</v>
      </c>
      <c r="C139" s="85">
        <v>24</v>
      </c>
      <c r="D139" s="85" t="s">
        <v>73</v>
      </c>
    </row>
    <row r="140" spans="1:4" x14ac:dyDescent="0.35">
      <c r="A140" s="103" t="s">
        <v>495</v>
      </c>
      <c r="B140" s="99" t="s">
        <v>815</v>
      </c>
      <c r="C140" s="84">
        <v>108</v>
      </c>
      <c r="D140" s="84" t="s">
        <v>73</v>
      </c>
    </row>
    <row r="141" spans="1:4" x14ac:dyDescent="0.35">
      <c r="A141" s="103" t="s">
        <v>493</v>
      </c>
      <c r="B141" s="100" t="s">
        <v>816</v>
      </c>
      <c r="C141" s="85">
        <v>36</v>
      </c>
      <c r="D141" s="85" t="s">
        <v>73</v>
      </c>
    </row>
    <row r="142" spans="1:4" x14ac:dyDescent="0.35">
      <c r="A142" s="103" t="s">
        <v>125</v>
      </c>
      <c r="B142" s="99" t="s">
        <v>799</v>
      </c>
      <c r="C142" s="84">
        <v>36</v>
      </c>
      <c r="D142" s="84" t="s">
        <v>73</v>
      </c>
    </row>
    <row r="143" spans="1:4" x14ac:dyDescent="0.35">
      <c r="A143" s="103" t="s">
        <v>43</v>
      </c>
      <c r="B143" s="100" t="s">
        <v>817</v>
      </c>
      <c r="C143" s="85">
        <v>0.6</v>
      </c>
      <c r="D143" s="85" t="s">
        <v>73</v>
      </c>
    </row>
    <row r="144" spans="1:4" x14ac:dyDescent="0.35">
      <c r="A144" s="103" t="s">
        <v>42</v>
      </c>
      <c r="B144" s="99" t="s">
        <v>330</v>
      </c>
      <c r="C144" s="84">
        <v>0.6</v>
      </c>
      <c r="D144" s="84" t="s">
        <v>73</v>
      </c>
    </row>
    <row r="145" spans="1:4" ht="15" thickBot="1" x14ac:dyDescent="0.4">
      <c r="A145" s="102" t="s">
        <v>55</v>
      </c>
      <c r="B145" s="100" t="s">
        <v>324</v>
      </c>
      <c r="C145" s="85">
        <v>0.1</v>
      </c>
      <c r="D145" s="85" t="s">
        <v>73</v>
      </c>
    </row>
    <row r="146" spans="1:4" ht="15" thickTop="1" x14ac:dyDescent="0.35"/>
    <row r="149" spans="1:4" x14ac:dyDescent="0.35">
      <c r="A149" s="106"/>
      <c r="B149" s="12" t="s">
        <v>820</v>
      </c>
      <c r="C149" s="27">
        <v>30</v>
      </c>
      <c r="D149" s="27" t="s">
        <v>73</v>
      </c>
    </row>
    <row r="150" spans="1:4" x14ac:dyDescent="0.35">
      <c r="A150" s="103" t="s">
        <v>400</v>
      </c>
      <c r="B150" s="100" t="s">
        <v>401</v>
      </c>
      <c r="C150" s="85">
        <v>30</v>
      </c>
      <c r="D150" s="85" t="s">
        <v>73</v>
      </c>
    </row>
    <row r="151" spans="1:4" x14ac:dyDescent="0.35">
      <c r="A151" s="103" t="s">
        <v>50</v>
      </c>
      <c r="B151" s="99" t="s">
        <v>394</v>
      </c>
      <c r="C151" s="84">
        <v>18</v>
      </c>
      <c r="D151" s="84" t="s">
        <v>73</v>
      </c>
    </row>
    <row r="152" spans="1:4" x14ac:dyDescent="0.35">
      <c r="A152" s="103" t="s">
        <v>371</v>
      </c>
      <c r="B152" s="100" t="s">
        <v>808</v>
      </c>
      <c r="C152" s="85">
        <v>18</v>
      </c>
      <c r="D152" s="85" t="s">
        <v>73</v>
      </c>
    </row>
    <row r="153" spans="1:4" x14ac:dyDescent="0.35">
      <c r="A153" s="103" t="s">
        <v>48</v>
      </c>
      <c r="B153" s="99" t="s">
        <v>716</v>
      </c>
      <c r="C153" s="84">
        <v>18</v>
      </c>
      <c r="D153" s="84" t="s">
        <v>73</v>
      </c>
    </row>
    <row r="157" spans="1:4" x14ac:dyDescent="0.35">
      <c r="A157" s="106"/>
      <c r="B157" s="12" t="s">
        <v>853</v>
      </c>
      <c r="C157" s="27">
        <v>85</v>
      </c>
      <c r="D157" s="27" t="s">
        <v>73</v>
      </c>
    </row>
    <row r="158" spans="1:4" x14ac:dyDescent="0.35">
      <c r="A158" s="103" t="s">
        <v>1068</v>
      </c>
      <c r="B158" s="31" t="s">
        <v>1069</v>
      </c>
      <c r="C158" s="84">
        <v>60</v>
      </c>
      <c r="D158" s="84" t="s">
        <v>73</v>
      </c>
    </row>
    <row r="159" spans="1:4" x14ac:dyDescent="0.35">
      <c r="A159" s="128"/>
      <c r="B159" s="97" t="s">
        <v>854</v>
      </c>
      <c r="C159" s="116">
        <v>90</v>
      </c>
      <c r="D159" s="116" t="s">
        <v>73</v>
      </c>
    </row>
    <row r="160" spans="1:4" x14ac:dyDescent="0.35">
      <c r="A160" s="103" t="s">
        <v>45</v>
      </c>
      <c r="B160" s="31" t="s">
        <v>101</v>
      </c>
      <c r="C160" s="84">
        <v>1.5</v>
      </c>
      <c r="D160" s="84" t="s">
        <v>73</v>
      </c>
    </row>
    <row r="161" spans="1:4" ht="15" thickBot="1" x14ac:dyDescent="0.4">
      <c r="A161" s="102" t="s">
        <v>521</v>
      </c>
      <c r="B161" s="17" t="s">
        <v>855</v>
      </c>
      <c r="C161" s="85">
        <v>55.75</v>
      </c>
      <c r="D161" s="85" t="s">
        <v>73</v>
      </c>
    </row>
    <row r="162" spans="1:4" ht="15" thickTop="1" x14ac:dyDescent="0.35"/>
    <row r="165" spans="1:4" x14ac:dyDescent="0.35">
      <c r="A165" s="106"/>
      <c r="B165" s="25" t="s">
        <v>780</v>
      </c>
      <c r="C165" s="13">
        <v>250</v>
      </c>
      <c r="D165" s="13" t="s">
        <v>73</v>
      </c>
    </row>
    <row r="166" spans="1:4" x14ac:dyDescent="0.35">
      <c r="A166" s="103" t="s">
        <v>1068</v>
      </c>
      <c r="B166" s="17" t="s">
        <v>1069</v>
      </c>
      <c r="C166" s="11">
        <v>60</v>
      </c>
      <c r="D166" s="11" t="s">
        <v>73</v>
      </c>
    </row>
    <row r="167" spans="1:4" x14ac:dyDescent="0.35">
      <c r="A167" s="128"/>
      <c r="B167" s="97" t="s">
        <v>81</v>
      </c>
      <c r="C167" s="98">
        <v>90</v>
      </c>
      <c r="D167" s="98" t="s">
        <v>73</v>
      </c>
    </row>
    <row r="171" spans="1:4" x14ac:dyDescent="0.35">
      <c r="A171" s="106"/>
      <c r="B171" s="25" t="s">
        <v>785</v>
      </c>
      <c r="C171" s="13">
        <v>20</v>
      </c>
      <c r="D171" s="13"/>
    </row>
    <row r="172" spans="1:4" x14ac:dyDescent="0.35">
      <c r="A172" s="106"/>
      <c r="B172" s="25" t="s">
        <v>780</v>
      </c>
      <c r="C172" s="13">
        <v>250</v>
      </c>
      <c r="D172" s="13" t="s">
        <v>73</v>
      </c>
    </row>
    <row r="173" spans="1:4" x14ac:dyDescent="0.35">
      <c r="A173" s="103" t="s">
        <v>1068</v>
      </c>
      <c r="B173" s="17" t="s">
        <v>1069</v>
      </c>
      <c r="C173" s="11">
        <v>60</v>
      </c>
      <c r="D173" s="11" t="s">
        <v>73</v>
      </c>
    </row>
    <row r="174" spans="1:4" x14ac:dyDescent="0.35">
      <c r="A174" s="128"/>
      <c r="B174" s="97" t="s">
        <v>81</v>
      </c>
      <c r="C174" s="98">
        <v>90</v>
      </c>
      <c r="D174" s="98" t="s">
        <v>73</v>
      </c>
    </row>
    <row r="175" spans="1:4" x14ac:dyDescent="0.35">
      <c r="A175" s="103" t="s">
        <v>40</v>
      </c>
      <c r="B175" s="32" t="s">
        <v>104</v>
      </c>
      <c r="C175" s="33">
        <v>5</v>
      </c>
      <c r="D175" s="11" t="s">
        <v>73</v>
      </c>
    </row>
    <row r="179" spans="1:4" x14ac:dyDescent="0.35">
      <c r="A179" s="106"/>
      <c r="B179" s="12" t="s">
        <v>725</v>
      </c>
      <c r="C179" s="27"/>
      <c r="D179" s="27"/>
    </row>
    <row r="180" spans="1:4" x14ac:dyDescent="0.35">
      <c r="A180" s="103" t="s">
        <v>521</v>
      </c>
      <c r="B180" s="31" t="s">
        <v>831</v>
      </c>
      <c r="C180" s="84">
        <v>20</v>
      </c>
      <c r="D180" s="84" t="s">
        <v>73</v>
      </c>
    </row>
    <row r="181" spans="1:4" x14ac:dyDescent="0.35">
      <c r="A181" s="106"/>
      <c r="B181" s="12" t="s">
        <v>10</v>
      </c>
      <c r="C181" s="27">
        <v>1.5</v>
      </c>
      <c r="D181" s="27" t="s">
        <v>73</v>
      </c>
    </row>
    <row r="182" spans="1:4" x14ac:dyDescent="0.35">
      <c r="A182" s="103" t="s">
        <v>43</v>
      </c>
      <c r="B182" s="31" t="s">
        <v>105</v>
      </c>
      <c r="C182" s="84">
        <v>15</v>
      </c>
      <c r="D182" s="84" t="s">
        <v>73</v>
      </c>
    </row>
    <row r="183" spans="1:4" ht="15" thickBot="1" x14ac:dyDescent="0.4">
      <c r="A183" s="102" t="s">
        <v>42</v>
      </c>
      <c r="B183" s="17" t="s">
        <v>95</v>
      </c>
      <c r="C183" s="85">
        <v>85</v>
      </c>
      <c r="D183" s="85" t="s">
        <v>73</v>
      </c>
    </row>
    <row r="184" spans="1:4" ht="15" thickTop="1" x14ac:dyDescent="0.35"/>
    <row r="187" spans="1:4" x14ac:dyDescent="0.35">
      <c r="A187" s="106"/>
      <c r="B187" s="12" t="s">
        <v>836</v>
      </c>
      <c r="C187" s="27">
        <v>30</v>
      </c>
      <c r="D187" s="27" t="s">
        <v>73</v>
      </c>
    </row>
    <row r="188" spans="1:4" x14ac:dyDescent="0.35">
      <c r="A188" s="103" t="s">
        <v>41</v>
      </c>
      <c r="B188" s="17" t="s">
        <v>837</v>
      </c>
      <c r="C188" s="85">
        <v>30</v>
      </c>
      <c r="D188" s="85" t="s">
        <v>73</v>
      </c>
    </row>
    <row r="189" spans="1:4" x14ac:dyDescent="0.35">
      <c r="A189" s="103" t="s">
        <v>47</v>
      </c>
      <c r="B189" s="31" t="s">
        <v>838</v>
      </c>
      <c r="C189" s="84">
        <v>70</v>
      </c>
      <c r="D189" s="84" t="s">
        <v>73</v>
      </c>
    </row>
    <row r="193" spans="1:4" x14ac:dyDescent="0.35">
      <c r="A193" s="106"/>
      <c r="B193" s="12" t="s">
        <v>839</v>
      </c>
      <c r="C193" s="27">
        <v>190</v>
      </c>
      <c r="D193" s="27" t="s">
        <v>73</v>
      </c>
    </row>
    <row r="194" spans="1:4" x14ac:dyDescent="0.35">
      <c r="A194" s="103" t="s">
        <v>193</v>
      </c>
      <c r="B194" s="31" t="s">
        <v>840</v>
      </c>
      <c r="C194" s="84">
        <v>60</v>
      </c>
      <c r="D194" s="84" t="s">
        <v>73</v>
      </c>
    </row>
    <row r="195" spans="1:4" x14ac:dyDescent="0.35">
      <c r="A195" s="128"/>
      <c r="B195" s="97" t="s">
        <v>81</v>
      </c>
      <c r="C195" s="116">
        <v>80</v>
      </c>
      <c r="D195" s="116" t="s">
        <v>73</v>
      </c>
    </row>
    <row r="196" spans="1:4" x14ac:dyDescent="0.35">
      <c r="A196" s="103" t="s">
        <v>521</v>
      </c>
      <c r="B196" s="31" t="s">
        <v>1120</v>
      </c>
      <c r="C196" s="84">
        <v>50</v>
      </c>
      <c r="D196" s="84" t="s">
        <v>73</v>
      </c>
    </row>
    <row r="197" spans="1:4" x14ac:dyDescent="0.35">
      <c r="A197" s="103" t="s">
        <v>674</v>
      </c>
      <c r="B197" s="17" t="s">
        <v>841</v>
      </c>
      <c r="C197" s="85">
        <v>2</v>
      </c>
      <c r="D197" s="85" t="s">
        <v>73</v>
      </c>
    </row>
    <row r="198" spans="1:4" x14ac:dyDescent="0.35">
      <c r="A198" s="103" t="s">
        <v>45</v>
      </c>
      <c r="B198" s="31" t="s">
        <v>101</v>
      </c>
      <c r="C198" s="84">
        <v>4</v>
      </c>
      <c r="D198" s="84" t="s">
        <v>73</v>
      </c>
    </row>
    <row r="202" spans="1:4" x14ac:dyDescent="0.35">
      <c r="A202" s="106"/>
      <c r="B202" s="12" t="s">
        <v>842</v>
      </c>
      <c r="C202" s="27">
        <v>20</v>
      </c>
      <c r="D202" s="27" t="s">
        <v>73</v>
      </c>
    </row>
    <row r="203" spans="1:4" x14ac:dyDescent="0.35">
      <c r="A203" s="103" t="s">
        <v>147</v>
      </c>
      <c r="B203" s="31" t="s">
        <v>843</v>
      </c>
      <c r="C203" s="84">
        <v>18.5</v>
      </c>
      <c r="D203" s="84" t="s">
        <v>73</v>
      </c>
    </row>
    <row r="204" spans="1:4" x14ac:dyDescent="0.35">
      <c r="A204" s="103" t="s">
        <v>385</v>
      </c>
      <c r="B204" s="17" t="s">
        <v>845</v>
      </c>
      <c r="C204" s="85">
        <v>0.5</v>
      </c>
      <c r="D204" s="85" t="s">
        <v>73</v>
      </c>
    </row>
    <row r="205" spans="1:4" ht="15" thickBot="1" x14ac:dyDescent="0.4">
      <c r="A205" s="102" t="s">
        <v>392</v>
      </c>
      <c r="B205" s="31" t="s">
        <v>844</v>
      </c>
      <c r="C205" s="84">
        <v>1</v>
      </c>
      <c r="D205" s="84" t="s">
        <v>73</v>
      </c>
    </row>
    <row r="206" spans="1:4" ht="15" thickTop="1" x14ac:dyDescent="0.35"/>
    <row r="209" spans="1:4" x14ac:dyDescent="0.35">
      <c r="A209" s="106"/>
      <c r="B209" s="12" t="s">
        <v>852</v>
      </c>
      <c r="C209" s="27">
        <v>20</v>
      </c>
      <c r="D209" s="27" t="s">
        <v>73</v>
      </c>
    </row>
    <row r="210" spans="1:4" x14ac:dyDescent="0.35">
      <c r="A210" s="103" t="s">
        <v>147</v>
      </c>
      <c r="B210" s="31" t="s">
        <v>843</v>
      </c>
      <c r="C210" s="84">
        <v>18.5</v>
      </c>
      <c r="D210" s="84" t="s">
        <v>73</v>
      </c>
    </row>
    <row r="211" spans="1:4" x14ac:dyDescent="0.35">
      <c r="A211" s="103" t="s">
        <v>385</v>
      </c>
      <c r="B211" s="17" t="s">
        <v>845</v>
      </c>
      <c r="C211" s="85">
        <v>0.5</v>
      </c>
      <c r="D211" s="85" t="s">
        <v>73</v>
      </c>
    </row>
    <row r="212" spans="1:4" x14ac:dyDescent="0.35">
      <c r="A212" s="103" t="s">
        <v>392</v>
      </c>
      <c r="B212" s="31" t="s">
        <v>844</v>
      </c>
      <c r="C212" s="84">
        <v>1</v>
      </c>
      <c r="D212" s="84" t="s">
        <v>73</v>
      </c>
    </row>
    <row r="216" spans="1:4" x14ac:dyDescent="0.35">
      <c r="A216" s="106"/>
      <c r="B216" s="12" t="s">
        <v>863</v>
      </c>
      <c r="C216" s="27">
        <v>10</v>
      </c>
      <c r="D216" s="27" t="s">
        <v>73</v>
      </c>
    </row>
    <row r="217" spans="1:4" x14ac:dyDescent="0.35">
      <c r="A217" s="103" t="s">
        <v>59</v>
      </c>
      <c r="B217" s="17" t="s">
        <v>864</v>
      </c>
      <c r="C217" s="85">
        <v>100</v>
      </c>
      <c r="D217" s="85" t="s">
        <v>73</v>
      </c>
    </row>
    <row r="218" spans="1:4" x14ac:dyDescent="0.35">
      <c r="A218" s="103" t="s">
        <v>45</v>
      </c>
      <c r="B218" s="31" t="s">
        <v>321</v>
      </c>
      <c r="C218" s="84">
        <v>3</v>
      </c>
      <c r="D218" s="84" t="s">
        <v>73</v>
      </c>
    </row>
    <row r="219" spans="1:4" x14ac:dyDescent="0.35">
      <c r="A219" s="103" t="s">
        <v>42</v>
      </c>
      <c r="B219" s="17" t="s">
        <v>330</v>
      </c>
      <c r="C219" s="85">
        <v>3</v>
      </c>
      <c r="D219" s="85" t="s">
        <v>73</v>
      </c>
    </row>
    <row r="220" spans="1:4" x14ac:dyDescent="0.35">
      <c r="A220" s="103" t="s">
        <v>333</v>
      </c>
      <c r="B220" s="31" t="s">
        <v>334</v>
      </c>
      <c r="C220" s="84">
        <v>6</v>
      </c>
      <c r="D220" s="84" t="s">
        <v>73</v>
      </c>
    </row>
    <row r="221" spans="1:4" x14ac:dyDescent="0.35">
      <c r="A221" s="128"/>
      <c r="B221" s="97" t="s">
        <v>950</v>
      </c>
      <c r="C221" s="116">
        <v>36</v>
      </c>
      <c r="D221" s="116" t="s">
        <v>73</v>
      </c>
    </row>
    <row r="224" spans="1:4" ht="15" thickBot="1" x14ac:dyDescent="0.4"/>
    <row r="225" spans="1:4" ht="15" thickTop="1" x14ac:dyDescent="0.35">
      <c r="A225" s="166"/>
      <c r="B225" s="12" t="s">
        <v>887</v>
      </c>
      <c r="C225" s="27">
        <v>40</v>
      </c>
      <c r="D225" s="27" t="s">
        <v>73</v>
      </c>
    </row>
    <row r="226" spans="1:4" x14ac:dyDescent="0.35">
      <c r="A226" s="103" t="s">
        <v>377</v>
      </c>
      <c r="B226" s="99" t="s">
        <v>888</v>
      </c>
      <c r="C226" s="84">
        <v>1000</v>
      </c>
      <c r="D226" s="84" t="s">
        <v>73</v>
      </c>
    </row>
    <row r="227" spans="1:4" x14ac:dyDescent="0.35">
      <c r="A227" s="103" t="s">
        <v>43</v>
      </c>
      <c r="B227" s="100" t="s">
        <v>105</v>
      </c>
      <c r="C227" s="85">
        <v>20</v>
      </c>
      <c r="D227" s="85" t="s">
        <v>73</v>
      </c>
    </row>
    <row r="228" spans="1:4" x14ac:dyDescent="0.35">
      <c r="A228" s="106"/>
      <c r="B228" s="145" t="s">
        <v>889</v>
      </c>
      <c r="C228" s="27">
        <v>200</v>
      </c>
      <c r="D228" s="27" t="s">
        <v>73</v>
      </c>
    </row>
    <row r="229" spans="1:4" x14ac:dyDescent="0.35">
      <c r="A229" s="128"/>
      <c r="B229" s="167" t="s">
        <v>890</v>
      </c>
      <c r="C229" s="116">
        <v>200</v>
      </c>
      <c r="D229" s="116" t="s">
        <v>73</v>
      </c>
    </row>
    <row r="230" spans="1:4" x14ac:dyDescent="0.35">
      <c r="A230" s="103" t="s">
        <v>333</v>
      </c>
      <c r="B230" s="168" t="s">
        <v>756</v>
      </c>
      <c r="C230" s="84">
        <v>250</v>
      </c>
      <c r="D230" s="84" t="s">
        <v>73</v>
      </c>
    </row>
    <row r="231" spans="1:4" ht="15" thickBot="1" x14ac:dyDescent="0.4">
      <c r="A231" s="102" t="s">
        <v>529</v>
      </c>
      <c r="B231" s="169" t="s">
        <v>891</v>
      </c>
      <c r="C231" s="85">
        <v>30</v>
      </c>
      <c r="D231" s="85" t="s">
        <v>73</v>
      </c>
    </row>
    <row r="232" spans="1:4" ht="15" thickTop="1" x14ac:dyDescent="0.35"/>
    <row r="235" spans="1:4" x14ac:dyDescent="0.35">
      <c r="A235" s="106"/>
      <c r="B235" s="12" t="s">
        <v>899</v>
      </c>
      <c r="C235" s="13">
        <v>30</v>
      </c>
      <c r="D235" s="13" t="s">
        <v>73</v>
      </c>
    </row>
    <row r="236" spans="1:4" x14ac:dyDescent="0.35">
      <c r="A236" s="103" t="s">
        <v>375</v>
      </c>
      <c r="B236" s="17" t="s">
        <v>900</v>
      </c>
      <c r="C236" s="11">
        <v>1000</v>
      </c>
      <c r="D236" s="11" t="s">
        <v>73</v>
      </c>
    </row>
    <row r="237" spans="1:4" x14ac:dyDescent="0.35">
      <c r="A237" s="103" t="s">
        <v>47</v>
      </c>
      <c r="B237" s="31" t="s">
        <v>838</v>
      </c>
      <c r="C237" s="9">
        <v>1.5</v>
      </c>
      <c r="D237" s="9" t="s">
        <v>73</v>
      </c>
    </row>
    <row r="238" spans="1:4" x14ac:dyDescent="0.35">
      <c r="A238" s="106"/>
      <c r="B238" s="26" t="s">
        <v>726</v>
      </c>
      <c r="C238" s="13">
        <v>0.7</v>
      </c>
      <c r="D238" s="13" t="s">
        <v>73</v>
      </c>
    </row>
    <row r="239" spans="1:4" x14ac:dyDescent="0.35">
      <c r="A239" s="103" t="s">
        <v>42</v>
      </c>
      <c r="B239" s="30" t="s">
        <v>95</v>
      </c>
      <c r="C239" s="9">
        <v>15</v>
      </c>
      <c r="D239" s="9" t="s">
        <v>73</v>
      </c>
    </row>
    <row r="240" spans="1:4" x14ac:dyDescent="0.35">
      <c r="A240" s="103" t="s">
        <v>43</v>
      </c>
      <c r="B240" s="29" t="s">
        <v>105</v>
      </c>
      <c r="C240" s="11">
        <v>85</v>
      </c>
      <c r="D240" s="11" t="s">
        <v>73</v>
      </c>
    </row>
    <row r="244" spans="1:4" x14ac:dyDescent="0.35">
      <c r="A244" s="106"/>
      <c r="B244" s="12" t="s">
        <v>903</v>
      </c>
      <c r="C244" s="13">
        <v>30</v>
      </c>
      <c r="D244" s="27" t="s">
        <v>73</v>
      </c>
    </row>
    <row r="245" spans="1:4" x14ac:dyDescent="0.35">
      <c r="A245" s="103" t="s">
        <v>39</v>
      </c>
      <c r="B245" s="17" t="s">
        <v>103</v>
      </c>
      <c r="C245" s="11">
        <v>1000</v>
      </c>
      <c r="D245" s="85" t="s">
        <v>73</v>
      </c>
    </row>
    <row r="246" spans="1:4" x14ac:dyDescent="0.35">
      <c r="A246" s="106"/>
      <c r="B246" s="26" t="s">
        <v>904</v>
      </c>
      <c r="C246" s="13">
        <v>64</v>
      </c>
      <c r="D246" s="27" t="s">
        <v>73</v>
      </c>
    </row>
    <row r="247" spans="1:4" x14ac:dyDescent="0.35">
      <c r="A247" s="103" t="s">
        <v>40</v>
      </c>
      <c r="B247" s="29" t="s">
        <v>304</v>
      </c>
      <c r="C247" s="11">
        <v>250</v>
      </c>
      <c r="D247" s="85" t="s">
        <v>73</v>
      </c>
    </row>
    <row r="248" spans="1:4" x14ac:dyDescent="0.35">
      <c r="A248" s="103" t="s">
        <v>41</v>
      </c>
      <c r="B248" s="30" t="s">
        <v>320</v>
      </c>
      <c r="C248" s="9">
        <v>500</v>
      </c>
      <c r="D248" s="84" t="s">
        <v>73</v>
      </c>
    </row>
    <row r="249" spans="1:4" x14ac:dyDescent="0.35">
      <c r="A249" s="106"/>
      <c r="B249" s="170" t="s">
        <v>726</v>
      </c>
      <c r="C249" s="13">
        <v>333</v>
      </c>
      <c r="D249" s="27" t="s">
        <v>73</v>
      </c>
    </row>
    <row r="250" spans="1:4" x14ac:dyDescent="0.35">
      <c r="A250" s="103" t="s">
        <v>42</v>
      </c>
      <c r="B250" s="168" t="s">
        <v>95</v>
      </c>
      <c r="C250" s="9">
        <v>15</v>
      </c>
      <c r="D250" s="84" t="s">
        <v>73</v>
      </c>
    </row>
    <row r="251" spans="1:4" ht="15" thickBot="1" x14ac:dyDescent="0.4">
      <c r="A251" s="102" t="s">
        <v>43</v>
      </c>
      <c r="B251" s="169" t="s">
        <v>105</v>
      </c>
      <c r="C251" s="11">
        <v>85</v>
      </c>
      <c r="D251" s="85" t="s">
        <v>73</v>
      </c>
    </row>
    <row r="252" spans="1:4" ht="15" thickTop="1" x14ac:dyDescent="0.35"/>
    <row r="255" spans="1:4" x14ac:dyDescent="0.35">
      <c r="A255" s="106"/>
      <c r="B255" s="25" t="s">
        <v>909</v>
      </c>
      <c r="C255" s="13">
        <v>160</v>
      </c>
      <c r="D255" s="13" t="s">
        <v>73</v>
      </c>
    </row>
    <row r="256" spans="1:4" x14ac:dyDescent="0.35">
      <c r="A256" s="106"/>
      <c r="B256" s="26" t="s">
        <v>754</v>
      </c>
      <c r="C256" s="27">
        <v>250</v>
      </c>
      <c r="D256" s="13" t="s">
        <v>73</v>
      </c>
    </row>
    <row r="257" spans="1:4" x14ac:dyDescent="0.35">
      <c r="A257" s="163"/>
      <c r="B257" s="28" t="s">
        <v>81</v>
      </c>
      <c r="C257" s="165">
        <v>1300</v>
      </c>
      <c r="D257" s="165" t="s">
        <v>73</v>
      </c>
    </row>
    <row r="258" spans="1:4" x14ac:dyDescent="0.35">
      <c r="A258" s="103" t="s">
        <v>523</v>
      </c>
      <c r="B258" s="29" t="s">
        <v>752</v>
      </c>
      <c r="C258" s="11">
        <v>700</v>
      </c>
      <c r="D258" s="11" t="s">
        <v>73</v>
      </c>
    </row>
    <row r="259" spans="1:4" x14ac:dyDescent="0.35">
      <c r="A259" s="103" t="s">
        <v>527</v>
      </c>
      <c r="B259" s="30" t="s">
        <v>753</v>
      </c>
      <c r="C259" s="9">
        <v>300</v>
      </c>
      <c r="D259" s="9" t="s">
        <v>73</v>
      </c>
    </row>
    <row r="260" spans="1:4" x14ac:dyDescent="0.35">
      <c r="A260" s="106"/>
      <c r="B260" s="26" t="s">
        <v>755</v>
      </c>
      <c r="C260" s="13">
        <v>10</v>
      </c>
      <c r="D260" s="13" t="s">
        <v>73</v>
      </c>
    </row>
    <row r="261" spans="1:4" x14ac:dyDescent="0.35">
      <c r="A261" s="103" t="s">
        <v>333</v>
      </c>
      <c r="B261" s="30" t="s">
        <v>756</v>
      </c>
      <c r="C261" s="9">
        <v>20</v>
      </c>
      <c r="D261" s="9" t="s">
        <v>73</v>
      </c>
    </row>
    <row r="262" spans="1:4" x14ac:dyDescent="0.35">
      <c r="A262" s="103" t="s">
        <v>43</v>
      </c>
      <c r="B262" s="29" t="s">
        <v>105</v>
      </c>
      <c r="C262" s="11">
        <v>20</v>
      </c>
      <c r="D262" s="11" t="s">
        <v>73</v>
      </c>
    </row>
    <row r="263" spans="1:4" x14ac:dyDescent="0.35">
      <c r="A263" s="103" t="s">
        <v>42</v>
      </c>
      <c r="B263" s="30" t="s">
        <v>66</v>
      </c>
      <c r="C263" s="9">
        <v>2</v>
      </c>
      <c r="D263" s="9" t="s">
        <v>73</v>
      </c>
    </row>
    <row r="264" spans="1:4" x14ac:dyDescent="0.35">
      <c r="A264" s="163"/>
      <c r="B264" s="28" t="s">
        <v>81</v>
      </c>
      <c r="C264" s="165">
        <v>200</v>
      </c>
      <c r="D264" s="165" t="s">
        <v>73</v>
      </c>
    </row>
    <row r="268" spans="1:4" x14ac:dyDescent="0.35">
      <c r="A268" s="106"/>
      <c r="B268" s="12" t="s">
        <v>913</v>
      </c>
      <c r="C268" s="13">
        <v>60</v>
      </c>
      <c r="D268" s="13" t="s">
        <v>73</v>
      </c>
    </row>
    <row r="269" spans="1:4" x14ac:dyDescent="0.35">
      <c r="A269" s="103" t="s">
        <v>473</v>
      </c>
      <c r="B269" s="17" t="s">
        <v>914</v>
      </c>
      <c r="C269" s="11">
        <v>500</v>
      </c>
      <c r="D269" s="11" t="s">
        <v>73</v>
      </c>
    </row>
    <row r="270" spans="1:4" x14ac:dyDescent="0.35">
      <c r="A270" s="106"/>
      <c r="B270" s="26" t="s">
        <v>10</v>
      </c>
      <c r="C270" s="13">
        <v>2</v>
      </c>
      <c r="D270" s="13" t="s">
        <v>73</v>
      </c>
    </row>
    <row r="271" spans="1:4" x14ac:dyDescent="0.35">
      <c r="A271" s="103" t="s">
        <v>43</v>
      </c>
      <c r="B271" s="162" t="s">
        <v>105</v>
      </c>
      <c r="C271" s="11">
        <v>85</v>
      </c>
      <c r="D271" s="11" t="s">
        <v>73</v>
      </c>
    </row>
    <row r="272" spans="1:4" x14ac:dyDescent="0.35">
      <c r="A272" s="103" t="s">
        <v>42</v>
      </c>
      <c r="B272" s="161" t="s">
        <v>95</v>
      </c>
      <c r="C272" s="9">
        <v>15</v>
      </c>
      <c r="D272" s="9" t="s">
        <v>73</v>
      </c>
    </row>
    <row r="276" spans="1:4" x14ac:dyDescent="0.35">
      <c r="A276" s="106"/>
      <c r="B276" s="12" t="s">
        <v>943</v>
      </c>
      <c r="C276" s="27">
        <v>350</v>
      </c>
      <c r="D276" s="27" t="s">
        <v>73</v>
      </c>
    </row>
    <row r="277" spans="1:4" x14ac:dyDescent="0.35">
      <c r="A277" s="128"/>
      <c r="B277" s="115" t="s">
        <v>81</v>
      </c>
      <c r="C277" s="116">
        <v>1000</v>
      </c>
      <c r="D277" s="116" t="s">
        <v>73</v>
      </c>
    </row>
    <row r="278" spans="1:4" x14ac:dyDescent="0.35">
      <c r="A278" s="103" t="s">
        <v>50</v>
      </c>
      <c r="B278" s="29" t="s">
        <v>944</v>
      </c>
      <c r="C278" s="85">
        <v>10</v>
      </c>
      <c r="D278" s="85" t="s">
        <v>73</v>
      </c>
    </row>
    <row r="279" spans="1:4" x14ac:dyDescent="0.35">
      <c r="A279" s="103" t="s">
        <v>49</v>
      </c>
      <c r="B279" s="30" t="s">
        <v>945</v>
      </c>
      <c r="C279" s="84">
        <v>10</v>
      </c>
      <c r="D279" s="84" t="s">
        <v>73</v>
      </c>
    </row>
    <row r="280" spans="1:4" x14ac:dyDescent="0.35">
      <c r="A280" s="103" t="s">
        <v>674</v>
      </c>
      <c r="B280" s="29" t="s">
        <v>841</v>
      </c>
      <c r="C280" s="85">
        <v>50</v>
      </c>
      <c r="D280" s="85" t="s">
        <v>73</v>
      </c>
    </row>
    <row r="281" spans="1:4" x14ac:dyDescent="0.35">
      <c r="A281" s="103" t="s">
        <v>696</v>
      </c>
      <c r="B281" s="30" t="s">
        <v>946</v>
      </c>
      <c r="C281" s="84">
        <v>13</v>
      </c>
      <c r="D281" s="84" t="s">
        <v>73</v>
      </c>
    </row>
    <row r="282" spans="1:4" x14ac:dyDescent="0.35">
      <c r="A282" s="103" t="s">
        <v>672</v>
      </c>
      <c r="B282" s="29" t="s">
        <v>961</v>
      </c>
      <c r="C282" s="85">
        <v>10</v>
      </c>
      <c r="D282" s="85" t="s">
        <v>73</v>
      </c>
    </row>
    <row r="283" spans="1:4" x14ac:dyDescent="0.35">
      <c r="A283" s="103" t="s">
        <v>47</v>
      </c>
      <c r="B283" s="30" t="s">
        <v>724</v>
      </c>
      <c r="C283" s="84">
        <v>3</v>
      </c>
      <c r="D283" s="84" t="s">
        <v>73</v>
      </c>
    </row>
    <row r="284" spans="1:4" x14ac:dyDescent="0.35">
      <c r="A284" s="103" t="s">
        <v>341</v>
      </c>
      <c r="B284" s="29" t="s">
        <v>764</v>
      </c>
      <c r="C284" s="85">
        <v>10</v>
      </c>
      <c r="D284" s="85" t="s">
        <v>73</v>
      </c>
    </row>
    <row r="285" spans="1:4" x14ac:dyDescent="0.35">
      <c r="A285" s="103" t="s">
        <v>333</v>
      </c>
      <c r="B285" s="30" t="s">
        <v>947</v>
      </c>
      <c r="C285" s="84">
        <v>10</v>
      </c>
      <c r="D285" s="84" t="s">
        <v>73</v>
      </c>
    </row>
    <row r="286" spans="1:4" x14ac:dyDescent="0.35">
      <c r="A286" s="103" t="s">
        <v>43</v>
      </c>
      <c r="B286" s="29" t="s">
        <v>105</v>
      </c>
      <c r="C286" s="85">
        <v>1.5</v>
      </c>
      <c r="D286" s="85" t="s">
        <v>73</v>
      </c>
    </row>
    <row r="287" spans="1:4" x14ac:dyDescent="0.35">
      <c r="A287" s="103" t="s">
        <v>42</v>
      </c>
      <c r="B287" s="30" t="s">
        <v>95</v>
      </c>
      <c r="C287" s="84">
        <v>0.5</v>
      </c>
      <c r="D287" s="84" t="s">
        <v>73</v>
      </c>
    </row>
    <row r="291" spans="1:4" x14ac:dyDescent="0.35">
      <c r="A291" s="106"/>
      <c r="B291" s="170" t="s">
        <v>948</v>
      </c>
      <c r="C291" s="27">
        <v>15</v>
      </c>
      <c r="D291" s="27" t="s">
        <v>73</v>
      </c>
    </row>
    <row r="292" spans="1:4" x14ac:dyDescent="0.35">
      <c r="A292" s="103" t="s">
        <v>40</v>
      </c>
      <c r="B292" s="147" t="s">
        <v>949</v>
      </c>
      <c r="C292" s="84">
        <v>50</v>
      </c>
      <c r="D292" s="84" t="s">
        <v>73</v>
      </c>
    </row>
    <row r="293" spans="1:4" ht="15" thickBot="1" x14ac:dyDescent="0.4">
      <c r="A293" s="171"/>
      <c r="B293" s="146" t="s">
        <v>950</v>
      </c>
      <c r="C293" s="116">
        <v>100</v>
      </c>
      <c r="D293" s="116" t="s">
        <v>73</v>
      </c>
    </row>
    <row r="294" spans="1:4" ht="15" thickTop="1" x14ac:dyDescent="0.35"/>
    <row r="297" spans="1:4" x14ac:dyDescent="0.35">
      <c r="A297" s="106"/>
      <c r="B297" s="12" t="s">
        <v>973</v>
      </c>
      <c r="C297" s="27">
        <v>40</v>
      </c>
      <c r="D297" s="27" t="s">
        <v>73</v>
      </c>
    </row>
    <row r="298" spans="1:4" x14ac:dyDescent="0.35">
      <c r="A298" s="103" t="s">
        <v>47</v>
      </c>
      <c r="B298" s="14" t="s">
        <v>740</v>
      </c>
      <c r="C298" s="11">
        <v>3</v>
      </c>
      <c r="D298" s="11" t="s">
        <v>73</v>
      </c>
    </row>
    <row r="299" spans="1:4" x14ac:dyDescent="0.35">
      <c r="A299" s="103" t="s">
        <v>49</v>
      </c>
      <c r="B299" s="15" t="s">
        <v>916</v>
      </c>
      <c r="C299" s="9">
        <v>8</v>
      </c>
      <c r="D299" s="9" t="s">
        <v>73</v>
      </c>
    </row>
    <row r="300" spans="1:4" x14ac:dyDescent="0.35">
      <c r="A300" s="103" t="s">
        <v>50</v>
      </c>
      <c r="B300" s="14" t="s">
        <v>917</v>
      </c>
      <c r="C300" s="11">
        <v>40</v>
      </c>
      <c r="D300" s="11" t="s">
        <v>73</v>
      </c>
    </row>
    <row r="301" spans="1:4" x14ac:dyDescent="0.35">
      <c r="A301" s="103" t="s">
        <v>371</v>
      </c>
      <c r="B301" s="15" t="s">
        <v>918</v>
      </c>
      <c r="C301" s="9">
        <v>20</v>
      </c>
      <c r="D301" s="9" t="s">
        <v>73</v>
      </c>
    </row>
    <row r="302" spans="1:4" x14ac:dyDescent="0.35">
      <c r="A302" s="103" t="s">
        <v>379</v>
      </c>
      <c r="B302" s="14" t="s">
        <v>919</v>
      </c>
      <c r="C302" s="11">
        <v>10</v>
      </c>
      <c r="D302" s="11" t="s">
        <v>73</v>
      </c>
    </row>
    <row r="303" spans="1:4" x14ac:dyDescent="0.35">
      <c r="A303" s="103" t="s">
        <v>505</v>
      </c>
      <c r="B303" s="15" t="s">
        <v>722</v>
      </c>
      <c r="C303" s="9">
        <v>0.5</v>
      </c>
      <c r="D303" s="9" t="s">
        <v>73</v>
      </c>
    </row>
    <row r="304" spans="1:4" x14ac:dyDescent="0.35">
      <c r="A304" s="103" t="s">
        <v>41</v>
      </c>
      <c r="B304" s="14" t="s">
        <v>911</v>
      </c>
      <c r="C304" s="11">
        <v>2</v>
      </c>
      <c r="D304" s="11" t="s">
        <v>73</v>
      </c>
    </row>
    <row r="305" spans="1:4" x14ac:dyDescent="0.35">
      <c r="A305" s="103" t="s">
        <v>127</v>
      </c>
      <c r="B305" s="15" t="s">
        <v>912</v>
      </c>
      <c r="C305" s="9">
        <v>28</v>
      </c>
      <c r="D305" s="9" t="s">
        <v>73</v>
      </c>
    </row>
    <row r="306" spans="1:4" x14ac:dyDescent="0.35">
      <c r="A306" s="103" t="s">
        <v>549</v>
      </c>
      <c r="B306" s="14" t="s">
        <v>915</v>
      </c>
      <c r="C306" s="11">
        <v>165</v>
      </c>
      <c r="D306" s="11" t="s">
        <v>73</v>
      </c>
    </row>
    <row r="310" spans="1:4" x14ac:dyDescent="0.35">
      <c r="A310" s="106" t="s">
        <v>997</v>
      </c>
      <c r="B310" s="12" t="s">
        <v>985</v>
      </c>
      <c r="C310" s="13">
        <v>300</v>
      </c>
      <c r="D310" s="13" t="s">
        <v>73</v>
      </c>
    </row>
    <row r="311" spans="1:4" x14ac:dyDescent="0.35">
      <c r="A311" s="103"/>
      <c r="B311" s="31" t="s">
        <v>985</v>
      </c>
      <c r="C311" s="9">
        <v>1000</v>
      </c>
      <c r="D311" s="9" t="s">
        <v>73</v>
      </c>
    </row>
    <row r="312" spans="1:4" x14ac:dyDescent="0.35">
      <c r="A312" s="103" t="s">
        <v>513</v>
      </c>
      <c r="B312" s="17" t="s">
        <v>986</v>
      </c>
      <c r="C312" s="11">
        <v>35</v>
      </c>
      <c r="D312" s="11" t="s">
        <v>73</v>
      </c>
    </row>
    <row r="313" spans="1:4" x14ac:dyDescent="0.35">
      <c r="A313" s="103" t="s">
        <v>43</v>
      </c>
      <c r="B313" s="31" t="s">
        <v>768</v>
      </c>
      <c r="C313" s="9">
        <v>10</v>
      </c>
      <c r="D313" s="9" t="s">
        <v>73</v>
      </c>
    </row>
    <row r="314" spans="1:4" x14ac:dyDescent="0.35">
      <c r="A314" s="163"/>
      <c r="B314" s="164" t="s">
        <v>81</v>
      </c>
      <c r="C314" s="165">
        <v>100</v>
      </c>
      <c r="D314" s="165" t="s">
        <v>73</v>
      </c>
    </row>
    <row r="318" spans="1:4" x14ac:dyDescent="0.35">
      <c r="A318" s="106"/>
      <c r="B318" s="12" t="s">
        <v>987</v>
      </c>
      <c r="C318" s="13">
        <v>150</v>
      </c>
      <c r="D318" s="13" t="s">
        <v>73</v>
      </c>
    </row>
    <row r="319" spans="1:4" x14ac:dyDescent="0.35">
      <c r="A319" s="103" t="s">
        <v>125</v>
      </c>
      <c r="B319" s="92" t="s">
        <v>126</v>
      </c>
      <c r="C319" s="11">
        <v>425</v>
      </c>
      <c r="D319" s="11" t="s">
        <v>73</v>
      </c>
    </row>
    <row r="320" spans="1:4" x14ac:dyDescent="0.35">
      <c r="A320" s="103" t="s">
        <v>163</v>
      </c>
      <c r="B320" s="93" t="s">
        <v>164</v>
      </c>
      <c r="C320" s="9">
        <v>400</v>
      </c>
      <c r="D320" s="9" t="s">
        <v>73</v>
      </c>
    </row>
    <row r="321" spans="1:4" x14ac:dyDescent="0.35">
      <c r="A321" s="103" t="s">
        <v>46</v>
      </c>
      <c r="B321" s="92" t="s">
        <v>309</v>
      </c>
      <c r="C321" s="11">
        <v>25</v>
      </c>
      <c r="D321" s="11" t="s">
        <v>73</v>
      </c>
    </row>
    <row r="322" spans="1:4" x14ac:dyDescent="0.35">
      <c r="A322" s="103" t="s">
        <v>307</v>
      </c>
      <c r="B322" s="93" t="s">
        <v>308</v>
      </c>
      <c r="C322" s="9">
        <v>50</v>
      </c>
      <c r="D322" s="9" t="s">
        <v>73</v>
      </c>
    </row>
    <row r="323" spans="1:4" x14ac:dyDescent="0.35">
      <c r="A323" s="103" t="s">
        <v>45</v>
      </c>
      <c r="B323" s="92" t="s">
        <v>101</v>
      </c>
      <c r="C323" s="11">
        <v>10</v>
      </c>
      <c r="D323" s="11" t="s">
        <v>73</v>
      </c>
    </row>
    <row r="324" spans="1:4" x14ac:dyDescent="0.35">
      <c r="A324" s="103" t="s">
        <v>509</v>
      </c>
      <c r="B324" s="93" t="s">
        <v>988</v>
      </c>
      <c r="C324" s="9">
        <v>15</v>
      </c>
      <c r="D324" s="9" t="s">
        <v>73</v>
      </c>
    </row>
    <row r="325" spans="1:4" x14ac:dyDescent="0.35">
      <c r="A325" s="106"/>
      <c r="B325" s="94" t="s">
        <v>80</v>
      </c>
      <c r="C325" s="13">
        <v>25</v>
      </c>
      <c r="D325" s="13" t="s">
        <v>73</v>
      </c>
    </row>
    <row r="326" spans="1:4" x14ac:dyDescent="0.35">
      <c r="A326" s="103" t="s">
        <v>47</v>
      </c>
      <c r="B326" s="95" t="s">
        <v>93</v>
      </c>
      <c r="C326" s="9">
        <v>600</v>
      </c>
      <c r="D326" s="9" t="s">
        <v>73</v>
      </c>
    </row>
    <row r="327" spans="1:4" x14ac:dyDescent="0.35">
      <c r="A327" s="103" t="s">
        <v>48</v>
      </c>
      <c r="B327" s="96" t="s">
        <v>91</v>
      </c>
      <c r="C327" s="11">
        <v>100</v>
      </c>
      <c r="D327" s="11" t="s">
        <v>73</v>
      </c>
    </row>
    <row r="328" spans="1:4" x14ac:dyDescent="0.35">
      <c r="A328" s="103" t="s">
        <v>50</v>
      </c>
      <c r="B328" s="95" t="s">
        <v>92</v>
      </c>
      <c r="C328" s="9">
        <v>100</v>
      </c>
      <c r="D328" s="9" t="s">
        <v>73</v>
      </c>
    </row>
    <row r="329" spans="1:4" x14ac:dyDescent="0.35">
      <c r="A329" s="103" t="s">
        <v>49</v>
      </c>
      <c r="B329" s="96" t="s">
        <v>99</v>
      </c>
      <c r="C329" s="11">
        <v>50</v>
      </c>
      <c r="D329" s="11" t="s">
        <v>73</v>
      </c>
    </row>
    <row r="330" spans="1:4" x14ac:dyDescent="0.35">
      <c r="A330" s="103" t="s">
        <v>51</v>
      </c>
      <c r="B330" s="95" t="s">
        <v>98</v>
      </c>
      <c r="C330" s="9">
        <v>50</v>
      </c>
      <c r="D330" s="9" t="s">
        <v>73</v>
      </c>
    </row>
    <row r="331" spans="1:4" x14ac:dyDescent="0.35">
      <c r="A331" s="106"/>
      <c r="B331" s="94" t="s">
        <v>989</v>
      </c>
      <c r="C331" s="27">
        <v>31</v>
      </c>
      <c r="D331" s="27" t="s">
        <v>73</v>
      </c>
    </row>
    <row r="332" spans="1:4" x14ac:dyDescent="0.35">
      <c r="A332" s="103" t="s">
        <v>385</v>
      </c>
      <c r="B332" s="95" t="s">
        <v>990</v>
      </c>
      <c r="C332" s="84">
        <v>200</v>
      </c>
      <c r="D332" s="84" t="s">
        <v>73</v>
      </c>
    </row>
    <row r="333" spans="1:4" x14ac:dyDescent="0.35">
      <c r="A333" s="106"/>
      <c r="B333" s="172" t="s">
        <v>80</v>
      </c>
      <c r="C333" s="13">
        <v>100</v>
      </c>
      <c r="D333" s="13" t="s">
        <v>73</v>
      </c>
    </row>
    <row r="334" spans="1:4" x14ac:dyDescent="0.35">
      <c r="A334" s="103" t="s">
        <v>47</v>
      </c>
      <c r="B334" s="173" t="s">
        <v>93</v>
      </c>
      <c r="C334" s="9">
        <v>600</v>
      </c>
      <c r="D334" s="9" t="s">
        <v>73</v>
      </c>
    </row>
    <row r="335" spans="1:4" x14ac:dyDescent="0.35">
      <c r="A335" s="103" t="s">
        <v>48</v>
      </c>
      <c r="B335" s="174" t="s">
        <v>91</v>
      </c>
      <c r="C335" s="11">
        <v>100</v>
      </c>
      <c r="D335" s="11" t="s">
        <v>73</v>
      </c>
    </row>
    <row r="336" spans="1:4" x14ac:dyDescent="0.35">
      <c r="A336" s="103" t="s">
        <v>50</v>
      </c>
      <c r="B336" s="173" t="s">
        <v>92</v>
      </c>
      <c r="C336" s="9">
        <v>100</v>
      </c>
      <c r="D336" s="9" t="s">
        <v>73</v>
      </c>
    </row>
    <row r="337" spans="1:4" x14ac:dyDescent="0.35">
      <c r="A337" s="103" t="s">
        <v>49</v>
      </c>
      <c r="B337" s="174" t="s">
        <v>99</v>
      </c>
      <c r="C337" s="11">
        <v>50</v>
      </c>
      <c r="D337" s="11" t="s">
        <v>73</v>
      </c>
    </row>
    <row r="338" spans="1:4" x14ac:dyDescent="0.35">
      <c r="A338" s="103" t="s">
        <v>51</v>
      </c>
      <c r="B338" s="173" t="s">
        <v>98</v>
      </c>
      <c r="C338" s="9">
        <v>50</v>
      </c>
      <c r="D338" s="9" t="s">
        <v>73</v>
      </c>
    </row>
  </sheetData>
  <conditionalFormatting sqref="A187:D189">
    <cfRule type="expression" dxfId="100" priority="17">
      <formula>CELL("row")=ROW()</formula>
    </cfRule>
  </conditionalFormatting>
  <conditionalFormatting sqref="A75:C77">
    <cfRule type="expression" dxfId="99" priority="46">
      <formula>CELL("row")=ROW()</formula>
    </cfRule>
  </conditionalFormatting>
  <conditionalFormatting sqref="A83:C85">
    <cfRule type="expression" dxfId="98" priority="45">
      <formula>CELL("row")=ROW()</formula>
    </cfRule>
  </conditionalFormatting>
  <conditionalFormatting sqref="A193:D198">
    <cfRule type="expression" dxfId="97" priority="16">
      <formula>CELL("row")=ROW()</formula>
    </cfRule>
  </conditionalFormatting>
  <conditionalFormatting sqref="A98:C100">
    <cfRule type="expression" dxfId="96" priority="43">
      <formula>CELL("row")=ROW()</formula>
    </cfRule>
  </conditionalFormatting>
  <conditionalFormatting sqref="A112:C113">
    <cfRule type="expression" dxfId="95" priority="42">
      <formula>CELL("row")=ROW()</formula>
    </cfRule>
  </conditionalFormatting>
  <conditionalFormatting sqref="A122:C123">
    <cfRule type="expression" dxfId="94" priority="41">
      <formula>CELL("row")=ROW()</formula>
    </cfRule>
  </conditionalFormatting>
  <conditionalFormatting sqref="A291:D293">
    <cfRule type="expression" dxfId="93" priority="4">
      <formula>CELL("row")=ROW()</formula>
    </cfRule>
  </conditionalFormatting>
  <conditionalFormatting sqref="A297:D306">
    <cfRule type="expression" dxfId="92" priority="3">
      <formula>CELL("row")=ROW()</formula>
    </cfRule>
  </conditionalFormatting>
  <conditionalFormatting sqref="A3:D8">
    <cfRule type="expression" dxfId="91" priority="37">
      <formula>CELL("row")=ROW()</formula>
    </cfRule>
  </conditionalFormatting>
  <conditionalFormatting sqref="B4:C4">
    <cfRule type="expression" dxfId="90" priority="38">
      <formula>CELL("row")=ROW()</formula>
    </cfRule>
  </conditionalFormatting>
  <conditionalFormatting sqref="A318:D338">
    <cfRule type="expression" dxfId="89" priority="1">
      <formula>CELL("row")=ROW()</formula>
    </cfRule>
  </conditionalFormatting>
  <conditionalFormatting sqref="A12:D17">
    <cfRule type="expression" dxfId="88" priority="36">
      <formula>CELL("row")=ROW()</formula>
    </cfRule>
  </conditionalFormatting>
  <conditionalFormatting sqref="A21:D25">
    <cfRule type="expression" dxfId="87" priority="35">
      <formula>CELL("row")=ROW()</formula>
    </cfRule>
  </conditionalFormatting>
  <conditionalFormatting sqref="A29:D35">
    <cfRule type="expression" dxfId="86" priority="34">
      <formula>CELL("row")=ROW()</formula>
    </cfRule>
  </conditionalFormatting>
  <conditionalFormatting sqref="A39:D45">
    <cfRule type="expression" dxfId="85" priority="33">
      <formula>CELL("row")=ROW()</formula>
    </cfRule>
  </conditionalFormatting>
  <conditionalFormatting sqref="A49:D53">
    <cfRule type="expression" dxfId="84" priority="32">
      <formula>CELL("row")=ROW()</formula>
    </cfRule>
  </conditionalFormatting>
  <conditionalFormatting sqref="A57:D59">
    <cfRule type="expression" dxfId="83" priority="31">
      <formula>CELL("row")=ROW()</formula>
    </cfRule>
  </conditionalFormatting>
  <conditionalFormatting sqref="A63:D74">
    <cfRule type="expression" dxfId="82" priority="30">
      <formula>CELL("row")=ROW()</formula>
    </cfRule>
  </conditionalFormatting>
  <conditionalFormatting sqref="A78:D82">
    <cfRule type="expression" dxfId="81" priority="29">
      <formula>CELL("row")=ROW()</formula>
    </cfRule>
  </conditionalFormatting>
  <conditionalFormatting sqref="A86:D97">
    <cfRule type="expression" dxfId="80" priority="28">
      <formula>CELL("row")=ROW()</formula>
    </cfRule>
  </conditionalFormatting>
  <conditionalFormatting sqref="A101:D110">
    <cfRule type="expression" dxfId="79" priority="27">
      <formula>CELL("row")=ROW()</formula>
    </cfRule>
  </conditionalFormatting>
  <conditionalFormatting sqref="A114:D121">
    <cfRule type="expression" dxfId="78" priority="26">
      <formula>CELL("row")=ROW()</formula>
    </cfRule>
  </conditionalFormatting>
  <conditionalFormatting sqref="A125:D127">
    <cfRule type="expression" dxfId="77" priority="25">
      <formula>CELL("row")=ROW()</formula>
    </cfRule>
  </conditionalFormatting>
  <conditionalFormatting sqref="A131:D134">
    <cfRule type="expression" dxfId="76" priority="24">
      <formula>CELL("row")=ROW()</formula>
    </cfRule>
  </conditionalFormatting>
  <conditionalFormatting sqref="A138:D145">
    <cfRule type="expression" dxfId="75" priority="23">
      <formula>CELL("row")=ROW()</formula>
    </cfRule>
  </conditionalFormatting>
  <conditionalFormatting sqref="A149:D153">
    <cfRule type="expression" dxfId="74" priority="22">
      <formula>CELL("row")=ROW()</formula>
    </cfRule>
  </conditionalFormatting>
  <conditionalFormatting sqref="A157:D161">
    <cfRule type="expression" dxfId="73" priority="21">
      <formula>CELL("row")=ROW()</formula>
    </cfRule>
  </conditionalFormatting>
  <conditionalFormatting sqref="A165:D167">
    <cfRule type="expression" dxfId="72" priority="20">
      <formula>CELL("row")=ROW()</formula>
    </cfRule>
  </conditionalFormatting>
  <conditionalFormatting sqref="A171:D175">
    <cfRule type="expression" dxfId="71" priority="19">
      <formula>CELL("row")=ROW()</formula>
    </cfRule>
  </conditionalFormatting>
  <conditionalFormatting sqref="A179:D183">
    <cfRule type="expression" dxfId="70" priority="18">
      <formula>CELL("row")=ROW()</formula>
    </cfRule>
  </conditionalFormatting>
  <conditionalFormatting sqref="A202:D205">
    <cfRule type="expression" dxfId="69" priority="15">
      <formula>CELL("row")=ROW()</formula>
    </cfRule>
  </conditionalFormatting>
  <conditionalFormatting sqref="A209:D212">
    <cfRule type="expression" dxfId="68" priority="14">
      <formula>CELL("row")=ROW()</formula>
    </cfRule>
  </conditionalFormatting>
  <conditionalFormatting sqref="A216:D221">
    <cfRule type="expression" dxfId="67" priority="13">
      <formula>CELL("row")=ROW()</formula>
    </cfRule>
  </conditionalFormatting>
  <conditionalFormatting sqref="A225:D231">
    <cfRule type="expression" dxfId="66" priority="11">
      <formula>CELL("row")=ROW()</formula>
    </cfRule>
  </conditionalFormatting>
  <conditionalFormatting sqref="A235:D240">
    <cfRule type="expression" dxfId="65" priority="10">
      <formula>CELL("row")=ROW()</formula>
    </cfRule>
  </conditionalFormatting>
  <conditionalFormatting sqref="A244:D251">
    <cfRule type="expression" dxfId="64" priority="9">
      <formula>CELL("row")=ROW()</formula>
    </cfRule>
  </conditionalFormatting>
  <conditionalFormatting sqref="A255:D264">
    <cfRule type="expression" dxfId="63" priority="8">
      <formula>CELL("row")=ROW()</formula>
    </cfRule>
  </conditionalFormatting>
  <conditionalFormatting sqref="A268:D272">
    <cfRule type="expression" dxfId="62" priority="6">
      <formula>CELL("row")=ROW()</formula>
    </cfRule>
  </conditionalFormatting>
  <conditionalFormatting sqref="A276:D287">
    <cfRule type="expression" dxfId="61" priority="5">
      <formula>CELL("row")=ROW()</formula>
    </cfRule>
  </conditionalFormatting>
  <conditionalFormatting sqref="A310:D314">
    <cfRule type="expression" dxfId="60" priority="2">
      <formula>CELL("row")=ROW()</formula>
    </cfRule>
  </conditionalFormatting>
  <dataValidations count="2">
    <dataValidation type="decimal" allowBlank="1" showInputMessage="1" showErrorMessage="1" errorTitle="Numbers Only" error="Numbers Only !! No Negatives !! No Text !!" sqref="C3:C8 C12:C17 C21:C25 C29:C35 C39:C45 C49:C53 C57:C59 C63:C74 C78:C82 C86:C97 C101:C110 C114:C121 C125:C127 C131:C134 C138:C145 C149:C153 C157:C161 C165:C167 C171:C175 C179:C183 C187:C189 C193:C198 C202:C205 C209:C212 C216:C221 C225:C231 C235:C240 C244:C251 C255:C264 C268:C272 C276:C287 C291:C293 C297:C306 C310:C314 C318:C338" xr:uid="{B7563827-58B8-4910-AAE1-9A6102B440FC}">
      <formula1>0.01</formula1>
      <formula2>1000000000000</formula2>
    </dataValidation>
    <dataValidation type="whole" operator="greaterThan" allowBlank="1" showInputMessage="1" showErrorMessage="1" sqref="A32" xr:uid="{145BA332-6ECD-49A5-94AB-FD0C95682A68}">
      <formula1>0</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E79BBE-5DB0-409C-A8B3-F0E089F62CD2}">
  <sheetPr codeName="Sheet3">
    <tabColor rgb="FFFFC000"/>
  </sheetPr>
  <dimension ref="A6:X941"/>
  <sheetViews>
    <sheetView zoomScale="60" zoomScaleNormal="60" workbookViewId="0">
      <selection activeCell="E17" sqref="E17"/>
    </sheetView>
  </sheetViews>
  <sheetFormatPr defaultRowHeight="14.5" x14ac:dyDescent="0.35"/>
  <cols>
    <col min="1" max="1" width="11" style="3" customWidth="1"/>
    <col min="2" max="2" width="12" style="3" customWidth="1"/>
    <col min="3" max="3" width="35.36328125" style="3" bestFit="1" customWidth="1"/>
    <col min="4" max="4" width="15.36328125" style="3" bestFit="1" customWidth="1"/>
    <col min="5" max="5" width="55.90625" style="3" bestFit="1" customWidth="1"/>
    <col min="6" max="6" width="14.6328125" style="3" customWidth="1"/>
    <col min="7" max="7" width="8.7265625" style="3"/>
    <col min="8" max="8" width="18.453125" style="3" bestFit="1" customWidth="1"/>
    <col min="9" max="9" width="8.7265625" style="3"/>
    <col min="10" max="10" width="10.54296875" style="3" hidden="1" customWidth="1"/>
    <col min="11" max="11" width="31.90625" style="3" customWidth="1"/>
    <col min="12" max="13" width="8.7265625" style="3"/>
    <col min="14" max="14" width="18.54296875" style="3" customWidth="1"/>
    <col min="15" max="15" width="10.7265625" style="3" bestFit="1" customWidth="1"/>
    <col min="16" max="16" width="50.453125" style="3" bestFit="1" customWidth="1"/>
    <col min="17" max="17" width="15.36328125" style="3" bestFit="1" customWidth="1"/>
    <col min="18" max="18" width="56.6328125" style="3" bestFit="1" customWidth="1"/>
    <col min="19" max="19" width="10.6328125" style="3" customWidth="1"/>
    <col min="20" max="21" width="8.7265625" style="3"/>
    <col min="22" max="22" width="16.08984375" style="3" bestFit="1" customWidth="1"/>
    <col min="23" max="23" width="19.54296875" style="3" bestFit="1" customWidth="1"/>
    <col min="24" max="16384" width="8.7265625" style="3"/>
  </cols>
  <sheetData>
    <row r="6" spans="1:24" ht="15" thickBot="1" x14ac:dyDescent="0.4"/>
    <row r="7" spans="1:24" ht="44.5" thickTop="1" thickBot="1" x14ac:dyDescent="0.4">
      <c r="A7" s="34" t="s">
        <v>62</v>
      </c>
      <c r="B7" s="35" t="s">
        <v>3</v>
      </c>
      <c r="C7" s="35" t="s">
        <v>2</v>
      </c>
      <c r="D7" s="517" t="s">
        <v>38</v>
      </c>
      <c r="E7" s="35" t="s">
        <v>0</v>
      </c>
      <c r="F7" s="35" t="s">
        <v>68</v>
      </c>
      <c r="G7" s="35" t="s">
        <v>71</v>
      </c>
      <c r="H7" s="35" t="s">
        <v>69</v>
      </c>
      <c r="I7" s="35" t="s">
        <v>72</v>
      </c>
      <c r="J7" s="35" t="s">
        <v>70</v>
      </c>
      <c r="K7" s="36" t="s">
        <v>741</v>
      </c>
      <c r="N7" s="61" t="s">
        <v>902</v>
      </c>
      <c r="O7" s="50" t="s">
        <v>119</v>
      </c>
      <c r="P7" s="55" t="s">
        <v>120</v>
      </c>
      <c r="Q7" s="50" t="s">
        <v>86</v>
      </c>
      <c r="R7" s="55" t="s">
        <v>87</v>
      </c>
      <c r="S7" s="57" t="s">
        <v>743</v>
      </c>
      <c r="T7" s="57" t="s">
        <v>901</v>
      </c>
      <c r="U7" s="51" t="s">
        <v>88</v>
      </c>
      <c r="V7" s="68" t="s">
        <v>744</v>
      </c>
      <c r="W7" s="69" t="s">
        <v>742</v>
      </c>
      <c r="X7" s="60" t="s">
        <v>901</v>
      </c>
    </row>
    <row r="8" spans="1:24" ht="15" thickTop="1" x14ac:dyDescent="0.35">
      <c r="A8" s="122">
        <f>IFERROR(INDEX($N$8:$N$50,MATCH(B8,$O$8:$O$50, 0)), "")</f>
        <v>71</v>
      </c>
      <c r="B8" s="124" t="s">
        <v>1123</v>
      </c>
      <c r="C8" s="122" t="s">
        <v>1124</v>
      </c>
      <c r="D8" s="183" t="s">
        <v>175</v>
      </c>
      <c r="E8" s="3" t="s">
        <v>176</v>
      </c>
      <c r="F8" s="175">
        <v>100</v>
      </c>
      <c r="G8" s="175" t="s">
        <v>73</v>
      </c>
      <c r="H8" s="175">
        <v>100</v>
      </c>
      <c r="I8" s="175" t="s">
        <v>73</v>
      </c>
      <c r="J8" s="175"/>
      <c r="K8" s="175">
        <f>$A$8*H8</f>
        <v>7100</v>
      </c>
      <c r="N8" s="108">
        <v>71</v>
      </c>
      <c r="O8" s="3" t="str" cm="1">
        <f t="array" ref="O8:O28">_xlfn.UNIQUE(_xlfn._xlws.FILTER(B8:B53348,B8:B53348&lt;&gt;0))</f>
        <v>HGJP0006</v>
      </c>
      <c r="P8" s="3" t="str">
        <f>IFERROR(VLOOKUP(O8, $B$8:$C$3348, 2, FALSE), "Not Found")</f>
        <v>CHICKEN WHITE JJAMPPONG</v>
      </c>
      <c r="Q8" s="3" t="str" cm="1">
        <f t="array" ref="Q8:Q78">_xlfn.UNIQUE(_xlfn._xlws.FILTER(D8:D3348, D8:D3348&lt;&gt;0))</f>
        <v>CKPF0036</v>
      </c>
      <c r="R8" s="3" t="str">
        <f>IF(Q8="","", IF(INDEX(E$8:E$3348, MATCH(Q8, D$8:D$3348, 0))=0,"", INDEX(E$8:E$3348, MATCH(Q8, D$8:D$3348, 0))))</f>
        <v>CK KOREAN NOODLE 6 X 200 G</v>
      </c>
      <c r="S8" s="108">
        <f>IF(Q8="","", SUMIFS(K$8:K$3348, D$8:D$3348, Q8))</f>
        <v>427195</v>
      </c>
    </row>
    <row r="9" spans="1:24" x14ac:dyDescent="0.35">
      <c r="D9" s="180" t="s">
        <v>47</v>
      </c>
      <c r="E9" s="3" t="s">
        <v>569</v>
      </c>
      <c r="F9" s="175">
        <v>30</v>
      </c>
      <c r="G9" s="175" t="s">
        <v>73</v>
      </c>
      <c r="H9" s="175">
        <v>30</v>
      </c>
      <c r="I9" s="175" t="s">
        <v>73</v>
      </c>
      <c r="J9" s="175"/>
      <c r="K9" s="175">
        <f t="shared" ref="K9:K37" si="0">$A$8*H9</f>
        <v>2130</v>
      </c>
      <c r="N9" s="108">
        <v>69</v>
      </c>
      <c r="O9" s="3" t="str">
        <v>HGJP0005</v>
      </c>
      <c r="P9" s="3" t="str">
        <f t="shared" ref="P9:P28" si="1">IFERROR(VLOOKUP(O9, $B$8:$C$3348, 2, FALSE), "Not Found")</f>
        <v>BEEF WHITE JJAMPPONG</v>
      </c>
      <c r="Q9" s="3" t="str">
        <v>FGR00043</v>
      </c>
      <c r="R9" s="3" t="str">
        <f t="shared" ref="R9:R75" si="2">IF(Q9="","", IF(INDEX(E$8:E$3348, MATCH(Q9, D$8:D$3348, 0))=0,"", INDEX(E$8:E$3348, MATCH(Q9, D$8:D$3348, 0))))</f>
        <v>MINYAK GORENG DORANG MAS 18 L</v>
      </c>
      <c r="S9" s="108">
        <f t="shared" ref="S9:S72" si="3">IF(Q9="","", SUMIFS(K$8:K$3348, D$8:D$3348, Q9))</f>
        <v>148891.33000000002</v>
      </c>
    </row>
    <row r="10" spans="1:24" x14ac:dyDescent="0.35">
      <c r="D10" s="180" t="s">
        <v>495</v>
      </c>
      <c r="E10" s="3" t="s">
        <v>496</v>
      </c>
      <c r="F10" s="175">
        <v>15</v>
      </c>
      <c r="G10" s="175" t="s">
        <v>73</v>
      </c>
      <c r="H10" s="175">
        <v>15</v>
      </c>
      <c r="I10" s="175" t="s">
        <v>73</v>
      </c>
      <c r="J10" s="175"/>
      <c r="K10" s="175">
        <f t="shared" si="0"/>
        <v>1065</v>
      </c>
      <c r="N10" s="108">
        <v>115</v>
      </c>
      <c r="O10" s="3" t="str">
        <v>HGJP0004</v>
      </c>
      <c r="P10" s="3" t="str">
        <f t="shared" si="1"/>
        <v xml:space="preserve">	SEAFOOD WHITE JJAMPPONG</v>
      </c>
      <c r="Q10" s="3" t="str">
        <v>FGR00006</v>
      </c>
      <c r="R10" s="3" t="str">
        <f t="shared" si="2"/>
        <v>SUSU UHT 1 L</v>
      </c>
      <c r="S10" s="108">
        <f t="shared" si="3"/>
        <v>25338.58</v>
      </c>
    </row>
    <row r="11" spans="1:24" x14ac:dyDescent="0.35">
      <c r="D11" s="180" t="s">
        <v>49</v>
      </c>
      <c r="E11" s="3" t="s">
        <v>395</v>
      </c>
      <c r="F11" s="175">
        <v>3</v>
      </c>
      <c r="G11" s="175" t="s">
        <v>73</v>
      </c>
      <c r="H11" s="175">
        <v>3</v>
      </c>
      <c r="I11" s="175" t="s">
        <v>73</v>
      </c>
      <c r="J11" s="175"/>
      <c r="K11" s="175">
        <f t="shared" si="0"/>
        <v>213</v>
      </c>
      <c r="N11" s="108">
        <v>503</v>
      </c>
      <c r="O11" s="3" t="str">
        <v>HGJP0002</v>
      </c>
      <c r="P11" s="3" t="str">
        <f t="shared" si="1"/>
        <v>BEEF JJAMPPONG</v>
      </c>
      <c r="Q11" s="3" t="str">
        <v>FVF00020</v>
      </c>
      <c r="R11" s="3" t="str">
        <f t="shared" si="2"/>
        <v>BAWANG PUTIH KUPAS</v>
      </c>
      <c r="S11" s="108">
        <f t="shared" si="3"/>
        <v>12967.48</v>
      </c>
    </row>
    <row r="12" spans="1:24" x14ac:dyDescent="0.35">
      <c r="D12" s="180" t="s">
        <v>48</v>
      </c>
      <c r="E12" s="3" t="s">
        <v>1126</v>
      </c>
      <c r="F12" s="175">
        <v>5</v>
      </c>
      <c r="G12" s="175" t="s">
        <v>73</v>
      </c>
      <c r="H12" s="175">
        <v>5</v>
      </c>
      <c r="I12" s="175" t="s">
        <v>73</v>
      </c>
      <c r="J12" s="175"/>
      <c r="K12" s="175">
        <f t="shared" si="0"/>
        <v>355</v>
      </c>
      <c r="N12" s="108">
        <v>458</v>
      </c>
      <c r="O12" s="3" t="str">
        <v>HGJP0003</v>
      </c>
      <c r="P12" s="3" t="str">
        <f t="shared" si="1"/>
        <v>CHICKEN JJAMPPONG</v>
      </c>
      <c r="Q12" s="3" t="str">
        <v>FVF00017</v>
      </c>
      <c r="R12" s="3" t="str">
        <f t="shared" si="2"/>
        <v>DAUN BAWANG</v>
      </c>
      <c r="S12" s="108">
        <f t="shared" si="3"/>
        <v>21010.41</v>
      </c>
    </row>
    <row r="13" spans="1:24" x14ac:dyDescent="0.35">
      <c r="D13" s="319"/>
      <c r="E13" s="117" t="s">
        <v>1125</v>
      </c>
      <c r="F13" s="104">
        <v>10</v>
      </c>
      <c r="G13" s="104" t="s">
        <v>73</v>
      </c>
      <c r="H13" s="104"/>
      <c r="I13" s="104"/>
      <c r="J13" s="104"/>
      <c r="K13" s="104"/>
      <c r="N13" s="108">
        <v>1284</v>
      </c>
      <c r="O13" s="3" t="str">
        <v>HGJP0001</v>
      </c>
      <c r="P13" s="3" t="str">
        <f t="shared" si="1"/>
        <v>SEAFOOD JJAMPPONG</v>
      </c>
      <c r="Q13" s="3" t="str">
        <v>FVF00019</v>
      </c>
      <c r="R13" s="3" t="str">
        <f t="shared" si="2"/>
        <v>BOMBAY SLICE</v>
      </c>
      <c r="S13" s="108">
        <f t="shared" si="3"/>
        <v>248030.19</v>
      </c>
    </row>
    <row r="14" spans="1:24" x14ac:dyDescent="0.35">
      <c r="D14" s="180" t="s">
        <v>47</v>
      </c>
      <c r="E14" s="118" t="s">
        <v>569</v>
      </c>
      <c r="F14" s="175">
        <v>600</v>
      </c>
      <c r="G14" s="175" t="s">
        <v>73</v>
      </c>
      <c r="H14" s="175">
        <f>ROUND(($F$13)*((F14)/($F$14+$F$15+$F$16+$F$17+$F$18)),2)</f>
        <v>6.67</v>
      </c>
      <c r="I14" s="175" t="s">
        <v>73</v>
      </c>
      <c r="J14" s="175"/>
      <c r="K14" s="175">
        <f t="shared" si="0"/>
        <v>473.57</v>
      </c>
      <c r="N14" s="108">
        <v>743</v>
      </c>
      <c r="O14" s="3" t="str">
        <v>HGJJ0001</v>
      </c>
      <c r="P14" s="3" t="str">
        <f t="shared" si="1"/>
        <v>JJAJANGMYEON</v>
      </c>
      <c r="Q14" s="3" t="str">
        <v>FVF00025</v>
      </c>
      <c r="R14" s="3" t="str">
        <f t="shared" si="2"/>
        <v>JAHE</v>
      </c>
      <c r="S14" s="108">
        <f t="shared" si="3"/>
        <v>3473.31</v>
      </c>
    </row>
    <row r="15" spans="1:24" x14ac:dyDescent="0.35">
      <c r="D15" s="180" t="s">
        <v>48</v>
      </c>
      <c r="E15" s="118" t="s">
        <v>1126</v>
      </c>
      <c r="F15" s="175">
        <v>100</v>
      </c>
      <c r="G15" s="175" t="s">
        <v>73</v>
      </c>
      <c r="H15" s="175">
        <f t="shared" ref="H15:H18" si="4">ROUND(($F$13)*((F15)/($F$14+$F$15+$F$16+$F$17+$F$18)),2)</f>
        <v>1.1100000000000001</v>
      </c>
      <c r="I15" s="175" t="s">
        <v>73</v>
      </c>
      <c r="J15" s="175"/>
      <c r="K15" s="175">
        <f t="shared" si="0"/>
        <v>78.81</v>
      </c>
      <c r="N15" s="108">
        <v>268</v>
      </c>
      <c r="O15" s="3" t="str">
        <v>HGJJ0003</v>
      </c>
      <c r="P15" s="3" t="str">
        <f t="shared" si="1"/>
        <v xml:space="preserve">SPICY JJAJANGMYEON GORENG	</v>
      </c>
      <c r="Q15" s="3" t="str">
        <v>FVF00007</v>
      </c>
      <c r="R15" s="3" t="str">
        <f t="shared" si="2"/>
        <v>WORTEL</v>
      </c>
      <c r="S15" s="108">
        <f t="shared" si="3"/>
        <v>36465</v>
      </c>
    </row>
    <row r="16" spans="1:24" x14ac:dyDescent="0.35">
      <c r="D16" s="180" t="s">
        <v>49</v>
      </c>
      <c r="E16" s="118" t="s">
        <v>395</v>
      </c>
      <c r="F16" s="175">
        <v>50</v>
      </c>
      <c r="G16" s="175" t="s">
        <v>73</v>
      </c>
      <c r="H16" s="175">
        <f t="shared" si="4"/>
        <v>0.56000000000000005</v>
      </c>
      <c r="I16" s="175" t="s">
        <v>73</v>
      </c>
      <c r="J16" s="175"/>
      <c r="K16" s="175">
        <f t="shared" si="0"/>
        <v>39.760000000000005</v>
      </c>
      <c r="N16" s="108">
        <v>1798</v>
      </c>
      <c r="O16" s="3" t="str">
        <v>HGKG0001</v>
      </c>
      <c r="P16" s="3" t="str">
        <f t="shared" si="1"/>
        <v>MYEONDONG KALGUKSU (WITH KIMCHI)</v>
      </c>
      <c r="Q16" s="3" t="str">
        <v>FVF00009</v>
      </c>
      <c r="R16" s="3" t="str">
        <f t="shared" si="2"/>
        <v xml:space="preserve">	ZUCCHINI</v>
      </c>
      <c r="S16" s="108">
        <f t="shared" si="3"/>
        <v>105964.29000000001</v>
      </c>
    </row>
    <row r="17" spans="4:19" x14ac:dyDescent="0.35">
      <c r="D17" s="180" t="s">
        <v>50</v>
      </c>
      <c r="E17" s="118" t="s">
        <v>1127</v>
      </c>
      <c r="F17" s="175">
        <v>100</v>
      </c>
      <c r="G17" s="175" t="s">
        <v>73</v>
      </c>
      <c r="H17" s="175">
        <f t="shared" si="4"/>
        <v>1.1100000000000001</v>
      </c>
      <c r="I17" s="175" t="s">
        <v>73</v>
      </c>
      <c r="J17" s="175"/>
      <c r="K17" s="175">
        <f t="shared" si="0"/>
        <v>78.81</v>
      </c>
      <c r="N17" s="108"/>
      <c r="O17" s="3" t="str">
        <v>HGKG0002</v>
      </c>
      <c r="P17" s="3" t="str">
        <f t="shared" si="1"/>
        <v>BEEF KALGUKSU (WITH KIMCHI)</v>
      </c>
      <c r="Q17" s="3" t="str">
        <v>FVF00005</v>
      </c>
      <c r="R17" s="3" t="str">
        <f t="shared" si="2"/>
        <v>SAWI PUTIH</v>
      </c>
      <c r="S17" s="108">
        <f t="shared" si="3"/>
        <v>98947.06</v>
      </c>
    </row>
    <row r="18" spans="4:19" x14ac:dyDescent="0.35">
      <c r="D18" s="180" t="s">
        <v>51</v>
      </c>
      <c r="E18" s="118" t="s">
        <v>404</v>
      </c>
      <c r="F18" s="175">
        <v>50</v>
      </c>
      <c r="G18" s="175" t="s">
        <v>73</v>
      </c>
      <c r="H18" s="175">
        <f t="shared" si="4"/>
        <v>0.56000000000000005</v>
      </c>
      <c r="I18" s="175" t="s">
        <v>73</v>
      </c>
      <c r="J18" s="175"/>
      <c r="K18" s="175">
        <f t="shared" si="0"/>
        <v>39.760000000000005</v>
      </c>
      <c r="N18" s="108"/>
      <c r="O18" s="3" t="str">
        <v>HGKG0003</v>
      </c>
      <c r="P18" s="3" t="str">
        <f t="shared" si="1"/>
        <v xml:space="preserve">DRY KALGUKSU WITH BOILED MANDU	</v>
      </c>
      <c r="Q18" s="3" t="str">
        <v>FSS00004</v>
      </c>
      <c r="R18" s="3" t="str">
        <f t="shared" si="2"/>
        <v>JIN GANJANG (SOY SAUCE) 13 L</v>
      </c>
      <c r="S18" s="108">
        <f t="shared" si="3"/>
        <v>6149.62</v>
      </c>
    </row>
    <row r="19" spans="4:19" x14ac:dyDescent="0.35">
      <c r="D19" s="319"/>
      <c r="E19" s="125" t="s">
        <v>1128</v>
      </c>
      <c r="F19" s="104">
        <v>100</v>
      </c>
      <c r="G19" s="104" t="s">
        <v>73</v>
      </c>
      <c r="H19" s="104"/>
      <c r="I19" s="104"/>
      <c r="J19" s="104"/>
      <c r="K19" s="104"/>
      <c r="N19" s="108"/>
      <c r="O19" s="3" t="str">
        <v>HGKG0004</v>
      </c>
      <c r="P19" s="3" t="str">
        <f t="shared" si="1"/>
        <v xml:space="preserve">DRY KALGUKSU WITH FRIED MANDU	</v>
      </c>
      <c r="Q19" s="3" t="str">
        <v>FSS00011</v>
      </c>
      <c r="R19" s="3" t="str">
        <f t="shared" si="2"/>
        <v>KATSUODASHI 1 KG</v>
      </c>
      <c r="S19" s="108">
        <f t="shared" si="3"/>
        <v>6159.9899999999989</v>
      </c>
    </row>
    <row r="20" spans="4:19" x14ac:dyDescent="0.35">
      <c r="D20" s="180" t="s">
        <v>371</v>
      </c>
      <c r="E20" s="118" t="s">
        <v>372</v>
      </c>
      <c r="F20" s="175">
        <v>300</v>
      </c>
      <c r="G20" s="175" t="s">
        <v>73</v>
      </c>
      <c r="H20" s="175">
        <f>ROUND((($F$19)*((F20)/($F$20+$F$21+$F$22+$F$23))),2)</f>
        <v>15</v>
      </c>
      <c r="I20" s="175" t="s">
        <v>73</v>
      </c>
      <c r="J20" s="175"/>
      <c r="K20" s="175">
        <f t="shared" si="0"/>
        <v>1065</v>
      </c>
      <c r="N20" s="108">
        <v>153</v>
      </c>
      <c r="O20" s="3" t="str">
        <v>HGSD0001</v>
      </c>
      <c r="P20" s="3" t="str">
        <f t="shared" si="1"/>
        <v>FRIED MANDU 2 PCS</v>
      </c>
      <c r="Q20" s="3" t="str">
        <v>FSS00019</v>
      </c>
      <c r="R20" s="3" t="str">
        <f t="shared" si="2"/>
        <v>GULA PASIR 1 KG</v>
      </c>
      <c r="S20" s="108">
        <f t="shared" si="3"/>
        <v>12677.909999999998</v>
      </c>
    </row>
    <row r="21" spans="4:19" x14ac:dyDescent="0.35">
      <c r="D21" s="180" t="s">
        <v>375</v>
      </c>
      <c r="E21" s="118" t="s">
        <v>1129</v>
      </c>
      <c r="F21" s="175">
        <v>300</v>
      </c>
      <c r="G21" s="175" t="s">
        <v>73</v>
      </c>
      <c r="H21" s="175">
        <f t="shared" ref="H21:H23" si="5">ROUND((($F$19)*((F21)/($F$20+$F$21+$F$22+$F$23))),2)</f>
        <v>15</v>
      </c>
      <c r="I21" s="175" t="s">
        <v>73</v>
      </c>
      <c r="J21" s="175"/>
      <c r="K21" s="175">
        <f t="shared" si="0"/>
        <v>1065</v>
      </c>
      <c r="N21" s="108">
        <v>483</v>
      </c>
      <c r="O21" s="3" t="str">
        <v>HGSD0002</v>
      </c>
      <c r="P21" s="3" t="str">
        <f>IFERROR(VLOOKUP(O21, $B$8:$C$3348, 2, FALSE), "Not Found")</f>
        <v>FRIED MANDU 6 PCS</v>
      </c>
      <c r="Q21" s="3" t="str">
        <v>FSS00013</v>
      </c>
      <c r="R21" s="3" t="str">
        <f t="shared" si="2"/>
        <v xml:space="preserve">LADA HITAM HALUS 1 KG	</v>
      </c>
      <c r="S21" s="108">
        <f t="shared" si="3"/>
        <v>36.25</v>
      </c>
    </row>
    <row r="22" spans="4:19" x14ac:dyDescent="0.35">
      <c r="D22" s="180" t="s">
        <v>50</v>
      </c>
      <c r="E22" s="118" t="s">
        <v>1130</v>
      </c>
      <c r="F22" s="175">
        <v>800</v>
      </c>
      <c r="G22" s="175" t="s">
        <v>73</v>
      </c>
      <c r="H22" s="175">
        <f t="shared" si="5"/>
        <v>40</v>
      </c>
      <c r="I22" s="175" t="s">
        <v>73</v>
      </c>
      <c r="J22" s="175"/>
      <c r="K22" s="175">
        <f t="shared" si="0"/>
        <v>2840</v>
      </c>
      <c r="N22" s="108">
        <v>191</v>
      </c>
      <c r="O22" s="3" t="str">
        <v>HGJP0007</v>
      </c>
      <c r="P22" s="3" t="str">
        <f t="shared" si="1"/>
        <v>ROSE KATSU JJAMPPONG</v>
      </c>
      <c r="Q22" s="3" t="str">
        <v>FMP00015</v>
      </c>
      <c r="R22" s="3" t="str">
        <f t="shared" si="2"/>
        <v>PAHA BONELESS SKINLESS FREE SIZE 2 KG</v>
      </c>
      <c r="S22" s="108">
        <f t="shared" si="3"/>
        <v>41789.089999999997</v>
      </c>
    </row>
    <row r="23" spans="4:19" x14ac:dyDescent="0.35">
      <c r="D23" s="180" t="s">
        <v>60</v>
      </c>
      <c r="E23" s="118" t="s">
        <v>368</v>
      </c>
      <c r="F23" s="175">
        <v>600</v>
      </c>
      <c r="G23" s="175" t="s">
        <v>73</v>
      </c>
      <c r="H23" s="175">
        <f t="shared" si="5"/>
        <v>30</v>
      </c>
      <c r="I23" s="175" t="s">
        <v>73</v>
      </c>
      <c r="J23" s="175"/>
      <c r="K23" s="175">
        <f t="shared" si="0"/>
        <v>2130</v>
      </c>
      <c r="N23" s="108">
        <v>87</v>
      </c>
      <c r="O23" s="3" t="str">
        <v>HGJP0008</v>
      </c>
      <c r="P23" s="3" t="str">
        <f t="shared" si="1"/>
        <v>CHEESE ROSE KATSU JJAMPPONG</v>
      </c>
      <c r="Q23" s="3" t="str">
        <v>FGR00082</v>
      </c>
      <c r="R23" s="3" t="str">
        <f t="shared" si="2"/>
        <v>MAX CREAMER 500 G</v>
      </c>
      <c r="S23" s="108">
        <f t="shared" si="3"/>
        <v>3750.34</v>
      </c>
    </row>
    <row r="24" spans="4:19" x14ac:dyDescent="0.35">
      <c r="D24" s="319"/>
      <c r="E24" s="125" t="s">
        <v>1131</v>
      </c>
      <c r="F24" s="104">
        <v>45</v>
      </c>
      <c r="G24" s="104" t="s">
        <v>73</v>
      </c>
      <c r="H24" s="104"/>
      <c r="I24" s="104"/>
      <c r="J24" s="104"/>
      <c r="K24" s="104"/>
      <c r="O24" s="3" t="str">
        <v>HGJC0001</v>
      </c>
      <c r="P24" s="3" t="str">
        <f t="shared" si="1"/>
        <v>Chicken Japchae</v>
      </c>
      <c r="Q24" s="3" t="str">
        <v>FSS00016</v>
      </c>
      <c r="R24" s="3" t="str">
        <f t="shared" si="2"/>
        <v>GARAM HALUS DOLPHIN 500 G</v>
      </c>
      <c r="S24" s="108">
        <f t="shared" si="3"/>
        <v>19676.519999999997</v>
      </c>
    </row>
    <row r="25" spans="4:19" x14ac:dyDescent="0.35">
      <c r="D25" s="180" t="s">
        <v>46</v>
      </c>
      <c r="E25" s="118" t="s">
        <v>309</v>
      </c>
      <c r="F25" s="175">
        <v>5</v>
      </c>
      <c r="G25" s="175" t="s">
        <v>73</v>
      </c>
      <c r="H25" s="175">
        <f>ROUND((($F$24)*((F25)/($F$25+$F$26+$F$27+$F$28+$F$29))),2)</f>
        <v>1.06</v>
      </c>
      <c r="I25" s="175" t="s">
        <v>73</v>
      </c>
      <c r="J25" s="175"/>
      <c r="K25" s="175">
        <f t="shared" si="0"/>
        <v>75.260000000000005</v>
      </c>
      <c r="O25" s="3" t="str">
        <v>HGJC0002</v>
      </c>
      <c r="P25" s="3" t="str">
        <f t="shared" si="1"/>
        <v>Beef Japchae</v>
      </c>
      <c r="Q25" s="3" t="str">
        <v>FSS00017</v>
      </c>
      <c r="R25" s="3" t="str">
        <f t="shared" si="2"/>
        <v xml:space="preserve">	AJINOMOTO 1 KG</v>
      </c>
      <c r="S25" s="108">
        <f t="shared" si="3"/>
        <v>13536.769999999999</v>
      </c>
    </row>
    <row r="26" spans="4:19" x14ac:dyDescent="0.35">
      <c r="D26" s="180" t="s">
        <v>45</v>
      </c>
      <c r="E26" s="118" t="s">
        <v>321</v>
      </c>
      <c r="F26" s="175">
        <v>3</v>
      </c>
      <c r="G26" s="175" t="s">
        <v>73</v>
      </c>
      <c r="H26" s="175">
        <f t="shared" ref="H26:H29" si="6">ROUND((($F$24)*((F26)/($F$25+$F$26+$F$27+$F$28+$F$29))),2)</f>
        <v>0.63</v>
      </c>
      <c r="I26" s="175" t="s">
        <v>73</v>
      </c>
      <c r="J26" s="175"/>
      <c r="K26" s="175">
        <f t="shared" si="0"/>
        <v>44.73</v>
      </c>
      <c r="O26" s="3" t="str">
        <v>HGSD0006</v>
      </c>
      <c r="P26" s="3" t="str">
        <f t="shared" si="1"/>
        <v>Original Chicken Katsu</v>
      </c>
      <c r="Q26" s="3" t="str">
        <v>FGR00072</v>
      </c>
      <c r="R26" s="3" t="str">
        <f t="shared" si="2"/>
        <v>CHICKEN BROTH POWDER 500 G</v>
      </c>
      <c r="S26" s="108">
        <f t="shared" si="3"/>
        <v>12047.14</v>
      </c>
    </row>
    <row r="27" spans="4:19" x14ac:dyDescent="0.35">
      <c r="D27" s="180" t="s">
        <v>333</v>
      </c>
      <c r="E27" s="118" t="s">
        <v>334</v>
      </c>
      <c r="F27" s="175">
        <v>5</v>
      </c>
      <c r="G27" s="175" t="s">
        <v>73</v>
      </c>
      <c r="H27" s="175">
        <f t="shared" si="6"/>
        <v>1.06</v>
      </c>
      <c r="I27" s="175" t="s">
        <v>73</v>
      </c>
      <c r="J27" s="175"/>
      <c r="K27" s="175">
        <f t="shared" si="0"/>
        <v>75.260000000000005</v>
      </c>
      <c r="O27" s="3" t="str">
        <v>HGSD0008</v>
      </c>
      <c r="P27" s="3" t="str">
        <f t="shared" si="1"/>
        <v>Bburinkle Cheese Chicken Katsu</v>
      </c>
      <c r="Q27" s="3" t="str">
        <v>CKRD0011</v>
      </c>
      <c r="R27" s="3" t="str">
        <f t="shared" si="2"/>
        <v>CK UMAMI BOOSTER REPACK 100 G</v>
      </c>
      <c r="S27" s="108">
        <f t="shared" si="3"/>
        <v>397.71999999999997</v>
      </c>
    </row>
    <row r="28" spans="4:19" x14ac:dyDescent="0.35">
      <c r="D28" s="180" t="s">
        <v>55</v>
      </c>
      <c r="E28" s="118" t="s">
        <v>1132</v>
      </c>
      <c r="F28" s="175">
        <v>0.2</v>
      </c>
      <c r="G28" s="175" t="s">
        <v>73</v>
      </c>
      <c r="H28" s="175">
        <f t="shared" si="6"/>
        <v>0.04</v>
      </c>
      <c r="I28" s="175" t="s">
        <v>73</v>
      </c>
      <c r="J28" s="175"/>
      <c r="K28" s="175">
        <f t="shared" si="0"/>
        <v>2.84</v>
      </c>
      <c r="O28" s="3" t="str">
        <v>HGSD0017</v>
      </c>
      <c r="P28" s="3" t="str">
        <f t="shared" si="1"/>
        <v>Spicy BBQ Chicken Katsu</v>
      </c>
      <c r="Q28" s="3" t="str">
        <v>CKPF0004</v>
      </c>
      <c r="R28" s="3" t="str">
        <f t="shared" si="2"/>
        <v>CK BULGOGI SAUCE 1 KG</v>
      </c>
      <c r="S28" s="108">
        <f t="shared" si="3"/>
        <v>2932.4900000000002</v>
      </c>
    </row>
    <row r="29" spans="4:19" x14ac:dyDescent="0.35">
      <c r="D29" s="180" t="s">
        <v>473</v>
      </c>
      <c r="E29" s="118" t="s">
        <v>474</v>
      </c>
      <c r="F29" s="175">
        <v>200</v>
      </c>
      <c r="G29" s="175" t="s">
        <v>73</v>
      </c>
      <c r="H29" s="175">
        <f t="shared" si="6"/>
        <v>42.21</v>
      </c>
      <c r="I29" s="175" t="s">
        <v>73</v>
      </c>
      <c r="J29" s="175"/>
      <c r="K29" s="175">
        <f t="shared" si="0"/>
        <v>2996.91</v>
      </c>
      <c r="Q29" s="3" t="str">
        <v>FMP00004</v>
      </c>
      <c r="R29" s="3" t="str">
        <f t="shared" si="2"/>
        <v>BEEF BRISKET /SHORT PLATE</v>
      </c>
      <c r="S29" s="108">
        <f t="shared" si="3"/>
        <v>14657.42</v>
      </c>
    </row>
    <row r="30" spans="4:19" x14ac:dyDescent="0.35">
      <c r="D30" s="319"/>
      <c r="E30" s="125" t="s">
        <v>1133</v>
      </c>
      <c r="F30" s="104">
        <v>350</v>
      </c>
      <c r="G30" s="104" t="s">
        <v>73</v>
      </c>
      <c r="H30" s="104"/>
      <c r="I30" s="104"/>
      <c r="J30" s="104"/>
      <c r="K30" s="104"/>
      <c r="Q30" s="3" t="str">
        <v>FSF00006</v>
      </c>
      <c r="R30" s="3" t="str">
        <f t="shared" si="2"/>
        <v>CUMI LOKAL KUPAS FRESH (UKURAN SEBELUM KUPAS 2 EKOR/KG)</v>
      </c>
      <c r="S30" s="108">
        <f t="shared" si="3"/>
        <v>13990</v>
      </c>
    </row>
    <row r="31" spans="4:19" x14ac:dyDescent="0.35">
      <c r="D31" s="180" t="s">
        <v>646</v>
      </c>
      <c r="E31" s="118" t="s">
        <v>647</v>
      </c>
      <c r="F31" s="175">
        <v>50</v>
      </c>
      <c r="G31" s="175" t="s">
        <v>73</v>
      </c>
      <c r="H31" s="175">
        <f>ROUND((($F$30)*((F31)/($F$31+$F$32+$F$33+$F$34+$F$35+$F$36+$F$37+$F$38))),2)</f>
        <v>1.51</v>
      </c>
      <c r="I31" s="175" t="s">
        <v>73</v>
      </c>
      <c r="J31" s="175"/>
      <c r="K31" s="175">
        <f t="shared" si="0"/>
        <v>107.21</v>
      </c>
      <c r="Q31" s="3" t="str">
        <v>FSF00007</v>
      </c>
      <c r="R31" s="3" t="str">
        <f t="shared" si="2"/>
        <v>UDANG VANAME 40-45</v>
      </c>
      <c r="S31" s="108">
        <f t="shared" si="3"/>
        <v>1399</v>
      </c>
    </row>
    <row r="32" spans="4:19" x14ac:dyDescent="0.35">
      <c r="D32" s="180" t="s">
        <v>333</v>
      </c>
      <c r="E32" s="118" t="s">
        <v>1134</v>
      </c>
      <c r="F32" s="175">
        <v>50</v>
      </c>
      <c r="G32" s="175" t="s">
        <v>73</v>
      </c>
      <c r="H32" s="175">
        <f t="shared" ref="H32:H38" si="7">ROUND((($F$30)*((F32)/($F$31+$F$32+$F$33+$F$34+$F$35+$F$36+$F$37+$F$38))),2)</f>
        <v>1.51</v>
      </c>
      <c r="I32" s="175" t="s">
        <v>73</v>
      </c>
      <c r="J32" s="175"/>
      <c r="K32" s="175">
        <f t="shared" si="0"/>
        <v>107.21</v>
      </c>
      <c r="Q32" s="3" t="str">
        <v>FFF00019</v>
      </c>
      <c r="R32" s="3" t="str">
        <f t="shared" si="2"/>
        <v>OTAK-OTAK SINGAPORE 1 KG</v>
      </c>
      <c r="S32" s="108">
        <f t="shared" si="3"/>
        <v>13990</v>
      </c>
    </row>
    <row r="33" spans="1:19" x14ac:dyDescent="0.35">
      <c r="D33" s="180" t="s">
        <v>43</v>
      </c>
      <c r="E33" s="118" t="s">
        <v>817</v>
      </c>
      <c r="F33" s="175">
        <v>110</v>
      </c>
      <c r="G33" s="175" t="s">
        <v>73</v>
      </c>
      <c r="H33" s="175">
        <f t="shared" si="7"/>
        <v>3.33</v>
      </c>
      <c r="I33" s="175" t="s">
        <v>73</v>
      </c>
      <c r="J33" s="175"/>
      <c r="K33" s="175">
        <f t="shared" si="0"/>
        <v>236.43</v>
      </c>
      <c r="Q33" s="3" t="str">
        <v>FSF00001</v>
      </c>
      <c r="R33" s="3" t="str">
        <f t="shared" si="2"/>
        <v>KERANG HIJAU</v>
      </c>
      <c r="S33" s="108">
        <f t="shared" si="3"/>
        <v>2798</v>
      </c>
    </row>
    <row r="34" spans="1:19" x14ac:dyDescent="0.35">
      <c r="D34" s="180" t="s">
        <v>42</v>
      </c>
      <c r="E34" s="118" t="s">
        <v>1135</v>
      </c>
      <c r="F34" s="175">
        <v>120</v>
      </c>
      <c r="G34" s="175" t="s">
        <v>73</v>
      </c>
      <c r="H34" s="175">
        <f t="shared" si="7"/>
        <v>3.63</v>
      </c>
      <c r="I34" s="175" t="s">
        <v>73</v>
      </c>
      <c r="J34" s="175"/>
      <c r="K34" s="175">
        <f t="shared" si="0"/>
        <v>257.73</v>
      </c>
      <c r="Q34" s="3" t="str">
        <v>FSF00008</v>
      </c>
      <c r="R34" s="3" t="str">
        <f t="shared" si="2"/>
        <v>KEPALA + CANGKANG UDANG</v>
      </c>
      <c r="S34" s="108">
        <f t="shared" si="3"/>
        <v>11933.47</v>
      </c>
    </row>
    <row r="35" spans="1:19" x14ac:dyDescent="0.35">
      <c r="D35" s="180" t="s">
        <v>45</v>
      </c>
      <c r="E35" s="118" t="s">
        <v>321</v>
      </c>
      <c r="F35" s="175">
        <v>70</v>
      </c>
      <c r="G35" s="175" t="s">
        <v>73</v>
      </c>
      <c r="H35" s="175">
        <f t="shared" si="7"/>
        <v>2.12</v>
      </c>
      <c r="I35" s="175" t="s">
        <v>73</v>
      </c>
      <c r="J35" s="175"/>
      <c r="K35" s="175">
        <f t="shared" si="0"/>
        <v>150.52000000000001</v>
      </c>
      <c r="Q35" s="3" t="str">
        <v>FVF00014</v>
      </c>
      <c r="R35" s="3" t="str">
        <f t="shared" si="2"/>
        <v>CABE RAWIT MERAH</v>
      </c>
      <c r="S35" s="108">
        <f t="shared" si="3"/>
        <v>8393</v>
      </c>
    </row>
    <row r="36" spans="1:19" x14ac:dyDescent="0.35">
      <c r="D36" s="180" t="s">
        <v>626</v>
      </c>
      <c r="E36" s="118" t="s">
        <v>627</v>
      </c>
      <c r="F36" s="175">
        <v>160</v>
      </c>
      <c r="G36" s="175" t="s">
        <v>73</v>
      </c>
      <c r="H36" s="175">
        <f t="shared" si="7"/>
        <v>4.84</v>
      </c>
      <c r="I36" s="175" t="s">
        <v>73</v>
      </c>
      <c r="J36" s="175"/>
      <c r="K36" s="175">
        <f t="shared" si="0"/>
        <v>343.64</v>
      </c>
      <c r="Q36" s="3" t="str">
        <v>CKPF0035</v>
      </c>
      <c r="R36" s="3" t="str">
        <f t="shared" si="2"/>
        <v>CK JJAMPPONG SAUCE 1 KG</v>
      </c>
      <c r="S36" s="108">
        <f t="shared" si="3"/>
        <v>7167.75</v>
      </c>
    </row>
    <row r="37" spans="1:19" x14ac:dyDescent="0.35">
      <c r="D37" s="180" t="s">
        <v>1250</v>
      </c>
      <c r="E37" s="118" t="s">
        <v>1236</v>
      </c>
      <c r="F37" s="175">
        <v>3</v>
      </c>
      <c r="G37" s="175" t="s">
        <v>73</v>
      </c>
      <c r="H37" s="175">
        <f t="shared" si="7"/>
        <v>0.09</v>
      </c>
      <c r="I37" s="175" t="s">
        <v>73</v>
      </c>
      <c r="J37" s="175"/>
      <c r="K37" s="175">
        <f t="shared" si="0"/>
        <v>6.39</v>
      </c>
      <c r="Q37" s="3" t="str">
        <v>FSS00002</v>
      </c>
      <c r="R37" s="3" t="str">
        <f t="shared" si="2"/>
        <v>GOCHUGARU HALUS 1 KG</v>
      </c>
      <c r="S37" s="108">
        <f t="shared" si="3"/>
        <v>825.66000000000008</v>
      </c>
    </row>
    <row r="38" spans="1:19" x14ac:dyDescent="0.35">
      <c r="D38" s="518"/>
      <c r="E38" s="127" t="s">
        <v>950</v>
      </c>
      <c r="F38" s="181">
        <v>11000</v>
      </c>
      <c r="G38" s="181" t="s">
        <v>73</v>
      </c>
      <c r="H38" s="181">
        <f t="shared" si="7"/>
        <v>332.96</v>
      </c>
      <c r="I38" s="181"/>
      <c r="J38" s="181"/>
      <c r="K38" s="181"/>
      <c r="Q38" s="3" t="str">
        <v>FFF00018</v>
      </c>
      <c r="R38" s="3" t="str">
        <f t="shared" si="2"/>
        <v xml:space="preserve">GREEN PEAS </v>
      </c>
      <c r="S38" s="108">
        <f t="shared" si="3"/>
        <v>6445</v>
      </c>
    </row>
    <row r="39" spans="1:19" x14ac:dyDescent="0.35">
      <c r="A39" s="120"/>
      <c r="B39" s="120"/>
      <c r="C39" s="120"/>
      <c r="D39" s="519"/>
      <c r="E39" s="120"/>
      <c r="F39" s="182"/>
      <c r="G39" s="182" t="s">
        <v>73</v>
      </c>
      <c r="H39" s="182"/>
      <c r="I39" s="182" t="s">
        <v>73</v>
      </c>
      <c r="J39" s="182"/>
      <c r="K39" s="182"/>
      <c r="Q39" s="3" t="str">
        <v>FGR00011</v>
      </c>
      <c r="R39" s="3" t="str">
        <f t="shared" si="2"/>
        <v>WIJEN SANGRAI</v>
      </c>
      <c r="S39" s="108">
        <f t="shared" si="3"/>
        <v>617.4</v>
      </c>
    </row>
    <row r="40" spans="1:19" x14ac:dyDescent="0.35">
      <c r="A40" s="122">
        <f>IFERROR(INDEX($N$8:$N$50,MATCH(B40,$O$8:$O$50, 0)), "")</f>
        <v>69</v>
      </c>
      <c r="B40" s="124" t="s">
        <v>1137</v>
      </c>
      <c r="C40" s="122" t="s">
        <v>1136</v>
      </c>
      <c r="D40" s="180" t="s">
        <v>175</v>
      </c>
      <c r="E40" s="3" t="s">
        <v>176</v>
      </c>
      <c r="F40" s="175">
        <v>100</v>
      </c>
      <c r="G40" s="175" t="s">
        <v>73</v>
      </c>
      <c r="H40" s="175">
        <v>100</v>
      </c>
      <c r="I40" s="175" t="s">
        <v>73</v>
      </c>
      <c r="J40" s="175"/>
      <c r="K40" s="175">
        <f>$A40*H40</f>
        <v>6900</v>
      </c>
      <c r="Q40" s="3" t="str">
        <v>FVF00045</v>
      </c>
      <c r="R40" s="3" t="str">
        <f t="shared" si="2"/>
        <v>UBI PUTIH</v>
      </c>
      <c r="S40" s="108">
        <f t="shared" si="3"/>
        <v>20038.02</v>
      </c>
    </row>
    <row r="41" spans="1:19" x14ac:dyDescent="0.35">
      <c r="D41" s="180" t="s">
        <v>47</v>
      </c>
      <c r="E41" s="3" t="s">
        <v>569</v>
      </c>
      <c r="F41" s="175">
        <v>30</v>
      </c>
      <c r="G41" s="175" t="s">
        <v>73</v>
      </c>
      <c r="H41" s="175">
        <v>30</v>
      </c>
      <c r="I41" s="175" t="s">
        <v>73</v>
      </c>
      <c r="J41" s="175"/>
      <c r="K41" s="175">
        <f t="shared" ref="K41:K68" si="8">$A41*H41</f>
        <v>0</v>
      </c>
      <c r="Q41" s="3" t="str">
        <v>CKPF0037</v>
      </c>
      <c r="R41" s="3" t="str">
        <f t="shared" si="2"/>
        <v>CK FRIED CHOONJANG 1 KG</v>
      </c>
      <c r="S41" s="108">
        <f t="shared" si="3"/>
        <v>12961.02</v>
      </c>
    </row>
    <row r="42" spans="1:19" x14ac:dyDescent="0.35">
      <c r="D42" s="180" t="s">
        <v>495</v>
      </c>
      <c r="E42" s="3" t="s">
        <v>496</v>
      </c>
      <c r="F42" s="175">
        <v>15</v>
      </c>
      <c r="G42" s="175" t="s">
        <v>73</v>
      </c>
      <c r="H42" s="175">
        <v>15</v>
      </c>
      <c r="I42" s="175" t="s">
        <v>73</v>
      </c>
      <c r="J42" s="175"/>
      <c r="K42" s="175">
        <f t="shared" si="8"/>
        <v>0</v>
      </c>
      <c r="Q42" s="3" t="str">
        <v>FVF00006</v>
      </c>
      <c r="R42" s="3" t="str">
        <f t="shared" si="2"/>
        <v>KOL</v>
      </c>
      <c r="S42" s="108">
        <f t="shared" si="3"/>
        <v>44255.29</v>
      </c>
    </row>
    <row r="43" spans="1:19" x14ac:dyDescent="0.35">
      <c r="D43" s="180" t="s">
        <v>49</v>
      </c>
      <c r="E43" s="3" t="s">
        <v>395</v>
      </c>
      <c r="F43" s="175">
        <v>3</v>
      </c>
      <c r="G43" s="175" t="s">
        <v>73</v>
      </c>
      <c r="H43" s="175">
        <v>3</v>
      </c>
      <c r="I43" s="175" t="s">
        <v>73</v>
      </c>
      <c r="J43" s="175"/>
      <c r="K43" s="175">
        <f t="shared" si="8"/>
        <v>0</v>
      </c>
      <c r="Q43" s="3" t="str">
        <v>FMP00019</v>
      </c>
      <c r="R43" s="3" t="str">
        <f t="shared" si="2"/>
        <v xml:space="preserve">PAHA BONELESS </v>
      </c>
      <c r="S43" s="108">
        <f t="shared" si="3"/>
        <v>36294.9</v>
      </c>
    </row>
    <row r="44" spans="1:19" x14ac:dyDescent="0.35">
      <c r="D44" s="180" t="s">
        <v>48</v>
      </c>
      <c r="E44" s="3" t="s">
        <v>1126</v>
      </c>
      <c r="F44" s="175">
        <v>5</v>
      </c>
      <c r="G44" s="175" t="s">
        <v>73</v>
      </c>
      <c r="H44" s="175">
        <v>5</v>
      </c>
      <c r="I44" s="175" t="s">
        <v>73</v>
      </c>
      <c r="J44" s="175"/>
      <c r="K44" s="175">
        <f t="shared" si="8"/>
        <v>0</v>
      </c>
      <c r="Q44" s="3" t="str">
        <v>FGR00078</v>
      </c>
      <c r="R44" s="3" t="str">
        <f t="shared" si="2"/>
        <v>POTATO STARCH</v>
      </c>
      <c r="S44" s="108">
        <f t="shared" si="3"/>
        <v>978.93000000000006</v>
      </c>
    </row>
    <row r="45" spans="1:19" x14ac:dyDescent="0.35">
      <c r="D45" s="319"/>
      <c r="E45" s="117" t="s">
        <v>1125</v>
      </c>
      <c r="F45" s="104">
        <v>10</v>
      </c>
      <c r="G45" s="104" t="s">
        <v>73</v>
      </c>
      <c r="H45" s="104"/>
      <c r="I45" s="104"/>
      <c r="J45" s="104"/>
      <c r="K45" s="104"/>
      <c r="Q45" s="3" t="str">
        <v>FSS00010</v>
      </c>
      <c r="R45" s="3" t="str">
        <f t="shared" si="2"/>
        <v>BLACK SESAME OIL 5 L</v>
      </c>
      <c r="S45" s="108">
        <f t="shared" si="3"/>
        <v>13089.44</v>
      </c>
    </row>
    <row r="46" spans="1:19" x14ac:dyDescent="0.35">
      <c r="D46" s="180" t="s">
        <v>47</v>
      </c>
      <c r="E46" s="118" t="s">
        <v>569</v>
      </c>
      <c r="F46" s="175">
        <v>600</v>
      </c>
      <c r="G46" s="175" t="s">
        <v>73</v>
      </c>
      <c r="H46" s="175">
        <f>ROUND((($F$45)*((F46)/($F$46+$F$47+$F$48+$F$49+$F$50))),2)</f>
        <v>6.67</v>
      </c>
      <c r="I46" s="175" t="s">
        <v>73</v>
      </c>
      <c r="J46" s="175"/>
      <c r="K46" s="175">
        <f t="shared" si="8"/>
        <v>0</v>
      </c>
      <c r="Q46" s="3" t="str">
        <v>FFF00021</v>
      </c>
      <c r="R46" s="3" t="str">
        <f t="shared" si="2"/>
        <v>MIE KALGUKSU 10 x 100 G</v>
      </c>
      <c r="S46" s="108">
        <f t="shared" si="3"/>
        <v>179800</v>
      </c>
    </row>
    <row r="47" spans="1:19" x14ac:dyDescent="0.35">
      <c r="D47" s="180" t="s">
        <v>48</v>
      </c>
      <c r="E47" s="118" t="s">
        <v>1126</v>
      </c>
      <c r="F47" s="175">
        <v>100</v>
      </c>
      <c r="G47" s="175" t="s">
        <v>73</v>
      </c>
      <c r="H47" s="175">
        <f t="shared" ref="H47:H50" si="9">ROUND((($F$45)*((F47)/($F$46+$F$47+$F$48+$F$49+$F$50))),2)</f>
        <v>1.1100000000000001</v>
      </c>
      <c r="I47" s="175" t="s">
        <v>73</v>
      </c>
      <c r="J47" s="175"/>
      <c r="K47" s="175">
        <f t="shared" si="8"/>
        <v>0</v>
      </c>
      <c r="Q47" s="3" t="str">
        <v>FGR00044</v>
      </c>
      <c r="R47" s="3" t="str">
        <f t="shared" si="2"/>
        <v>NORI TABUR / SEASONED LAVER POWDER 1KG</v>
      </c>
      <c r="S47" s="108">
        <f t="shared" si="3"/>
        <v>3596</v>
      </c>
    </row>
    <row r="48" spans="1:19" x14ac:dyDescent="0.35">
      <c r="D48" s="180" t="s">
        <v>49</v>
      </c>
      <c r="E48" s="118" t="s">
        <v>395</v>
      </c>
      <c r="F48" s="175">
        <v>50</v>
      </c>
      <c r="G48" s="175" t="s">
        <v>73</v>
      </c>
      <c r="H48" s="175">
        <f t="shared" si="9"/>
        <v>0.56000000000000005</v>
      </c>
      <c r="I48" s="175" t="s">
        <v>73</v>
      </c>
      <c r="J48" s="175"/>
      <c r="K48" s="175">
        <f t="shared" si="8"/>
        <v>0</v>
      </c>
      <c r="Q48" s="3" t="str">
        <v>HWDL0041</v>
      </c>
      <c r="R48" s="3" t="str">
        <f t="shared" si="2"/>
        <v>WIP HG CHICKEN SOUP BASE</v>
      </c>
      <c r="S48" s="108">
        <f t="shared" si="3"/>
        <v>0</v>
      </c>
    </row>
    <row r="49" spans="4:19" x14ac:dyDescent="0.35">
      <c r="D49" s="180" t="s">
        <v>50</v>
      </c>
      <c r="E49" s="118" t="s">
        <v>1127</v>
      </c>
      <c r="F49" s="175">
        <v>100</v>
      </c>
      <c r="G49" s="175" t="s">
        <v>73</v>
      </c>
      <c r="H49" s="175">
        <f t="shared" si="9"/>
        <v>1.1100000000000001</v>
      </c>
      <c r="I49" s="175" t="s">
        <v>73</v>
      </c>
      <c r="J49" s="175"/>
      <c r="K49" s="175">
        <f t="shared" si="8"/>
        <v>0</v>
      </c>
      <c r="Q49" s="3" t="str">
        <v>HWDL0002</v>
      </c>
      <c r="R49" s="3" t="str">
        <f t="shared" si="2"/>
        <v>WIP HG MINYAK BAWANG</v>
      </c>
      <c r="S49" s="108">
        <f t="shared" si="3"/>
        <v>0</v>
      </c>
    </row>
    <row r="50" spans="4:19" x14ac:dyDescent="0.35">
      <c r="D50" s="180" t="s">
        <v>51</v>
      </c>
      <c r="E50" s="118" t="s">
        <v>404</v>
      </c>
      <c r="F50" s="175">
        <v>50</v>
      </c>
      <c r="G50" s="175" t="s">
        <v>73</v>
      </c>
      <c r="H50" s="175">
        <f t="shared" si="9"/>
        <v>0.56000000000000005</v>
      </c>
      <c r="I50" s="175" t="s">
        <v>73</v>
      </c>
      <c r="J50" s="175"/>
      <c r="K50" s="175">
        <f t="shared" si="8"/>
        <v>0</v>
      </c>
      <c r="Q50" s="3" t="str">
        <v>HWMS0007</v>
      </c>
      <c r="R50" s="3" t="str">
        <f t="shared" si="2"/>
        <v>WIP HG MANDU 1 PCS</v>
      </c>
      <c r="S50" s="108">
        <f t="shared" si="3"/>
        <v>0</v>
      </c>
    </row>
    <row r="51" spans="4:19" x14ac:dyDescent="0.35">
      <c r="D51" s="319"/>
      <c r="E51" s="125" t="s">
        <v>1128</v>
      </c>
      <c r="F51" s="104">
        <v>100</v>
      </c>
      <c r="G51" s="104" t="s">
        <v>73</v>
      </c>
      <c r="H51" s="104"/>
      <c r="I51" s="104"/>
      <c r="J51" s="104"/>
      <c r="K51" s="104"/>
      <c r="Q51" s="3" t="str">
        <v>FFF00020</v>
      </c>
      <c r="R51" s="3" t="str">
        <f t="shared" si="2"/>
        <v>KULIT MANDU D9CM @1KG</v>
      </c>
      <c r="S51" s="108">
        <f t="shared" si="3"/>
        <v>6800</v>
      </c>
    </row>
    <row r="52" spans="4:19" x14ac:dyDescent="0.35">
      <c r="D52" s="180" t="s">
        <v>371</v>
      </c>
      <c r="E52" s="118" t="s">
        <v>372</v>
      </c>
      <c r="F52" s="175">
        <v>300</v>
      </c>
      <c r="G52" s="175" t="s">
        <v>73</v>
      </c>
      <c r="H52" s="175">
        <f>ROUND((($F$51)*((F52)/($F$52+$F$53+$F$54+$F$55))),2)</f>
        <v>15</v>
      </c>
      <c r="I52" s="175" t="s">
        <v>73</v>
      </c>
      <c r="J52" s="175"/>
      <c r="K52" s="175">
        <f t="shared" si="8"/>
        <v>0</v>
      </c>
      <c r="Q52" s="3" t="str">
        <v>HWMS0002</v>
      </c>
      <c r="R52" s="3" t="str">
        <f t="shared" si="2"/>
        <v>WIP HG ISI MANDU</v>
      </c>
      <c r="S52" s="108">
        <f t="shared" si="3"/>
        <v>0</v>
      </c>
    </row>
    <row r="53" spans="4:19" x14ac:dyDescent="0.35">
      <c r="D53" s="180" t="s">
        <v>375</v>
      </c>
      <c r="E53" s="118" t="s">
        <v>1129</v>
      </c>
      <c r="F53" s="175">
        <v>300</v>
      </c>
      <c r="G53" s="175" t="s">
        <v>73</v>
      </c>
      <c r="H53" s="175">
        <f t="shared" ref="H53:H55" si="10">ROUND((($F$51)*((F53)/($F$52+$F$53+$F$54+$F$55))),2)</f>
        <v>15</v>
      </c>
      <c r="I53" s="175" t="s">
        <v>73</v>
      </c>
      <c r="J53" s="175"/>
      <c r="K53" s="175">
        <f t="shared" si="8"/>
        <v>0</v>
      </c>
      <c r="Q53" s="3" t="str">
        <v>FGR00015</v>
      </c>
      <c r="R53" s="3" t="str">
        <f t="shared" si="2"/>
        <v>TEPUNG TAPIOKA PAK TANI GUNUNG 500 G</v>
      </c>
      <c r="S53" s="108">
        <f t="shared" si="3"/>
        <v>2579.17</v>
      </c>
    </row>
    <row r="54" spans="4:19" x14ac:dyDescent="0.35">
      <c r="D54" s="180" t="s">
        <v>50</v>
      </c>
      <c r="E54" s="118" t="s">
        <v>1130</v>
      </c>
      <c r="F54" s="175">
        <v>800</v>
      </c>
      <c r="G54" s="175" t="s">
        <v>73</v>
      </c>
      <c r="H54" s="175">
        <f t="shared" si="10"/>
        <v>40</v>
      </c>
      <c r="I54" s="175" t="s">
        <v>73</v>
      </c>
      <c r="J54" s="175"/>
      <c r="K54" s="175">
        <f t="shared" si="8"/>
        <v>0</v>
      </c>
      <c r="Q54" s="3" t="str">
        <v>CKPF0038</v>
      </c>
      <c r="R54" s="3" t="str">
        <f t="shared" si="2"/>
        <v>CK AYAM MANDU 1 KG</v>
      </c>
      <c r="S54" s="108">
        <f t="shared" si="3"/>
        <v>36792.83</v>
      </c>
    </row>
    <row r="55" spans="4:19" x14ac:dyDescent="0.35">
      <c r="D55" s="180" t="s">
        <v>60</v>
      </c>
      <c r="E55" s="118" t="s">
        <v>368</v>
      </c>
      <c r="F55" s="175">
        <v>600</v>
      </c>
      <c r="G55" s="175" t="s">
        <v>73</v>
      </c>
      <c r="H55" s="175">
        <f t="shared" si="10"/>
        <v>30</v>
      </c>
      <c r="I55" s="175" t="s">
        <v>73</v>
      </c>
      <c r="J55" s="175"/>
      <c r="K55" s="175">
        <f t="shared" si="8"/>
        <v>0</v>
      </c>
      <c r="Q55" s="3" t="str">
        <v>FVF00011</v>
      </c>
      <c r="R55" s="3" t="str">
        <f t="shared" si="2"/>
        <v>KUCAI</v>
      </c>
      <c r="S55" s="108">
        <f t="shared" si="3"/>
        <v>3395.17</v>
      </c>
    </row>
    <row r="56" spans="4:19" x14ac:dyDescent="0.35">
      <c r="D56" s="319"/>
      <c r="E56" s="125" t="s">
        <v>1133</v>
      </c>
      <c r="F56" s="104">
        <v>350</v>
      </c>
      <c r="G56" s="104" t="s">
        <v>73</v>
      </c>
      <c r="H56" s="104"/>
      <c r="I56" s="104"/>
      <c r="J56" s="104"/>
      <c r="K56" s="104"/>
      <c r="Q56" s="3" t="str">
        <v>FGR00033</v>
      </c>
      <c r="R56" s="3" t="str">
        <f t="shared" si="2"/>
        <v>DANGMYEON</v>
      </c>
      <c r="S56" s="108">
        <f t="shared" si="3"/>
        <v>11045.17</v>
      </c>
    </row>
    <row r="57" spans="4:19" x14ac:dyDescent="0.35">
      <c r="D57" s="180" t="s">
        <v>646</v>
      </c>
      <c r="E57" s="118" t="s">
        <v>647</v>
      </c>
      <c r="F57" s="175">
        <v>50</v>
      </c>
      <c r="G57" s="175" t="s">
        <v>73</v>
      </c>
      <c r="H57" s="175">
        <f>ROUND((($F$56)*((F57)/($F$57+$F$58+$F$59+$F$60+$F$61+$F$62+$F$63+$F$64))),2)</f>
        <v>1.51</v>
      </c>
      <c r="I57" s="175" t="s">
        <v>73</v>
      </c>
      <c r="J57" s="175"/>
      <c r="K57" s="175">
        <f t="shared" si="8"/>
        <v>0</v>
      </c>
      <c r="Q57" s="3" t="str">
        <v>HWMS0013</v>
      </c>
      <c r="R57" s="3" t="str">
        <f t="shared" si="2"/>
        <v>WIP HG AYAM TOPPING KALGUKSU</v>
      </c>
      <c r="S57" s="108">
        <f t="shared" si="3"/>
        <v>0</v>
      </c>
    </row>
    <row r="58" spans="4:19" x14ac:dyDescent="0.35">
      <c r="D58" s="180" t="s">
        <v>333</v>
      </c>
      <c r="E58" s="118" t="s">
        <v>1134</v>
      </c>
      <c r="F58" s="175">
        <v>50</v>
      </c>
      <c r="G58" s="175" t="s">
        <v>73</v>
      </c>
      <c r="H58" s="175">
        <f t="shared" ref="H58:H64" si="11">ROUND((($F$56)*((F58)/($F$57+$F$58+$F$59+$F$60+$F$61+$F$62+$F$63+$F$64))),2)</f>
        <v>1.51</v>
      </c>
      <c r="I58" s="175" t="s">
        <v>73</v>
      </c>
      <c r="J58" s="175"/>
      <c r="K58" s="175">
        <f t="shared" si="8"/>
        <v>0</v>
      </c>
      <c r="Q58" s="3" t="str">
        <v>FMP00018</v>
      </c>
      <c r="R58" s="3" t="str">
        <f t="shared" si="2"/>
        <v>PAHA GILING KASAR 2 KG</v>
      </c>
      <c r="S58" s="108">
        <f t="shared" si="3"/>
        <v>38369.32</v>
      </c>
    </row>
    <row r="59" spans="4:19" x14ac:dyDescent="0.35">
      <c r="D59" s="180" t="s">
        <v>43</v>
      </c>
      <c r="E59" s="118" t="s">
        <v>817</v>
      </c>
      <c r="F59" s="175">
        <v>110</v>
      </c>
      <c r="G59" s="175" t="s">
        <v>73</v>
      </c>
      <c r="H59" s="175">
        <f t="shared" si="11"/>
        <v>3.33</v>
      </c>
      <c r="I59" s="175" t="s">
        <v>73</v>
      </c>
      <c r="J59" s="175"/>
      <c r="K59" s="175">
        <f t="shared" si="8"/>
        <v>0</v>
      </c>
      <c r="Q59" s="3" t="str">
        <v>CWVF0009</v>
      </c>
      <c r="R59" s="3" t="str">
        <f t="shared" si="2"/>
        <v xml:space="preserve">	WIP KIMCHI</v>
      </c>
      <c r="S59" s="108">
        <f t="shared" si="3"/>
        <v>0</v>
      </c>
    </row>
    <row r="60" spans="4:19" x14ac:dyDescent="0.35">
      <c r="D60" s="180" t="s">
        <v>42</v>
      </c>
      <c r="E60" s="118" t="s">
        <v>1135</v>
      </c>
      <c r="F60" s="175">
        <v>120</v>
      </c>
      <c r="G60" s="175" t="s">
        <v>73</v>
      </c>
      <c r="H60" s="175">
        <f t="shared" si="11"/>
        <v>3.63</v>
      </c>
      <c r="I60" s="175" t="s">
        <v>73</v>
      </c>
      <c r="J60" s="175"/>
      <c r="K60" s="175">
        <f t="shared" si="8"/>
        <v>0</v>
      </c>
      <c r="Q60" s="3" t="str">
        <v>CKPF0001</v>
      </c>
      <c r="R60" s="3" t="str">
        <f t="shared" si="2"/>
        <v>CK KIMCHI BASE 1 KG</v>
      </c>
      <c r="S60" s="108">
        <f t="shared" si="3"/>
        <v>13017.52</v>
      </c>
    </row>
    <row r="61" spans="4:19" x14ac:dyDescent="0.35">
      <c r="D61" s="180" t="s">
        <v>45</v>
      </c>
      <c r="E61" s="118" t="s">
        <v>321</v>
      </c>
      <c r="F61" s="175">
        <v>70</v>
      </c>
      <c r="G61" s="175" t="s">
        <v>73</v>
      </c>
      <c r="H61" s="175">
        <f t="shared" si="11"/>
        <v>2.12</v>
      </c>
      <c r="I61" s="175" t="s">
        <v>73</v>
      </c>
      <c r="J61" s="175"/>
      <c r="K61" s="175">
        <f t="shared" si="8"/>
        <v>0</v>
      </c>
      <c r="Q61" s="3" t="str">
        <v>CKPF0049</v>
      </c>
      <c r="R61" s="3" t="str">
        <f t="shared" si="2"/>
        <v>CK DRY KALGUKSU SAUCE 1 KG</v>
      </c>
      <c r="S61" s="108">
        <f t="shared" si="3"/>
        <v>0</v>
      </c>
    </row>
    <row r="62" spans="4:19" x14ac:dyDescent="0.35">
      <c r="D62" s="180" t="s">
        <v>626</v>
      </c>
      <c r="E62" s="118" t="s">
        <v>627</v>
      </c>
      <c r="F62" s="175">
        <v>160</v>
      </c>
      <c r="G62" s="175" t="s">
        <v>73</v>
      </c>
      <c r="H62" s="175">
        <f t="shared" si="11"/>
        <v>4.84</v>
      </c>
      <c r="I62" s="175" t="s">
        <v>73</v>
      </c>
      <c r="J62" s="175"/>
      <c r="K62" s="175">
        <f t="shared" si="8"/>
        <v>0</v>
      </c>
      <c r="Q62" s="3" t="str">
        <v>FVF00018</v>
      </c>
      <c r="R62" s="3" t="str">
        <f t="shared" si="2"/>
        <v>DAUN BAWANG CUNG</v>
      </c>
      <c r="S62" s="108">
        <f t="shared" si="3"/>
        <v>719.4</v>
      </c>
    </row>
    <row r="63" spans="4:19" x14ac:dyDescent="0.35">
      <c r="D63" s="180" t="s">
        <v>1250</v>
      </c>
      <c r="E63" s="118" t="s">
        <v>1236</v>
      </c>
      <c r="F63" s="175">
        <v>3</v>
      </c>
      <c r="G63" s="175" t="s">
        <v>73</v>
      </c>
      <c r="H63" s="175">
        <f t="shared" si="11"/>
        <v>0.09</v>
      </c>
      <c r="I63" s="175" t="s">
        <v>73</v>
      </c>
      <c r="J63" s="175"/>
      <c r="K63" s="175">
        <f t="shared" si="8"/>
        <v>0</v>
      </c>
      <c r="Q63" s="3" t="str">
        <v>CKPF0014</v>
      </c>
      <c r="R63" s="3" t="str">
        <f t="shared" si="2"/>
        <v>CK TWIGIM SAUCE 1 KG</v>
      </c>
      <c r="S63" s="108">
        <f t="shared" si="3"/>
        <v>11766</v>
      </c>
    </row>
    <row r="64" spans="4:19" x14ac:dyDescent="0.35">
      <c r="D64" s="518"/>
      <c r="E64" s="127" t="s">
        <v>950</v>
      </c>
      <c r="F64" s="181">
        <v>11000</v>
      </c>
      <c r="G64" s="181" t="s">
        <v>73</v>
      </c>
      <c r="H64" s="181">
        <f t="shared" si="11"/>
        <v>332.96</v>
      </c>
      <c r="I64" s="181"/>
      <c r="J64" s="181"/>
      <c r="K64" s="181"/>
      <c r="Q64" s="3" t="str">
        <v>FMP00005</v>
      </c>
      <c r="R64" s="3" t="str">
        <f t="shared" si="2"/>
        <v>BEEF HAM LOAF 4 KG</v>
      </c>
      <c r="S64" s="108">
        <f t="shared" si="3"/>
        <v>1390</v>
      </c>
    </row>
    <row r="65" spans="1:19" x14ac:dyDescent="0.35">
      <c r="D65" s="319"/>
      <c r="E65" s="125" t="s">
        <v>1138</v>
      </c>
      <c r="F65" s="104">
        <v>35</v>
      </c>
      <c r="G65" s="104" t="s">
        <v>73</v>
      </c>
      <c r="H65" s="104"/>
      <c r="I65" s="104"/>
      <c r="J65" s="104"/>
      <c r="K65" s="104"/>
      <c r="Q65" s="3" t="str">
        <v>FGR00014</v>
      </c>
      <c r="R65" s="3" t="str">
        <f t="shared" si="2"/>
        <v>TEPUNG TERIGU SEGITIGA BIRU 1 KG</v>
      </c>
      <c r="S65" s="108">
        <f t="shared" si="3"/>
        <v>4170</v>
      </c>
    </row>
    <row r="66" spans="1:19" x14ac:dyDescent="0.35">
      <c r="D66" s="180" t="s">
        <v>129</v>
      </c>
      <c r="E66" s="118" t="s">
        <v>130</v>
      </c>
      <c r="F66" s="175">
        <v>200</v>
      </c>
      <c r="G66" s="175" t="s">
        <v>73</v>
      </c>
      <c r="H66" s="175">
        <f>ROUND((($F$65)*((F66)/($F$66+$F$67+$F$68))),2)</f>
        <v>5.83</v>
      </c>
      <c r="I66" s="175" t="s">
        <v>73</v>
      </c>
      <c r="J66" s="175"/>
      <c r="K66" s="175">
        <f t="shared" si="8"/>
        <v>0</v>
      </c>
      <c r="Q66" s="3" t="str">
        <v>FGR00079</v>
      </c>
      <c r="R66" s="3" t="str">
        <f t="shared" si="2"/>
        <v>BREAD CRUMB FROZEN 4 x 2 KG</v>
      </c>
      <c r="S66" s="108">
        <f t="shared" si="3"/>
        <v>12510</v>
      </c>
    </row>
    <row r="67" spans="1:19" x14ac:dyDescent="0.35">
      <c r="D67" s="180" t="s">
        <v>55</v>
      </c>
      <c r="E67" s="118" t="s">
        <v>324</v>
      </c>
      <c r="F67" s="175">
        <v>1</v>
      </c>
      <c r="G67" s="175" t="s">
        <v>73</v>
      </c>
      <c r="H67" s="175">
        <f>ROUND((($F$65)*((F67)/($F$66+$F$67+$F$68))),2)</f>
        <v>0.03</v>
      </c>
      <c r="I67" s="175" t="s">
        <v>73</v>
      </c>
      <c r="J67" s="175"/>
      <c r="K67" s="175">
        <f t="shared" si="8"/>
        <v>0</v>
      </c>
      <c r="Q67" s="3" t="str">
        <v>FGR00019</v>
      </c>
      <c r="R67" s="3" t="str">
        <f t="shared" si="2"/>
        <v xml:space="preserve">	TELUR UTUH</v>
      </c>
      <c r="S67" s="108">
        <f t="shared" si="3"/>
        <v>5560</v>
      </c>
    </row>
    <row r="68" spans="1:19" x14ac:dyDescent="0.35">
      <c r="D68" s="180" t="s">
        <v>63</v>
      </c>
      <c r="E68" s="118" t="s">
        <v>453</v>
      </c>
      <c r="F68" s="175">
        <v>1000</v>
      </c>
      <c r="G68" s="175" t="s">
        <v>73</v>
      </c>
      <c r="H68" s="175">
        <f>ROUND((($F$65)*((F68)/($F$66+$F$67+$F$68))),2)</f>
        <v>29.14</v>
      </c>
      <c r="I68" s="175" t="s">
        <v>73</v>
      </c>
      <c r="J68" s="175"/>
      <c r="K68" s="175">
        <f t="shared" si="8"/>
        <v>0</v>
      </c>
      <c r="Q68" s="3" t="str">
        <v>CKRD0006</v>
      </c>
      <c r="R68" s="3" t="str">
        <f t="shared" si="2"/>
        <v>CK GARLIC POWDER REPACK 100 G</v>
      </c>
      <c r="S68" s="108">
        <f t="shared" si="3"/>
        <v>225.18</v>
      </c>
    </row>
    <row r="69" spans="1:19" x14ac:dyDescent="0.35">
      <c r="A69" s="120"/>
      <c r="B69" s="120"/>
      <c r="C69" s="120"/>
      <c r="D69" s="519"/>
      <c r="E69" s="120"/>
      <c r="F69" s="182"/>
      <c r="G69" s="182" t="s">
        <v>73</v>
      </c>
      <c r="H69" s="182"/>
      <c r="I69" s="182" t="s">
        <v>73</v>
      </c>
      <c r="J69" s="182"/>
      <c r="K69" s="182"/>
      <c r="Q69" s="3" t="str">
        <v>FSP00003</v>
      </c>
      <c r="R69" s="3" t="str">
        <f t="shared" si="2"/>
        <v>KEWPIE MAYO PRO USE 1 KG</v>
      </c>
      <c r="S69" s="108">
        <f t="shared" si="3"/>
        <v>2254.58</v>
      </c>
    </row>
    <row r="70" spans="1:19" x14ac:dyDescent="0.35">
      <c r="A70" s="122">
        <f>IFERROR(INDEX($N$8:$N$50,MATCH(B70,$O$8:$O$50, 0)), "")</f>
        <v>115</v>
      </c>
      <c r="B70" s="124" t="s">
        <v>1140</v>
      </c>
      <c r="C70" s="122" t="s">
        <v>1139</v>
      </c>
      <c r="D70" s="180" t="s">
        <v>175</v>
      </c>
      <c r="E70" s="3" t="s">
        <v>176</v>
      </c>
      <c r="F70" s="175">
        <v>100</v>
      </c>
      <c r="G70" s="175" t="s">
        <v>73</v>
      </c>
      <c r="H70" s="175">
        <v>100</v>
      </c>
      <c r="I70" s="175" t="s">
        <v>73</v>
      </c>
      <c r="J70" s="175"/>
      <c r="K70" s="175">
        <f>$A$70*H70</f>
        <v>11500</v>
      </c>
      <c r="Q70" s="3" t="str">
        <v>FGR00013</v>
      </c>
      <c r="R70" s="3" t="str">
        <f t="shared" si="2"/>
        <v>TEPUNG KETAN ROSE BRAND 500 G</v>
      </c>
      <c r="S70" s="108">
        <f t="shared" si="3"/>
        <v>450.36</v>
      </c>
    </row>
    <row r="71" spans="1:19" x14ac:dyDescent="0.35">
      <c r="D71" s="180" t="s">
        <v>47</v>
      </c>
      <c r="E71" s="3" t="s">
        <v>569</v>
      </c>
      <c r="F71" s="175">
        <v>30</v>
      </c>
      <c r="G71" s="175" t="s">
        <v>73</v>
      </c>
      <c r="H71" s="175">
        <v>30</v>
      </c>
      <c r="I71" s="175" t="s">
        <v>73</v>
      </c>
      <c r="J71" s="175"/>
      <c r="K71" s="175">
        <f t="shared" ref="K71:K101" si="12">$A$70*H71</f>
        <v>3450</v>
      </c>
      <c r="Q71" s="3" t="str">
        <v>CKRD0010</v>
      </c>
      <c r="R71" s="3" t="str">
        <f t="shared" si="2"/>
        <v>CK CHEESE POWDER REPACK 50 G</v>
      </c>
      <c r="S71" s="108">
        <f t="shared" si="3"/>
        <v>225.18</v>
      </c>
    </row>
    <row r="72" spans="1:19" x14ac:dyDescent="0.35">
      <c r="D72" s="180" t="s">
        <v>495</v>
      </c>
      <c r="E72" s="3" t="s">
        <v>496</v>
      </c>
      <c r="F72" s="175">
        <v>15</v>
      </c>
      <c r="G72" s="175" t="s">
        <v>73</v>
      </c>
      <c r="H72" s="175">
        <v>15</v>
      </c>
      <c r="I72" s="175" t="s">
        <v>73</v>
      </c>
      <c r="J72" s="175"/>
      <c r="K72" s="175">
        <f t="shared" si="12"/>
        <v>1725</v>
      </c>
      <c r="Q72" s="3" t="str">
        <v>FGR00005</v>
      </c>
      <c r="R72" s="3" t="str">
        <f t="shared" si="2"/>
        <v>COOKING CREAM 1 L</v>
      </c>
      <c r="S72" s="108">
        <f t="shared" si="3"/>
        <v>5637.84</v>
      </c>
    </row>
    <row r="73" spans="1:19" x14ac:dyDescent="0.35">
      <c r="D73" s="180" t="s">
        <v>49</v>
      </c>
      <c r="E73" s="3" t="s">
        <v>395</v>
      </c>
      <c r="F73" s="175">
        <v>3</v>
      </c>
      <c r="G73" s="175" t="s">
        <v>73</v>
      </c>
      <c r="H73" s="175">
        <v>3</v>
      </c>
      <c r="I73" s="175" t="s">
        <v>73</v>
      </c>
      <c r="J73" s="175"/>
      <c r="K73" s="175">
        <f t="shared" si="12"/>
        <v>345</v>
      </c>
      <c r="Q73" s="3" t="str">
        <v>CKPF0002</v>
      </c>
      <c r="R73" s="3" t="str">
        <f t="shared" si="2"/>
        <v>CK TOKPOKKI BASE 1 KG</v>
      </c>
      <c r="S73" s="108">
        <f t="shared" ref="S73:S78" si="13">IF(Q73="","", SUMIFS(K$8:K$3348, D$8:D$3348, Q73))</f>
        <v>5637.84</v>
      </c>
    </row>
    <row r="74" spans="1:19" x14ac:dyDescent="0.35">
      <c r="D74" s="180" t="s">
        <v>48</v>
      </c>
      <c r="E74" s="3" t="s">
        <v>1126</v>
      </c>
      <c r="F74" s="175">
        <v>5</v>
      </c>
      <c r="G74" s="175" t="s">
        <v>73</v>
      </c>
      <c r="H74" s="175">
        <v>5</v>
      </c>
      <c r="I74" s="175" t="s">
        <v>73</v>
      </c>
      <c r="J74" s="175"/>
      <c r="K74" s="175">
        <f t="shared" si="12"/>
        <v>575</v>
      </c>
      <c r="Q74" s="3" t="str">
        <v>FGR00068</v>
      </c>
      <c r="R74" s="3" t="str">
        <f t="shared" si="2"/>
        <v>MOZARELLA CHEESE</v>
      </c>
      <c r="S74" s="108">
        <f t="shared" si="13"/>
        <v>2610</v>
      </c>
    </row>
    <row r="75" spans="1:19" x14ac:dyDescent="0.35">
      <c r="D75" s="180" t="s">
        <v>1142</v>
      </c>
      <c r="E75" s="3" t="s">
        <v>1141</v>
      </c>
      <c r="F75" s="175">
        <v>10</v>
      </c>
      <c r="G75" s="175" t="s">
        <v>73</v>
      </c>
      <c r="H75" s="175">
        <v>10</v>
      </c>
      <c r="I75" s="175" t="s">
        <v>73</v>
      </c>
      <c r="J75" s="175"/>
      <c r="K75" s="175">
        <f t="shared" si="12"/>
        <v>1150</v>
      </c>
      <c r="Q75" s="3" t="str">
        <v>CKPF0003</v>
      </c>
      <c r="R75" s="3" t="str">
        <f t="shared" si="2"/>
        <v>CK Japchae Sauce Base</v>
      </c>
      <c r="S75" s="108">
        <f t="shared" si="13"/>
        <v>0</v>
      </c>
    </row>
    <row r="76" spans="1:19" x14ac:dyDescent="0.35">
      <c r="D76" s="180" t="s">
        <v>1144</v>
      </c>
      <c r="E76" s="3" t="s">
        <v>1143</v>
      </c>
      <c r="F76" s="175">
        <v>1</v>
      </c>
      <c r="G76" s="175" t="s">
        <v>74</v>
      </c>
      <c r="H76" s="175">
        <v>1</v>
      </c>
      <c r="I76" s="175" t="s">
        <v>74</v>
      </c>
      <c r="J76" s="175"/>
      <c r="K76" s="175">
        <f t="shared" si="12"/>
        <v>115</v>
      </c>
      <c r="Q76" s="3" t="str">
        <v>FGR00027</v>
      </c>
      <c r="R76" s="3" t="str">
        <f t="shared" ref="R76:R78" si="14">IF(Q76="","", IF(INDEX(E$8:E$3348, MATCH(Q76, D$8:D$3348, 0))=0,"", INDEX(E$8:E$3348, MATCH(Q76, D$8:D$3348, 0))))</f>
        <v>Pewarna Kuning</v>
      </c>
      <c r="S76" s="108">
        <f t="shared" si="13"/>
        <v>0</v>
      </c>
    </row>
    <row r="77" spans="1:19" x14ac:dyDescent="0.35">
      <c r="D77" s="180" t="s">
        <v>294</v>
      </c>
      <c r="E77" s="3" t="s">
        <v>295</v>
      </c>
      <c r="F77" s="175">
        <v>10</v>
      </c>
      <c r="G77" s="175" t="s">
        <v>73</v>
      </c>
      <c r="H77" s="175">
        <v>10</v>
      </c>
      <c r="I77" s="175" t="s">
        <v>73</v>
      </c>
      <c r="J77" s="175"/>
      <c r="K77" s="175">
        <f t="shared" si="12"/>
        <v>1150</v>
      </c>
      <c r="Q77" s="3" t="str">
        <v>CKPD0044</v>
      </c>
      <c r="R77" s="3" t="str">
        <f t="shared" si="14"/>
        <v>CK BBURINKLE POWDER 500 G</v>
      </c>
      <c r="S77" s="108">
        <f t="shared" si="13"/>
        <v>0</v>
      </c>
    </row>
    <row r="78" spans="1:19" x14ac:dyDescent="0.35">
      <c r="D78" s="180" t="s">
        <v>1146</v>
      </c>
      <c r="E78" s="3" t="s">
        <v>1145</v>
      </c>
      <c r="F78" s="175">
        <v>2</v>
      </c>
      <c r="G78" s="175" t="s">
        <v>74</v>
      </c>
      <c r="H78" s="175">
        <v>2</v>
      </c>
      <c r="I78" s="175" t="s">
        <v>74</v>
      </c>
      <c r="J78" s="175"/>
      <c r="K78" s="175">
        <f t="shared" si="12"/>
        <v>230</v>
      </c>
      <c r="Q78" s="3" t="str">
        <v>CKPD0047</v>
      </c>
      <c r="R78" s="3" t="str">
        <f t="shared" si="14"/>
        <v>CK SPICY BBQ POWDER 500 G</v>
      </c>
      <c r="S78" s="108">
        <f t="shared" si="13"/>
        <v>0</v>
      </c>
    </row>
    <row r="79" spans="1:19" x14ac:dyDescent="0.35">
      <c r="D79" s="319"/>
      <c r="E79" s="117" t="s">
        <v>1125</v>
      </c>
      <c r="F79" s="104">
        <v>10</v>
      </c>
      <c r="G79" s="104" t="s">
        <v>73</v>
      </c>
      <c r="H79" s="104"/>
      <c r="I79" s="104"/>
      <c r="J79" s="104"/>
      <c r="K79" s="104"/>
    </row>
    <row r="80" spans="1:19" x14ac:dyDescent="0.35">
      <c r="D80" s="180" t="s">
        <v>47</v>
      </c>
      <c r="E80" s="118" t="s">
        <v>569</v>
      </c>
      <c r="F80" s="175">
        <v>600</v>
      </c>
      <c r="G80" s="175" t="s">
        <v>73</v>
      </c>
      <c r="H80" s="175">
        <f>ROUND((($F$79)*((F80)/($F$80+$F$81+$F$82+$F$83+$F$84))),2)</f>
        <v>6.67</v>
      </c>
      <c r="I80" s="175" t="s">
        <v>73</v>
      </c>
      <c r="J80" s="175"/>
      <c r="K80" s="175">
        <f t="shared" si="12"/>
        <v>767.05</v>
      </c>
    </row>
    <row r="81" spans="4:11" x14ac:dyDescent="0.35">
      <c r="D81" s="180" t="s">
        <v>48</v>
      </c>
      <c r="E81" s="118" t="s">
        <v>1126</v>
      </c>
      <c r="F81" s="175">
        <v>100</v>
      </c>
      <c r="G81" s="175" t="s">
        <v>73</v>
      </c>
      <c r="H81" s="175">
        <f t="shared" ref="H81:H84" si="15">ROUND((($F$79)*((F81)/($F$80+$F$81+$F$82+$F$83+$F$84))),2)</f>
        <v>1.1100000000000001</v>
      </c>
      <c r="I81" s="175" t="s">
        <v>73</v>
      </c>
      <c r="J81" s="175"/>
      <c r="K81" s="175">
        <f t="shared" si="12"/>
        <v>127.65</v>
      </c>
    </row>
    <row r="82" spans="4:11" x14ac:dyDescent="0.35">
      <c r="D82" s="180" t="s">
        <v>49</v>
      </c>
      <c r="E82" s="118" t="s">
        <v>395</v>
      </c>
      <c r="F82" s="175">
        <v>50</v>
      </c>
      <c r="G82" s="175" t="s">
        <v>73</v>
      </c>
      <c r="H82" s="175">
        <f t="shared" si="15"/>
        <v>0.56000000000000005</v>
      </c>
      <c r="I82" s="175" t="s">
        <v>73</v>
      </c>
      <c r="J82" s="175"/>
      <c r="K82" s="175">
        <f t="shared" si="12"/>
        <v>64.400000000000006</v>
      </c>
    </row>
    <row r="83" spans="4:11" x14ac:dyDescent="0.35">
      <c r="D83" s="180" t="s">
        <v>50</v>
      </c>
      <c r="E83" s="118" t="s">
        <v>1127</v>
      </c>
      <c r="F83" s="175">
        <v>100</v>
      </c>
      <c r="G83" s="175" t="s">
        <v>73</v>
      </c>
      <c r="H83" s="175">
        <f t="shared" si="15"/>
        <v>1.1100000000000001</v>
      </c>
      <c r="I83" s="175" t="s">
        <v>73</v>
      </c>
      <c r="J83" s="175"/>
      <c r="K83" s="175">
        <f t="shared" si="12"/>
        <v>127.65</v>
      </c>
    </row>
    <row r="84" spans="4:11" x14ac:dyDescent="0.35">
      <c r="D84" s="180" t="s">
        <v>51</v>
      </c>
      <c r="E84" s="118" t="s">
        <v>404</v>
      </c>
      <c r="F84" s="175">
        <v>50</v>
      </c>
      <c r="G84" s="175" t="s">
        <v>73</v>
      </c>
      <c r="H84" s="175">
        <f t="shared" si="15"/>
        <v>0.56000000000000005</v>
      </c>
      <c r="I84" s="175" t="s">
        <v>73</v>
      </c>
      <c r="J84" s="175"/>
      <c r="K84" s="175">
        <f t="shared" si="12"/>
        <v>64.400000000000006</v>
      </c>
    </row>
    <row r="85" spans="4:11" x14ac:dyDescent="0.35">
      <c r="D85" s="319"/>
      <c r="E85" s="125" t="s">
        <v>1128</v>
      </c>
      <c r="F85" s="104">
        <v>100</v>
      </c>
      <c r="G85" s="104" t="s">
        <v>73</v>
      </c>
      <c r="H85" s="104"/>
      <c r="I85" s="104"/>
      <c r="J85" s="104"/>
      <c r="K85" s="104"/>
    </row>
    <row r="86" spans="4:11" x14ac:dyDescent="0.35">
      <c r="D86" s="180" t="s">
        <v>371</v>
      </c>
      <c r="E86" s="118" t="s">
        <v>372</v>
      </c>
      <c r="F86" s="175">
        <v>300</v>
      </c>
      <c r="G86" s="175" t="s">
        <v>73</v>
      </c>
      <c r="H86" s="175">
        <f>ROUND((($F$85)*((F86)/($F$86+$F$87+$F$88+$F$89))),2)</f>
        <v>15</v>
      </c>
      <c r="I86" s="175" t="s">
        <v>73</v>
      </c>
      <c r="J86" s="175"/>
      <c r="K86" s="175">
        <f t="shared" si="12"/>
        <v>1725</v>
      </c>
    </row>
    <row r="87" spans="4:11" x14ac:dyDescent="0.35">
      <c r="D87" s="180" t="s">
        <v>375</v>
      </c>
      <c r="E87" s="118" t="s">
        <v>1129</v>
      </c>
      <c r="F87" s="175">
        <v>300</v>
      </c>
      <c r="G87" s="175" t="s">
        <v>73</v>
      </c>
      <c r="H87" s="175">
        <f t="shared" ref="H87:H89" si="16">ROUND((($F$85)*((F87)/($F$86+$F$87+$F$88+$F$89))),2)</f>
        <v>15</v>
      </c>
      <c r="I87" s="175" t="s">
        <v>73</v>
      </c>
      <c r="J87" s="175"/>
      <c r="K87" s="175">
        <f t="shared" si="12"/>
        <v>1725</v>
      </c>
    </row>
    <row r="88" spans="4:11" x14ac:dyDescent="0.35">
      <c r="D88" s="180" t="s">
        <v>50</v>
      </c>
      <c r="E88" s="118" t="s">
        <v>1130</v>
      </c>
      <c r="F88" s="175">
        <v>800</v>
      </c>
      <c r="G88" s="175" t="s">
        <v>73</v>
      </c>
      <c r="H88" s="175">
        <f t="shared" si="16"/>
        <v>40</v>
      </c>
      <c r="I88" s="175" t="s">
        <v>73</v>
      </c>
      <c r="J88" s="175"/>
      <c r="K88" s="175">
        <f t="shared" si="12"/>
        <v>4600</v>
      </c>
    </row>
    <row r="89" spans="4:11" x14ac:dyDescent="0.35">
      <c r="D89" s="180" t="s">
        <v>60</v>
      </c>
      <c r="E89" s="118" t="s">
        <v>368</v>
      </c>
      <c r="F89" s="175">
        <v>600</v>
      </c>
      <c r="G89" s="175" t="s">
        <v>73</v>
      </c>
      <c r="H89" s="175">
        <f t="shared" si="16"/>
        <v>30</v>
      </c>
      <c r="I89" s="175" t="s">
        <v>73</v>
      </c>
      <c r="J89" s="175"/>
      <c r="K89" s="175">
        <f t="shared" si="12"/>
        <v>3450</v>
      </c>
    </row>
    <row r="90" spans="4:11" x14ac:dyDescent="0.35">
      <c r="D90" s="319"/>
      <c r="E90" s="125" t="s">
        <v>1133</v>
      </c>
      <c r="F90" s="104">
        <v>350</v>
      </c>
      <c r="G90" s="104" t="s">
        <v>73</v>
      </c>
      <c r="H90" s="104"/>
      <c r="I90" s="104"/>
      <c r="J90" s="104"/>
      <c r="K90" s="104"/>
    </row>
    <row r="91" spans="4:11" x14ac:dyDescent="0.35">
      <c r="D91" s="180" t="s">
        <v>646</v>
      </c>
      <c r="E91" s="118" t="s">
        <v>647</v>
      </c>
      <c r="F91" s="175">
        <v>50</v>
      </c>
      <c r="G91" s="175" t="s">
        <v>73</v>
      </c>
      <c r="H91" s="175">
        <f>ROUND((($F$90)*((F91)/($F$91+$F$92+$F$93+$F$94+$F$95+$F$97+$F$96+$F$98))),2)</f>
        <v>1.51</v>
      </c>
      <c r="I91" s="175" t="s">
        <v>73</v>
      </c>
      <c r="J91" s="175"/>
      <c r="K91" s="175">
        <f t="shared" si="12"/>
        <v>173.65</v>
      </c>
    </row>
    <row r="92" spans="4:11" x14ac:dyDescent="0.35">
      <c r="D92" s="180" t="s">
        <v>333</v>
      </c>
      <c r="E92" s="118" t="s">
        <v>1134</v>
      </c>
      <c r="F92" s="175">
        <v>50</v>
      </c>
      <c r="G92" s="175" t="s">
        <v>73</v>
      </c>
      <c r="H92" s="175">
        <f t="shared" ref="H92:H98" si="17">ROUND((($F$90)*((F92)/($F$91+$F$92+$F$93+$F$94+$F$95+$F$97+$F$96+$F$98))),2)</f>
        <v>1.51</v>
      </c>
      <c r="I92" s="175" t="s">
        <v>73</v>
      </c>
      <c r="J92" s="175"/>
      <c r="K92" s="175">
        <f t="shared" si="12"/>
        <v>173.65</v>
      </c>
    </row>
    <row r="93" spans="4:11" x14ac:dyDescent="0.35">
      <c r="D93" s="180" t="s">
        <v>43</v>
      </c>
      <c r="E93" s="118" t="s">
        <v>817</v>
      </c>
      <c r="F93" s="175">
        <v>110</v>
      </c>
      <c r="G93" s="175" t="s">
        <v>73</v>
      </c>
      <c r="H93" s="175">
        <f t="shared" si="17"/>
        <v>3.33</v>
      </c>
      <c r="I93" s="175" t="s">
        <v>73</v>
      </c>
      <c r="J93" s="175"/>
      <c r="K93" s="175">
        <f t="shared" si="12"/>
        <v>382.95</v>
      </c>
    </row>
    <row r="94" spans="4:11" x14ac:dyDescent="0.35">
      <c r="D94" s="180" t="s">
        <v>42</v>
      </c>
      <c r="E94" s="118" t="s">
        <v>1135</v>
      </c>
      <c r="F94" s="175">
        <v>120</v>
      </c>
      <c r="G94" s="175" t="s">
        <v>73</v>
      </c>
      <c r="H94" s="175">
        <f t="shared" si="17"/>
        <v>3.63</v>
      </c>
      <c r="I94" s="175" t="s">
        <v>73</v>
      </c>
      <c r="J94" s="175"/>
      <c r="K94" s="175">
        <f t="shared" si="12"/>
        <v>417.45</v>
      </c>
    </row>
    <row r="95" spans="4:11" x14ac:dyDescent="0.35">
      <c r="D95" s="180" t="s">
        <v>45</v>
      </c>
      <c r="E95" s="118" t="s">
        <v>321</v>
      </c>
      <c r="F95" s="175">
        <v>70</v>
      </c>
      <c r="G95" s="175" t="s">
        <v>73</v>
      </c>
      <c r="H95" s="175">
        <f t="shared" si="17"/>
        <v>2.12</v>
      </c>
      <c r="I95" s="175" t="s">
        <v>73</v>
      </c>
      <c r="J95" s="175"/>
      <c r="K95" s="175">
        <f t="shared" si="12"/>
        <v>243.8</v>
      </c>
    </row>
    <row r="96" spans="4:11" x14ac:dyDescent="0.35">
      <c r="D96" s="180" t="s">
        <v>626</v>
      </c>
      <c r="E96" s="118" t="s">
        <v>627</v>
      </c>
      <c r="F96" s="175">
        <v>160</v>
      </c>
      <c r="G96" s="175" t="s">
        <v>73</v>
      </c>
      <c r="H96" s="175">
        <f t="shared" si="17"/>
        <v>4.84</v>
      </c>
      <c r="I96" s="175" t="s">
        <v>73</v>
      </c>
      <c r="J96" s="175"/>
      <c r="K96" s="175">
        <f t="shared" si="12"/>
        <v>556.6</v>
      </c>
    </row>
    <row r="97" spans="1:11" x14ac:dyDescent="0.35">
      <c r="D97" s="180" t="s">
        <v>1250</v>
      </c>
      <c r="E97" s="118" t="s">
        <v>1236</v>
      </c>
      <c r="F97" s="175">
        <v>3</v>
      </c>
      <c r="G97" s="175" t="s">
        <v>73</v>
      </c>
      <c r="H97" s="175">
        <f t="shared" si="17"/>
        <v>0.09</v>
      </c>
      <c r="I97" s="175" t="s">
        <v>73</v>
      </c>
      <c r="J97" s="175"/>
      <c r="K97" s="175">
        <f t="shared" si="12"/>
        <v>10.35</v>
      </c>
    </row>
    <row r="98" spans="1:11" x14ac:dyDescent="0.35">
      <c r="D98" s="518"/>
      <c r="E98" s="127" t="s">
        <v>950</v>
      </c>
      <c r="F98" s="181">
        <v>11000</v>
      </c>
      <c r="G98" s="181" t="s">
        <v>73</v>
      </c>
      <c r="H98" s="181">
        <f t="shared" si="17"/>
        <v>332.96</v>
      </c>
      <c r="I98" s="181"/>
      <c r="J98" s="181"/>
      <c r="K98" s="181"/>
    </row>
    <row r="99" spans="1:11" x14ac:dyDescent="0.35">
      <c r="D99" s="319"/>
      <c r="E99" s="125" t="s">
        <v>1147</v>
      </c>
      <c r="F99" s="104">
        <v>30</v>
      </c>
      <c r="G99" s="104" t="s">
        <v>73</v>
      </c>
      <c r="H99" s="104"/>
      <c r="I99" s="104" t="s">
        <v>73</v>
      </c>
      <c r="J99" s="104"/>
      <c r="K99" s="104">
        <f t="shared" si="12"/>
        <v>0</v>
      </c>
    </row>
    <row r="100" spans="1:11" x14ac:dyDescent="0.35">
      <c r="D100" s="180" t="s">
        <v>1148</v>
      </c>
      <c r="E100" s="118" t="s">
        <v>1149</v>
      </c>
      <c r="F100" s="175">
        <v>1000</v>
      </c>
      <c r="G100" s="175" t="s">
        <v>73</v>
      </c>
      <c r="H100" s="175">
        <f>ROUND((($F$99)*((F100)/($F$100+$F$101+$F$102))),2)</f>
        <v>8.5299999999999994</v>
      </c>
      <c r="I100" s="175" t="s">
        <v>73</v>
      </c>
      <c r="J100" s="175"/>
      <c r="K100" s="175">
        <f t="shared" si="12"/>
        <v>980.94999999999993</v>
      </c>
    </row>
    <row r="101" spans="1:11" x14ac:dyDescent="0.35">
      <c r="D101" s="180" t="s">
        <v>43</v>
      </c>
      <c r="E101" s="118" t="s">
        <v>817</v>
      </c>
      <c r="F101" s="175">
        <v>15</v>
      </c>
      <c r="G101" s="175" t="s">
        <v>73</v>
      </c>
      <c r="H101" s="175">
        <f t="shared" ref="H101:H102" si="18">ROUND((($F$99)*((F101)/($F$100+$F$101+$F$102))),2)</f>
        <v>0.13</v>
      </c>
      <c r="I101" s="175" t="s">
        <v>73</v>
      </c>
      <c r="J101" s="175"/>
      <c r="K101" s="175">
        <f t="shared" si="12"/>
        <v>14.950000000000001</v>
      </c>
    </row>
    <row r="102" spans="1:11" x14ac:dyDescent="0.35">
      <c r="D102" s="518"/>
      <c r="E102" s="127" t="s">
        <v>950</v>
      </c>
      <c r="F102" s="181">
        <v>2500</v>
      </c>
      <c r="G102" s="181" t="s">
        <v>73</v>
      </c>
      <c r="H102" s="181">
        <f t="shared" si="18"/>
        <v>21.34</v>
      </c>
      <c r="I102" s="181"/>
      <c r="J102" s="181"/>
      <c r="K102" s="181"/>
    </row>
    <row r="103" spans="1:11" x14ac:dyDescent="0.35">
      <c r="A103" s="120"/>
      <c r="B103" s="120"/>
      <c r="C103" s="120"/>
      <c r="D103" s="519"/>
      <c r="E103" s="120"/>
      <c r="F103" s="182"/>
      <c r="G103" s="182" t="s">
        <v>73</v>
      </c>
      <c r="H103" s="182"/>
      <c r="I103" s="182" t="s">
        <v>73</v>
      </c>
      <c r="J103" s="182"/>
      <c r="K103" s="182"/>
    </row>
    <row r="104" spans="1:11" x14ac:dyDescent="0.35">
      <c r="A104" s="122">
        <f>IFERROR(INDEX($N$8:$N$50,MATCH(B104,$O$8:$O$50, 0)), "")</f>
        <v>503</v>
      </c>
      <c r="B104" s="124" t="s">
        <v>1150</v>
      </c>
      <c r="C104" s="184" t="s">
        <v>1151</v>
      </c>
      <c r="D104" s="180" t="s">
        <v>175</v>
      </c>
      <c r="E104" s="119" t="s">
        <v>176</v>
      </c>
      <c r="F104" s="175">
        <v>100</v>
      </c>
      <c r="G104" s="175" t="s">
        <v>73</v>
      </c>
      <c r="H104" s="175">
        <v>100</v>
      </c>
      <c r="I104" s="175" t="s">
        <v>73</v>
      </c>
      <c r="J104" s="175"/>
      <c r="K104" s="175">
        <f>$A$104*H104</f>
        <v>50300</v>
      </c>
    </row>
    <row r="105" spans="1:11" x14ac:dyDescent="0.35">
      <c r="D105" s="180" t="s">
        <v>47</v>
      </c>
      <c r="E105" s="119" t="s">
        <v>569</v>
      </c>
      <c r="F105" s="175">
        <v>30</v>
      </c>
      <c r="G105" s="175" t="s">
        <v>73</v>
      </c>
      <c r="H105" s="175">
        <v>30</v>
      </c>
      <c r="I105" s="175" t="s">
        <v>73</v>
      </c>
      <c r="J105" s="175"/>
      <c r="K105" s="175">
        <f t="shared" ref="K105:K147" si="19">$A$104*H105</f>
        <v>15090</v>
      </c>
    </row>
    <row r="106" spans="1:11" x14ac:dyDescent="0.35">
      <c r="D106" s="180" t="s">
        <v>49</v>
      </c>
      <c r="E106" s="3" t="s">
        <v>395</v>
      </c>
      <c r="F106" s="175">
        <v>3</v>
      </c>
      <c r="G106" s="175" t="s">
        <v>73</v>
      </c>
      <c r="H106" s="175">
        <v>3</v>
      </c>
      <c r="I106" s="175" t="s">
        <v>73</v>
      </c>
      <c r="J106" s="175"/>
      <c r="K106" s="175">
        <f t="shared" si="19"/>
        <v>1509</v>
      </c>
    </row>
    <row r="107" spans="1:11" x14ac:dyDescent="0.35">
      <c r="D107" s="180" t="s">
        <v>48</v>
      </c>
      <c r="E107" s="3" t="s">
        <v>1126</v>
      </c>
      <c r="F107" s="175">
        <v>5</v>
      </c>
      <c r="G107" s="175" t="s">
        <v>73</v>
      </c>
      <c r="H107" s="175">
        <v>5</v>
      </c>
      <c r="I107" s="175" t="s">
        <v>73</v>
      </c>
      <c r="J107" s="175"/>
      <c r="K107" s="175">
        <f t="shared" si="19"/>
        <v>2515</v>
      </c>
    </row>
    <row r="108" spans="1:11" x14ac:dyDescent="0.35">
      <c r="D108" s="180" t="s">
        <v>385</v>
      </c>
      <c r="E108" s="3" t="s">
        <v>386</v>
      </c>
      <c r="F108" s="175">
        <v>3</v>
      </c>
      <c r="G108" s="175" t="s">
        <v>73</v>
      </c>
      <c r="H108" s="175">
        <v>3</v>
      </c>
      <c r="I108" s="175" t="s">
        <v>73</v>
      </c>
      <c r="J108" s="175"/>
      <c r="K108" s="175">
        <f t="shared" si="19"/>
        <v>1509</v>
      </c>
    </row>
    <row r="109" spans="1:11" x14ac:dyDescent="0.35">
      <c r="D109" s="319"/>
      <c r="E109" s="117" t="s">
        <v>1125</v>
      </c>
      <c r="F109" s="104">
        <v>10</v>
      </c>
      <c r="G109" s="104" t="s">
        <v>73</v>
      </c>
      <c r="H109" s="104"/>
      <c r="I109" s="104"/>
      <c r="J109" s="104"/>
      <c r="K109" s="104"/>
    </row>
    <row r="110" spans="1:11" x14ac:dyDescent="0.35">
      <c r="D110" s="180" t="s">
        <v>47</v>
      </c>
      <c r="E110" s="118" t="s">
        <v>569</v>
      </c>
      <c r="F110" s="175">
        <v>600</v>
      </c>
      <c r="G110" s="175" t="s">
        <v>73</v>
      </c>
      <c r="H110" s="175">
        <f>ROUND(($F$109)*((F110)/($F$110+$F$111+$F$112+$F$113+$F$114)),2)</f>
        <v>6.67</v>
      </c>
      <c r="I110" s="175" t="s">
        <v>73</v>
      </c>
      <c r="J110" s="175"/>
      <c r="K110" s="175">
        <f t="shared" si="19"/>
        <v>3355.0099999999998</v>
      </c>
    </row>
    <row r="111" spans="1:11" x14ac:dyDescent="0.35">
      <c r="D111" s="180" t="s">
        <v>48</v>
      </c>
      <c r="E111" s="118" t="s">
        <v>1126</v>
      </c>
      <c r="F111" s="175">
        <v>100</v>
      </c>
      <c r="G111" s="175" t="s">
        <v>73</v>
      </c>
      <c r="H111" s="175">
        <f t="shared" ref="H111:H114" si="20">ROUND(($F$109)*((F111)/($F$110+$F$111+$F$112+$F$113+$F$114)),2)</f>
        <v>1.1100000000000001</v>
      </c>
      <c r="I111" s="175" t="s">
        <v>73</v>
      </c>
      <c r="J111" s="175"/>
      <c r="K111" s="175">
        <f t="shared" si="19"/>
        <v>558.33000000000004</v>
      </c>
    </row>
    <row r="112" spans="1:11" x14ac:dyDescent="0.35">
      <c r="D112" s="180" t="s">
        <v>49</v>
      </c>
      <c r="E112" s="118" t="s">
        <v>395</v>
      </c>
      <c r="F112" s="175">
        <v>50</v>
      </c>
      <c r="G112" s="175" t="s">
        <v>73</v>
      </c>
      <c r="H112" s="175">
        <f t="shared" si="20"/>
        <v>0.56000000000000005</v>
      </c>
      <c r="I112" s="175" t="s">
        <v>73</v>
      </c>
      <c r="J112" s="175"/>
      <c r="K112" s="175">
        <f t="shared" si="19"/>
        <v>281.68</v>
      </c>
    </row>
    <row r="113" spans="4:11" x14ac:dyDescent="0.35">
      <c r="D113" s="180" t="s">
        <v>50</v>
      </c>
      <c r="E113" s="118" t="s">
        <v>1127</v>
      </c>
      <c r="F113" s="175">
        <v>100</v>
      </c>
      <c r="G113" s="175" t="s">
        <v>73</v>
      </c>
      <c r="H113" s="175">
        <f t="shared" si="20"/>
        <v>1.1100000000000001</v>
      </c>
      <c r="I113" s="175" t="s">
        <v>73</v>
      </c>
      <c r="J113" s="175"/>
      <c r="K113" s="175">
        <f t="shared" si="19"/>
        <v>558.33000000000004</v>
      </c>
    </row>
    <row r="114" spans="4:11" x14ac:dyDescent="0.35">
      <c r="D114" s="180" t="s">
        <v>51</v>
      </c>
      <c r="E114" s="118" t="s">
        <v>404</v>
      </c>
      <c r="F114" s="175">
        <v>50</v>
      </c>
      <c r="G114" s="175" t="s">
        <v>73</v>
      </c>
      <c r="H114" s="175">
        <f t="shared" si="20"/>
        <v>0.56000000000000005</v>
      </c>
      <c r="I114" s="175" t="s">
        <v>73</v>
      </c>
      <c r="J114" s="175"/>
      <c r="K114" s="175">
        <f t="shared" si="19"/>
        <v>281.68</v>
      </c>
    </row>
    <row r="115" spans="4:11" x14ac:dyDescent="0.35">
      <c r="D115" s="319"/>
      <c r="E115" s="125" t="s">
        <v>1128</v>
      </c>
      <c r="F115" s="104">
        <v>100</v>
      </c>
      <c r="G115" s="104" t="s">
        <v>73</v>
      </c>
      <c r="H115" s="104"/>
      <c r="I115" s="104"/>
      <c r="J115" s="104"/>
      <c r="K115" s="104"/>
    </row>
    <row r="116" spans="4:11" x14ac:dyDescent="0.35">
      <c r="D116" s="180" t="s">
        <v>371</v>
      </c>
      <c r="E116" s="118" t="s">
        <v>372</v>
      </c>
      <c r="F116" s="175">
        <v>300</v>
      </c>
      <c r="G116" s="175" t="s">
        <v>73</v>
      </c>
      <c r="H116" s="175">
        <f>ROUND(($F$115)*((F116)/($F$116+$F$117+$F$118+$F$119)),2)</f>
        <v>15</v>
      </c>
      <c r="I116" s="175" t="s">
        <v>73</v>
      </c>
      <c r="J116" s="175"/>
      <c r="K116" s="175">
        <f t="shared" si="19"/>
        <v>7545</v>
      </c>
    </row>
    <row r="117" spans="4:11" x14ac:dyDescent="0.35">
      <c r="D117" s="180" t="s">
        <v>375</v>
      </c>
      <c r="E117" s="118" t="s">
        <v>1129</v>
      </c>
      <c r="F117" s="175">
        <v>300</v>
      </c>
      <c r="G117" s="175" t="s">
        <v>73</v>
      </c>
      <c r="H117" s="175">
        <f t="shared" ref="H117:H119" si="21">ROUND(($F$115)*((F117)/($F$116+$F$117+$F$118+$F$119)),2)</f>
        <v>15</v>
      </c>
      <c r="I117" s="175" t="s">
        <v>73</v>
      </c>
      <c r="J117" s="175"/>
      <c r="K117" s="175">
        <f t="shared" si="19"/>
        <v>7545</v>
      </c>
    </row>
    <row r="118" spans="4:11" x14ac:dyDescent="0.35">
      <c r="D118" s="180" t="s">
        <v>50</v>
      </c>
      <c r="E118" s="118" t="s">
        <v>1130</v>
      </c>
      <c r="F118" s="175">
        <v>800</v>
      </c>
      <c r="G118" s="175" t="s">
        <v>73</v>
      </c>
      <c r="H118" s="175">
        <f t="shared" si="21"/>
        <v>40</v>
      </c>
      <c r="I118" s="175" t="s">
        <v>73</v>
      </c>
      <c r="J118" s="175"/>
      <c r="K118" s="175">
        <f t="shared" si="19"/>
        <v>20120</v>
      </c>
    </row>
    <row r="119" spans="4:11" x14ac:dyDescent="0.35">
      <c r="D119" s="180" t="s">
        <v>60</v>
      </c>
      <c r="E119" s="118" t="s">
        <v>368</v>
      </c>
      <c r="F119" s="175">
        <v>600</v>
      </c>
      <c r="G119" s="175" t="s">
        <v>73</v>
      </c>
      <c r="H119" s="175">
        <f t="shared" si="21"/>
        <v>30</v>
      </c>
      <c r="I119" s="175" t="s">
        <v>73</v>
      </c>
      <c r="J119" s="175"/>
      <c r="K119" s="175">
        <f t="shared" si="19"/>
        <v>15090</v>
      </c>
    </row>
    <row r="120" spans="4:11" x14ac:dyDescent="0.35">
      <c r="D120" s="319"/>
      <c r="E120" s="125" t="s">
        <v>1152</v>
      </c>
      <c r="F120" s="104">
        <v>350</v>
      </c>
      <c r="G120" s="104" t="s">
        <v>73</v>
      </c>
      <c r="H120" s="104"/>
      <c r="I120" s="104"/>
      <c r="J120" s="104"/>
      <c r="K120" s="104"/>
    </row>
    <row r="121" spans="4:11" x14ac:dyDescent="0.35">
      <c r="D121" s="180" t="s">
        <v>626</v>
      </c>
      <c r="E121" s="118" t="s">
        <v>627</v>
      </c>
      <c r="F121" s="175">
        <v>11</v>
      </c>
      <c r="G121" s="175" t="s">
        <v>73</v>
      </c>
      <c r="H121" s="175">
        <f>ROUND((($F$120)*((F121)/((($F$129)*(($F$130)/($F$130+$F$131+$F$132+$F$133+$F$134)))+
(($F$129)*(($F$131)/($F$130+$F$131+$F$132+$F$133+$F$134)))+
(($F$129)*(($F$132)/($F$130+$F$131+$F$132+$F$133+$F$134)))+
(($F$129)*(($F$133)/($F$130+$F$131+$F$132+$F$133+$F$134)))+
(($F$129)*(($F$134)/($F$130+$F$131+$F$132+$F$133+$F$134)))+
(($F$135)*(($F$136)/($F$136+$F$137+$F$138+$F$139+$F$140+$F$141+$F$142+$F$143)))+
(($F$135)*(($F$137)/($F$136+$F$137+$F$138+$F$139+$F$140+$F$141+$F$142+$F$143)))+
(($F$135)*(($F$138)/($F$136+$F$137+$F$138+$F$139+$F$140+$F$141+$F$142+$F$143)))+
(($F$135)*(($F$139)/($F$136+$F$137+$F$138+$F$139+$F$140+$F$141+$F$142+$F$143)))+
(($F$135)*(($F$140)/($F$136+$F$137+$F$138+$F$139+$F$140+$F$141+$F$142+$F$143)))+
(($F$135)*(($F$141)/($F$136+$F$137+$F$138+$F$139+$F$140+$F$141+$F$142+$F$143)))+
(($F$135)*(($F$142)/($F$136+$F$137+$F$138+$F$139+$F$140+$F$141+$F$142+$F$143)))+
(($F$135)*(($F$143)/($F$136+$F$137+$F$138+$F$139+$F$140+$F$141+$F$142+$F$143)))+
$F$121+$F$122+$F$123+$F$124+$F$125+$F$126+$F$127+$F$128))),2)</f>
        <v>0.26</v>
      </c>
      <c r="I121" s="175" t="s">
        <v>73</v>
      </c>
      <c r="J121" s="175"/>
      <c r="K121" s="175">
        <f t="shared" si="19"/>
        <v>130.78</v>
      </c>
    </row>
    <row r="122" spans="4:11" x14ac:dyDescent="0.35">
      <c r="D122" s="180" t="s">
        <v>43</v>
      </c>
      <c r="E122" s="118" t="s">
        <v>817</v>
      </c>
      <c r="F122" s="175">
        <v>6</v>
      </c>
      <c r="G122" s="175" t="s">
        <v>73</v>
      </c>
      <c r="H122" s="175">
        <f t="shared" ref="H122:H128" si="22">ROUND((($F$120)*((F122)/((($F$129)*(($F$130)/($F$130+$F$131+$F$132+$F$133+$F$134)))+
(($F$129)*(($F$131)/($F$130+$F$131+$F$132+$F$133+$F$134)))+
(($F$129)*(($F$132)/($F$130+$F$131+$F$132+$F$133+$F$134)))+
(($F$129)*(($F$133)/($F$130+$F$131+$F$132+$F$133+$F$134)))+
(($F$129)*(($F$134)/($F$130+$F$131+$F$132+$F$133+$F$134)))+
(($F$135)*(($F$136)/($F$136+$F$137+$F$138+$F$139+$F$140+$F$141+$F$142+$F$143)))+
(($F$135)*(($F$137)/($F$136+$F$137+$F$138+$F$139+$F$140+$F$141+$F$142+$F$143)))+
(($F$135)*(($F$138)/($F$136+$F$137+$F$138+$F$139+$F$140+$F$141+$F$142+$F$143)))+
(($F$135)*(($F$139)/($F$136+$F$137+$F$138+$F$139+$F$140+$F$141+$F$142+$F$143)))+
(($F$135)*(($F$140)/($F$136+$F$137+$F$138+$F$139+$F$140+$F$141+$F$142+$F$143)))+
(($F$135)*(($F$141)/($F$136+$F$137+$F$138+$F$139+$F$140+$F$141+$F$142+$F$143)))+
(($F$135)*(($F$142)/($F$136+$F$137+$F$138+$F$139+$F$140+$F$141+$F$142+$F$143)))+
(($F$135)*(($F$143)/($F$136+$F$137+$F$138+$F$139+$F$140+$F$141+$F$142+$F$143)))+
$F$121+$F$122+$F$123+$F$124+$F$125+$F$126+$F$127+$F$128))),2)</f>
        <v>0.14000000000000001</v>
      </c>
      <c r="I122" s="175" t="s">
        <v>73</v>
      </c>
      <c r="J122" s="175"/>
      <c r="K122" s="175">
        <f t="shared" si="19"/>
        <v>70.42</v>
      </c>
    </row>
    <row r="123" spans="4:11" x14ac:dyDescent="0.35">
      <c r="D123" s="180" t="s">
        <v>1250</v>
      </c>
      <c r="E123" s="118" t="s">
        <v>1236</v>
      </c>
      <c r="F123" s="175">
        <v>0.2</v>
      </c>
      <c r="G123" s="175" t="s">
        <v>73</v>
      </c>
      <c r="H123" s="175">
        <f t="shared" si="22"/>
        <v>0</v>
      </c>
      <c r="I123" s="175" t="s">
        <v>73</v>
      </c>
      <c r="J123" s="175"/>
      <c r="K123" s="175">
        <f t="shared" si="19"/>
        <v>0</v>
      </c>
    </row>
    <row r="124" spans="4:11" x14ac:dyDescent="0.35">
      <c r="D124" s="180" t="s">
        <v>42</v>
      </c>
      <c r="E124" s="118" t="s">
        <v>330</v>
      </c>
      <c r="F124" s="175">
        <v>6.5</v>
      </c>
      <c r="G124" s="175" t="s">
        <v>73</v>
      </c>
      <c r="H124" s="175">
        <f t="shared" si="22"/>
        <v>0.15</v>
      </c>
      <c r="I124" s="175" t="s">
        <v>73</v>
      </c>
      <c r="J124" s="175"/>
      <c r="K124" s="175">
        <f t="shared" si="19"/>
        <v>75.45</v>
      </c>
    </row>
    <row r="125" spans="4:11" x14ac:dyDescent="0.35">
      <c r="D125" s="180" t="s">
        <v>45</v>
      </c>
      <c r="E125" s="118" t="s">
        <v>321</v>
      </c>
      <c r="F125" s="175">
        <v>3.8</v>
      </c>
      <c r="G125" s="175" t="s">
        <v>73</v>
      </c>
      <c r="H125" s="175">
        <f t="shared" si="22"/>
        <v>0.09</v>
      </c>
      <c r="I125" s="175" t="s">
        <v>73</v>
      </c>
      <c r="J125" s="175"/>
      <c r="K125" s="175">
        <f t="shared" si="19"/>
        <v>45.269999999999996</v>
      </c>
    </row>
    <row r="126" spans="4:11" x14ac:dyDescent="0.35">
      <c r="D126" s="180" t="s">
        <v>333</v>
      </c>
      <c r="E126" s="118" t="s">
        <v>334</v>
      </c>
      <c r="F126" s="175">
        <v>8</v>
      </c>
      <c r="G126" s="175" t="s">
        <v>73</v>
      </c>
      <c r="H126" s="175">
        <f t="shared" si="22"/>
        <v>0.19</v>
      </c>
      <c r="I126" s="175" t="s">
        <v>73</v>
      </c>
      <c r="J126" s="175"/>
      <c r="K126" s="175">
        <f t="shared" si="19"/>
        <v>95.570000000000007</v>
      </c>
    </row>
    <row r="127" spans="4:11" x14ac:dyDescent="0.35">
      <c r="D127" s="180" t="s">
        <v>646</v>
      </c>
      <c r="E127" s="118" t="s">
        <v>647</v>
      </c>
      <c r="F127" s="175">
        <v>2.7</v>
      </c>
      <c r="G127" s="175" t="s">
        <v>73</v>
      </c>
      <c r="H127" s="175">
        <f t="shared" si="22"/>
        <v>0.06</v>
      </c>
      <c r="I127" s="175" t="s">
        <v>73</v>
      </c>
      <c r="J127" s="175"/>
      <c r="K127" s="175">
        <f t="shared" si="19"/>
        <v>30.18</v>
      </c>
    </row>
    <row r="128" spans="4:11" x14ac:dyDescent="0.35">
      <c r="D128" s="180" t="s">
        <v>173</v>
      </c>
      <c r="E128" s="118" t="s">
        <v>1237</v>
      </c>
      <c r="F128" s="175">
        <v>600</v>
      </c>
      <c r="G128" s="175" t="s">
        <v>73</v>
      </c>
      <c r="H128" s="175">
        <f t="shared" si="22"/>
        <v>14.25</v>
      </c>
      <c r="I128" s="175" t="s">
        <v>73</v>
      </c>
      <c r="J128" s="175"/>
      <c r="K128" s="175">
        <f t="shared" si="19"/>
        <v>7167.75</v>
      </c>
    </row>
    <row r="129" spans="4:11" x14ac:dyDescent="0.35">
      <c r="D129" s="319"/>
      <c r="E129" s="138" t="s">
        <v>1125</v>
      </c>
      <c r="F129" s="104">
        <v>100</v>
      </c>
      <c r="G129" s="104" t="s">
        <v>73</v>
      </c>
      <c r="H129" s="104"/>
      <c r="I129" s="104"/>
      <c r="J129" s="104"/>
      <c r="K129" s="104"/>
    </row>
    <row r="130" spans="4:11" x14ac:dyDescent="0.35">
      <c r="D130" s="180" t="s">
        <v>47</v>
      </c>
      <c r="E130" s="121" t="s">
        <v>569</v>
      </c>
      <c r="F130" s="175">
        <v>600</v>
      </c>
      <c r="G130" s="175" t="s">
        <v>73</v>
      </c>
      <c r="H130" s="175">
        <f>ROUND(($F$120)*((($F$129)*((F130)/($F$130+$F$131+$F$132+$F$133+$F$134)))
/(((($F$129)*(($F$130)/($F$130+$F$131+$F$132+$F$133+$F$134)))+
(($F$129)*(($F$131)/($F$130+$F$131+$F$132+$F$133+$F$134)))+
(($F$129)*(($F$132)/($F$130+$F$131+$F$132+$F$133+$F$134)))+
(($F$129)*(($F$133)/($F$130+$F$131+$F$132+$F$133+$F$134)))+
(($F$129)*(($F$134)/($F$130+$F$131+$F$132+$F$133+$F$134)))+
(($F$135)*(($F$136)/($F$136+$F$137+$F$138+$F$139+$F$140+$F$141+$F$142+$F$143)))+
(($F$135)*(($F$137)/($F$136+$F$137+$F$138+$F$139+$F$140+$F$141+$F$142+$F$143)))+
(($F$135)*(($F$138)/($F$136+$F$137+$F$138+$F$139+$F$140+$F$141+$F$142+$F$143)))+
(($F$135)*(($F$139)/($F$136+$F$137+$F$138+$F$139+$F$140+$F$141+$F$142+$F$143)))+
(($F$135)*(($F$140)/($F$136+$F$137+$F$138+$F$139+$F$140+$F$141+$F$142+$F$143)))+
(($F$135)*(($F$141)/($F$136+$F$137+$F$138+$F$139+$F$140+$F$141+$F$142+$F$143)))+
(($F$135)*(($F$142)/($F$136+$F$137+$F$138+$F$139+$F$140+$F$141+$F$142+$F$143)))+
(($F$135)*(($F$143)/($F$136+$F$137+$F$138+$F$139+$F$140+$F$141+$F$142+$F$143)))+
$F$121+$F$122+$F$123+$F$124+$F$125+$F$126+$F$127+$F$128))),2)</f>
        <v>1.58</v>
      </c>
      <c r="I130" s="175" t="s">
        <v>73</v>
      </c>
      <c r="J130" s="175"/>
      <c r="K130" s="175">
        <f t="shared" si="19"/>
        <v>794.74</v>
      </c>
    </row>
    <row r="131" spans="4:11" x14ac:dyDescent="0.35">
      <c r="D131" s="180" t="s">
        <v>48</v>
      </c>
      <c r="E131" s="121" t="s">
        <v>1126</v>
      </c>
      <c r="F131" s="175">
        <v>100</v>
      </c>
      <c r="G131" s="175" t="s">
        <v>73</v>
      </c>
      <c r="H131" s="175">
        <f t="shared" ref="H131:H134" si="23">ROUND(($F$120)*((($F$129)*((F131)/($F$130+$F$131+$F$132+$F$133+$F$134)))
/(((($F$129)*(($F$130)/($F$130+$F$131+$F$132+$F$133+$F$134)))+
(($F$129)*(($F$131)/($F$130+$F$131+$F$132+$F$133+$F$134)))+
(($F$129)*(($F$132)/($F$130+$F$131+$F$132+$F$133+$F$134)))+
(($F$129)*(($F$133)/($F$130+$F$131+$F$132+$F$133+$F$134)))+
(($F$129)*(($F$134)/($F$130+$F$131+$F$132+$F$133+$F$134)))+
(($F$135)*(($F$136)/($F$136+$F$137+$F$138+$F$139+$F$140+$F$141+$F$142+$F$143)))+
(($F$135)*(($F$137)/($F$136+$F$137+$F$138+$F$139+$F$140+$F$141+$F$142+$F$143)))+
(($F$135)*(($F$138)/($F$136+$F$137+$F$138+$F$139+$F$140+$F$141+$F$142+$F$143)))+
(($F$135)*(($F$139)/($F$136+$F$137+$F$138+$F$139+$F$140+$F$141+$F$142+$F$143)))+
(($F$135)*(($F$140)/($F$136+$F$137+$F$138+$F$139+$F$140+$F$141+$F$142+$F$143)))+
(($F$135)*(($F$141)/($F$136+$F$137+$F$138+$F$139+$F$140+$F$141+$F$142+$F$143)))+
(($F$135)*(($F$142)/($F$136+$F$137+$F$138+$F$139+$F$140+$F$141+$F$142+$F$143)))+
(($F$135)*(($F$143)/($F$136+$F$137+$F$138+$F$139+$F$140+$F$141+$F$142+$F$143)))+
$F$121+$F$122+$F$123+$F$124+$F$125+$F$126+$F$127+$F$128))),2)</f>
        <v>0.26</v>
      </c>
      <c r="I131" s="175" t="s">
        <v>73</v>
      </c>
      <c r="J131" s="175"/>
      <c r="K131" s="175">
        <f t="shared" si="19"/>
        <v>130.78</v>
      </c>
    </row>
    <row r="132" spans="4:11" x14ac:dyDescent="0.35">
      <c r="D132" s="180" t="s">
        <v>49</v>
      </c>
      <c r="E132" s="121" t="s">
        <v>395</v>
      </c>
      <c r="F132" s="175">
        <v>50</v>
      </c>
      <c r="G132" s="175" t="s">
        <v>73</v>
      </c>
      <c r="H132" s="175">
        <f t="shared" si="23"/>
        <v>0.13</v>
      </c>
      <c r="I132" s="175" t="s">
        <v>73</v>
      </c>
      <c r="J132" s="175"/>
      <c r="K132" s="175">
        <f t="shared" si="19"/>
        <v>65.39</v>
      </c>
    </row>
    <row r="133" spans="4:11" x14ac:dyDescent="0.35">
      <c r="D133" s="180" t="s">
        <v>50</v>
      </c>
      <c r="E133" s="121" t="s">
        <v>1127</v>
      </c>
      <c r="F133" s="175">
        <v>100</v>
      </c>
      <c r="G133" s="175" t="s">
        <v>73</v>
      </c>
      <c r="H133" s="175">
        <f t="shared" si="23"/>
        <v>0.26</v>
      </c>
      <c r="I133" s="175" t="s">
        <v>73</v>
      </c>
      <c r="J133" s="175"/>
      <c r="K133" s="175">
        <f t="shared" si="19"/>
        <v>130.78</v>
      </c>
    </row>
    <row r="134" spans="4:11" x14ac:dyDescent="0.35">
      <c r="D134" s="180" t="s">
        <v>51</v>
      </c>
      <c r="E134" s="121" t="s">
        <v>404</v>
      </c>
      <c r="F134" s="175">
        <v>50</v>
      </c>
      <c r="G134" s="175" t="s">
        <v>73</v>
      </c>
      <c r="H134" s="175">
        <f t="shared" si="23"/>
        <v>0.13</v>
      </c>
      <c r="I134" s="175" t="s">
        <v>73</v>
      </c>
      <c r="J134" s="175"/>
      <c r="K134" s="175">
        <f t="shared" si="19"/>
        <v>65.39</v>
      </c>
    </row>
    <row r="135" spans="4:11" x14ac:dyDescent="0.35">
      <c r="D135" s="319"/>
      <c r="E135" s="138" t="s">
        <v>1238</v>
      </c>
      <c r="F135" s="104">
        <v>14000</v>
      </c>
      <c r="G135" s="104" t="s">
        <v>73</v>
      </c>
      <c r="H135" s="104"/>
      <c r="I135" s="104"/>
      <c r="J135" s="104"/>
      <c r="K135" s="104"/>
    </row>
    <row r="136" spans="4:11" x14ac:dyDescent="0.35">
      <c r="D136" s="180" t="s">
        <v>626</v>
      </c>
      <c r="E136" s="121" t="s">
        <v>627</v>
      </c>
      <c r="F136" s="175">
        <v>160</v>
      </c>
      <c r="G136" s="175" t="s">
        <v>73</v>
      </c>
      <c r="H136" s="175">
        <f>ROUND((($F$120)*((($F$135)*((F136)/($F$136+$F$137+$F$138+$F$139+$F$140+$F$141+$F$142+$F$143)))
/((($F$129)*(($F$130)/($F$130+$F$131+$F$132+$F$133+$F$134)))+
(($F$129)*(($F$131)/($F$130+$F$131+$F$132+$F$133+$F$134)))+
(($F$129)*(($F$132)/($F$130+$F$131+$F$132+$F$133+$F$134)))+
(($F$129)*(($F$133)/($F$130+$F$131+$F$132+$F$133+$F$134)))+
(($F$129)*(($F$134)/($F$130+$F$131+$F$132+$F$133+$F$134)))+
(($F$135)*(($F$136)/($F$136+$F$137+$F$138+$F$139+$F$140+$F$141+$F$142+$F$143)))+
(($F$135)*(($F$137)/($F$136+$F$137+$F$138+$F$139+$F$140+$F$141+$F$142+$F$143)))+
(($F$135)*(($F$138)/($F$136+$F$137+$F$138+$F$139+$F$140+$F$141+$F$142+$F$143)))+
(($F$135)*(($F$139)/($F$136+$F$137+$F$138+$F$139+$F$140+$F$141+$F$142+$F$143)))+
(($F$135)*(($F$140)/($F$136+$F$137+$F$138+$F$139+$F$140+$F$141+$F$142+$F$143)))+
(($F$135)*(($F$141)/($F$136+$F$137+$F$138+$F$139+$F$140+$F$141+$F$142+$F$143)))+
(($F$135)*(($F$142)/($F$136+$F$137+$F$138+$F$139+$F$140+$F$141+$F$142+$F$143)))+
(($F$135)*(($F$143)/($F$136+$F$137+$F$138+$F$139+$F$140+$F$141+$F$142+$F$143)))+
$F$121+$F$122+$F$123+$F$124+$F$125+$F$126+$F$127+$F$128))),2)</f>
        <v>4.5999999999999996</v>
      </c>
      <c r="I136" s="175" t="s">
        <v>73</v>
      </c>
      <c r="J136" s="175"/>
      <c r="K136" s="175">
        <f t="shared" si="19"/>
        <v>2313.7999999999997</v>
      </c>
    </row>
    <row r="137" spans="4:11" x14ac:dyDescent="0.35">
      <c r="D137" s="180" t="s">
        <v>42</v>
      </c>
      <c r="E137" s="121" t="s">
        <v>330</v>
      </c>
      <c r="F137" s="175">
        <v>120</v>
      </c>
      <c r="G137" s="175" t="s">
        <v>73</v>
      </c>
      <c r="H137" s="175">
        <f t="shared" ref="H137:H143" si="24">ROUND((($F$120)*((($F$135)*((F137)/($F$136+$F$137+$F$138+$F$139+$F$140+$F$141+$F$142+$F$143)))
/((($F$129)*(($F$130)/($F$130+$F$131+$F$132+$F$133+$F$134)))+
(($F$129)*(($F$131)/($F$130+$F$131+$F$132+$F$133+$F$134)))+
(($F$129)*(($F$132)/($F$130+$F$131+$F$132+$F$133+$F$134)))+
(($F$129)*(($F$133)/($F$130+$F$131+$F$132+$F$133+$F$134)))+
(($F$129)*(($F$134)/($F$130+$F$131+$F$132+$F$133+$F$134)))+
(($F$135)*(($F$136)/($F$136+$F$137+$F$138+$F$139+$F$140+$F$141+$F$142+$F$143)))+
(($F$135)*(($F$137)/($F$136+$F$137+$F$138+$F$139+$F$140+$F$141+$F$142+$F$143)))+
(($F$135)*(($F$138)/($F$136+$F$137+$F$138+$F$139+$F$140+$F$141+$F$142+$F$143)))+
(($F$135)*(($F$139)/($F$136+$F$137+$F$138+$F$139+$F$140+$F$141+$F$142+$F$143)))+
(($F$135)*(($F$140)/($F$136+$F$137+$F$138+$F$139+$F$140+$F$141+$F$142+$F$143)))+
(($F$135)*(($F$141)/($F$136+$F$137+$F$138+$F$139+$F$140+$F$141+$F$142+$F$143)))+
(($F$135)*(($F$142)/($F$136+$F$137+$F$138+$F$139+$F$140+$F$141+$F$142+$F$143)))+
(($F$135)*(($F$143)/($F$136+$F$137+$F$138+$F$139+$F$140+$F$141+$F$142+$F$143)))+
$F$121+$F$122+$F$123+$F$124+$F$125+$F$126+$F$127+$F$128))),2)</f>
        <v>3.45</v>
      </c>
      <c r="I137" s="175" t="s">
        <v>73</v>
      </c>
      <c r="J137" s="175"/>
      <c r="K137" s="175">
        <f t="shared" si="19"/>
        <v>1735.3500000000001</v>
      </c>
    </row>
    <row r="138" spans="4:11" x14ac:dyDescent="0.35">
      <c r="D138" s="180" t="s">
        <v>1250</v>
      </c>
      <c r="E138" s="121" t="s">
        <v>1236</v>
      </c>
      <c r="F138" s="175">
        <v>3</v>
      </c>
      <c r="G138" s="175" t="s">
        <v>73</v>
      </c>
      <c r="H138" s="175">
        <f t="shared" si="24"/>
        <v>0.09</v>
      </c>
      <c r="I138" s="175" t="s">
        <v>73</v>
      </c>
      <c r="J138" s="175"/>
      <c r="K138" s="175">
        <f t="shared" si="19"/>
        <v>45.269999999999996</v>
      </c>
    </row>
    <row r="139" spans="4:11" x14ac:dyDescent="0.35">
      <c r="D139" s="180" t="s">
        <v>45</v>
      </c>
      <c r="E139" s="121" t="s">
        <v>321</v>
      </c>
      <c r="F139" s="175">
        <v>70</v>
      </c>
      <c r="G139" s="175" t="s">
        <v>73</v>
      </c>
      <c r="H139" s="175">
        <f t="shared" si="24"/>
        <v>2.0099999999999998</v>
      </c>
      <c r="I139" s="175" t="s">
        <v>73</v>
      </c>
      <c r="J139" s="175"/>
      <c r="K139" s="175">
        <f t="shared" si="19"/>
        <v>1011.0299999999999</v>
      </c>
    </row>
    <row r="140" spans="4:11" x14ac:dyDescent="0.35">
      <c r="D140" s="180" t="s">
        <v>43</v>
      </c>
      <c r="E140" s="121" t="s">
        <v>817</v>
      </c>
      <c r="F140" s="175">
        <v>110</v>
      </c>
      <c r="G140" s="175" t="s">
        <v>73</v>
      </c>
      <c r="H140" s="175">
        <f t="shared" si="24"/>
        <v>3.16</v>
      </c>
      <c r="I140" s="175" t="s">
        <v>73</v>
      </c>
      <c r="J140" s="175"/>
      <c r="K140" s="175">
        <f t="shared" si="19"/>
        <v>1589.48</v>
      </c>
    </row>
    <row r="141" spans="4:11" x14ac:dyDescent="0.35">
      <c r="D141" s="180" t="s">
        <v>333</v>
      </c>
      <c r="E141" s="121" t="s">
        <v>334</v>
      </c>
      <c r="F141" s="175">
        <v>50</v>
      </c>
      <c r="G141" s="175" t="s">
        <v>73</v>
      </c>
      <c r="H141" s="175">
        <f t="shared" si="24"/>
        <v>1.44</v>
      </c>
      <c r="I141" s="175" t="s">
        <v>73</v>
      </c>
      <c r="J141" s="175"/>
      <c r="K141" s="175">
        <f t="shared" si="19"/>
        <v>724.31999999999994</v>
      </c>
    </row>
    <row r="142" spans="4:11" x14ac:dyDescent="0.35">
      <c r="D142" s="180" t="s">
        <v>646</v>
      </c>
      <c r="E142" s="121" t="s">
        <v>647</v>
      </c>
      <c r="F142" s="175">
        <v>50</v>
      </c>
      <c r="G142" s="175" t="s">
        <v>73</v>
      </c>
      <c r="H142" s="175">
        <f t="shared" si="24"/>
        <v>1.44</v>
      </c>
      <c r="I142" s="175" t="s">
        <v>73</v>
      </c>
      <c r="J142" s="175"/>
      <c r="K142" s="175">
        <f t="shared" si="19"/>
        <v>724.31999999999994</v>
      </c>
    </row>
    <row r="143" spans="4:11" x14ac:dyDescent="0.35">
      <c r="D143" s="518"/>
      <c r="E143" s="186" t="s">
        <v>950</v>
      </c>
      <c r="F143" s="181">
        <v>11000</v>
      </c>
      <c r="G143" s="181" t="s">
        <v>73</v>
      </c>
      <c r="H143" s="181">
        <f t="shared" si="24"/>
        <v>316.27999999999997</v>
      </c>
      <c r="I143" s="181" t="s">
        <v>73</v>
      </c>
      <c r="J143" s="181"/>
      <c r="K143" s="181">
        <f t="shared" si="19"/>
        <v>159088.84</v>
      </c>
    </row>
    <row r="144" spans="4:11" x14ac:dyDescent="0.35">
      <c r="D144" s="319"/>
      <c r="E144" s="125" t="s">
        <v>1138</v>
      </c>
      <c r="F144" s="104">
        <v>35</v>
      </c>
      <c r="G144" s="104" t="s">
        <v>73</v>
      </c>
      <c r="H144" s="104"/>
      <c r="I144" s="104"/>
      <c r="J144" s="104"/>
      <c r="K144" s="104"/>
    </row>
    <row r="145" spans="1:11" x14ac:dyDescent="0.35">
      <c r="D145" s="180" t="s">
        <v>129</v>
      </c>
      <c r="E145" s="118" t="s">
        <v>130</v>
      </c>
      <c r="F145" s="175">
        <v>200</v>
      </c>
      <c r="G145" s="175" t="s">
        <v>73</v>
      </c>
      <c r="H145" s="175">
        <f>ROUND(($F$144)*((F145)/($F$145+$F$146+$F$147)),2)</f>
        <v>5.83</v>
      </c>
      <c r="I145" s="175" t="s">
        <v>73</v>
      </c>
      <c r="J145" s="175"/>
      <c r="K145" s="175">
        <f t="shared" si="19"/>
        <v>2932.4900000000002</v>
      </c>
    </row>
    <row r="146" spans="1:11" x14ac:dyDescent="0.35">
      <c r="D146" s="180" t="s">
        <v>55</v>
      </c>
      <c r="E146" s="118" t="s">
        <v>324</v>
      </c>
      <c r="F146" s="175">
        <v>1</v>
      </c>
      <c r="G146" s="175" t="s">
        <v>73</v>
      </c>
      <c r="H146" s="175">
        <f t="shared" ref="H146:H147" si="25">ROUND(($F$144)*((F146)/($F$145+$F$146+$F$147)),2)</f>
        <v>0.03</v>
      </c>
      <c r="I146" s="175" t="s">
        <v>73</v>
      </c>
      <c r="J146" s="175"/>
      <c r="K146" s="175">
        <f t="shared" si="19"/>
        <v>15.09</v>
      </c>
    </row>
    <row r="147" spans="1:11" x14ac:dyDescent="0.35">
      <c r="D147" s="180" t="s">
        <v>63</v>
      </c>
      <c r="E147" s="118" t="s">
        <v>453</v>
      </c>
      <c r="F147" s="175">
        <v>1000</v>
      </c>
      <c r="G147" s="175" t="s">
        <v>73</v>
      </c>
      <c r="H147" s="175">
        <f t="shared" si="25"/>
        <v>29.14</v>
      </c>
      <c r="I147" s="175" t="s">
        <v>73</v>
      </c>
      <c r="J147" s="175"/>
      <c r="K147" s="175">
        <f t="shared" si="19"/>
        <v>14657.42</v>
      </c>
    </row>
    <row r="148" spans="1:11" x14ac:dyDescent="0.35">
      <c r="A148" s="120"/>
      <c r="B148" s="120"/>
      <c r="C148" s="120"/>
      <c r="D148" s="519"/>
      <c r="E148" s="120"/>
      <c r="F148" s="182"/>
      <c r="G148" s="182" t="s">
        <v>73</v>
      </c>
      <c r="H148" s="182"/>
      <c r="I148" s="182" t="s">
        <v>73</v>
      </c>
      <c r="J148" s="182"/>
      <c r="K148" s="182"/>
    </row>
    <row r="149" spans="1:11" x14ac:dyDescent="0.35">
      <c r="A149" s="122">
        <f>IFERROR(INDEX($N$8:$N$50,MATCH(B149,$O$8:$O$50, 0)), "")</f>
        <v>458</v>
      </c>
      <c r="B149" s="124" t="s">
        <v>1153</v>
      </c>
      <c r="C149" s="122" t="s">
        <v>1154</v>
      </c>
      <c r="D149" s="180" t="s">
        <v>175</v>
      </c>
      <c r="E149" s="119" t="s">
        <v>176</v>
      </c>
      <c r="F149" s="175">
        <v>100</v>
      </c>
      <c r="G149" s="175" t="s">
        <v>73</v>
      </c>
      <c r="H149" s="175">
        <v>100</v>
      </c>
      <c r="I149" s="175" t="s">
        <v>73</v>
      </c>
      <c r="J149" s="175"/>
      <c r="K149" s="175">
        <f>$A$149*H149</f>
        <v>45800</v>
      </c>
    </row>
    <row r="150" spans="1:11" x14ac:dyDescent="0.35">
      <c r="D150" s="180" t="s">
        <v>47</v>
      </c>
      <c r="E150" s="119" t="s">
        <v>569</v>
      </c>
      <c r="F150" s="175">
        <v>30</v>
      </c>
      <c r="G150" s="175" t="s">
        <v>73</v>
      </c>
      <c r="H150" s="175">
        <v>30</v>
      </c>
      <c r="I150" s="175" t="s">
        <v>73</v>
      </c>
      <c r="J150" s="175"/>
      <c r="K150" s="175">
        <f t="shared" ref="K150:K194" si="26">$A$149*H150</f>
        <v>13740</v>
      </c>
    </row>
    <row r="151" spans="1:11" x14ac:dyDescent="0.35">
      <c r="D151" s="180" t="s">
        <v>49</v>
      </c>
      <c r="E151" s="3" t="s">
        <v>395</v>
      </c>
      <c r="F151" s="175">
        <v>3</v>
      </c>
      <c r="G151" s="175" t="s">
        <v>73</v>
      </c>
      <c r="H151" s="175">
        <v>3</v>
      </c>
      <c r="I151" s="175" t="s">
        <v>73</v>
      </c>
      <c r="J151" s="175"/>
      <c r="K151" s="175">
        <f t="shared" si="26"/>
        <v>1374</v>
      </c>
    </row>
    <row r="152" spans="1:11" x14ac:dyDescent="0.35">
      <c r="D152" s="180" t="s">
        <v>48</v>
      </c>
      <c r="E152" s="3" t="s">
        <v>1126</v>
      </c>
      <c r="F152" s="175">
        <v>5</v>
      </c>
      <c r="G152" s="175" t="s">
        <v>73</v>
      </c>
      <c r="H152" s="175">
        <v>5</v>
      </c>
      <c r="I152" s="175" t="s">
        <v>73</v>
      </c>
      <c r="J152" s="175"/>
      <c r="K152" s="175">
        <f t="shared" si="26"/>
        <v>2290</v>
      </c>
    </row>
    <row r="153" spans="1:11" x14ac:dyDescent="0.35">
      <c r="D153" s="180" t="s">
        <v>385</v>
      </c>
      <c r="E153" s="3" t="s">
        <v>386</v>
      </c>
      <c r="F153" s="175">
        <v>3</v>
      </c>
      <c r="G153" s="175" t="s">
        <v>73</v>
      </c>
      <c r="H153" s="175">
        <v>3</v>
      </c>
      <c r="I153" s="175" t="s">
        <v>73</v>
      </c>
      <c r="J153" s="175"/>
      <c r="K153" s="175">
        <f t="shared" si="26"/>
        <v>1374</v>
      </c>
    </row>
    <row r="154" spans="1:11" x14ac:dyDescent="0.35">
      <c r="D154" s="319"/>
      <c r="E154" s="117" t="s">
        <v>1125</v>
      </c>
      <c r="F154" s="104">
        <v>10</v>
      </c>
      <c r="G154" s="104" t="s">
        <v>73</v>
      </c>
      <c r="H154" s="104"/>
      <c r="I154" s="104"/>
      <c r="J154" s="104"/>
      <c r="K154" s="104"/>
    </row>
    <row r="155" spans="1:11" x14ac:dyDescent="0.35">
      <c r="D155" s="180" t="s">
        <v>47</v>
      </c>
      <c r="E155" s="118" t="s">
        <v>569</v>
      </c>
      <c r="F155" s="175">
        <v>600</v>
      </c>
      <c r="G155" s="175" t="s">
        <v>73</v>
      </c>
      <c r="H155" s="175">
        <f>ROUND((($F$154)*((F155)/($F$156+$F$157+$F$158+$F$159+$F$155))),2)</f>
        <v>6.67</v>
      </c>
      <c r="I155" s="175" t="s">
        <v>73</v>
      </c>
      <c r="J155" s="175"/>
      <c r="K155" s="175">
        <f t="shared" si="26"/>
        <v>3054.86</v>
      </c>
    </row>
    <row r="156" spans="1:11" x14ac:dyDescent="0.35">
      <c r="D156" s="180" t="s">
        <v>48</v>
      </c>
      <c r="E156" s="118" t="s">
        <v>1126</v>
      </c>
      <c r="F156" s="175">
        <v>100</v>
      </c>
      <c r="G156" s="175" t="s">
        <v>73</v>
      </c>
      <c r="H156" s="175">
        <f t="shared" ref="H156:H159" si="27">ROUND((($F$154)*((F156)/($F$156+$F$157+$F$158+$F$159+$F$155))),2)</f>
        <v>1.1100000000000001</v>
      </c>
      <c r="I156" s="175" t="s">
        <v>73</v>
      </c>
      <c r="J156" s="175"/>
      <c r="K156" s="175">
        <f t="shared" si="26"/>
        <v>508.38000000000005</v>
      </c>
    </row>
    <row r="157" spans="1:11" x14ac:dyDescent="0.35">
      <c r="D157" s="180" t="s">
        <v>49</v>
      </c>
      <c r="E157" s="118" t="s">
        <v>395</v>
      </c>
      <c r="F157" s="175">
        <v>50</v>
      </c>
      <c r="G157" s="175" t="s">
        <v>73</v>
      </c>
      <c r="H157" s="175">
        <f t="shared" si="27"/>
        <v>0.56000000000000005</v>
      </c>
      <c r="I157" s="175" t="s">
        <v>73</v>
      </c>
      <c r="J157" s="175"/>
      <c r="K157" s="175">
        <f t="shared" si="26"/>
        <v>256.48</v>
      </c>
    </row>
    <row r="158" spans="1:11" x14ac:dyDescent="0.35">
      <c r="D158" s="180" t="s">
        <v>50</v>
      </c>
      <c r="E158" s="118" t="s">
        <v>1127</v>
      </c>
      <c r="F158" s="175">
        <v>100</v>
      </c>
      <c r="G158" s="175" t="s">
        <v>73</v>
      </c>
      <c r="H158" s="175">
        <f t="shared" si="27"/>
        <v>1.1100000000000001</v>
      </c>
      <c r="I158" s="175" t="s">
        <v>73</v>
      </c>
      <c r="J158" s="175"/>
      <c r="K158" s="175">
        <f t="shared" si="26"/>
        <v>508.38000000000005</v>
      </c>
    </row>
    <row r="159" spans="1:11" x14ac:dyDescent="0.35">
      <c r="D159" s="180" t="s">
        <v>51</v>
      </c>
      <c r="E159" s="118" t="s">
        <v>404</v>
      </c>
      <c r="F159" s="175">
        <v>50</v>
      </c>
      <c r="G159" s="175" t="s">
        <v>73</v>
      </c>
      <c r="H159" s="175">
        <f t="shared" si="27"/>
        <v>0.56000000000000005</v>
      </c>
      <c r="I159" s="175" t="s">
        <v>73</v>
      </c>
      <c r="J159" s="175"/>
      <c r="K159" s="175">
        <f t="shared" si="26"/>
        <v>256.48</v>
      </c>
    </row>
    <row r="160" spans="1:11" x14ac:dyDescent="0.35">
      <c r="D160" s="319"/>
      <c r="E160" s="125" t="s">
        <v>1128</v>
      </c>
      <c r="F160" s="104">
        <v>100</v>
      </c>
      <c r="G160" s="104" t="s">
        <v>73</v>
      </c>
      <c r="H160" s="104"/>
      <c r="I160" s="104"/>
      <c r="J160" s="104"/>
      <c r="K160" s="104"/>
    </row>
    <row r="161" spans="4:11" x14ac:dyDescent="0.35">
      <c r="D161" s="180" t="s">
        <v>371</v>
      </c>
      <c r="E161" s="118" t="s">
        <v>372</v>
      </c>
      <c r="F161" s="175">
        <v>300</v>
      </c>
      <c r="G161" s="175" t="s">
        <v>73</v>
      </c>
      <c r="H161" s="175">
        <f>ROUND((($F$160)*((F161)/($F$161+$F$162+$F$163+$F$164))),2)</f>
        <v>15</v>
      </c>
      <c r="I161" s="175" t="s">
        <v>73</v>
      </c>
      <c r="J161" s="175"/>
      <c r="K161" s="175">
        <f t="shared" si="26"/>
        <v>6870</v>
      </c>
    </row>
    <row r="162" spans="4:11" x14ac:dyDescent="0.35">
      <c r="D162" s="180" t="s">
        <v>375</v>
      </c>
      <c r="E162" s="118" t="s">
        <v>1129</v>
      </c>
      <c r="F162" s="175">
        <v>300</v>
      </c>
      <c r="G162" s="175" t="s">
        <v>73</v>
      </c>
      <c r="H162" s="175">
        <f t="shared" ref="H162:H164" si="28">ROUND((($F$160)*((F162)/($F$161+$F$162+$F$163+$F$164))),2)</f>
        <v>15</v>
      </c>
      <c r="I162" s="175" t="s">
        <v>73</v>
      </c>
      <c r="J162" s="175"/>
      <c r="K162" s="175">
        <f t="shared" si="26"/>
        <v>6870</v>
      </c>
    </row>
    <row r="163" spans="4:11" x14ac:dyDescent="0.35">
      <c r="D163" s="180" t="s">
        <v>50</v>
      </c>
      <c r="E163" s="118" t="s">
        <v>1130</v>
      </c>
      <c r="F163" s="175">
        <v>800</v>
      </c>
      <c r="G163" s="175" t="s">
        <v>73</v>
      </c>
      <c r="H163" s="175">
        <f t="shared" si="28"/>
        <v>40</v>
      </c>
      <c r="I163" s="175" t="s">
        <v>73</v>
      </c>
      <c r="J163" s="175"/>
      <c r="K163" s="175">
        <f t="shared" si="26"/>
        <v>18320</v>
      </c>
    </row>
    <row r="164" spans="4:11" x14ac:dyDescent="0.35">
      <c r="D164" s="180" t="s">
        <v>60</v>
      </c>
      <c r="E164" s="118" t="s">
        <v>368</v>
      </c>
      <c r="F164" s="175">
        <v>600</v>
      </c>
      <c r="G164" s="175" t="s">
        <v>73</v>
      </c>
      <c r="H164" s="175">
        <f t="shared" si="28"/>
        <v>30</v>
      </c>
      <c r="I164" s="175" t="s">
        <v>73</v>
      </c>
      <c r="J164" s="175"/>
      <c r="K164" s="175">
        <f t="shared" si="26"/>
        <v>13740</v>
      </c>
    </row>
    <row r="165" spans="4:11" x14ac:dyDescent="0.35">
      <c r="D165" s="319"/>
      <c r="E165" s="125" t="s">
        <v>1152</v>
      </c>
      <c r="F165" s="104">
        <v>350</v>
      </c>
      <c r="G165" s="104" t="s">
        <v>73</v>
      </c>
      <c r="H165" s="104"/>
      <c r="I165" s="104"/>
      <c r="J165" s="104"/>
      <c r="K165" s="104"/>
    </row>
    <row r="166" spans="4:11" x14ac:dyDescent="0.35">
      <c r="D166" s="180" t="s">
        <v>626</v>
      </c>
      <c r="E166" s="118" t="s">
        <v>627</v>
      </c>
      <c r="F166" s="175">
        <v>11</v>
      </c>
      <c r="G166" s="175" t="s">
        <v>73</v>
      </c>
      <c r="H166" s="175"/>
      <c r="I166" s="175" t="s">
        <v>73</v>
      </c>
      <c r="J166" s="175"/>
      <c r="K166" s="175">
        <f t="shared" si="26"/>
        <v>0</v>
      </c>
    </row>
    <row r="167" spans="4:11" x14ac:dyDescent="0.35">
      <c r="D167" s="180" t="s">
        <v>43</v>
      </c>
      <c r="E167" s="118" t="s">
        <v>817</v>
      </c>
      <c r="F167" s="175">
        <v>6</v>
      </c>
      <c r="G167" s="175" t="s">
        <v>73</v>
      </c>
      <c r="H167" s="175"/>
      <c r="I167" s="175" t="s">
        <v>73</v>
      </c>
      <c r="J167" s="175"/>
      <c r="K167" s="175">
        <f t="shared" si="26"/>
        <v>0</v>
      </c>
    </row>
    <row r="168" spans="4:11" x14ac:dyDescent="0.35">
      <c r="D168" s="180" t="s">
        <v>1250</v>
      </c>
      <c r="E168" s="118" t="s">
        <v>1236</v>
      </c>
      <c r="F168" s="175">
        <v>0.2</v>
      </c>
      <c r="G168" s="175" t="s">
        <v>73</v>
      </c>
      <c r="H168" s="175"/>
      <c r="I168" s="175" t="s">
        <v>73</v>
      </c>
      <c r="J168" s="175"/>
      <c r="K168" s="175">
        <f t="shared" si="26"/>
        <v>0</v>
      </c>
    </row>
    <row r="169" spans="4:11" x14ac:dyDescent="0.35">
      <c r="D169" s="180" t="s">
        <v>42</v>
      </c>
      <c r="E169" s="118" t="s">
        <v>330</v>
      </c>
      <c r="F169" s="175">
        <v>6.5</v>
      </c>
      <c r="G169" s="175" t="s">
        <v>73</v>
      </c>
      <c r="H169" s="175"/>
      <c r="I169" s="175" t="s">
        <v>73</v>
      </c>
      <c r="J169" s="175"/>
      <c r="K169" s="175">
        <f t="shared" si="26"/>
        <v>0</v>
      </c>
    </row>
    <row r="170" spans="4:11" x14ac:dyDescent="0.35">
      <c r="D170" s="180" t="s">
        <v>45</v>
      </c>
      <c r="E170" s="118" t="s">
        <v>321</v>
      </c>
      <c r="F170" s="175">
        <v>3.8</v>
      </c>
      <c r="G170" s="175" t="s">
        <v>73</v>
      </c>
      <c r="H170" s="175"/>
      <c r="I170" s="175" t="s">
        <v>73</v>
      </c>
      <c r="J170" s="175"/>
      <c r="K170" s="175">
        <f t="shared" si="26"/>
        <v>0</v>
      </c>
    </row>
    <row r="171" spans="4:11" x14ac:dyDescent="0.35">
      <c r="D171" s="180" t="s">
        <v>333</v>
      </c>
      <c r="E171" s="118" t="s">
        <v>334</v>
      </c>
      <c r="F171" s="175">
        <v>8</v>
      </c>
      <c r="G171" s="175" t="s">
        <v>73</v>
      </c>
      <c r="H171" s="175"/>
      <c r="I171" s="175" t="s">
        <v>73</v>
      </c>
      <c r="J171" s="175"/>
      <c r="K171" s="175">
        <f t="shared" si="26"/>
        <v>0</v>
      </c>
    </row>
    <row r="172" spans="4:11" x14ac:dyDescent="0.35">
      <c r="D172" s="180" t="s">
        <v>646</v>
      </c>
      <c r="E172" s="118" t="s">
        <v>647</v>
      </c>
      <c r="F172" s="175">
        <v>2.7</v>
      </c>
      <c r="G172" s="175" t="s">
        <v>73</v>
      </c>
      <c r="H172" s="175"/>
      <c r="I172" s="175" t="s">
        <v>73</v>
      </c>
      <c r="J172" s="175"/>
      <c r="K172" s="175">
        <f t="shared" si="26"/>
        <v>0</v>
      </c>
    </row>
    <row r="173" spans="4:11" x14ac:dyDescent="0.35">
      <c r="D173" s="180" t="s">
        <v>173</v>
      </c>
      <c r="E173" s="118" t="s">
        <v>1237</v>
      </c>
      <c r="F173" s="175">
        <v>600</v>
      </c>
      <c r="G173" s="175" t="s">
        <v>73</v>
      </c>
      <c r="H173" s="175"/>
      <c r="I173" s="175" t="s">
        <v>73</v>
      </c>
      <c r="J173" s="175"/>
      <c r="K173" s="175">
        <f t="shared" si="26"/>
        <v>0</v>
      </c>
    </row>
    <row r="174" spans="4:11" x14ac:dyDescent="0.35">
      <c r="D174" s="319"/>
      <c r="E174" s="138" t="s">
        <v>1125</v>
      </c>
      <c r="F174" s="104">
        <v>100</v>
      </c>
      <c r="G174" s="104" t="s">
        <v>73</v>
      </c>
      <c r="H174" s="104"/>
      <c r="I174" s="104"/>
      <c r="J174" s="104"/>
      <c r="K174" s="104"/>
    </row>
    <row r="175" spans="4:11" x14ac:dyDescent="0.35">
      <c r="D175" s="180" t="s">
        <v>47</v>
      </c>
      <c r="E175" s="121" t="s">
        <v>569</v>
      </c>
      <c r="F175" s="175">
        <v>600</v>
      </c>
      <c r="G175" s="175" t="s">
        <v>73</v>
      </c>
      <c r="H175" s="175"/>
      <c r="I175" s="175" t="s">
        <v>73</v>
      </c>
      <c r="J175" s="175"/>
      <c r="K175" s="175">
        <f t="shared" si="26"/>
        <v>0</v>
      </c>
    </row>
    <row r="176" spans="4:11" x14ac:dyDescent="0.35">
      <c r="D176" s="180" t="s">
        <v>48</v>
      </c>
      <c r="E176" s="121" t="s">
        <v>1126</v>
      </c>
      <c r="F176" s="175">
        <v>100</v>
      </c>
      <c r="G176" s="175" t="s">
        <v>73</v>
      </c>
      <c r="H176" s="175"/>
      <c r="I176" s="175" t="s">
        <v>73</v>
      </c>
      <c r="J176" s="175"/>
      <c r="K176" s="175">
        <f t="shared" si="26"/>
        <v>0</v>
      </c>
    </row>
    <row r="177" spans="4:11" x14ac:dyDescent="0.35">
      <c r="D177" s="180" t="s">
        <v>49</v>
      </c>
      <c r="E177" s="121" t="s">
        <v>395</v>
      </c>
      <c r="F177" s="175">
        <v>50</v>
      </c>
      <c r="G177" s="175" t="s">
        <v>73</v>
      </c>
      <c r="H177" s="175"/>
      <c r="I177" s="175" t="s">
        <v>73</v>
      </c>
      <c r="J177" s="175"/>
      <c r="K177" s="175">
        <f t="shared" si="26"/>
        <v>0</v>
      </c>
    </row>
    <row r="178" spans="4:11" x14ac:dyDescent="0.35">
      <c r="D178" s="180" t="s">
        <v>50</v>
      </c>
      <c r="E178" s="121" t="s">
        <v>1127</v>
      </c>
      <c r="F178" s="175">
        <v>100</v>
      </c>
      <c r="G178" s="175" t="s">
        <v>73</v>
      </c>
      <c r="H178" s="175"/>
      <c r="I178" s="175" t="s">
        <v>73</v>
      </c>
      <c r="J178" s="175"/>
      <c r="K178" s="175">
        <f t="shared" si="26"/>
        <v>0</v>
      </c>
    </row>
    <row r="179" spans="4:11" x14ac:dyDescent="0.35">
      <c r="D179" s="180" t="s">
        <v>51</v>
      </c>
      <c r="E179" s="121" t="s">
        <v>404</v>
      </c>
      <c r="F179" s="175">
        <v>50</v>
      </c>
      <c r="G179" s="175" t="s">
        <v>73</v>
      </c>
      <c r="H179" s="175"/>
      <c r="I179" s="175" t="s">
        <v>73</v>
      </c>
      <c r="J179" s="175"/>
      <c r="K179" s="175">
        <f t="shared" si="26"/>
        <v>0</v>
      </c>
    </row>
    <row r="180" spans="4:11" x14ac:dyDescent="0.35">
      <c r="D180" s="319"/>
      <c r="E180" s="138" t="s">
        <v>1238</v>
      </c>
      <c r="F180" s="104">
        <v>14000</v>
      </c>
      <c r="G180" s="104" t="s">
        <v>73</v>
      </c>
      <c r="H180" s="104"/>
      <c r="I180" s="104"/>
      <c r="J180" s="104"/>
      <c r="K180" s="104"/>
    </row>
    <row r="181" spans="4:11" x14ac:dyDescent="0.35">
      <c r="D181" s="180" t="s">
        <v>626</v>
      </c>
      <c r="E181" s="121" t="s">
        <v>627</v>
      </c>
      <c r="F181" s="175">
        <v>160</v>
      </c>
      <c r="G181" s="175" t="s">
        <v>73</v>
      </c>
      <c r="H181" s="175"/>
      <c r="I181" s="175" t="s">
        <v>73</v>
      </c>
      <c r="J181" s="175"/>
      <c r="K181" s="175">
        <f t="shared" si="26"/>
        <v>0</v>
      </c>
    </row>
    <row r="182" spans="4:11" x14ac:dyDescent="0.35">
      <c r="D182" s="180" t="s">
        <v>42</v>
      </c>
      <c r="E182" s="121" t="s">
        <v>330</v>
      </c>
      <c r="F182" s="175">
        <v>120</v>
      </c>
      <c r="G182" s="175" t="s">
        <v>73</v>
      </c>
      <c r="H182" s="175"/>
      <c r="I182" s="175" t="s">
        <v>73</v>
      </c>
      <c r="J182" s="175"/>
      <c r="K182" s="175">
        <f t="shared" si="26"/>
        <v>0</v>
      </c>
    </row>
    <row r="183" spans="4:11" x14ac:dyDescent="0.35">
      <c r="D183" s="180" t="s">
        <v>1250</v>
      </c>
      <c r="E183" s="121" t="s">
        <v>1236</v>
      </c>
      <c r="F183" s="175">
        <v>3</v>
      </c>
      <c r="G183" s="175" t="s">
        <v>73</v>
      </c>
      <c r="H183" s="175"/>
      <c r="I183" s="175" t="s">
        <v>73</v>
      </c>
      <c r="J183" s="175"/>
      <c r="K183" s="175">
        <f t="shared" si="26"/>
        <v>0</v>
      </c>
    </row>
    <row r="184" spans="4:11" x14ac:dyDescent="0.35">
      <c r="D184" s="180" t="s">
        <v>45</v>
      </c>
      <c r="E184" s="121" t="s">
        <v>321</v>
      </c>
      <c r="F184" s="175">
        <v>70</v>
      </c>
      <c r="G184" s="175" t="s">
        <v>73</v>
      </c>
      <c r="H184" s="175"/>
      <c r="I184" s="175" t="s">
        <v>73</v>
      </c>
      <c r="J184" s="175"/>
      <c r="K184" s="175">
        <f t="shared" si="26"/>
        <v>0</v>
      </c>
    </row>
    <row r="185" spans="4:11" x14ac:dyDescent="0.35">
      <c r="D185" s="180" t="s">
        <v>43</v>
      </c>
      <c r="E185" s="121" t="s">
        <v>817</v>
      </c>
      <c r="F185" s="175">
        <v>110</v>
      </c>
      <c r="G185" s="175" t="s">
        <v>73</v>
      </c>
      <c r="H185" s="175"/>
      <c r="I185" s="175" t="s">
        <v>73</v>
      </c>
      <c r="J185" s="175"/>
      <c r="K185" s="175">
        <f t="shared" si="26"/>
        <v>0</v>
      </c>
    </row>
    <row r="186" spans="4:11" x14ac:dyDescent="0.35">
      <c r="D186" s="180" t="s">
        <v>333</v>
      </c>
      <c r="E186" s="121" t="s">
        <v>334</v>
      </c>
      <c r="F186" s="175">
        <v>50</v>
      </c>
      <c r="G186" s="175" t="s">
        <v>73</v>
      </c>
      <c r="H186" s="175"/>
      <c r="I186" s="175" t="s">
        <v>73</v>
      </c>
      <c r="J186" s="175"/>
      <c r="K186" s="175">
        <f t="shared" si="26"/>
        <v>0</v>
      </c>
    </row>
    <row r="187" spans="4:11" x14ac:dyDescent="0.35">
      <c r="D187" s="180" t="s">
        <v>646</v>
      </c>
      <c r="E187" s="121" t="s">
        <v>647</v>
      </c>
      <c r="F187" s="175">
        <v>50</v>
      </c>
      <c r="G187" s="175" t="s">
        <v>73</v>
      </c>
      <c r="H187" s="175"/>
      <c r="I187" s="175" t="s">
        <v>73</v>
      </c>
      <c r="J187" s="175"/>
      <c r="K187" s="175">
        <f t="shared" si="26"/>
        <v>0</v>
      </c>
    </row>
    <row r="188" spans="4:11" x14ac:dyDescent="0.35">
      <c r="D188" s="518"/>
      <c r="E188" s="186" t="s">
        <v>950</v>
      </c>
      <c r="F188" s="181">
        <v>11000</v>
      </c>
      <c r="G188" s="181" t="s">
        <v>73</v>
      </c>
      <c r="H188" s="181"/>
      <c r="I188" s="181" t="s">
        <v>73</v>
      </c>
      <c r="J188" s="181"/>
      <c r="K188" s="181">
        <f t="shared" si="26"/>
        <v>0</v>
      </c>
    </row>
    <row r="189" spans="4:11" x14ac:dyDescent="0.35">
      <c r="D189" s="319"/>
      <c r="E189" s="125" t="s">
        <v>1131</v>
      </c>
      <c r="F189" s="104">
        <v>45</v>
      </c>
      <c r="G189" s="104" t="s">
        <v>73</v>
      </c>
      <c r="H189" s="104"/>
      <c r="I189" s="104" t="s">
        <v>73</v>
      </c>
      <c r="J189" s="104"/>
      <c r="K189" s="104">
        <f t="shared" si="26"/>
        <v>0</v>
      </c>
    </row>
    <row r="190" spans="4:11" x14ac:dyDescent="0.35">
      <c r="D190" s="180" t="s">
        <v>46</v>
      </c>
      <c r="E190" s="118" t="s">
        <v>309</v>
      </c>
      <c r="F190" s="175">
        <v>5</v>
      </c>
      <c r="G190" s="175" t="s">
        <v>73</v>
      </c>
      <c r="H190" s="175">
        <f>ROUND((($F$189)*((F190)/($F$190+$F$191+$F$192+$F$193+$F$194))),2)</f>
        <v>1.06</v>
      </c>
      <c r="I190" s="175" t="s">
        <v>73</v>
      </c>
      <c r="J190" s="175"/>
      <c r="K190" s="175">
        <f t="shared" si="26"/>
        <v>485.48</v>
      </c>
    </row>
    <row r="191" spans="4:11" x14ac:dyDescent="0.35">
      <c r="D191" s="180" t="s">
        <v>45</v>
      </c>
      <c r="E191" s="118" t="s">
        <v>321</v>
      </c>
      <c r="F191" s="175">
        <v>3</v>
      </c>
      <c r="G191" s="175" t="s">
        <v>73</v>
      </c>
      <c r="H191" s="175">
        <f t="shared" ref="H191:H194" si="29">ROUND((($F$189)*((F191)/($F$190+$F$191+$F$192+$F$193+$F$194))),2)</f>
        <v>0.63</v>
      </c>
      <c r="I191" s="175" t="s">
        <v>73</v>
      </c>
      <c r="J191" s="175"/>
      <c r="K191" s="175">
        <f t="shared" si="26"/>
        <v>288.54000000000002</v>
      </c>
    </row>
    <row r="192" spans="4:11" x14ac:dyDescent="0.35">
      <c r="D192" s="180" t="s">
        <v>333</v>
      </c>
      <c r="E192" s="118" t="s">
        <v>334</v>
      </c>
      <c r="F192" s="175">
        <v>5</v>
      </c>
      <c r="G192" s="175" t="s">
        <v>73</v>
      </c>
      <c r="H192" s="175">
        <f t="shared" si="29"/>
        <v>1.06</v>
      </c>
      <c r="I192" s="175" t="s">
        <v>73</v>
      </c>
      <c r="J192" s="175"/>
      <c r="K192" s="175">
        <f t="shared" si="26"/>
        <v>485.48</v>
      </c>
    </row>
    <row r="193" spans="1:11" x14ac:dyDescent="0.35">
      <c r="D193" s="180" t="s">
        <v>55</v>
      </c>
      <c r="E193" s="118" t="s">
        <v>1132</v>
      </c>
      <c r="F193" s="175">
        <v>0.2</v>
      </c>
      <c r="G193" s="175" t="s">
        <v>73</v>
      </c>
      <c r="H193" s="175">
        <f t="shared" si="29"/>
        <v>0.04</v>
      </c>
      <c r="I193" s="175" t="s">
        <v>73</v>
      </c>
      <c r="J193" s="175"/>
      <c r="K193" s="175">
        <f t="shared" si="26"/>
        <v>18.32</v>
      </c>
    </row>
    <row r="194" spans="1:11" x14ac:dyDescent="0.35">
      <c r="D194" s="180" t="s">
        <v>473</v>
      </c>
      <c r="E194" s="118" t="s">
        <v>474</v>
      </c>
      <c r="F194" s="175">
        <v>200</v>
      </c>
      <c r="G194" s="175" t="s">
        <v>73</v>
      </c>
      <c r="H194" s="175">
        <f t="shared" si="29"/>
        <v>42.21</v>
      </c>
      <c r="I194" s="175" t="s">
        <v>73</v>
      </c>
      <c r="J194" s="175"/>
      <c r="K194" s="175">
        <f t="shared" si="26"/>
        <v>19332.18</v>
      </c>
    </row>
    <row r="195" spans="1:11" x14ac:dyDescent="0.35">
      <c r="A195" s="120"/>
      <c r="B195" s="120"/>
      <c r="C195" s="120"/>
      <c r="D195" s="519"/>
      <c r="E195" s="120"/>
      <c r="F195" s="182"/>
      <c r="G195" s="182" t="s">
        <v>73</v>
      </c>
      <c r="H195" s="182"/>
      <c r="I195" s="182" t="s">
        <v>73</v>
      </c>
      <c r="J195" s="182"/>
      <c r="K195" s="182"/>
    </row>
    <row r="196" spans="1:11" x14ac:dyDescent="0.35">
      <c r="A196" s="122">
        <f>IFERROR(INDEX($N$8:$N$50,MATCH(B196,$O$8:$O$50, 0)), "")</f>
        <v>1284</v>
      </c>
      <c r="B196" s="124" t="s">
        <v>1155</v>
      </c>
      <c r="C196" s="122" t="s">
        <v>1156</v>
      </c>
      <c r="D196" s="180" t="s">
        <v>175</v>
      </c>
      <c r="E196" s="3" t="s">
        <v>176</v>
      </c>
      <c r="F196" s="175">
        <v>100</v>
      </c>
      <c r="G196" s="175" t="s">
        <v>73</v>
      </c>
      <c r="H196" s="175">
        <v>100</v>
      </c>
      <c r="I196" s="175" t="s">
        <v>73</v>
      </c>
      <c r="J196" s="175"/>
      <c r="K196" s="175">
        <f>$A$196*H196</f>
        <v>128400</v>
      </c>
    </row>
    <row r="197" spans="1:11" x14ac:dyDescent="0.35">
      <c r="D197" s="180" t="s">
        <v>47</v>
      </c>
      <c r="E197" s="3" t="s">
        <v>569</v>
      </c>
      <c r="F197" s="175">
        <v>30</v>
      </c>
      <c r="G197" s="175" t="s">
        <v>73</v>
      </c>
      <c r="H197" s="175">
        <v>30</v>
      </c>
      <c r="I197" s="175" t="s">
        <v>73</v>
      </c>
      <c r="J197" s="175"/>
      <c r="K197" s="175">
        <f t="shared" ref="K197:K242" si="30">$A$196*H197</f>
        <v>38520</v>
      </c>
    </row>
    <row r="198" spans="1:11" x14ac:dyDescent="0.35">
      <c r="D198" s="180" t="s">
        <v>49</v>
      </c>
      <c r="E198" s="3" t="s">
        <v>395</v>
      </c>
      <c r="F198" s="175">
        <v>3</v>
      </c>
      <c r="G198" s="175" t="s">
        <v>73</v>
      </c>
      <c r="H198" s="175">
        <v>3</v>
      </c>
      <c r="I198" s="175" t="s">
        <v>73</v>
      </c>
      <c r="J198" s="175"/>
      <c r="K198" s="175">
        <f t="shared" si="30"/>
        <v>3852</v>
      </c>
    </row>
    <row r="199" spans="1:11" x14ac:dyDescent="0.35">
      <c r="D199" s="180" t="s">
        <v>385</v>
      </c>
      <c r="E199" s="3" t="s">
        <v>386</v>
      </c>
      <c r="F199" s="175">
        <v>3</v>
      </c>
      <c r="G199" s="175" t="s">
        <v>73</v>
      </c>
      <c r="H199" s="175">
        <v>3</v>
      </c>
      <c r="I199" s="175" t="s">
        <v>73</v>
      </c>
      <c r="J199" s="175"/>
      <c r="K199" s="175">
        <f t="shared" si="30"/>
        <v>3852</v>
      </c>
    </row>
    <row r="200" spans="1:11" x14ac:dyDescent="0.35">
      <c r="D200" s="180" t="s">
        <v>48</v>
      </c>
      <c r="E200" s="3" t="s">
        <v>1126</v>
      </c>
      <c r="F200" s="175">
        <v>5</v>
      </c>
      <c r="G200" s="175" t="s">
        <v>73</v>
      </c>
      <c r="H200" s="175">
        <v>5</v>
      </c>
      <c r="I200" s="175" t="s">
        <v>73</v>
      </c>
      <c r="J200" s="175"/>
      <c r="K200" s="175">
        <f t="shared" si="30"/>
        <v>6420</v>
      </c>
    </row>
    <row r="201" spans="1:11" x14ac:dyDescent="0.35">
      <c r="D201" s="180" t="s">
        <v>1142</v>
      </c>
      <c r="E201" s="3" t="s">
        <v>1141</v>
      </c>
      <c r="F201" s="175">
        <v>10</v>
      </c>
      <c r="G201" s="175" t="s">
        <v>73</v>
      </c>
      <c r="H201" s="175">
        <v>10</v>
      </c>
      <c r="I201" s="175" t="s">
        <v>73</v>
      </c>
      <c r="J201" s="175"/>
      <c r="K201" s="175">
        <f t="shared" si="30"/>
        <v>12840</v>
      </c>
    </row>
    <row r="202" spans="1:11" x14ac:dyDescent="0.35">
      <c r="D202" s="180" t="s">
        <v>1144</v>
      </c>
      <c r="E202" s="3" t="s">
        <v>1143</v>
      </c>
      <c r="F202" s="175">
        <v>1</v>
      </c>
      <c r="G202" s="175" t="s">
        <v>73</v>
      </c>
      <c r="H202" s="175">
        <v>1</v>
      </c>
      <c r="I202" s="175" t="s">
        <v>73</v>
      </c>
      <c r="J202" s="175"/>
      <c r="K202" s="175">
        <f t="shared" si="30"/>
        <v>1284</v>
      </c>
    </row>
    <row r="203" spans="1:11" x14ac:dyDescent="0.35">
      <c r="D203" s="180" t="s">
        <v>294</v>
      </c>
      <c r="E203" s="3" t="s">
        <v>295</v>
      </c>
      <c r="F203" s="175">
        <v>10</v>
      </c>
      <c r="G203" s="175" t="s">
        <v>73</v>
      </c>
      <c r="H203" s="175">
        <v>10</v>
      </c>
      <c r="I203" s="175" t="s">
        <v>73</v>
      </c>
      <c r="J203" s="175"/>
      <c r="K203" s="175">
        <f t="shared" si="30"/>
        <v>12840</v>
      </c>
    </row>
    <row r="204" spans="1:11" x14ac:dyDescent="0.35">
      <c r="D204" s="180" t="s">
        <v>1146</v>
      </c>
      <c r="E204" s="3" t="s">
        <v>1145</v>
      </c>
      <c r="F204" s="175">
        <v>2</v>
      </c>
      <c r="G204" s="175" t="s">
        <v>73</v>
      </c>
      <c r="H204" s="175">
        <v>2</v>
      </c>
      <c r="I204" s="175" t="s">
        <v>73</v>
      </c>
      <c r="J204" s="175"/>
      <c r="K204" s="175">
        <f t="shared" si="30"/>
        <v>2568</v>
      </c>
    </row>
    <row r="205" spans="1:11" x14ac:dyDescent="0.35">
      <c r="D205" s="319"/>
      <c r="E205" s="117" t="s">
        <v>1125</v>
      </c>
      <c r="F205" s="104">
        <v>10</v>
      </c>
      <c r="G205" s="104" t="s">
        <v>73</v>
      </c>
      <c r="H205" s="104"/>
      <c r="I205" s="104"/>
      <c r="J205" s="104"/>
      <c r="K205" s="104"/>
    </row>
    <row r="206" spans="1:11" x14ac:dyDescent="0.35">
      <c r="D206" s="180" t="s">
        <v>47</v>
      </c>
      <c r="E206" s="118" t="s">
        <v>569</v>
      </c>
      <c r="F206" s="175">
        <v>600</v>
      </c>
      <c r="G206" s="175" t="s">
        <v>73</v>
      </c>
      <c r="H206" s="175">
        <f>ROUND(($F$205)*((F206)/($F$206+$F$207+$F$208+$F$209+$F$210)),2)</f>
        <v>6.67</v>
      </c>
      <c r="I206" s="175" t="s">
        <v>73</v>
      </c>
      <c r="J206" s="175"/>
      <c r="K206" s="175">
        <f t="shared" si="30"/>
        <v>8564.2800000000007</v>
      </c>
    </row>
    <row r="207" spans="1:11" x14ac:dyDescent="0.35">
      <c r="D207" s="180" t="s">
        <v>48</v>
      </c>
      <c r="E207" s="118" t="s">
        <v>1126</v>
      </c>
      <c r="F207" s="175">
        <v>100</v>
      </c>
      <c r="G207" s="175" t="s">
        <v>73</v>
      </c>
      <c r="H207" s="175">
        <f t="shared" ref="H207:H210" si="31">ROUND(($F$205)*((F207)/($F$206+$F$207+$F$208+$F$209+$F$210)),2)</f>
        <v>1.1100000000000001</v>
      </c>
      <c r="I207" s="175" t="s">
        <v>73</v>
      </c>
      <c r="J207" s="175"/>
      <c r="K207" s="175">
        <f t="shared" si="30"/>
        <v>1425.2400000000002</v>
      </c>
    </row>
    <row r="208" spans="1:11" x14ac:dyDescent="0.35">
      <c r="D208" s="180" t="s">
        <v>49</v>
      </c>
      <c r="E208" s="118" t="s">
        <v>395</v>
      </c>
      <c r="F208" s="175">
        <v>50</v>
      </c>
      <c r="G208" s="175" t="s">
        <v>73</v>
      </c>
      <c r="H208" s="175">
        <f t="shared" si="31"/>
        <v>0.56000000000000005</v>
      </c>
      <c r="I208" s="175" t="s">
        <v>73</v>
      </c>
      <c r="J208" s="175"/>
      <c r="K208" s="175">
        <f t="shared" si="30"/>
        <v>719.04000000000008</v>
      </c>
    </row>
    <row r="209" spans="4:11" x14ac:dyDescent="0.35">
      <c r="D209" s="180" t="s">
        <v>50</v>
      </c>
      <c r="E209" s="118" t="s">
        <v>1127</v>
      </c>
      <c r="F209" s="175">
        <v>100</v>
      </c>
      <c r="G209" s="175" t="s">
        <v>73</v>
      </c>
      <c r="H209" s="175">
        <f t="shared" si="31"/>
        <v>1.1100000000000001</v>
      </c>
      <c r="I209" s="175" t="s">
        <v>73</v>
      </c>
      <c r="J209" s="175"/>
      <c r="K209" s="175">
        <f t="shared" si="30"/>
        <v>1425.2400000000002</v>
      </c>
    </row>
    <row r="210" spans="4:11" x14ac:dyDescent="0.35">
      <c r="D210" s="180" t="s">
        <v>51</v>
      </c>
      <c r="E210" s="118" t="s">
        <v>404</v>
      </c>
      <c r="F210" s="175">
        <v>50</v>
      </c>
      <c r="G210" s="175" t="s">
        <v>73</v>
      </c>
      <c r="H210" s="175">
        <f t="shared" si="31"/>
        <v>0.56000000000000005</v>
      </c>
      <c r="I210" s="175" t="s">
        <v>73</v>
      </c>
      <c r="J210" s="175"/>
      <c r="K210" s="175">
        <f t="shared" si="30"/>
        <v>719.04000000000008</v>
      </c>
    </row>
    <row r="211" spans="4:11" x14ac:dyDescent="0.35">
      <c r="D211" s="319"/>
      <c r="E211" s="125" t="s">
        <v>1128</v>
      </c>
      <c r="F211" s="104">
        <v>100</v>
      </c>
      <c r="G211" s="104" t="s">
        <v>73</v>
      </c>
      <c r="H211" s="104"/>
      <c r="I211" s="104"/>
      <c r="J211" s="104"/>
      <c r="K211" s="104"/>
    </row>
    <row r="212" spans="4:11" x14ac:dyDescent="0.35">
      <c r="D212" s="180" t="s">
        <v>371</v>
      </c>
      <c r="E212" s="118" t="s">
        <v>372</v>
      </c>
      <c r="F212" s="175">
        <v>300</v>
      </c>
      <c r="G212" s="175" t="s">
        <v>73</v>
      </c>
      <c r="H212" s="175">
        <f>ROUND((($F$211)*((F212)/($F$212+$F$213+$F$214+$F$215))),2)</f>
        <v>15</v>
      </c>
      <c r="I212" s="175" t="s">
        <v>73</v>
      </c>
      <c r="J212" s="175"/>
      <c r="K212" s="175">
        <f t="shared" si="30"/>
        <v>19260</v>
      </c>
    </row>
    <row r="213" spans="4:11" x14ac:dyDescent="0.35">
      <c r="D213" s="180" t="s">
        <v>375</v>
      </c>
      <c r="E213" s="118" t="s">
        <v>1129</v>
      </c>
      <c r="F213" s="175">
        <v>300</v>
      </c>
      <c r="G213" s="175" t="s">
        <v>73</v>
      </c>
      <c r="H213" s="175">
        <f t="shared" ref="H213:H215" si="32">ROUND((($F$211)*((F213)/($F$212+$F$213+$F$214+$F$215))),2)</f>
        <v>15</v>
      </c>
      <c r="I213" s="175" t="s">
        <v>73</v>
      </c>
      <c r="J213" s="175"/>
      <c r="K213" s="175">
        <f t="shared" si="30"/>
        <v>19260</v>
      </c>
    </row>
    <row r="214" spans="4:11" x14ac:dyDescent="0.35">
      <c r="D214" s="180" t="s">
        <v>50</v>
      </c>
      <c r="E214" s="118" t="s">
        <v>1130</v>
      </c>
      <c r="F214" s="175">
        <v>800</v>
      </c>
      <c r="G214" s="175" t="s">
        <v>73</v>
      </c>
      <c r="H214" s="175">
        <f t="shared" si="32"/>
        <v>40</v>
      </c>
      <c r="I214" s="175" t="s">
        <v>73</v>
      </c>
      <c r="J214" s="175"/>
      <c r="K214" s="175">
        <f t="shared" si="30"/>
        <v>51360</v>
      </c>
    </row>
    <row r="215" spans="4:11" x14ac:dyDescent="0.35">
      <c r="D215" s="180" t="s">
        <v>60</v>
      </c>
      <c r="E215" s="118" t="s">
        <v>368</v>
      </c>
      <c r="F215" s="175">
        <v>600</v>
      </c>
      <c r="G215" s="175" t="s">
        <v>73</v>
      </c>
      <c r="H215" s="175">
        <f t="shared" si="32"/>
        <v>30</v>
      </c>
      <c r="I215" s="175" t="s">
        <v>73</v>
      </c>
      <c r="J215" s="175"/>
      <c r="K215" s="175">
        <f t="shared" si="30"/>
        <v>38520</v>
      </c>
    </row>
    <row r="216" spans="4:11" x14ac:dyDescent="0.35">
      <c r="D216" s="319"/>
      <c r="E216" s="125" t="s">
        <v>1147</v>
      </c>
      <c r="F216" s="104">
        <v>30</v>
      </c>
      <c r="G216" s="104" t="s">
        <v>73</v>
      </c>
      <c r="H216" s="104"/>
      <c r="I216" s="104"/>
      <c r="J216" s="104"/>
      <c r="K216" s="104"/>
    </row>
    <row r="217" spans="4:11" x14ac:dyDescent="0.35">
      <c r="D217" s="180" t="s">
        <v>1148</v>
      </c>
      <c r="E217" s="118" t="s">
        <v>1149</v>
      </c>
      <c r="F217" s="175">
        <v>1000</v>
      </c>
      <c r="G217" s="175" t="s">
        <v>73</v>
      </c>
      <c r="H217" s="175">
        <f>ROUND((($F$216)*((F217)/($F$217+$F$218+$F$219))),2)</f>
        <v>8.5299999999999994</v>
      </c>
      <c r="I217" s="175" t="s">
        <v>73</v>
      </c>
      <c r="J217" s="175"/>
      <c r="K217" s="175">
        <f t="shared" si="30"/>
        <v>10952.519999999999</v>
      </c>
    </row>
    <row r="218" spans="4:11" x14ac:dyDescent="0.35">
      <c r="D218" s="180" t="s">
        <v>43</v>
      </c>
      <c r="E218" s="118" t="s">
        <v>817</v>
      </c>
      <c r="F218" s="175">
        <v>15</v>
      </c>
      <c r="G218" s="175" t="s">
        <v>73</v>
      </c>
      <c r="H218" s="175">
        <f t="shared" ref="H218:H219" si="33">ROUND((($F$216)*((F218)/($F$217+$F$218+$F$219))),2)</f>
        <v>0.13</v>
      </c>
      <c r="I218" s="175" t="s">
        <v>73</v>
      </c>
      <c r="J218" s="175"/>
      <c r="K218" s="175">
        <f t="shared" si="30"/>
        <v>166.92000000000002</v>
      </c>
    </row>
    <row r="219" spans="4:11" x14ac:dyDescent="0.35">
      <c r="D219" s="518"/>
      <c r="E219" s="127" t="s">
        <v>950</v>
      </c>
      <c r="F219" s="181">
        <v>2500</v>
      </c>
      <c r="G219" s="181" t="s">
        <v>73</v>
      </c>
      <c r="H219" s="181">
        <f t="shared" si="33"/>
        <v>21.34</v>
      </c>
      <c r="I219" s="181"/>
      <c r="J219" s="181"/>
      <c r="K219" s="181"/>
    </row>
    <row r="220" spans="4:11" x14ac:dyDescent="0.35">
      <c r="D220" s="319"/>
      <c r="E220" s="125" t="s">
        <v>1152</v>
      </c>
      <c r="F220" s="104">
        <v>350</v>
      </c>
      <c r="G220" s="104" t="s">
        <v>73</v>
      </c>
      <c r="H220" s="104"/>
      <c r="I220" s="104"/>
      <c r="J220" s="104"/>
      <c r="K220" s="104"/>
    </row>
    <row r="221" spans="4:11" x14ac:dyDescent="0.35">
      <c r="D221" s="180" t="s">
        <v>626</v>
      </c>
      <c r="E221" s="118" t="s">
        <v>627</v>
      </c>
      <c r="F221" s="175">
        <v>11</v>
      </c>
      <c r="G221" s="175" t="s">
        <v>73</v>
      </c>
      <c r="H221" s="175"/>
      <c r="I221" s="175" t="s">
        <v>73</v>
      </c>
      <c r="J221" s="175"/>
      <c r="K221" s="175">
        <f t="shared" si="30"/>
        <v>0</v>
      </c>
    </row>
    <row r="222" spans="4:11" x14ac:dyDescent="0.35">
      <c r="D222" s="180" t="s">
        <v>43</v>
      </c>
      <c r="E222" s="118" t="s">
        <v>817</v>
      </c>
      <c r="F222" s="175">
        <v>6</v>
      </c>
      <c r="G222" s="175" t="s">
        <v>73</v>
      </c>
      <c r="H222" s="175"/>
      <c r="I222" s="175" t="s">
        <v>73</v>
      </c>
      <c r="J222" s="175"/>
      <c r="K222" s="175">
        <f t="shared" si="30"/>
        <v>0</v>
      </c>
    </row>
    <row r="223" spans="4:11" x14ac:dyDescent="0.35">
      <c r="D223" s="180" t="s">
        <v>1250</v>
      </c>
      <c r="E223" s="118" t="s">
        <v>1236</v>
      </c>
      <c r="F223" s="175">
        <v>0.2</v>
      </c>
      <c r="G223" s="175" t="s">
        <v>73</v>
      </c>
      <c r="H223" s="175"/>
      <c r="I223" s="175" t="s">
        <v>73</v>
      </c>
      <c r="J223" s="175"/>
      <c r="K223" s="175">
        <f t="shared" si="30"/>
        <v>0</v>
      </c>
    </row>
    <row r="224" spans="4:11" x14ac:dyDescent="0.35">
      <c r="D224" s="180" t="s">
        <v>42</v>
      </c>
      <c r="E224" s="118" t="s">
        <v>330</v>
      </c>
      <c r="F224" s="175">
        <v>6.5</v>
      </c>
      <c r="G224" s="175" t="s">
        <v>73</v>
      </c>
      <c r="H224" s="175"/>
      <c r="I224" s="175" t="s">
        <v>73</v>
      </c>
      <c r="J224" s="175"/>
      <c r="K224" s="175">
        <f t="shared" si="30"/>
        <v>0</v>
      </c>
    </row>
    <row r="225" spans="4:11" x14ac:dyDescent="0.35">
      <c r="D225" s="180" t="s">
        <v>45</v>
      </c>
      <c r="E225" s="118" t="s">
        <v>321</v>
      </c>
      <c r="F225" s="175">
        <v>3.8</v>
      </c>
      <c r="G225" s="175" t="s">
        <v>73</v>
      </c>
      <c r="H225" s="175"/>
      <c r="I225" s="175" t="s">
        <v>73</v>
      </c>
      <c r="J225" s="175"/>
      <c r="K225" s="175">
        <f t="shared" si="30"/>
        <v>0</v>
      </c>
    </row>
    <row r="226" spans="4:11" x14ac:dyDescent="0.35">
      <c r="D226" s="180" t="s">
        <v>333</v>
      </c>
      <c r="E226" s="118" t="s">
        <v>334</v>
      </c>
      <c r="F226" s="175">
        <v>8</v>
      </c>
      <c r="G226" s="175" t="s">
        <v>73</v>
      </c>
      <c r="H226" s="175"/>
      <c r="I226" s="175" t="s">
        <v>73</v>
      </c>
      <c r="J226" s="175"/>
      <c r="K226" s="175">
        <f t="shared" si="30"/>
        <v>0</v>
      </c>
    </row>
    <row r="227" spans="4:11" x14ac:dyDescent="0.35">
      <c r="D227" s="180" t="s">
        <v>646</v>
      </c>
      <c r="E227" s="118" t="s">
        <v>647</v>
      </c>
      <c r="F227" s="175">
        <v>2.7</v>
      </c>
      <c r="G227" s="175" t="s">
        <v>73</v>
      </c>
      <c r="H227" s="175"/>
      <c r="I227" s="175" t="s">
        <v>73</v>
      </c>
      <c r="J227" s="175"/>
      <c r="K227" s="175">
        <f t="shared" si="30"/>
        <v>0</v>
      </c>
    </row>
    <row r="228" spans="4:11" x14ac:dyDescent="0.35">
      <c r="D228" s="180" t="s">
        <v>305</v>
      </c>
      <c r="E228" s="118" t="s">
        <v>306</v>
      </c>
      <c r="F228" s="175">
        <v>600</v>
      </c>
      <c r="G228" s="175" t="s">
        <v>73</v>
      </c>
      <c r="H228" s="175"/>
      <c r="I228" s="175" t="s">
        <v>73</v>
      </c>
      <c r="J228" s="175"/>
      <c r="K228" s="175">
        <f t="shared" si="30"/>
        <v>0</v>
      </c>
    </row>
    <row r="229" spans="4:11" x14ac:dyDescent="0.35">
      <c r="D229" s="319"/>
      <c r="E229" s="138" t="s">
        <v>1125</v>
      </c>
      <c r="F229" s="104">
        <v>100</v>
      </c>
      <c r="G229" s="104" t="s">
        <v>73</v>
      </c>
      <c r="H229" s="104"/>
      <c r="I229" s="104"/>
      <c r="J229" s="104"/>
      <c r="K229" s="104"/>
    </row>
    <row r="230" spans="4:11" x14ac:dyDescent="0.35">
      <c r="D230" s="180" t="s">
        <v>47</v>
      </c>
      <c r="E230" s="121" t="s">
        <v>569</v>
      </c>
      <c r="F230" s="175">
        <v>600</v>
      </c>
      <c r="G230" s="175" t="s">
        <v>73</v>
      </c>
      <c r="H230" s="175"/>
      <c r="I230" s="175" t="s">
        <v>73</v>
      </c>
      <c r="J230" s="175"/>
      <c r="K230" s="175">
        <f t="shared" si="30"/>
        <v>0</v>
      </c>
    </row>
    <row r="231" spans="4:11" x14ac:dyDescent="0.35">
      <c r="D231" s="180" t="s">
        <v>48</v>
      </c>
      <c r="E231" s="121" t="s">
        <v>1126</v>
      </c>
      <c r="F231" s="175">
        <v>100</v>
      </c>
      <c r="G231" s="175" t="s">
        <v>73</v>
      </c>
      <c r="H231" s="175"/>
      <c r="I231" s="175" t="s">
        <v>73</v>
      </c>
      <c r="J231" s="175"/>
      <c r="K231" s="175">
        <f t="shared" si="30"/>
        <v>0</v>
      </c>
    </row>
    <row r="232" spans="4:11" x14ac:dyDescent="0.35">
      <c r="D232" s="180" t="s">
        <v>49</v>
      </c>
      <c r="E232" s="121" t="s">
        <v>395</v>
      </c>
      <c r="F232" s="175">
        <v>50</v>
      </c>
      <c r="G232" s="175" t="s">
        <v>73</v>
      </c>
      <c r="H232" s="175"/>
      <c r="I232" s="175" t="s">
        <v>73</v>
      </c>
      <c r="J232" s="175"/>
      <c r="K232" s="175">
        <f t="shared" si="30"/>
        <v>0</v>
      </c>
    </row>
    <row r="233" spans="4:11" x14ac:dyDescent="0.35">
      <c r="D233" s="180" t="s">
        <v>50</v>
      </c>
      <c r="E233" s="121" t="s">
        <v>1127</v>
      </c>
      <c r="F233" s="175">
        <v>100</v>
      </c>
      <c r="G233" s="175" t="s">
        <v>73</v>
      </c>
      <c r="H233" s="175"/>
      <c r="I233" s="175" t="s">
        <v>73</v>
      </c>
      <c r="J233" s="175"/>
      <c r="K233" s="175">
        <f t="shared" si="30"/>
        <v>0</v>
      </c>
    </row>
    <row r="234" spans="4:11" x14ac:dyDescent="0.35">
      <c r="D234" s="180" t="s">
        <v>51</v>
      </c>
      <c r="E234" s="121" t="s">
        <v>404</v>
      </c>
      <c r="F234" s="175">
        <v>50</v>
      </c>
      <c r="G234" s="175" t="s">
        <v>73</v>
      </c>
      <c r="H234" s="175"/>
      <c r="I234" s="175" t="s">
        <v>73</v>
      </c>
      <c r="J234" s="175"/>
      <c r="K234" s="175">
        <f t="shared" si="30"/>
        <v>0</v>
      </c>
    </row>
    <row r="235" spans="4:11" x14ac:dyDescent="0.35">
      <c r="D235" s="319"/>
      <c r="E235" s="138" t="s">
        <v>1238</v>
      </c>
      <c r="F235" s="104">
        <v>1400</v>
      </c>
      <c r="G235" s="104" t="s">
        <v>73</v>
      </c>
      <c r="H235" s="104"/>
      <c r="I235" s="104"/>
      <c r="J235" s="104"/>
      <c r="K235" s="104"/>
    </row>
    <row r="236" spans="4:11" x14ac:dyDescent="0.35">
      <c r="D236" s="180" t="s">
        <v>626</v>
      </c>
      <c r="E236" s="121" t="s">
        <v>627</v>
      </c>
      <c r="F236" s="175">
        <v>160</v>
      </c>
      <c r="G236" s="175" t="s">
        <v>73</v>
      </c>
      <c r="H236" s="175"/>
      <c r="I236" s="175" t="s">
        <v>73</v>
      </c>
      <c r="J236" s="175"/>
      <c r="K236" s="175">
        <f t="shared" si="30"/>
        <v>0</v>
      </c>
    </row>
    <row r="237" spans="4:11" x14ac:dyDescent="0.35">
      <c r="D237" s="180" t="s">
        <v>42</v>
      </c>
      <c r="E237" s="121" t="s">
        <v>330</v>
      </c>
      <c r="F237" s="175">
        <v>120</v>
      </c>
      <c r="G237" s="175" t="s">
        <v>73</v>
      </c>
      <c r="H237" s="175"/>
      <c r="I237" s="175" t="s">
        <v>73</v>
      </c>
      <c r="J237" s="175"/>
      <c r="K237" s="175">
        <f t="shared" si="30"/>
        <v>0</v>
      </c>
    </row>
    <row r="238" spans="4:11" x14ac:dyDescent="0.35">
      <c r="D238" s="180" t="s">
        <v>1250</v>
      </c>
      <c r="E238" s="121" t="s">
        <v>1236</v>
      </c>
      <c r="F238" s="175">
        <v>3</v>
      </c>
      <c r="G238" s="175" t="s">
        <v>73</v>
      </c>
      <c r="H238" s="175"/>
      <c r="I238" s="175" t="s">
        <v>73</v>
      </c>
      <c r="J238" s="175"/>
      <c r="K238" s="175">
        <f t="shared" si="30"/>
        <v>0</v>
      </c>
    </row>
    <row r="239" spans="4:11" x14ac:dyDescent="0.35">
      <c r="D239" s="180" t="s">
        <v>45</v>
      </c>
      <c r="E239" s="121" t="s">
        <v>321</v>
      </c>
      <c r="F239" s="175">
        <v>70</v>
      </c>
      <c r="G239" s="175" t="s">
        <v>73</v>
      </c>
      <c r="H239" s="175"/>
      <c r="I239" s="175" t="s">
        <v>73</v>
      </c>
      <c r="J239" s="175"/>
      <c r="K239" s="175">
        <f t="shared" si="30"/>
        <v>0</v>
      </c>
    </row>
    <row r="240" spans="4:11" x14ac:dyDescent="0.35">
      <c r="D240" s="180" t="s">
        <v>43</v>
      </c>
      <c r="E240" s="121" t="s">
        <v>817</v>
      </c>
      <c r="F240" s="175">
        <v>110</v>
      </c>
      <c r="G240" s="175" t="s">
        <v>73</v>
      </c>
      <c r="H240" s="175"/>
      <c r="I240" s="175" t="s">
        <v>73</v>
      </c>
      <c r="J240" s="175"/>
      <c r="K240" s="175">
        <f t="shared" si="30"/>
        <v>0</v>
      </c>
    </row>
    <row r="241" spans="1:11" x14ac:dyDescent="0.35">
      <c r="D241" s="180" t="s">
        <v>333</v>
      </c>
      <c r="E241" s="121" t="s">
        <v>334</v>
      </c>
      <c r="F241" s="175">
        <v>50</v>
      </c>
      <c r="G241" s="175" t="s">
        <v>73</v>
      </c>
      <c r="H241" s="175"/>
      <c r="I241" s="175" t="s">
        <v>73</v>
      </c>
      <c r="J241" s="175"/>
      <c r="K241" s="175">
        <f t="shared" si="30"/>
        <v>0</v>
      </c>
    </row>
    <row r="242" spans="1:11" x14ac:dyDescent="0.35">
      <c r="D242" s="180" t="s">
        <v>646</v>
      </c>
      <c r="E242" s="121" t="s">
        <v>647</v>
      </c>
      <c r="F242" s="175">
        <v>50</v>
      </c>
      <c r="G242" s="175" t="s">
        <v>73</v>
      </c>
      <c r="H242" s="175"/>
      <c r="I242" s="175" t="s">
        <v>73</v>
      </c>
      <c r="J242" s="175"/>
      <c r="K242" s="175">
        <f t="shared" si="30"/>
        <v>0</v>
      </c>
    </row>
    <row r="243" spans="1:11" x14ac:dyDescent="0.35">
      <c r="D243" s="518"/>
      <c r="E243" s="186" t="s">
        <v>950</v>
      </c>
      <c r="F243" s="181">
        <v>11000</v>
      </c>
      <c r="G243" s="181" t="s">
        <v>73</v>
      </c>
      <c r="H243" s="181"/>
      <c r="I243" s="181"/>
      <c r="J243" s="181"/>
      <c r="K243" s="181"/>
    </row>
    <row r="244" spans="1:11" x14ac:dyDescent="0.35">
      <c r="A244" s="120"/>
      <c r="B244" s="120"/>
      <c r="C244" s="120"/>
      <c r="D244" s="519"/>
      <c r="E244" s="120"/>
      <c r="F244" s="182"/>
      <c r="G244" s="182"/>
      <c r="H244" s="182"/>
      <c r="I244" s="182"/>
      <c r="J244" s="182"/>
      <c r="K244" s="182"/>
    </row>
    <row r="245" spans="1:11" x14ac:dyDescent="0.35">
      <c r="A245" s="122">
        <f>IFERROR(INDEX($N$8:$N$50,MATCH(B245,$O$8:$O$50, 0)), "")</f>
        <v>743</v>
      </c>
      <c r="B245" s="124" t="s">
        <v>1158</v>
      </c>
      <c r="C245" s="122" t="s">
        <v>1157</v>
      </c>
      <c r="D245" s="180" t="s">
        <v>175</v>
      </c>
      <c r="E245" s="119" t="s">
        <v>176</v>
      </c>
      <c r="F245" s="175">
        <v>165</v>
      </c>
      <c r="G245" s="175" t="s">
        <v>73</v>
      </c>
      <c r="H245" s="175">
        <v>165</v>
      </c>
      <c r="I245" s="175" t="s">
        <v>73</v>
      </c>
      <c r="J245" s="175"/>
      <c r="K245" s="175">
        <f>$A$245*H245</f>
        <v>122595</v>
      </c>
    </row>
    <row r="246" spans="1:11" x14ac:dyDescent="0.35">
      <c r="D246" s="180" t="s">
        <v>292</v>
      </c>
      <c r="E246" s="119" t="s">
        <v>1247</v>
      </c>
      <c r="F246" s="175">
        <v>5</v>
      </c>
      <c r="G246" s="175" t="s">
        <v>73</v>
      </c>
      <c r="H246" s="175">
        <v>5</v>
      </c>
      <c r="I246" s="175" t="s">
        <v>73</v>
      </c>
      <c r="J246" s="175"/>
      <c r="K246" s="175">
        <f t="shared" ref="K246:K268" si="34">$A$245*H246</f>
        <v>3715</v>
      </c>
    </row>
    <row r="247" spans="1:11" x14ac:dyDescent="0.35">
      <c r="D247" s="180" t="s">
        <v>505</v>
      </c>
      <c r="E247" s="3" t="s">
        <v>1169</v>
      </c>
      <c r="F247" s="175">
        <v>0.2</v>
      </c>
      <c r="G247" s="175" t="s">
        <v>73</v>
      </c>
      <c r="H247" s="175">
        <v>0.2</v>
      </c>
      <c r="I247" s="175" t="s">
        <v>73</v>
      </c>
      <c r="J247" s="175"/>
      <c r="K247" s="175">
        <f t="shared" si="34"/>
        <v>148.6</v>
      </c>
    </row>
    <row r="248" spans="1:11" x14ac:dyDescent="0.35">
      <c r="D248" s="319"/>
      <c r="E248" s="117" t="s">
        <v>1159</v>
      </c>
      <c r="F248" s="104">
        <v>20</v>
      </c>
      <c r="G248" s="104" t="s">
        <v>73</v>
      </c>
      <c r="H248" s="104"/>
      <c r="I248" s="104"/>
      <c r="J248" s="104"/>
      <c r="K248" s="104"/>
    </row>
    <row r="249" spans="1:11" x14ac:dyDescent="0.35">
      <c r="D249" s="180" t="s">
        <v>47</v>
      </c>
      <c r="E249" s="139" t="s">
        <v>569</v>
      </c>
      <c r="F249" s="175"/>
      <c r="G249" s="175" t="s">
        <v>73</v>
      </c>
      <c r="H249" s="175"/>
      <c r="I249" s="175" t="s">
        <v>73</v>
      </c>
      <c r="J249" s="175"/>
      <c r="K249" s="175">
        <f t="shared" si="34"/>
        <v>0</v>
      </c>
    </row>
    <row r="250" spans="1:11" x14ac:dyDescent="0.35">
      <c r="D250" s="180" t="s">
        <v>43</v>
      </c>
      <c r="E250" s="139" t="s">
        <v>817</v>
      </c>
      <c r="F250" s="175">
        <v>5</v>
      </c>
      <c r="G250" s="175" t="s">
        <v>73</v>
      </c>
      <c r="H250" s="175">
        <f>ROUND((($F$248)*((F250)/($F$250+$F$251+$F$252))),2)</f>
        <v>0.1</v>
      </c>
      <c r="I250" s="175" t="s">
        <v>73</v>
      </c>
      <c r="J250" s="175"/>
      <c r="K250" s="175">
        <f t="shared" si="34"/>
        <v>74.3</v>
      </c>
    </row>
    <row r="251" spans="1:11" x14ac:dyDescent="0.35">
      <c r="D251" s="180" t="s">
        <v>42</v>
      </c>
      <c r="E251" s="139" t="s">
        <v>330</v>
      </c>
      <c r="F251" s="175">
        <v>4</v>
      </c>
      <c r="G251" s="175" t="s">
        <v>73</v>
      </c>
      <c r="H251" s="175">
        <f t="shared" ref="H251:H252" si="35">ROUND((($F$248)*((F251)/($F$250+$F$251+$F$252))),2)</f>
        <v>0.08</v>
      </c>
      <c r="I251" s="175" t="s">
        <v>73</v>
      </c>
      <c r="J251" s="175"/>
      <c r="K251" s="175">
        <f t="shared" si="34"/>
        <v>59.44</v>
      </c>
    </row>
    <row r="252" spans="1:11" x14ac:dyDescent="0.35">
      <c r="D252" s="180" t="s">
        <v>443</v>
      </c>
      <c r="E252" s="139" t="s">
        <v>444</v>
      </c>
      <c r="F252" s="175">
        <v>1000</v>
      </c>
      <c r="G252" s="175" t="s">
        <v>73</v>
      </c>
      <c r="H252" s="175">
        <f t="shared" si="35"/>
        <v>19.82</v>
      </c>
      <c r="I252" s="175" t="s">
        <v>73</v>
      </c>
      <c r="J252" s="175"/>
      <c r="K252" s="175">
        <f t="shared" si="34"/>
        <v>14726.26</v>
      </c>
    </row>
    <row r="253" spans="1:11" x14ac:dyDescent="0.35">
      <c r="D253" s="319"/>
      <c r="E253" s="117" t="s">
        <v>1162</v>
      </c>
      <c r="F253" s="104">
        <v>165</v>
      </c>
      <c r="G253" s="104" t="s">
        <v>73</v>
      </c>
      <c r="H253" s="104"/>
      <c r="I253" s="104"/>
      <c r="J253" s="104"/>
      <c r="K253" s="104"/>
    </row>
    <row r="254" spans="1:11" x14ac:dyDescent="0.35">
      <c r="D254" s="180" t="s">
        <v>42</v>
      </c>
      <c r="E254" s="139" t="s">
        <v>330</v>
      </c>
      <c r="F254" s="175">
        <v>54</v>
      </c>
      <c r="G254" s="175" t="s">
        <v>73</v>
      </c>
      <c r="H254" s="175">
        <f>ROUND(($F$253)*((F254)/((($F$266)*(($F$267)/($F$267+$F$268)))+
(($F$266)*(($F$268)/($F$267+$F$268)))+
$F$254+$F$255+$F$256+$F$257+$F$258+$F$259+$F$260+$F$261+$F$262+$F$263+$F$264+$F$265)),2)</f>
        <v>2.77</v>
      </c>
      <c r="I254" s="175" t="s">
        <v>73</v>
      </c>
      <c r="J254" s="175"/>
      <c r="K254" s="175">
        <f t="shared" si="34"/>
        <v>2058.11</v>
      </c>
    </row>
    <row r="255" spans="1:11" x14ac:dyDescent="0.35">
      <c r="D255" s="180" t="s">
        <v>1250</v>
      </c>
      <c r="E255" s="139" t="s">
        <v>1236</v>
      </c>
      <c r="F255" s="175">
        <v>3</v>
      </c>
      <c r="G255" s="175" t="s">
        <v>73</v>
      </c>
      <c r="H255" s="175">
        <f t="shared" ref="H255:H265" si="36">ROUND(($F$253)*((F255)/((($F$266)*(($F$267)/($F$267+$F$268)))+
(($F$266)*(($F$268)/($F$267+$F$268)))+
$F$254+$F$255+$F$256+$F$257+$F$258+$F$259+$F$260+$F$261+$F$262+$F$263+$F$264+$F$265)),2)</f>
        <v>0.15</v>
      </c>
      <c r="I255" s="175" t="s">
        <v>73</v>
      </c>
      <c r="J255" s="175"/>
      <c r="K255" s="175">
        <f t="shared" si="34"/>
        <v>111.45</v>
      </c>
    </row>
    <row r="256" spans="1:11" x14ac:dyDescent="0.35">
      <c r="D256" s="180" t="s">
        <v>333</v>
      </c>
      <c r="E256" s="139" t="s">
        <v>334</v>
      </c>
      <c r="F256" s="175">
        <v>110</v>
      </c>
      <c r="G256" s="175" t="s">
        <v>73</v>
      </c>
      <c r="H256" s="175">
        <f t="shared" si="36"/>
        <v>5.64</v>
      </c>
      <c r="I256" s="175" t="s">
        <v>73</v>
      </c>
      <c r="J256" s="175"/>
      <c r="K256" s="175">
        <f t="shared" si="34"/>
        <v>4190.5199999999995</v>
      </c>
    </row>
    <row r="257" spans="1:11" x14ac:dyDescent="0.35">
      <c r="D257" s="180" t="s">
        <v>43</v>
      </c>
      <c r="E257" s="139" t="s">
        <v>817</v>
      </c>
      <c r="F257" s="175">
        <v>6</v>
      </c>
      <c r="G257" s="175" t="s">
        <v>73</v>
      </c>
      <c r="H257" s="175">
        <f t="shared" si="36"/>
        <v>0.31</v>
      </c>
      <c r="I257" s="175" t="s">
        <v>73</v>
      </c>
      <c r="J257" s="175"/>
      <c r="K257" s="175">
        <f t="shared" si="34"/>
        <v>230.33</v>
      </c>
    </row>
    <row r="258" spans="1:11" x14ac:dyDescent="0.35">
      <c r="D258" s="180" t="s">
        <v>47</v>
      </c>
      <c r="E258" s="139" t="s">
        <v>569</v>
      </c>
      <c r="F258" s="175">
        <v>200</v>
      </c>
      <c r="G258" s="175" t="s">
        <v>73</v>
      </c>
      <c r="H258" s="175">
        <f t="shared" si="36"/>
        <v>10.26</v>
      </c>
      <c r="I258" s="175" t="s">
        <v>73</v>
      </c>
      <c r="J258" s="175"/>
      <c r="K258" s="175">
        <f t="shared" si="34"/>
        <v>7623.18</v>
      </c>
    </row>
    <row r="259" spans="1:11" x14ac:dyDescent="0.35">
      <c r="D259" s="180" t="s">
        <v>177</v>
      </c>
      <c r="E259" s="139" t="s">
        <v>178</v>
      </c>
      <c r="F259" s="175">
        <v>250</v>
      </c>
      <c r="G259" s="175" t="s">
        <v>73</v>
      </c>
      <c r="H259" s="175">
        <f t="shared" si="36"/>
        <v>12.82</v>
      </c>
      <c r="I259" s="175" t="s">
        <v>73</v>
      </c>
      <c r="J259" s="175"/>
      <c r="K259" s="175">
        <f t="shared" si="34"/>
        <v>9525.26</v>
      </c>
    </row>
    <row r="260" spans="1:11" x14ac:dyDescent="0.35">
      <c r="D260" s="180" t="s">
        <v>369</v>
      </c>
      <c r="E260" s="139" t="s">
        <v>370</v>
      </c>
      <c r="F260" s="175">
        <v>300</v>
      </c>
      <c r="G260" s="175" t="s">
        <v>73</v>
      </c>
      <c r="H260" s="175">
        <f t="shared" si="36"/>
        <v>15.39</v>
      </c>
      <c r="I260" s="175" t="s">
        <v>73</v>
      </c>
      <c r="J260" s="175"/>
      <c r="K260" s="175">
        <f t="shared" si="34"/>
        <v>11434.77</v>
      </c>
    </row>
    <row r="261" spans="1:11" x14ac:dyDescent="0.35">
      <c r="D261" s="180" t="s">
        <v>46</v>
      </c>
      <c r="E261" s="139" t="s">
        <v>1163</v>
      </c>
      <c r="F261" s="175">
        <v>34</v>
      </c>
      <c r="G261" s="175" t="s">
        <v>73</v>
      </c>
      <c r="H261" s="175">
        <f t="shared" si="36"/>
        <v>1.74</v>
      </c>
      <c r="I261" s="175" t="s">
        <v>73</v>
      </c>
      <c r="J261" s="175"/>
      <c r="K261" s="175">
        <f t="shared" si="34"/>
        <v>1292.82</v>
      </c>
    </row>
    <row r="262" spans="1:11" x14ac:dyDescent="0.35">
      <c r="D262" s="180" t="s">
        <v>50</v>
      </c>
      <c r="E262" s="139" t="s">
        <v>394</v>
      </c>
      <c r="F262" s="175">
        <v>700</v>
      </c>
      <c r="G262" s="175" t="s">
        <v>73</v>
      </c>
      <c r="H262" s="175">
        <f t="shared" si="36"/>
        <v>35.9</v>
      </c>
      <c r="I262" s="175" t="s">
        <v>73</v>
      </c>
      <c r="J262" s="175"/>
      <c r="K262" s="175">
        <f t="shared" si="34"/>
        <v>26673.7</v>
      </c>
    </row>
    <row r="263" spans="1:11" x14ac:dyDescent="0.35">
      <c r="D263" s="180" t="s">
        <v>375</v>
      </c>
      <c r="E263" s="139" t="s">
        <v>376</v>
      </c>
      <c r="F263" s="175">
        <v>300</v>
      </c>
      <c r="G263" s="175" t="s">
        <v>73</v>
      </c>
      <c r="H263" s="175">
        <f t="shared" si="36"/>
        <v>15.39</v>
      </c>
      <c r="I263" s="175" t="s">
        <v>73</v>
      </c>
      <c r="J263" s="175"/>
      <c r="K263" s="175">
        <f t="shared" si="34"/>
        <v>11434.77</v>
      </c>
    </row>
    <row r="264" spans="1:11" x14ac:dyDescent="0.35">
      <c r="D264" s="518"/>
      <c r="E264" s="190" t="s">
        <v>950</v>
      </c>
      <c r="F264" s="181">
        <v>500</v>
      </c>
      <c r="G264" s="181" t="s">
        <v>73</v>
      </c>
      <c r="H264" s="181">
        <f t="shared" si="36"/>
        <v>25.65</v>
      </c>
      <c r="I264" s="181"/>
      <c r="J264" s="181"/>
      <c r="K264" s="181"/>
    </row>
    <row r="265" spans="1:11" x14ac:dyDescent="0.35">
      <c r="D265" s="180" t="s">
        <v>481</v>
      </c>
      <c r="E265" s="139" t="s">
        <v>1164</v>
      </c>
      <c r="F265" s="175">
        <v>700</v>
      </c>
      <c r="G265" s="175" t="s">
        <v>73</v>
      </c>
      <c r="H265" s="175">
        <f t="shared" si="36"/>
        <v>35.9</v>
      </c>
      <c r="I265" s="175" t="s">
        <v>73</v>
      </c>
      <c r="J265" s="175"/>
      <c r="K265" s="175">
        <f t="shared" si="34"/>
        <v>26673.7</v>
      </c>
    </row>
    <row r="266" spans="1:11" x14ac:dyDescent="0.35">
      <c r="D266" s="319"/>
      <c r="E266" s="143" t="s">
        <v>1166</v>
      </c>
      <c r="F266" s="104">
        <v>60</v>
      </c>
      <c r="G266" s="104" t="s">
        <v>73</v>
      </c>
      <c r="H266" s="104"/>
      <c r="I266" s="104"/>
      <c r="J266" s="104"/>
      <c r="K266" s="104"/>
    </row>
    <row r="267" spans="1:11" x14ac:dyDescent="0.35">
      <c r="D267" s="518"/>
      <c r="E267" s="191" t="s">
        <v>950</v>
      </c>
      <c r="F267" s="181">
        <v>300</v>
      </c>
      <c r="G267" s="181" t="s">
        <v>73</v>
      </c>
      <c r="H267" s="181">
        <f>ROUND(($F$253)*((($F$266)*(($F$267)/($F$267+$F$268)))
/((($F$266)*(($F$267)/($F$267+$F$268)))+
(($F$266)*(($F$268)/($F$267+$F$268)))+
$F$254+$F$255+$F$256+$F$257+$F$258+$F$259+$F$260+$F$261+$F$262+$F$263+$F$264+$F$265)),2)</f>
        <v>2.31</v>
      </c>
      <c r="I267" s="181"/>
      <c r="J267" s="181"/>
      <c r="K267" s="181"/>
    </row>
    <row r="268" spans="1:11" x14ac:dyDescent="0.35">
      <c r="D268" s="180" t="s">
        <v>638</v>
      </c>
      <c r="E268" s="140" t="s">
        <v>1165</v>
      </c>
      <c r="F268" s="175">
        <v>100</v>
      </c>
      <c r="G268" s="175" t="s">
        <v>73</v>
      </c>
      <c r="H268" s="175">
        <f>ROUND(($F$253)*((($F$266)*(($F$268)/($F$267+$F$268)))
/((($F$266)*(($F$267)/($F$267+$F$268)))+
(($F$266)*(($F$268)/($F$267+$F$268)))+
$F$254+$F$255+$F$256+$F$257+$F$258+$F$259+$F$260+$F$261+$F$262+$F$263+$F$264+$F$265)),2)</f>
        <v>0.77</v>
      </c>
      <c r="I268" s="175" t="s">
        <v>73</v>
      </c>
      <c r="J268" s="175"/>
      <c r="K268" s="175">
        <f t="shared" si="34"/>
        <v>572.11</v>
      </c>
    </row>
    <row r="269" spans="1:11" x14ac:dyDescent="0.35">
      <c r="A269" s="120"/>
      <c r="B269" s="120"/>
      <c r="C269" s="120"/>
      <c r="D269" s="519"/>
      <c r="E269" s="142"/>
      <c r="F269" s="182"/>
      <c r="G269" s="182" t="s">
        <v>73</v>
      </c>
      <c r="H269" s="182"/>
      <c r="I269" s="182" t="s">
        <v>73</v>
      </c>
      <c r="J269" s="182"/>
      <c r="K269" s="182"/>
    </row>
    <row r="270" spans="1:11" x14ac:dyDescent="0.35">
      <c r="A270" s="122">
        <f>IFERROR(INDEX($N$8:$N$50,MATCH(B270,$O$8:$O$50, 0)), "")</f>
        <v>268</v>
      </c>
      <c r="B270" s="124" t="s">
        <v>1167</v>
      </c>
      <c r="C270" s="122" t="s">
        <v>1168</v>
      </c>
      <c r="D270" s="180" t="s">
        <v>292</v>
      </c>
      <c r="E270" s="3" t="s">
        <v>293</v>
      </c>
      <c r="F270" s="175">
        <v>5</v>
      </c>
      <c r="G270" s="175" t="s">
        <v>73</v>
      </c>
      <c r="H270" s="175">
        <v>5</v>
      </c>
      <c r="I270" s="175" t="s">
        <v>73</v>
      </c>
      <c r="J270" s="175"/>
      <c r="K270" s="175">
        <f>$A$270*H270</f>
        <v>1340</v>
      </c>
    </row>
    <row r="271" spans="1:11" x14ac:dyDescent="0.35">
      <c r="D271" s="180" t="s">
        <v>175</v>
      </c>
      <c r="E271" s="3" t="s">
        <v>176</v>
      </c>
      <c r="F271" s="175">
        <v>100</v>
      </c>
      <c r="G271" s="175" t="s">
        <v>73</v>
      </c>
      <c r="H271" s="175">
        <v>100</v>
      </c>
      <c r="I271" s="175" t="s">
        <v>73</v>
      </c>
      <c r="J271" s="175"/>
      <c r="K271" s="175">
        <f t="shared" ref="K271:K295" si="37">$A$270*H271</f>
        <v>26800</v>
      </c>
    </row>
    <row r="272" spans="1:11" x14ac:dyDescent="0.35">
      <c r="D272" s="180" t="s">
        <v>47</v>
      </c>
      <c r="E272" s="3" t="s">
        <v>569</v>
      </c>
      <c r="F272" s="175">
        <v>20</v>
      </c>
      <c r="G272" s="175" t="s">
        <v>73</v>
      </c>
      <c r="H272" s="175">
        <v>20</v>
      </c>
      <c r="I272" s="175" t="s">
        <v>73</v>
      </c>
      <c r="J272" s="175"/>
      <c r="K272" s="175">
        <f t="shared" si="37"/>
        <v>5360</v>
      </c>
    </row>
    <row r="273" spans="4:11" x14ac:dyDescent="0.35">
      <c r="D273" s="180" t="s">
        <v>505</v>
      </c>
      <c r="E273" s="3" t="s">
        <v>1169</v>
      </c>
      <c r="F273" s="175">
        <v>0.2</v>
      </c>
      <c r="G273" s="175" t="s">
        <v>73</v>
      </c>
      <c r="H273" s="175">
        <v>0.2</v>
      </c>
      <c r="I273" s="175" t="s">
        <v>73</v>
      </c>
      <c r="J273" s="175"/>
      <c r="K273" s="175">
        <f t="shared" si="37"/>
        <v>53.6</v>
      </c>
    </row>
    <row r="274" spans="4:11" x14ac:dyDescent="0.35">
      <c r="D274" s="180" t="s">
        <v>385</v>
      </c>
      <c r="E274" s="3" t="s">
        <v>386</v>
      </c>
      <c r="F274" s="175">
        <v>5</v>
      </c>
      <c r="G274" s="175" t="s">
        <v>73</v>
      </c>
      <c r="H274" s="175">
        <v>5</v>
      </c>
      <c r="I274" s="175" t="s">
        <v>73</v>
      </c>
      <c r="J274" s="175"/>
      <c r="K274" s="175">
        <f t="shared" si="37"/>
        <v>1340</v>
      </c>
    </row>
    <row r="275" spans="4:11" x14ac:dyDescent="0.35">
      <c r="D275" s="319"/>
      <c r="E275" s="117" t="s">
        <v>1159</v>
      </c>
      <c r="F275" s="104">
        <v>20</v>
      </c>
      <c r="G275" s="104" t="s">
        <v>73</v>
      </c>
      <c r="H275" s="104"/>
      <c r="I275" s="104"/>
      <c r="J275" s="104"/>
      <c r="K275" s="104"/>
    </row>
    <row r="276" spans="4:11" x14ac:dyDescent="0.35">
      <c r="D276" s="180" t="s">
        <v>47</v>
      </c>
      <c r="E276" s="139" t="s">
        <v>569</v>
      </c>
      <c r="F276" s="175"/>
      <c r="G276" s="175" t="s">
        <v>73</v>
      </c>
      <c r="H276" s="175"/>
      <c r="I276" s="175" t="s">
        <v>73</v>
      </c>
      <c r="J276" s="175"/>
      <c r="K276" s="175">
        <f t="shared" si="37"/>
        <v>0</v>
      </c>
    </row>
    <row r="277" spans="4:11" x14ac:dyDescent="0.35">
      <c r="D277" s="180" t="s">
        <v>43</v>
      </c>
      <c r="E277" s="139" t="s">
        <v>817</v>
      </c>
      <c r="F277" s="175">
        <v>5</v>
      </c>
      <c r="G277" s="175" t="s">
        <v>73</v>
      </c>
      <c r="H277" s="175">
        <f>ROUND(($F$275)*((F277)/($F$277+$F$278+$F$279)),2)</f>
        <v>0.1</v>
      </c>
      <c r="I277" s="175" t="s">
        <v>73</v>
      </c>
      <c r="J277" s="175"/>
      <c r="K277" s="175">
        <f t="shared" si="37"/>
        <v>26.8</v>
      </c>
    </row>
    <row r="278" spans="4:11" x14ac:dyDescent="0.35">
      <c r="D278" s="180" t="s">
        <v>42</v>
      </c>
      <c r="E278" s="139" t="s">
        <v>330</v>
      </c>
      <c r="F278" s="175">
        <v>4</v>
      </c>
      <c r="G278" s="175" t="s">
        <v>73</v>
      </c>
      <c r="H278" s="175">
        <f t="shared" ref="H278:H279" si="38">ROUND(($F$275)*((F278)/($F$277+$F$278+$F$279)),2)</f>
        <v>0.08</v>
      </c>
      <c r="I278" s="175" t="s">
        <v>73</v>
      </c>
      <c r="J278" s="175"/>
      <c r="K278" s="175">
        <f t="shared" si="37"/>
        <v>21.44</v>
      </c>
    </row>
    <row r="279" spans="4:11" x14ac:dyDescent="0.35">
      <c r="D279" s="180" t="s">
        <v>443</v>
      </c>
      <c r="E279" s="139" t="s">
        <v>444</v>
      </c>
      <c r="F279" s="175">
        <v>1000</v>
      </c>
      <c r="G279" s="175" t="s">
        <v>73</v>
      </c>
      <c r="H279" s="175">
        <f t="shared" si="38"/>
        <v>19.82</v>
      </c>
      <c r="I279" s="175" t="s">
        <v>73</v>
      </c>
      <c r="J279" s="175"/>
      <c r="K279" s="175">
        <f t="shared" si="37"/>
        <v>5311.76</v>
      </c>
    </row>
    <row r="280" spans="4:11" x14ac:dyDescent="0.35">
      <c r="D280" s="319"/>
      <c r="E280" s="117" t="s">
        <v>1162</v>
      </c>
      <c r="F280" s="104">
        <v>165</v>
      </c>
      <c r="G280" s="104" t="s">
        <v>73</v>
      </c>
      <c r="H280" s="104"/>
      <c r="I280" s="104"/>
      <c r="J280" s="104"/>
      <c r="K280" s="104"/>
    </row>
    <row r="281" spans="4:11" x14ac:dyDescent="0.35">
      <c r="D281" s="180" t="s">
        <v>42</v>
      </c>
      <c r="E281" s="139" t="s">
        <v>330</v>
      </c>
      <c r="F281" s="175">
        <v>54</v>
      </c>
      <c r="G281" s="175" t="s">
        <v>73</v>
      </c>
      <c r="H281" s="175">
        <f>ROUND(($F$280)*((F281)/((($F$293)*(($F$294)/($F$294+$F$295)))+
(($F$293)*(($F$295)/($F$294+$F$295)))+
$F$281+$F$282+$F$283+$F$284+$F$285+$F$286+$F$287+$F$288+$F$289+$F$290+$F$291+$F$292)),2)</f>
        <v>2.77</v>
      </c>
      <c r="I281" s="175" t="s">
        <v>73</v>
      </c>
      <c r="J281" s="175"/>
      <c r="K281" s="175">
        <f t="shared" si="37"/>
        <v>742.36</v>
      </c>
    </row>
    <row r="282" spans="4:11" x14ac:dyDescent="0.35">
      <c r="D282" s="180" t="s">
        <v>1250</v>
      </c>
      <c r="E282" s="139" t="s">
        <v>1236</v>
      </c>
      <c r="F282" s="175">
        <v>3</v>
      </c>
      <c r="G282" s="175" t="s">
        <v>73</v>
      </c>
      <c r="H282" s="175">
        <f t="shared" ref="H282:H292" si="39">ROUND(($F$280)*((F282)/((($F$293)*(($F$294)/($F$294+$F$295)))+
(($F$293)*(($F$295)/($F$294+$F$295)))+
$F$281+$F$282+$F$283+$F$284+$F$285+$F$286+$F$287+$F$288+$F$289+$F$290+$F$291+$F$292)),2)</f>
        <v>0.15</v>
      </c>
      <c r="I282" s="175" t="s">
        <v>73</v>
      </c>
      <c r="J282" s="175"/>
      <c r="K282" s="175">
        <f t="shared" si="37"/>
        <v>40.199999999999996</v>
      </c>
    </row>
    <row r="283" spans="4:11" x14ac:dyDescent="0.35">
      <c r="D283" s="180" t="s">
        <v>333</v>
      </c>
      <c r="E283" s="139" t="s">
        <v>334</v>
      </c>
      <c r="F283" s="175">
        <v>110</v>
      </c>
      <c r="G283" s="175" t="s">
        <v>73</v>
      </c>
      <c r="H283" s="175">
        <f t="shared" si="39"/>
        <v>5.64</v>
      </c>
      <c r="I283" s="175" t="s">
        <v>73</v>
      </c>
      <c r="J283" s="175"/>
      <c r="K283" s="175">
        <f t="shared" si="37"/>
        <v>1511.52</v>
      </c>
    </row>
    <row r="284" spans="4:11" x14ac:dyDescent="0.35">
      <c r="D284" s="180" t="s">
        <v>43</v>
      </c>
      <c r="E284" s="139" t="s">
        <v>817</v>
      </c>
      <c r="F284" s="175">
        <v>6</v>
      </c>
      <c r="G284" s="175" t="s">
        <v>73</v>
      </c>
      <c r="H284" s="175">
        <f t="shared" si="39"/>
        <v>0.31</v>
      </c>
      <c r="I284" s="175" t="s">
        <v>73</v>
      </c>
      <c r="J284" s="175"/>
      <c r="K284" s="175">
        <f t="shared" si="37"/>
        <v>83.08</v>
      </c>
    </row>
    <row r="285" spans="4:11" x14ac:dyDescent="0.35">
      <c r="D285" s="180" t="s">
        <v>47</v>
      </c>
      <c r="E285" s="139" t="s">
        <v>569</v>
      </c>
      <c r="F285" s="175">
        <v>200</v>
      </c>
      <c r="G285" s="175" t="s">
        <v>73</v>
      </c>
      <c r="H285" s="175">
        <f t="shared" si="39"/>
        <v>10.26</v>
      </c>
      <c r="I285" s="175" t="s">
        <v>73</v>
      </c>
      <c r="J285" s="175"/>
      <c r="K285" s="175">
        <f t="shared" si="37"/>
        <v>2749.68</v>
      </c>
    </row>
    <row r="286" spans="4:11" x14ac:dyDescent="0.35">
      <c r="D286" s="180" t="s">
        <v>177</v>
      </c>
      <c r="E286" s="139" t="s">
        <v>178</v>
      </c>
      <c r="F286" s="175">
        <v>250</v>
      </c>
      <c r="G286" s="175" t="s">
        <v>73</v>
      </c>
      <c r="H286" s="175">
        <f t="shared" si="39"/>
        <v>12.82</v>
      </c>
      <c r="I286" s="175" t="s">
        <v>73</v>
      </c>
      <c r="J286" s="175"/>
      <c r="K286" s="175">
        <f t="shared" si="37"/>
        <v>3435.76</v>
      </c>
    </row>
    <row r="287" spans="4:11" x14ac:dyDescent="0.35">
      <c r="D287" s="180" t="s">
        <v>369</v>
      </c>
      <c r="E287" s="139" t="s">
        <v>370</v>
      </c>
      <c r="F287" s="175">
        <v>300</v>
      </c>
      <c r="G287" s="175" t="s">
        <v>73</v>
      </c>
      <c r="H287" s="175">
        <f t="shared" si="39"/>
        <v>15.39</v>
      </c>
      <c r="I287" s="175" t="s">
        <v>73</v>
      </c>
      <c r="J287" s="175"/>
      <c r="K287" s="175">
        <f>$A$270*H287</f>
        <v>4124.5200000000004</v>
      </c>
    </row>
    <row r="288" spans="4:11" x14ac:dyDescent="0.35">
      <c r="D288" s="180" t="s">
        <v>46</v>
      </c>
      <c r="E288" s="139" t="s">
        <v>1163</v>
      </c>
      <c r="F288" s="175">
        <v>34</v>
      </c>
      <c r="G288" s="175" t="s">
        <v>73</v>
      </c>
      <c r="H288" s="175">
        <f t="shared" si="39"/>
        <v>1.74</v>
      </c>
      <c r="I288" s="175" t="s">
        <v>73</v>
      </c>
      <c r="J288" s="175"/>
      <c r="K288" s="175">
        <f t="shared" si="37"/>
        <v>466.32</v>
      </c>
    </row>
    <row r="289" spans="1:11" x14ac:dyDescent="0.35">
      <c r="D289" s="180" t="s">
        <v>50</v>
      </c>
      <c r="E289" s="139" t="s">
        <v>394</v>
      </c>
      <c r="F289" s="175">
        <v>700</v>
      </c>
      <c r="G289" s="175" t="s">
        <v>73</v>
      </c>
      <c r="H289" s="175">
        <f t="shared" si="39"/>
        <v>35.9</v>
      </c>
      <c r="I289" s="175" t="s">
        <v>73</v>
      </c>
      <c r="J289" s="175"/>
      <c r="K289" s="175">
        <f t="shared" si="37"/>
        <v>9621.1999999999989</v>
      </c>
    </row>
    <row r="290" spans="1:11" x14ac:dyDescent="0.35">
      <c r="D290" s="180" t="s">
        <v>375</v>
      </c>
      <c r="E290" s="139" t="s">
        <v>376</v>
      </c>
      <c r="F290" s="175">
        <v>300</v>
      </c>
      <c r="G290" s="175" t="s">
        <v>73</v>
      </c>
      <c r="H290" s="175">
        <f t="shared" si="39"/>
        <v>15.39</v>
      </c>
      <c r="I290" s="175" t="s">
        <v>73</v>
      </c>
      <c r="J290" s="175"/>
      <c r="K290" s="175">
        <f t="shared" si="37"/>
        <v>4124.5200000000004</v>
      </c>
    </row>
    <row r="291" spans="1:11" x14ac:dyDescent="0.35">
      <c r="D291" s="518"/>
      <c r="E291" s="190" t="s">
        <v>950</v>
      </c>
      <c r="F291" s="181">
        <v>500</v>
      </c>
      <c r="G291" s="181" t="s">
        <v>73</v>
      </c>
      <c r="H291" s="181">
        <f t="shared" si="39"/>
        <v>25.65</v>
      </c>
      <c r="I291" s="181"/>
      <c r="J291" s="181"/>
      <c r="K291" s="181"/>
    </row>
    <row r="292" spans="1:11" x14ac:dyDescent="0.35">
      <c r="D292" s="180" t="s">
        <v>481</v>
      </c>
      <c r="E292" s="139" t="s">
        <v>1164</v>
      </c>
      <c r="F292" s="175">
        <v>700</v>
      </c>
      <c r="G292" s="175" t="s">
        <v>73</v>
      </c>
      <c r="H292" s="175">
        <f t="shared" si="39"/>
        <v>35.9</v>
      </c>
      <c r="I292" s="175" t="s">
        <v>73</v>
      </c>
      <c r="J292" s="175"/>
      <c r="K292" s="175">
        <f t="shared" si="37"/>
        <v>9621.1999999999989</v>
      </c>
    </row>
    <row r="293" spans="1:11" x14ac:dyDescent="0.35">
      <c r="D293" s="319"/>
      <c r="E293" s="143" t="s">
        <v>1166</v>
      </c>
      <c r="F293" s="104">
        <v>60</v>
      </c>
      <c r="G293" s="104" t="s">
        <v>73</v>
      </c>
      <c r="H293" s="104"/>
      <c r="I293" s="104"/>
      <c r="J293" s="104"/>
      <c r="K293" s="104"/>
    </row>
    <row r="294" spans="1:11" x14ac:dyDescent="0.35">
      <c r="D294" s="518"/>
      <c r="E294" s="191" t="s">
        <v>950</v>
      </c>
      <c r="F294" s="181">
        <v>300</v>
      </c>
      <c r="G294" s="181" t="s">
        <v>73</v>
      </c>
      <c r="H294" s="181">
        <f>ROUND(($F$280)*((($F$293)*((F294)/($F$294+$F$295)))
/((($F$293)*((F294)/($F$294+$F$295)))+
(($F$293)*((F295)/($F$294+$F$295)))+
$F$281+$F$282+$F$283+$F$284+$F$285+$F$286+$F$287+$F$288+$F$289+$F$290+$F$291+$F$292)),2)</f>
        <v>2.31</v>
      </c>
      <c r="I294" s="181"/>
      <c r="J294" s="181"/>
      <c r="K294" s="181"/>
    </row>
    <row r="295" spans="1:11" x14ac:dyDescent="0.35">
      <c r="D295" s="180" t="s">
        <v>638</v>
      </c>
      <c r="E295" s="140" t="s">
        <v>1165</v>
      </c>
      <c r="F295" s="175">
        <v>100</v>
      </c>
      <c r="G295" s="175" t="s">
        <v>73</v>
      </c>
      <c r="H295" s="197">
        <f>ROUND(($F$280)*((($F$293)*((F295)/($F$294+$F$295)))
/((($F$293)*((F295)/($F$294+$F$295)))+
(($F$293)*((F296)/($F$294+$F$295)))+
$F$281+$F$282+$F$283+$F$284+$F$285+$F$286+$F$287+$F$288+$F$289+$F$290+$F$291+$F$292)),2)</f>
        <v>0.78</v>
      </c>
      <c r="I295" s="175" t="s">
        <v>73</v>
      </c>
      <c r="J295" s="175"/>
      <c r="K295" s="175">
        <f t="shared" si="37"/>
        <v>209.04000000000002</v>
      </c>
    </row>
    <row r="296" spans="1:11" x14ac:dyDescent="0.35">
      <c r="A296" s="120"/>
      <c r="B296" s="120"/>
      <c r="C296" s="120"/>
      <c r="D296" s="519"/>
      <c r="E296" s="120"/>
      <c r="F296" s="182"/>
      <c r="G296" s="182" t="s">
        <v>73</v>
      </c>
      <c r="H296" s="182"/>
      <c r="I296" s="182" t="s">
        <v>73</v>
      </c>
      <c r="J296" s="182"/>
      <c r="K296" s="182"/>
    </row>
    <row r="297" spans="1:11" x14ac:dyDescent="0.35">
      <c r="A297" s="122">
        <f>IFERROR(INDEX($N$8:$N$50,MATCH(B297,$O$8:$O$50, 0)), "")</f>
        <v>1798</v>
      </c>
      <c r="B297" s="124" t="s">
        <v>1170</v>
      </c>
      <c r="C297" s="122" t="s">
        <v>1171</v>
      </c>
      <c r="D297" s="180" t="s">
        <v>47</v>
      </c>
      <c r="E297" s="3" t="s">
        <v>569</v>
      </c>
      <c r="F297" s="175">
        <v>10</v>
      </c>
      <c r="G297" s="175" t="s">
        <v>73</v>
      </c>
      <c r="H297" s="175">
        <v>10</v>
      </c>
      <c r="I297" s="175" t="s">
        <v>73</v>
      </c>
      <c r="J297" s="175"/>
      <c r="K297" s="175">
        <f>$A$297*H297</f>
        <v>17980</v>
      </c>
    </row>
    <row r="298" spans="1:11" x14ac:dyDescent="0.35">
      <c r="D298" s="180" t="s">
        <v>41</v>
      </c>
      <c r="E298" s="3" t="s">
        <v>320</v>
      </c>
      <c r="F298" s="175">
        <v>1</v>
      </c>
      <c r="G298" s="175" t="s">
        <v>73</v>
      </c>
      <c r="H298" s="175">
        <v>1</v>
      </c>
      <c r="I298" s="175" t="s">
        <v>73</v>
      </c>
      <c r="J298" s="175"/>
      <c r="K298" s="175">
        <f t="shared" ref="K298:K347" si="40">$A$297*H298</f>
        <v>1798</v>
      </c>
    </row>
    <row r="299" spans="1:11" x14ac:dyDescent="0.35">
      <c r="D299" s="180" t="s">
        <v>298</v>
      </c>
      <c r="E299" s="3" t="s">
        <v>299</v>
      </c>
      <c r="F299" s="175">
        <v>100</v>
      </c>
      <c r="G299" s="175" t="s">
        <v>73</v>
      </c>
      <c r="H299" s="175">
        <v>100</v>
      </c>
      <c r="I299" s="175" t="s">
        <v>73</v>
      </c>
      <c r="J299" s="175"/>
      <c r="K299" s="175">
        <f t="shared" si="40"/>
        <v>179800</v>
      </c>
    </row>
    <row r="300" spans="1:11" x14ac:dyDescent="0.35">
      <c r="D300" s="180" t="s">
        <v>570</v>
      </c>
      <c r="E300" s="3" t="s">
        <v>571</v>
      </c>
      <c r="F300" s="175">
        <v>2</v>
      </c>
      <c r="G300" s="175" t="s">
        <v>73</v>
      </c>
      <c r="H300" s="175">
        <v>2</v>
      </c>
      <c r="I300" s="175" t="s">
        <v>73</v>
      </c>
      <c r="J300" s="175"/>
      <c r="K300" s="175">
        <f t="shared" si="40"/>
        <v>3596</v>
      </c>
    </row>
    <row r="301" spans="1:11" x14ac:dyDescent="0.35">
      <c r="D301" s="180" t="s">
        <v>375</v>
      </c>
      <c r="E301" s="3" t="s">
        <v>1172</v>
      </c>
      <c r="F301" s="175">
        <v>30</v>
      </c>
      <c r="G301" s="175" t="s">
        <v>73</v>
      </c>
      <c r="H301" s="175">
        <v>30</v>
      </c>
      <c r="I301" s="175" t="s">
        <v>73</v>
      </c>
      <c r="J301" s="175"/>
      <c r="K301" s="175">
        <f t="shared" si="40"/>
        <v>53940</v>
      </c>
    </row>
    <row r="302" spans="1:11" x14ac:dyDescent="0.35">
      <c r="D302" s="180" t="s">
        <v>505</v>
      </c>
      <c r="E302" s="3" t="s">
        <v>1169</v>
      </c>
      <c r="F302" s="175">
        <v>0.2</v>
      </c>
      <c r="G302" s="175" t="s">
        <v>73</v>
      </c>
      <c r="H302" s="175">
        <v>0.2</v>
      </c>
      <c r="I302" s="175" t="s">
        <v>73</v>
      </c>
      <c r="J302" s="175"/>
      <c r="K302" s="175">
        <f t="shared" si="40"/>
        <v>359.6</v>
      </c>
    </row>
    <row r="303" spans="1:11" x14ac:dyDescent="0.35">
      <c r="D303" s="180" t="s">
        <v>41</v>
      </c>
      <c r="E303" s="3" t="s">
        <v>391</v>
      </c>
      <c r="F303" s="175">
        <v>5</v>
      </c>
      <c r="G303" s="175" t="s">
        <v>73</v>
      </c>
      <c r="H303" s="175">
        <v>5</v>
      </c>
      <c r="I303" s="175" t="s">
        <v>73</v>
      </c>
      <c r="J303" s="175"/>
      <c r="K303" s="175">
        <f t="shared" si="40"/>
        <v>8990</v>
      </c>
    </row>
    <row r="304" spans="1:11" x14ac:dyDescent="0.35">
      <c r="D304" s="180" t="s">
        <v>50</v>
      </c>
      <c r="E304" s="3" t="s">
        <v>1173</v>
      </c>
      <c r="F304" s="175">
        <v>40</v>
      </c>
      <c r="G304" s="175" t="s">
        <v>73</v>
      </c>
      <c r="H304" s="175">
        <v>40</v>
      </c>
      <c r="I304" s="175" t="s">
        <v>73</v>
      </c>
      <c r="J304" s="175"/>
      <c r="K304" s="175">
        <f t="shared" si="40"/>
        <v>71920</v>
      </c>
    </row>
    <row r="305" spans="4:11" x14ac:dyDescent="0.35">
      <c r="D305" s="319" t="s">
        <v>1174</v>
      </c>
      <c r="E305" s="117" t="s">
        <v>1133</v>
      </c>
      <c r="F305" s="104">
        <v>350</v>
      </c>
      <c r="G305" s="104" t="s">
        <v>73</v>
      </c>
      <c r="H305" s="104"/>
      <c r="I305" s="104"/>
      <c r="J305" s="104"/>
      <c r="K305" s="104"/>
    </row>
    <row r="306" spans="4:11" x14ac:dyDescent="0.35">
      <c r="D306" s="180" t="s">
        <v>1250</v>
      </c>
      <c r="E306" s="139" t="s">
        <v>1236</v>
      </c>
      <c r="F306" s="175">
        <v>3</v>
      </c>
      <c r="G306" s="175" t="s">
        <v>73</v>
      </c>
      <c r="H306" s="175">
        <f>ROUND(($F$305)*((F306)/($F$306+$F$307+$F$308+$F$309+$F$310+$F$311+$F$312+$F$313)),2)</f>
        <v>0.09</v>
      </c>
      <c r="I306" s="175" t="s">
        <v>73</v>
      </c>
      <c r="J306" s="175"/>
      <c r="K306" s="175">
        <f t="shared" si="40"/>
        <v>161.82</v>
      </c>
    </row>
    <row r="307" spans="4:11" x14ac:dyDescent="0.35">
      <c r="D307" s="180" t="s">
        <v>626</v>
      </c>
      <c r="E307" s="139" t="s">
        <v>627</v>
      </c>
      <c r="F307" s="175">
        <v>160</v>
      </c>
      <c r="G307" s="175" t="s">
        <v>73</v>
      </c>
      <c r="H307" s="175">
        <f t="shared" ref="H307:H313" si="41">ROUND(($F$305)*((F307)/($F$306+$F$307+$F$308+$F$309+$F$310+$F$311+$F$312+$F$313)),2)</f>
        <v>4.84</v>
      </c>
      <c r="I307" s="175" t="s">
        <v>73</v>
      </c>
      <c r="J307" s="175"/>
      <c r="K307" s="175">
        <f t="shared" si="40"/>
        <v>8702.32</v>
      </c>
    </row>
    <row r="308" spans="4:11" x14ac:dyDescent="0.35">
      <c r="D308" s="180" t="s">
        <v>45</v>
      </c>
      <c r="E308" s="139" t="s">
        <v>321</v>
      </c>
      <c r="F308" s="175">
        <v>70</v>
      </c>
      <c r="G308" s="175" t="s">
        <v>73</v>
      </c>
      <c r="H308" s="175">
        <f t="shared" si="41"/>
        <v>2.12</v>
      </c>
      <c r="I308" s="175" t="s">
        <v>73</v>
      </c>
      <c r="J308" s="175"/>
      <c r="K308" s="175">
        <f t="shared" si="40"/>
        <v>3811.76</v>
      </c>
    </row>
    <row r="309" spans="4:11" x14ac:dyDescent="0.35">
      <c r="D309" s="180" t="s">
        <v>42</v>
      </c>
      <c r="E309" s="139" t="s">
        <v>330</v>
      </c>
      <c r="F309" s="175">
        <v>120</v>
      </c>
      <c r="G309" s="175" t="s">
        <v>73</v>
      </c>
      <c r="H309" s="175">
        <f t="shared" si="41"/>
        <v>3.63</v>
      </c>
      <c r="I309" s="175" t="s">
        <v>73</v>
      </c>
      <c r="J309" s="175"/>
      <c r="K309" s="175">
        <f t="shared" si="40"/>
        <v>6526.74</v>
      </c>
    </row>
    <row r="310" spans="4:11" x14ac:dyDescent="0.35">
      <c r="D310" s="180" t="s">
        <v>43</v>
      </c>
      <c r="E310" s="139" t="s">
        <v>817</v>
      </c>
      <c r="F310" s="175">
        <v>110</v>
      </c>
      <c r="G310" s="175" t="s">
        <v>73</v>
      </c>
      <c r="H310" s="175">
        <f t="shared" si="41"/>
        <v>3.33</v>
      </c>
      <c r="I310" s="175" t="s">
        <v>73</v>
      </c>
      <c r="J310" s="175"/>
      <c r="K310" s="175">
        <f t="shared" si="40"/>
        <v>5987.34</v>
      </c>
    </row>
    <row r="311" spans="4:11" x14ac:dyDescent="0.35">
      <c r="D311" s="180" t="s">
        <v>333</v>
      </c>
      <c r="E311" s="139" t="s">
        <v>334</v>
      </c>
      <c r="F311" s="175">
        <v>50</v>
      </c>
      <c r="G311" s="175" t="s">
        <v>73</v>
      </c>
      <c r="H311" s="175">
        <f t="shared" si="41"/>
        <v>1.51</v>
      </c>
      <c r="I311" s="175" t="s">
        <v>73</v>
      </c>
      <c r="J311" s="175"/>
      <c r="K311" s="175">
        <f t="shared" si="40"/>
        <v>2714.98</v>
      </c>
    </row>
    <row r="312" spans="4:11" x14ac:dyDescent="0.35">
      <c r="D312" s="180" t="s">
        <v>646</v>
      </c>
      <c r="E312" s="139" t="s">
        <v>647</v>
      </c>
      <c r="F312" s="175">
        <v>50</v>
      </c>
      <c r="G312" s="175" t="s">
        <v>73</v>
      </c>
      <c r="H312" s="175">
        <f t="shared" si="41"/>
        <v>1.51</v>
      </c>
      <c r="I312" s="175" t="s">
        <v>73</v>
      </c>
      <c r="J312" s="175"/>
      <c r="K312" s="175">
        <f t="shared" si="40"/>
        <v>2714.98</v>
      </c>
    </row>
    <row r="313" spans="4:11" x14ac:dyDescent="0.35">
      <c r="D313" s="518"/>
      <c r="E313" s="190" t="s">
        <v>950</v>
      </c>
      <c r="F313" s="181">
        <v>11000</v>
      </c>
      <c r="G313" s="181" t="s">
        <v>73</v>
      </c>
      <c r="H313" s="181">
        <f t="shared" si="41"/>
        <v>332.96</v>
      </c>
      <c r="I313" s="181"/>
      <c r="J313" s="181"/>
      <c r="K313" s="181">
        <f t="shared" si="40"/>
        <v>598662.07999999996</v>
      </c>
    </row>
    <row r="314" spans="4:11" x14ac:dyDescent="0.35">
      <c r="D314" s="319" t="s">
        <v>1175</v>
      </c>
      <c r="E314" s="117" t="s">
        <v>1125</v>
      </c>
      <c r="F314" s="104">
        <v>10</v>
      </c>
      <c r="G314" s="104" t="s">
        <v>73</v>
      </c>
      <c r="H314" s="104"/>
      <c r="I314" s="104"/>
      <c r="J314" s="104"/>
      <c r="K314" s="104"/>
    </row>
    <row r="315" spans="4:11" x14ac:dyDescent="0.35">
      <c r="D315" s="180" t="s">
        <v>47</v>
      </c>
      <c r="E315" s="139" t="s">
        <v>569</v>
      </c>
      <c r="F315" s="175">
        <v>600</v>
      </c>
      <c r="G315" s="175" t="s">
        <v>73</v>
      </c>
      <c r="H315" s="175">
        <f>ROUND(($F$314)*((F315)/($F$315+$F$316+$F$317+$F$318+$F$319)),2)</f>
        <v>6.67</v>
      </c>
      <c r="I315" s="175" t="s">
        <v>73</v>
      </c>
      <c r="J315" s="175"/>
      <c r="K315" s="175">
        <f t="shared" si="40"/>
        <v>11992.66</v>
      </c>
    </row>
    <row r="316" spans="4:11" x14ac:dyDescent="0.35">
      <c r="D316" s="180" t="s">
        <v>48</v>
      </c>
      <c r="E316" s="139" t="s">
        <v>391</v>
      </c>
      <c r="F316" s="175">
        <v>100</v>
      </c>
      <c r="G316" s="175" t="s">
        <v>73</v>
      </c>
      <c r="H316" s="175">
        <f t="shared" ref="H316:H319" si="42">ROUND(($F$314)*((F316)/($F$315+$F$316+$F$317+$F$318+$F$319)),2)</f>
        <v>1.1100000000000001</v>
      </c>
      <c r="I316" s="175" t="s">
        <v>73</v>
      </c>
      <c r="J316" s="175"/>
      <c r="K316" s="175">
        <f t="shared" si="40"/>
        <v>1995.7800000000002</v>
      </c>
    </row>
    <row r="317" spans="4:11" x14ac:dyDescent="0.35">
      <c r="D317" s="180" t="s">
        <v>49</v>
      </c>
      <c r="E317" s="139" t="s">
        <v>1176</v>
      </c>
      <c r="F317" s="175">
        <v>50</v>
      </c>
      <c r="G317" s="175" t="s">
        <v>73</v>
      </c>
      <c r="H317" s="175">
        <f t="shared" si="42"/>
        <v>0.56000000000000005</v>
      </c>
      <c r="I317" s="175" t="s">
        <v>73</v>
      </c>
      <c r="J317" s="175"/>
      <c r="K317" s="175">
        <f t="shared" si="40"/>
        <v>1006.8800000000001</v>
      </c>
    </row>
    <row r="318" spans="4:11" x14ac:dyDescent="0.35">
      <c r="D318" s="180" t="s">
        <v>50</v>
      </c>
      <c r="E318" s="139" t="s">
        <v>394</v>
      </c>
      <c r="F318" s="175">
        <v>100</v>
      </c>
      <c r="G318" s="175" t="s">
        <v>73</v>
      </c>
      <c r="H318" s="175">
        <f t="shared" si="42"/>
        <v>1.1100000000000001</v>
      </c>
      <c r="I318" s="175" t="s">
        <v>73</v>
      </c>
      <c r="J318" s="175"/>
      <c r="K318" s="175">
        <f t="shared" si="40"/>
        <v>1995.7800000000002</v>
      </c>
    </row>
    <row r="319" spans="4:11" x14ac:dyDescent="0.35">
      <c r="D319" s="180" t="s">
        <v>51</v>
      </c>
      <c r="E319" s="139" t="s">
        <v>404</v>
      </c>
      <c r="F319" s="175">
        <v>50</v>
      </c>
      <c r="G319" s="175" t="s">
        <v>73</v>
      </c>
      <c r="H319" s="175">
        <f t="shared" si="42"/>
        <v>0.56000000000000005</v>
      </c>
      <c r="I319" s="175" t="s">
        <v>73</v>
      </c>
      <c r="J319" s="175"/>
      <c r="K319" s="175">
        <f t="shared" si="40"/>
        <v>1006.8800000000001</v>
      </c>
    </row>
    <row r="320" spans="4:11" x14ac:dyDescent="0.35">
      <c r="D320" s="319" t="s">
        <v>1177</v>
      </c>
      <c r="E320" s="117" t="s">
        <v>1178</v>
      </c>
      <c r="F320" s="104">
        <v>2</v>
      </c>
      <c r="G320" s="104" t="s">
        <v>73</v>
      </c>
      <c r="H320" s="104">
        <v>2</v>
      </c>
      <c r="I320" s="104"/>
      <c r="J320" s="104"/>
      <c r="K320" s="104"/>
    </row>
    <row r="321" spans="4:11" x14ac:dyDescent="0.35">
      <c r="D321" s="180" t="s">
        <v>296</v>
      </c>
      <c r="E321" s="139" t="s">
        <v>297</v>
      </c>
      <c r="F321" s="175">
        <v>2</v>
      </c>
      <c r="G321" s="175" t="s">
        <v>1072</v>
      </c>
      <c r="H321" s="175">
        <v>2</v>
      </c>
      <c r="I321" s="175" t="s">
        <v>1072</v>
      </c>
      <c r="J321" s="175"/>
      <c r="K321" s="175">
        <f t="shared" si="40"/>
        <v>3596</v>
      </c>
    </row>
    <row r="322" spans="4:11" x14ac:dyDescent="0.35">
      <c r="D322" s="319" t="s">
        <v>1180</v>
      </c>
      <c r="E322" s="143" t="s">
        <v>1179</v>
      </c>
      <c r="F322" s="104">
        <v>30</v>
      </c>
      <c r="G322" s="104" t="s">
        <v>73</v>
      </c>
      <c r="H322" s="104"/>
      <c r="I322" s="104"/>
      <c r="J322" s="104"/>
      <c r="K322" s="104"/>
    </row>
    <row r="323" spans="4:11" x14ac:dyDescent="0.35">
      <c r="D323" s="180" t="s">
        <v>51</v>
      </c>
      <c r="E323" s="141" t="s">
        <v>1244</v>
      </c>
      <c r="F323" s="175">
        <v>12</v>
      </c>
      <c r="G323" s="175" t="s">
        <v>73</v>
      </c>
      <c r="H323" s="175">
        <f>ROUND(($F$322)*((F323)/($F$323+$F$324+$F$325+$F$326+$F$327+$F$328+$F$329+$F$330)),2)</f>
        <v>0.26</v>
      </c>
      <c r="I323" s="175" t="s">
        <v>73</v>
      </c>
      <c r="J323" s="175"/>
      <c r="K323" s="175">
        <f t="shared" si="40"/>
        <v>467.48</v>
      </c>
    </row>
    <row r="324" spans="4:11" x14ac:dyDescent="0.35">
      <c r="D324" s="180" t="s">
        <v>369</v>
      </c>
      <c r="E324" s="141" t="s">
        <v>370</v>
      </c>
      <c r="F324" s="175">
        <v>390</v>
      </c>
      <c r="G324" s="175" t="s">
        <v>73</v>
      </c>
      <c r="H324" s="175">
        <f t="shared" ref="H324:H330" si="43">ROUND(($F$322)*((F324)/($F$323+$F$324+$F$325+$F$326+$F$327+$F$328+$F$329+$F$330)),2)</f>
        <v>8.44</v>
      </c>
      <c r="I324" s="175" t="s">
        <v>73</v>
      </c>
      <c r="J324" s="175"/>
      <c r="K324" s="175">
        <f t="shared" si="40"/>
        <v>15175.119999999999</v>
      </c>
    </row>
    <row r="325" spans="4:11" x14ac:dyDescent="0.35">
      <c r="D325" s="180" t="s">
        <v>513</v>
      </c>
      <c r="E325" s="141" t="s">
        <v>514</v>
      </c>
      <c r="F325" s="175">
        <v>35</v>
      </c>
      <c r="G325" s="175" t="s">
        <v>73</v>
      </c>
      <c r="H325" s="175">
        <f t="shared" si="43"/>
        <v>0.76</v>
      </c>
      <c r="I325" s="175" t="s">
        <v>73</v>
      </c>
      <c r="J325" s="175"/>
      <c r="K325" s="175">
        <f t="shared" si="40"/>
        <v>1366.48</v>
      </c>
    </row>
    <row r="326" spans="4:11" x14ac:dyDescent="0.35">
      <c r="D326" s="180" t="s">
        <v>179</v>
      </c>
      <c r="E326" s="141" t="s">
        <v>1181</v>
      </c>
      <c r="F326" s="175">
        <v>500</v>
      </c>
      <c r="G326" s="175" t="s">
        <v>73</v>
      </c>
      <c r="H326" s="175">
        <f t="shared" si="43"/>
        <v>10.82</v>
      </c>
      <c r="I326" s="175" t="s">
        <v>73</v>
      </c>
      <c r="J326" s="175"/>
      <c r="K326" s="175">
        <f t="shared" si="40"/>
        <v>19454.36</v>
      </c>
    </row>
    <row r="327" spans="4:11" x14ac:dyDescent="0.35">
      <c r="D327" s="180" t="s">
        <v>379</v>
      </c>
      <c r="E327" s="141" t="s">
        <v>380</v>
      </c>
      <c r="F327" s="175">
        <v>46</v>
      </c>
      <c r="G327" s="175" t="s">
        <v>73</v>
      </c>
      <c r="H327" s="175">
        <f t="shared" si="43"/>
        <v>1</v>
      </c>
      <c r="I327" s="175" t="s">
        <v>73</v>
      </c>
      <c r="J327" s="175"/>
      <c r="K327" s="175">
        <f t="shared" si="40"/>
        <v>1798</v>
      </c>
    </row>
    <row r="328" spans="4:11" x14ac:dyDescent="0.35">
      <c r="D328" s="180" t="s">
        <v>549</v>
      </c>
      <c r="E328" s="141" t="s">
        <v>1245</v>
      </c>
      <c r="F328" s="175">
        <v>150</v>
      </c>
      <c r="G328" s="175" t="s">
        <v>73</v>
      </c>
      <c r="H328" s="175">
        <f t="shared" si="43"/>
        <v>3.25</v>
      </c>
      <c r="I328" s="175" t="s">
        <v>73</v>
      </c>
      <c r="J328" s="175"/>
      <c r="K328" s="175">
        <f t="shared" si="40"/>
        <v>5843.5</v>
      </c>
    </row>
    <row r="329" spans="4:11" x14ac:dyDescent="0.35">
      <c r="D329" s="180" t="s">
        <v>50</v>
      </c>
      <c r="E329" s="141" t="s">
        <v>1215</v>
      </c>
      <c r="F329" s="175">
        <v>230</v>
      </c>
      <c r="G329" s="175" t="s">
        <v>73</v>
      </c>
      <c r="H329" s="175">
        <f t="shared" si="43"/>
        <v>4.9800000000000004</v>
      </c>
      <c r="I329" s="175" t="s">
        <v>73</v>
      </c>
      <c r="J329" s="175"/>
      <c r="K329" s="175">
        <f t="shared" si="40"/>
        <v>8954.0400000000009</v>
      </c>
    </row>
    <row r="330" spans="4:11" x14ac:dyDescent="0.35">
      <c r="D330" s="180" t="s">
        <v>49</v>
      </c>
      <c r="E330" s="141" t="s">
        <v>1176</v>
      </c>
      <c r="F330" s="175">
        <v>23</v>
      </c>
      <c r="G330" s="175" t="s">
        <v>73</v>
      </c>
      <c r="H330" s="175">
        <f t="shared" si="43"/>
        <v>0.5</v>
      </c>
      <c r="I330" s="175" t="s">
        <v>73</v>
      </c>
      <c r="J330" s="175"/>
      <c r="K330" s="175">
        <f t="shared" si="40"/>
        <v>899</v>
      </c>
    </row>
    <row r="331" spans="4:11" x14ac:dyDescent="0.35">
      <c r="D331" s="319" t="s">
        <v>1182</v>
      </c>
      <c r="E331" s="117" t="s">
        <v>1183</v>
      </c>
      <c r="F331" s="104">
        <v>30</v>
      </c>
      <c r="G331" s="104" t="s">
        <v>73</v>
      </c>
      <c r="H331" s="104"/>
      <c r="I331" s="104"/>
      <c r="J331" s="104"/>
      <c r="K331" s="104"/>
    </row>
    <row r="332" spans="4:11" x14ac:dyDescent="0.35">
      <c r="D332" s="180" t="s">
        <v>46</v>
      </c>
      <c r="E332" s="139" t="s">
        <v>309</v>
      </c>
      <c r="F332" s="175">
        <v>50</v>
      </c>
      <c r="G332" s="175" t="s">
        <v>73</v>
      </c>
      <c r="H332" s="175">
        <f>ROUND(($F$331)*((F332)/((($F$339)*(($F$340)/($F$340+$F$341)))+
(($F$339)*(($F$341)/($F$340+$F$341)))+
$F$332+$F$333+$F$334+$F$335+$F$336+$F$337+$F$338)),2)</f>
        <v>2.13</v>
      </c>
      <c r="I332" s="175" t="s">
        <v>73</v>
      </c>
      <c r="J332" s="175"/>
      <c r="K332" s="175">
        <f t="shared" si="40"/>
        <v>3829.74</v>
      </c>
    </row>
    <row r="333" spans="4:11" x14ac:dyDescent="0.35">
      <c r="D333" s="180" t="s">
        <v>42</v>
      </c>
      <c r="E333" s="139" t="s">
        <v>330</v>
      </c>
      <c r="F333" s="175">
        <v>8</v>
      </c>
      <c r="G333" s="175" t="s">
        <v>73</v>
      </c>
      <c r="H333" s="175">
        <f t="shared" ref="H333:H338" si="44">ROUND(($F$331)*((F333)/((($F$339)*(($F$340)/($F$340+$F$341)))+
(($F$339)*(($F$341)/($F$340+$F$341)))+
$F$332+$F$333+$F$334+$F$335+$F$336+$F$337+$F$338)),2)</f>
        <v>0.34</v>
      </c>
      <c r="I333" s="175" t="s">
        <v>73</v>
      </c>
      <c r="J333" s="175"/>
      <c r="K333" s="175">
        <f t="shared" si="40"/>
        <v>611.32000000000005</v>
      </c>
    </row>
    <row r="334" spans="4:11" x14ac:dyDescent="0.35">
      <c r="D334" s="180" t="s">
        <v>333</v>
      </c>
      <c r="E334" s="139" t="s">
        <v>334</v>
      </c>
      <c r="F334" s="175">
        <v>25</v>
      </c>
      <c r="G334" s="175" t="s">
        <v>73</v>
      </c>
      <c r="H334" s="175">
        <f t="shared" si="44"/>
        <v>1.07</v>
      </c>
      <c r="I334" s="175" t="s">
        <v>73</v>
      </c>
      <c r="J334" s="175"/>
      <c r="K334" s="175">
        <f t="shared" si="40"/>
        <v>1923.8600000000001</v>
      </c>
    </row>
    <row r="335" spans="4:11" x14ac:dyDescent="0.35">
      <c r="D335" s="180" t="s">
        <v>50</v>
      </c>
      <c r="E335" s="139" t="s">
        <v>1215</v>
      </c>
      <c r="F335" s="175">
        <v>50</v>
      </c>
      <c r="G335" s="175" t="s">
        <v>73</v>
      </c>
      <c r="H335" s="175">
        <f t="shared" si="44"/>
        <v>2.13</v>
      </c>
      <c r="I335" s="175" t="s">
        <v>73</v>
      </c>
      <c r="J335" s="175"/>
      <c r="K335" s="175">
        <f t="shared" si="40"/>
        <v>3829.74</v>
      </c>
    </row>
    <row r="336" spans="4:11" x14ac:dyDescent="0.35">
      <c r="D336" s="180" t="s">
        <v>47</v>
      </c>
      <c r="E336" s="139" t="s">
        <v>569</v>
      </c>
      <c r="F336" s="175">
        <v>30</v>
      </c>
      <c r="G336" s="175" t="s">
        <v>73</v>
      </c>
      <c r="H336" s="175">
        <f t="shared" si="44"/>
        <v>1.28</v>
      </c>
      <c r="I336" s="175" t="s">
        <v>73</v>
      </c>
      <c r="J336" s="175"/>
      <c r="K336" s="175">
        <f t="shared" si="40"/>
        <v>2301.44</v>
      </c>
    </row>
    <row r="337" spans="1:11" x14ac:dyDescent="0.35">
      <c r="D337" s="180" t="s">
        <v>41</v>
      </c>
      <c r="E337" s="139" t="s">
        <v>320</v>
      </c>
      <c r="F337" s="175">
        <v>30</v>
      </c>
      <c r="G337" s="175" t="s">
        <v>73</v>
      </c>
      <c r="H337" s="175">
        <f t="shared" si="44"/>
        <v>1.28</v>
      </c>
      <c r="I337" s="175" t="s">
        <v>73</v>
      </c>
      <c r="J337" s="175"/>
      <c r="K337" s="175">
        <f t="shared" si="40"/>
        <v>2301.44</v>
      </c>
    </row>
    <row r="338" spans="1:11" x14ac:dyDescent="0.35">
      <c r="D338" s="180" t="s">
        <v>479</v>
      </c>
      <c r="E338" s="139" t="s">
        <v>480</v>
      </c>
      <c r="F338" s="175">
        <v>500</v>
      </c>
      <c r="G338" s="175" t="s">
        <v>73</v>
      </c>
      <c r="H338" s="175">
        <f t="shared" si="44"/>
        <v>21.34</v>
      </c>
      <c r="I338" s="175" t="s">
        <v>73</v>
      </c>
      <c r="J338" s="175"/>
      <c r="K338" s="175">
        <f t="shared" si="40"/>
        <v>38369.32</v>
      </c>
    </row>
    <row r="339" spans="1:11" x14ac:dyDescent="0.35">
      <c r="D339" s="319"/>
      <c r="E339" s="143" t="s">
        <v>1184</v>
      </c>
      <c r="F339" s="104">
        <v>10</v>
      </c>
      <c r="G339" s="104" t="s">
        <v>73</v>
      </c>
      <c r="H339" s="104"/>
      <c r="I339" s="104"/>
      <c r="J339" s="104"/>
      <c r="K339" s="104"/>
    </row>
    <row r="340" spans="1:11" x14ac:dyDescent="0.35">
      <c r="D340" s="518"/>
      <c r="E340" s="191" t="s">
        <v>950</v>
      </c>
      <c r="F340" s="181">
        <v>300</v>
      </c>
      <c r="G340" s="181" t="s">
        <v>73</v>
      </c>
      <c r="H340" s="181"/>
      <c r="I340" s="181"/>
      <c r="J340" s="181"/>
      <c r="K340" s="181"/>
    </row>
    <row r="341" spans="1:11" x14ac:dyDescent="0.35">
      <c r="D341" s="180" t="s">
        <v>638</v>
      </c>
      <c r="E341" s="140" t="s">
        <v>1165</v>
      </c>
      <c r="F341" s="175">
        <v>100</v>
      </c>
      <c r="G341" s="175" t="s">
        <v>73</v>
      </c>
      <c r="H341" s="175">
        <f>ROUND(($F$331)*((($F$339)*(($F$341)/($F$340+$F$341)))
/((($F$339)*(($F$340)/($F$340+$F$341)))+
(($F$339)*(($F$341)/($F$340+$F$341)))+
$F$332+$F$333+$F$334+$F$335+$F$336+$F$337+$F$338)),2)</f>
        <v>0.11</v>
      </c>
      <c r="I341" s="175" t="s">
        <v>73</v>
      </c>
      <c r="J341" s="175"/>
      <c r="K341" s="175">
        <f t="shared" si="40"/>
        <v>197.78</v>
      </c>
    </row>
    <row r="342" spans="1:11" x14ac:dyDescent="0.35">
      <c r="D342" s="319" t="s">
        <v>58</v>
      </c>
      <c r="E342" s="117" t="s">
        <v>1185</v>
      </c>
      <c r="F342" s="104">
        <v>30</v>
      </c>
      <c r="G342" s="104" t="s">
        <v>73</v>
      </c>
      <c r="H342" s="104"/>
      <c r="I342" s="104"/>
      <c r="J342" s="104"/>
      <c r="K342" s="104"/>
    </row>
    <row r="343" spans="1:11" x14ac:dyDescent="0.35">
      <c r="D343" s="180" t="s">
        <v>59</v>
      </c>
      <c r="E343" s="139" t="s">
        <v>124</v>
      </c>
      <c r="F343" s="175">
        <v>350</v>
      </c>
      <c r="G343" s="175" t="s">
        <v>73</v>
      </c>
      <c r="H343" s="175">
        <f>ROUND((($F$342)*((F343)/((($F$345)*(($F$346)/($F$346+$F$347+$F$348)))+
(($F$345)*(($F$347)/($F$346+$F$347+$F$348)))+
(($F$345)*(($F$348)/($F$346+$F$347+$F$348)))+
$F$343+$F$344))),2)</f>
        <v>7.24</v>
      </c>
      <c r="I343" s="175" t="s">
        <v>73</v>
      </c>
      <c r="J343" s="175"/>
      <c r="K343" s="175">
        <f t="shared" si="40"/>
        <v>13017.52</v>
      </c>
    </row>
    <row r="344" spans="1:11" x14ac:dyDescent="0.35">
      <c r="D344" s="180" t="s">
        <v>48</v>
      </c>
      <c r="E344" s="139" t="s">
        <v>1186</v>
      </c>
      <c r="F344" s="175">
        <v>100</v>
      </c>
      <c r="G344" s="175" t="s">
        <v>73</v>
      </c>
      <c r="H344" s="175">
        <f>ROUND((($F$342)*((F344)/((($F$345)*(($F$346)/($F$346+$F$347+$F$348)))+
(($F$345)*(($F$347)/($F$346+$F$347+$F$348)))+
(($F$345)*(($F$348)/($F$346+$F$347+$F$348)))+
$F$343+$F$344))),2)</f>
        <v>2.0699999999999998</v>
      </c>
      <c r="I344" s="175" t="s">
        <v>73</v>
      </c>
      <c r="J344" s="175"/>
      <c r="K344" s="175">
        <f t="shared" si="40"/>
        <v>3721.8599999999997</v>
      </c>
    </row>
    <row r="345" spans="1:11" x14ac:dyDescent="0.35">
      <c r="D345" s="319"/>
      <c r="E345" s="143" t="s">
        <v>1187</v>
      </c>
      <c r="F345" s="104">
        <v>1000</v>
      </c>
      <c r="G345" s="104" t="s">
        <v>73</v>
      </c>
      <c r="H345" s="104"/>
      <c r="I345" s="104"/>
      <c r="J345" s="104"/>
      <c r="K345" s="104"/>
    </row>
    <row r="346" spans="1:11" x14ac:dyDescent="0.35">
      <c r="D346" s="180" t="s">
        <v>43</v>
      </c>
      <c r="E346" s="140" t="s">
        <v>817</v>
      </c>
      <c r="F346" s="175">
        <v>400</v>
      </c>
      <c r="G346" s="175" t="s">
        <v>73</v>
      </c>
      <c r="H346" s="175">
        <f>ROUND((($F$342)*((($F$345)*(($F$346)/($F$346+$F$347+$F$348)))
/((($F$345)*(($F$346)/($F$346+$F$347+$F$348)))+
(($F$345)*(($F$347)/($F$346+$F$347+$F$348)))+
(($F$345)*(($F$348)/($F$346+$F$347+$F$348)))+
$F$343+$F$344))),2)</f>
        <v>5.79</v>
      </c>
      <c r="I346" s="175" t="s">
        <v>73</v>
      </c>
      <c r="J346" s="175"/>
      <c r="K346" s="175">
        <f t="shared" si="40"/>
        <v>10410.42</v>
      </c>
    </row>
    <row r="347" spans="1:11" x14ac:dyDescent="0.35">
      <c r="D347" s="180" t="s">
        <v>60</v>
      </c>
      <c r="E347" s="140" t="s">
        <v>1188</v>
      </c>
      <c r="F347" s="175">
        <v>1000</v>
      </c>
      <c r="G347" s="175" t="s">
        <v>73</v>
      </c>
      <c r="H347" s="175">
        <f>ROUND((($F$342)*((($F$345)*(($F$347)/($F$346+$F$347+$F$348)))
/((($F$345)*(($F$346)/($F$346+$F$347+$F$348)))+
(($F$345)*(($F$347)/($F$346+$F$347+$F$348)))+
(($F$345)*(($F$348)/($F$346+$F$347+$F$348)))+
$F$343+$F$344))),2)</f>
        <v>14.47</v>
      </c>
      <c r="I347" s="175" t="s">
        <v>73</v>
      </c>
      <c r="J347" s="175"/>
      <c r="K347" s="175">
        <f t="shared" si="40"/>
        <v>26017.06</v>
      </c>
    </row>
    <row r="348" spans="1:11" x14ac:dyDescent="0.35">
      <c r="D348" s="518"/>
      <c r="E348" s="191" t="s">
        <v>950</v>
      </c>
      <c r="F348" s="181">
        <v>30</v>
      </c>
      <c r="G348" s="181" t="s">
        <v>73</v>
      </c>
      <c r="H348" s="181">
        <f>ROUND((($F$342)*((($F$345)*(($F$348)/($F$346+$F$347+$F$348)))
/((($F$345)*(($F$346)/($F$346+$F$347+$F$348)))+
(($F$345)*(($F$347)/($F$346+$F$347+$F$348)))+
(($F$345)*(($F$348)/($F$346+$F$347+$F$348)))+
$F$343+$F$344))),2)</f>
        <v>0.43</v>
      </c>
      <c r="I348" s="181"/>
      <c r="J348" s="181"/>
      <c r="K348" s="181"/>
    </row>
    <row r="349" spans="1:11" x14ac:dyDescent="0.35">
      <c r="A349" s="120"/>
      <c r="B349" s="120"/>
      <c r="C349" s="120"/>
      <c r="D349" s="519"/>
      <c r="E349" s="120"/>
      <c r="F349" s="182"/>
      <c r="G349" s="182"/>
      <c r="H349" s="182"/>
      <c r="I349" s="182"/>
      <c r="J349" s="182"/>
      <c r="K349" s="182"/>
    </row>
    <row r="350" spans="1:11" x14ac:dyDescent="0.35">
      <c r="A350" s="122">
        <f>IFERROR(INDEX($N$8:$N$50,MATCH(B350,$O$8:$O$50, 0)), "")</f>
        <v>0</v>
      </c>
      <c r="B350" s="124" t="s">
        <v>1189</v>
      </c>
      <c r="C350" s="122" t="s">
        <v>1190</v>
      </c>
      <c r="D350" s="180" t="s">
        <v>47</v>
      </c>
      <c r="E350" s="3" t="s">
        <v>569</v>
      </c>
      <c r="F350" s="175">
        <v>10</v>
      </c>
      <c r="G350" s="175" t="s">
        <v>73</v>
      </c>
      <c r="H350" s="175">
        <v>10</v>
      </c>
      <c r="I350" s="175" t="s">
        <v>73</v>
      </c>
      <c r="J350" s="175"/>
      <c r="K350" s="175">
        <f>$A$350*H350</f>
        <v>0</v>
      </c>
    </row>
    <row r="351" spans="1:11" x14ac:dyDescent="0.35">
      <c r="D351" s="180" t="s">
        <v>41</v>
      </c>
      <c r="E351" s="3" t="s">
        <v>320</v>
      </c>
      <c r="F351" s="175">
        <v>1</v>
      </c>
      <c r="G351" s="175" t="s">
        <v>73</v>
      </c>
      <c r="H351" s="175">
        <v>1</v>
      </c>
      <c r="I351" s="175" t="s">
        <v>73</v>
      </c>
      <c r="J351" s="175"/>
      <c r="K351" s="175">
        <f t="shared" ref="K351:K377" si="45">$A$350*H351</f>
        <v>0</v>
      </c>
    </row>
    <row r="352" spans="1:11" x14ac:dyDescent="0.35">
      <c r="D352" s="180" t="s">
        <v>298</v>
      </c>
      <c r="E352" s="3" t="s">
        <v>299</v>
      </c>
      <c r="F352" s="175">
        <v>100</v>
      </c>
      <c r="G352" s="175" t="s">
        <v>73</v>
      </c>
      <c r="H352" s="175">
        <v>100</v>
      </c>
      <c r="I352" s="175" t="s">
        <v>73</v>
      </c>
      <c r="J352" s="175"/>
      <c r="K352" s="175">
        <f t="shared" si="45"/>
        <v>0</v>
      </c>
    </row>
    <row r="353" spans="4:11" x14ac:dyDescent="0.35">
      <c r="D353" s="180" t="s">
        <v>570</v>
      </c>
      <c r="E353" s="3" t="s">
        <v>571</v>
      </c>
      <c r="F353" s="175">
        <v>2</v>
      </c>
      <c r="G353" s="175" t="s">
        <v>73</v>
      </c>
      <c r="H353" s="175">
        <v>2</v>
      </c>
      <c r="I353" s="175" t="s">
        <v>73</v>
      </c>
      <c r="J353" s="175"/>
      <c r="K353" s="175">
        <f t="shared" si="45"/>
        <v>0</v>
      </c>
    </row>
    <row r="354" spans="4:11" x14ac:dyDescent="0.35">
      <c r="D354" s="180" t="s">
        <v>375</v>
      </c>
      <c r="E354" s="3" t="s">
        <v>1172</v>
      </c>
      <c r="F354" s="175">
        <v>30</v>
      </c>
      <c r="G354" s="175" t="s">
        <v>73</v>
      </c>
      <c r="H354" s="175">
        <v>30</v>
      </c>
      <c r="I354" s="175" t="s">
        <v>73</v>
      </c>
      <c r="J354" s="175"/>
      <c r="K354" s="175">
        <f t="shared" si="45"/>
        <v>0</v>
      </c>
    </row>
    <row r="355" spans="4:11" x14ac:dyDescent="0.35">
      <c r="D355" s="180" t="s">
        <v>505</v>
      </c>
      <c r="E355" s="3" t="s">
        <v>1169</v>
      </c>
      <c r="F355" s="175">
        <v>0.2</v>
      </c>
      <c r="G355" s="175" t="s">
        <v>73</v>
      </c>
      <c r="H355" s="175">
        <v>0.2</v>
      </c>
      <c r="I355" s="175" t="s">
        <v>73</v>
      </c>
      <c r="J355" s="175"/>
      <c r="K355" s="175">
        <f t="shared" si="45"/>
        <v>0</v>
      </c>
    </row>
    <row r="356" spans="4:11" x14ac:dyDescent="0.35">
      <c r="D356" s="180" t="s">
        <v>48</v>
      </c>
      <c r="E356" s="3" t="s">
        <v>391</v>
      </c>
      <c r="F356" s="175">
        <v>5</v>
      </c>
      <c r="G356" s="175" t="s">
        <v>73</v>
      </c>
      <c r="H356" s="175">
        <v>5</v>
      </c>
      <c r="I356" s="175" t="s">
        <v>73</v>
      </c>
      <c r="J356" s="175"/>
      <c r="K356" s="175">
        <f t="shared" si="45"/>
        <v>0</v>
      </c>
    </row>
    <row r="357" spans="4:11" x14ac:dyDescent="0.35">
      <c r="D357" s="180" t="s">
        <v>50</v>
      </c>
      <c r="E357" s="3" t="s">
        <v>1173</v>
      </c>
      <c r="F357" s="175">
        <v>40</v>
      </c>
      <c r="G357" s="175" t="s">
        <v>73</v>
      </c>
      <c r="H357" s="175">
        <v>40</v>
      </c>
      <c r="I357" s="175" t="s">
        <v>73</v>
      </c>
      <c r="J357" s="175"/>
      <c r="K357" s="175">
        <f t="shared" si="45"/>
        <v>0</v>
      </c>
    </row>
    <row r="358" spans="4:11" x14ac:dyDescent="0.35">
      <c r="D358" s="319" t="s">
        <v>58</v>
      </c>
      <c r="E358" s="117" t="s">
        <v>1185</v>
      </c>
      <c r="F358" s="104">
        <v>30</v>
      </c>
      <c r="G358" s="104" t="s">
        <v>73</v>
      </c>
      <c r="H358" s="104"/>
      <c r="I358" s="104"/>
      <c r="J358" s="104"/>
      <c r="K358" s="104"/>
    </row>
    <row r="359" spans="4:11" x14ac:dyDescent="0.35">
      <c r="D359" s="180" t="s">
        <v>59</v>
      </c>
      <c r="E359" s="139" t="s">
        <v>124</v>
      </c>
      <c r="F359" s="175">
        <v>350</v>
      </c>
      <c r="G359" s="175" t="s">
        <v>73</v>
      </c>
      <c r="H359" s="175">
        <f>ROUND((($F$358)*((F359)/((($F$361)*(($F$362)/($F$362+$F$363+$F$364)))+
(($F$361)*(($F$363)/($F$362+$F$363+$F$364)))+
(($F$361)*(($F$364)/($F$362+$F$363+$F$364)))+
+$F$359+$F$360))),2)</f>
        <v>7.24</v>
      </c>
      <c r="I359" s="175" t="s">
        <v>73</v>
      </c>
      <c r="J359" s="175"/>
      <c r="K359" s="175">
        <f t="shared" si="45"/>
        <v>0</v>
      </c>
    </row>
    <row r="360" spans="4:11" x14ac:dyDescent="0.35">
      <c r="D360" s="180" t="s">
        <v>48</v>
      </c>
      <c r="E360" s="139" t="s">
        <v>1186</v>
      </c>
      <c r="F360" s="175">
        <v>100</v>
      </c>
      <c r="G360" s="175" t="s">
        <v>73</v>
      </c>
      <c r="H360" s="175">
        <f>ROUND((($F$358)*((F360)/((($F$361)*(($F$362)/($F$362+$F$363+$F$364)))+
(($F$361)*(($F$363)/($F$362+$F$363+$F$364)))+
(($F$361)*(($F$364)/($F$362+$F$363+$F$364)))+
+$F$359+$F$360))),2)</f>
        <v>2.0699999999999998</v>
      </c>
      <c r="I360" s="175" t="s">
        <v>73</v>
      </c>
      <c r="J360" s="175"/>
      <c r="K360" s="175">
        <f t="shared" si="45"/>
        <v>0</v>
      </c>
    </row>
    <row r="361" spans="4:11" x14ac:dyDescent="0.35">
      <c r="D361" s="319"/>
      <c r="E361" s="143" t="s">
        <v>1187</v>
      </c>
      <c r="F361" s="104">
        <v>1000</v>
      </c>
      <c r="G361" s="104" t="s">
        <v>73</v>
      </c>
      <c r="H361" s="104"/>
      <c r="I361" s="104"/>
      <c r="J361" s="104"/>
      <c r="K361" s="104"/>
    </row>
    <row r="362" spans="4:11" x14ac:dyDescent="0.35">
      <c r="D362" s="180" t="s">
        <v>43</v>
      </c>
      <c r="E362" s="140" t="s">
        <v>817</v>
      </c>
      <c r="F362" s="175">
        <v>400</v>
      </c>
      <c r="G362" s="175" t="s">
        <v>73</v>
      </c>
      <c r="H362" s="175">
        <f>ROUND((($F$358)*((($F$361)*(($F$362)/($F$362+$F$363+$F$364)))
/((($F$361)*(($F$362)/($F$362+$F$363+$F$364)))+
(($F$361)*(($F$363)/($F$362+$F$363+$F$364)))+
(($F$361)*(($F$364)/($F$362+$F$363+$F$364)))+
+$F$359+$F$360))),2)</f>
        <v>5.79</v>
      </c>
      <c r="I362" s="175" t="s">
        <v>73</v>
      </c>
      <c r="J362" s="175"/>
      <c r="K362" s="175">
        <f t="shared" si="45"/>
        <v>0</v>
      </c>
    </row>
    <row r="363" spans="4:11" x14ac:dyDescent="0.35">
      <c r="D363" s="180" t="s">
        <v>60</v>
      </c>
      <c r="E363" s="140" t="s">
        <v>1188</v>
      </c>
      <c r="F363" s="175">
        <v>1000</v>
      </c>
      <c r="G363" s="175" t="s">
        <v>73</v>
      </c>
      <c r="H363" s="175">
        <f>ROUND((($F$358)*((($F$361)*(($F$363)/($F$362+$F$363+$F$364)))
/((($F$361)*(($F$362)/($F$362+$F$363+$F$364)))+
(($F$361)*(($F$363)/($F$362+$F$363+$F$364)))+
(($F$361)*(($F$364)/($F$362+$F$363+$F$364)))+
+$F$359+$F$360))),2)</f>
        <v>14.47</v>
      </c>
      <c r="I363" s="175" t="s">
        <v>73</v>
      </c>
      <c r="J363" s="175"/>
      <c r="K363" s="175">
        <f t="shared" si="45"/>
        <v>0</v>
      </c>
    </row>
    <row r="364" spans="4:11" x14ac:dyDescent="0.35">
      <c r="D364" s="518"/>
      <c r="E364" s="191" t="s">
        <v>950</v>
      </c>
      <c r="F364" s="181">
        <v>30</v>
      </c>
      <c r="G364" s="181" t="s">
        <v>73</v>
      </c>
      <c r="H364" s="181">
        <f>ROUND((($F$358)*((($F$361)*(($F$364)/($F$362+$F$363+$F$364)))
/((($F$361)*(($F$362)/($F$362+$F$363+$F$364)))+
(($F$361)*(($F$363)/($F$362+$F$363+$F$364)))+
(($F$361)*(($F$364)/($F$362+$F$363+$F$364)))+
+$F$359+$F$360))),2)</f>
        <v>0.43</v>
      </c>
      <c r="I364" s="181"/>
      <c r="J364" s="181"/>
      <c r="K364" s="181"/>
    </row>
    <row r="365" spans="4:11" x14ac:dyDescent="0.35">
      <c r="D365" s="319"/>
      <c r="E365" s="117" t="s">
        <v>952</v>
      </c>
      <c r="F365" s="104">
        <v>35</v>
      </c>
      <c r="G365" s="104" t="s">
        <v>73</v>
      </c>
      <c r="H365" s="104"/>
      <c r="I365" s="104"/>
      <c r="J365" s="104"/>
      <c r="K365" s="104"/>
    </row>
    <row r="366" spans="4:11" x14ac:dyDescent="0.35">
      <c r="D366" s="180" t="s">
        <v>129</v>
      </c>
      <c r="E366" s="139" t="s">
        <v>130</v>
      </c>
      <c r="F366" s="175">
        <v>200</v>
      </c>
      <c r="G366" s="175" t="s">
        <v>73</v>
      </c>
      <c r="H366" s="175">
        <f>ROUND((($F$365)*((F366)/($F$366+$F$367+$F$368))),2)</f>
        <v>5.83</v>
      </c>
      <c r="I366" s="175" t="s">
        <v>73</v>
      </c>
      <c r="J366" s="175"/>
      <c r="K366" s="175">
        <f>$A$350*H366</f>
        <v>0</v>
      </c>
    </row>
    <row r="367" spans="4:11" x14ac:dyDescent="0.35">
      <c r="D367" s="180" t="s">
        <v>55</v>
      </c>
      <c r="E367" s="139" t="s">
        <v>1243</v>
      </c>
      <c r="F367" s="175">
        <v>1</v>
      </c>
      <c r="G367" s="175" t="s">
        <v>73</v>
      </c>
      <c r="H367" s="175">
        <f t="shared" ref="H367:H368" si="46">ROUND((($F$365)*((F367)/($F$366+$F$367+$F$368))),2)</f>
        <v>0.03</v>
      </c>
      <c r="I367" s="175" t="s">
        <v>73</v>
      </c>
      <c r="J367" s="175"/>
      <c r="K367" s="175"/>
    </row>
    <row r="368" spans="4:11" x14ac:dyDescent="0.35">
      <c r="D368" s="180" t="s">
        <v>63</v>
      </c>
      <c r="E368" s="139" t="s">
        <v>453</v>
      </c>
      <c r="F368" s="175">
        <v>1000</v>
      </c>
      <c r="G368" s="175" t="s">
        <v>73</v>
      </c>
      <c r="H368" s="175">
        <f t="shared" si="46"/>
        <v>29.14</v>
      </c>
      <c r="I368" s="175" t="s">
        <v>73</v>
      </c>
      <c r="J368" s="175"/>
      <c r="K368" s="175">
        <f t="shared" si="45"/>
        <v>0</v>
      </c>
    </row>
    <row r="369" spans="1:11" x14ac:dyDescent="0.35">
      <c r="A369" s="144"/>
      <c r="B369" s="144"/>
      <c r="C369" s="144"/>
      <c r="D369" s="319" t="s">
        <v>1174</v>
      </c>
      <c r="E369" s="117" t="s">
        <v>1133</v>
      </c>
      <c r="F369" s="104">
        <v>350</v>
      </c>
      <c r="G369" s="104" t="s">
        <v>73</v>
      </c>
      <c r="H369" s="104"/>
      <c r="I369" s="104"/>
      <c r="J369" s="104"/>
      <c r="K369" s="104"/>
    </row>
    <row r="370" spans="1:11" x14ac:dyDescent="0.35">
      <c r="D370" s="180" t="s">
        <v>1250</v>
      </c>
      <c r="E370" s="139" t="s">
        <v>1236</v>
      </c>
      <c r="F370" s="175">
        <v>3</v>
      </c>
      <c r="G370" s="175" t="s">
        <v>73</v>
      </c>
      <c r="H370" s="175">
        <f>ROUND(($F$369)*((F370)/($F$370+$F$371+$F$372+$F$373+$F$374+$F$375+$F$376+$F$377)),2)</f>
        <v>0.09</v>
      </c>
      <c r="I370" s="175" t="s">
        <v>73</v>
      </c>
      <c r="J370" s="175"/>
      <c r="K370" s="175">
        <f t="shared" si="45"/>
        <v>0</v>
      </c>
    </row>
    <row r="371" spans="1:11" x14ac:dyDescent="0.35">
      <c r="D371" s="180" t="s">
        <v>626</v>
      </c>
      <c r="E371" s="139" t="s">
        <v>627</v>
      </c>
      <c r="F371" s="175">
        <v>160</v>
      </c>
      <c r="G371" s="175" t="s">
        <v>73</v>
      </c>
      <c r="H371" s="175">
        <f t="shared" ref="H371:H377" si="47">ROUND(($F$369)*((F371)/($F$370+$F$371+$F$372+$F$373+$F$374+$F$375+$F$376+$F$377)),2)</f>
        <v>4.84</v>
      </c>
      <c r="I371" s="175" t="s">
        <v>73</v>
      </c>
      <c r="J371" s="175"/>
      <c r="K371" s="175">
        <f t="shared" si="45"/>
        <v>0</v>
      </c>
    </row>
    <row r="372" spans="1:11" x14ac:dyDescent="0.35">
      <c r="D372" s="180" t="s">
        <v>45</v>
      </c>
      <c r="E372" s="139" t="s">
        <v>321</v>
      </c>
      <c r="F372" s="175">
        <v>70</v>
      </c>
      <c r="G372" s="175" t="s">
        <v>73</v>
      </c>
      <c r="H372" s="175">
        <f t="shared" si="47"/>
        <v>2.12</v>
      </c>
      <c r="I372" s="175" t="s">
        <v>73</v>
      </c>
      <c r="J372" s="175"/>
      <c r="K372" s="175">
        <f t="shared" si="45"/>
        <v>0</v>
      </c>
    </row>
    <row r="373" spans="1:11" x14ac:dyDescent="0.35">
      <c r="D373" s="180" t="s">
        <v>42</v>
      </c>
      <c r="E373" s="139" t="s">
        <v>330</v>
      </c>
      <c r="F373" s="175">
        <v>120</v>
      </c>
      <c r="G373" s="175" t="s">
        <v>73</v>
      </c>
      <c r="H373" s="175">
        <f t="shared" si="47"/>
        <v>3.63</v>
      </c>
      <c r="I373" s="175" t="s">
        <v>73</v>
      </c>
      <c r="J373" s="175"/>
      <c r="K373" s="175">
        <f t="shared" si="45"/>
        <v>0</v>
      </c>
    </row>
    <row r="374" spans="1:11" x14ac:dyDescent="0.35">
      <c r="D374" s="180" t="s">
        <v>43</v>
      </c>
      <c r="E374" s="139" t="s">
        <v>817</v>
      </c>
      <c r="F374" s="175">
        <v>110</v>
      </c>
      <c r="G374" s="175" t="s">
        <v>73</v>
      </c>
      <c r="H374" s="175">
        <f t="shared" si="47"/>
        <v>3.33</v>
      </c>
      <c r="I374" s="175" t="s">
        <v>73</v>
      </c>
      <c r="J374" s="175"/>
      <c r="K374" s="175">
        <f t="shared" si="45"/>
        <v>0</v>
      </c>
    </row>
    <row r="375" spans="1:11" x14ac:dyDescent="0.35">
      <c r="D375" s="180" t="s">
        <v>333</v>
      </c>
      <c r="E375" s="139" t="s">
        <v>334</v>
      </c>
      <c r="F375" s="175">
        <v>50</v>
      </c>
      <c r="G375" s="175" t="s">
        <v>73</v>
      </c>
      <c r="H375" s="175">
        <f t="shared" si="47"/>
        <v>1.51</v>
      </c>
      <c r="I375" s="175" t="s">
        <v>73</v>
      </c>
      <c r="J375" s="175"/>
      <c r="K375" s="175">
        <f t="shared" si="45"/>
        <v>0</v>
      </c>
    </row>
    <row r="376" spans="1:11" x14ac:dyDescent="0.35">
      <c r="D376" s="180" t="s">
        <v>646</v>
      </c>
      <c r="E376" s="139" t="s">
        <v>647</v>
      </c>
      <c r="F376" s="175">
        <v>50</v>
      </c>
      <c r="G376" s="175" t="s">
        <v>73</v>
      </c>
      <c r="H376" s="175">
        <f t="shared" si="47"/>
        <v>1.51</v>
      </c>
      <c r="I376" s="175" t="s">
        <v>73</v>
      </c>
      <c r="J376" s="175"/>
      <c r="K376" s="175">
        <f t="shared" si="45"/>
        <v>0</v>
      </c>
    </row>
    <row r="377" spans="1:11" x14ac:dyDescent="0.35">
      <c r="D377" s="518"/>
      <c r="E377" s="190" t="s">
        <v>950</v>
      </c>
      <c r="F377" s="181">
        <v>11000</v>
      </c>
      <c r="G377" s="181" t="s">
        <v>73</v>
      </c>
      <c r="H377" s="181">
        <f t="shared" si="47"/>
        <v>332.96</v>
      </c>
      <c r="I377" s="181" t="s">
        <v>73</v>
      </c>
      <c r="J377" s="181"/>
      <c r="K377" s="181">
        <f t="shared" si="45"/>
        <v>0</v>
      </c>
    </row>
    <row r="378" spans="1:11" x14ac:dyDescent="0.35">
      <c r="A378" s="120"/>
      <c r="B378" s="120"/>
      <c r="C378" s="120"/>
      <c r="D378" s="519"/>
      <c r="E378" s="120"/>
      <c r="F378" s="182"/>
      <c r="G378" s="182"/>
      <c r="H378" s="182"/>
      <c r="I378" s="182"/>
      <c r="J378" s="182"/>
      <c r="K378" s="182"/>
    </row>
    <row r="379" spans="1:11" x14ac:dyDescent="0.35">
      <c r="C379" s="3" t="s">
        <v>1213</v>
      </c>
      <c r="D379" s="319"/>
      <c r="E379" s="117" t="s">
        <v>1214</v>
      </c>
      <c r="F379" s="104">
        <v>35</v>
      </c>
      <c r="G379" s="104" t="s">
        <v>73</v>
      </c>
      <c r="H379" s="104"/>
      <c r="I379" s="104" t="s">
        <v>73</v>
      </c>
      <c r="J379" s="104"/>
      <c r="K379" s="104"/>
    </row>
    <row r="380" spans="1:11" x14ac:dyDescent="0.35">
      <c r="D380" s="180" t="s">
        <v>369</v>
      </c>
      <c r="E380" s="139" t="s">
        <v>370</v>
      </c>
      <c r="F380" s="175">
        <v>125</v>
      </c>
      <c r="G380" s="175" t="s">
        <v>73</v>
      </c>
      <c r="H380" s="175">
        <f>ROUND(($F$379)*((F380)/($F$380+$F$381)),2)</f>
        <v>29.17</v>
      </c>
      <c r="I380" s="175" t="s">
        <v>73</v>
      </c>
      <c r="J380" s="175"/>
      <c r="K380" s="175"/>
    </row>
    <row r="381" spans="1:11" x14ac:dyDescent="0.35">
      <c r="D381" s="180"/>
      <c r="E381" s="139" t="s">
        <v>372</v>
      </c>
      <c r="F381" s="175">
        <v>25</v>
      </c>
      <c r="G381" s="175" t="s">
        <v>73</v>
      </c>
      <c r="H381" s="175">
        <f>ROUND(($F$379)*((F381)/($F$380+$F$381)),2)</f>
        <v>5.83</v>
      </c>
      <c r="I381" s="175" t="s">
        <v>73</v>
      </c>
      <c r="J381" s="175"/>
      <c r="K381" s="175"/>
    </row>
    <row r="382" spans="1:11" x14ac:dyDescent="0.35">
      <c r="A382" s="185"/>
      <c r="B382" s="185"/>
      <c r="C382" s="185"/>
      <c r="D382" s="520"/>
      <c r="E382" s="185"/>
      <c r="F382" s="182"/>
      <c r="G382" s="182"/>
      <c r="H382" s="182"/>
      <c r="I382" s="182"/>
      <c r="J382" s="182"/>
      <c r="K382" s="182"/>
    </row>
    <row r="383" spans="1:11" ht="15.5" x14ac:dyDescent="0.35">
      <c r="A383" s="3">
        <f>IFERROR(INDEX($N$8:$N$50,MATCH(B383,$O$8:$O$50, 0)), "")</f>
        <v>0</v>
      </c>
      <c r="B383" s="193" t="s">
        <v>1216</v>
      </c>
      <c r="C383" s="3" t="s">
        <v>1217</v>
      </c>
      <c r="D383" s="180" t="s">
        <v>48</v>
      </c>
      <c r="E383" s="3" t="s">
        <v>1249</v>
      </c>
      <c r="F383" s="175">
        <v>2</v>
      </c>
      <c r="G383" s="175" t="s">
        <v>73</v>
      </c>
      <c r="H383" s="175">
        <v>2</v>
      </c>
      <c r="I383" s="175" t="s">
        <v>73</v>
      </c>
      <c r="J383" s="175"/>
      <c r="K383" s="175">
        <f>$A$383*H383</f>
        <v>0</v>
      </c>
    </row>
    <row r="384" spans="1:11" x14ac:dyDescent="0.35">
      <c r="D384" s="180" t="s">
        <v>41</v>
      </c>
      <c r="E384" s="3" t="s">
        <v>320</v>
      </c>
      <c r="F384" s="175">
        <v>1</v>
      </c>
      <c r="G384" s="175" t="s">
        <v>73</v>
      </c>
      <c r="H384" s="175">
        <v>1</v>
      </c>
      <c r="I384" s="175" t="s">
        <v>73</v>
      </c>
      <c r="J384" s="175"/>
      <c r="K384" s="175">
        <f t="shared" ref="K384:K425" si="48">$A$383*H384</f>
        <v>0</v>
      </c>
    </row>
    <row r="385" spans="4:11" x14ac:dyDescent="0.35">
      <c r="D385" s="180" t="s">
        <v>1248</v>
      </c>
      <c r="E385" s="3" t="s">
        <v>1219</v>
      </c>
      <c r="F385" s="175">
        <v>20</v>
      </c>
      <c r="G385" s="175" t="s">
        <v>73</v>
      </c>
      <c r="H385" s="175">
        <v>20</v>
      </c>
      <c r="I385" s="175" t="s">
        <v>73</v>
      </c>
      <c r="J385" s="175"/>
      <c r="K385" s="175">
        <f t="shared" si="48"/>
        <v>0</v>
      </c>
    </row>
    <row r="386" spans="4:11" x14ac:dyDescent="0.35">
      <c r="D386" s="180" t="s">
        <v>298</v>
      </c>
      <c r="E386" s="3" t="s">
        <v>299</v>
      </c>
      <c r="F386" s="175">
        <v>100</v>
      </c>
      <c r="G386" s="175" t="s">
        <v>73</v>
      </c>
      <c r="H386" s="175">
        <v>100</v>
      </c>
      <c r="I386" s="175" t="s">
        <v>73</v>
      </c>
      <c r="J386" s="175"/>
      <c r="K386" s="175">
        <f t="shared" si="48"/>
        <v>0</v>
      </c>
    </row>
    <row r="387" spans="4:11" x14ac:dyDescent="0.35">
      <c r="D387" s="180" t="s">
        <v>505</v>
      </c>
      <c r="E387" s="3" t="s">
        <v>1169</v>
      </c>
      <c r="F387" s="175">
        <v>0.2</v>
      </c>
      <c r="G387" s="175" t="s">
        <v>73</v>
      </c>
      <c r="H387" s="175">
        <v>0.2</v>
      </c>
      <c r="I387" s="175" t="s">
        <v>73</v>
      </c>
      <c r="J387" s="175"/>
      <c r="K387" s="175">
        <f t="shared" si="48"/>
        <v>0</v>
      </c>
    </row>
    <row r="388" spans="4:11" x14ac:dyDescent="0.35">
      <c r="D388" s="180" t="s">
        <v>392</v>
      </c>
      <c r="E388" s="3" t="s">
        <v>1210</v>
      </c>
      <c r="F388" s="175">
        <v>5</v>
      </c>
      <c r="G388" s="175" t="s">
        <v>73</v>
      </c>
      <c r="H388" s="175">
        <v>5</v>
      </c>
      <c r="I388" s="175" t="s">
        <v>73</v>
      </c>
      <c r="J388" s="175"/>
      <c r="K388" s="175">
        <f t="shared" si="48"/>
        <v>0</v>
      </c>
    </row>
    <row r="389" spans="4:11" x14ac:dyDescent="0.35">
      <c r="D389" s="180" t="s">
        <v>570</v>
      </c>
      <c r="E389" s="3" t="s">
        <v>571</v>
      </c>
      <c r="F389" s="175">
        <v>2</v>
      </c>
      <c r="G389" s="175" t="s">
        <v>73</v>
      </c>
      <c r="H389" s="175">
        <v>2</v>
      </c>
      <c r="I389" s="175" t="s">
        <v>73</v>
      </c>
      <c r="J389" s="175"/>
      <c r="K389" s="175">
        <f t="shared" si="48"/>
        <v>0</v>
      </c>
    </row>
    <row r="390" spans="4:11" x14ac:dyDescent="0.35">
      <c r="D390" s="319" t="s">
        <v>1182</v>
      </c>
      <c r="E390" s="117" t="s">
        <v>1183</v>
      </c>
      <c r="F390" s="104">
        <v>25</v>
      </c>
      <c r="G390" s="104" t="s">
        <v>73</v>
      </c>
      <c r="H390" s="104"/>
      <c r="I390" s="104"/>
      <c r="J390" s="104"/>
      <c r="K390" s="104"/>
    </row>
    <row r="391" spans="4:11" x14ac:dyDescent="0.35">
      <c r="D391" s="180" t="s">
        <v>46</v>
      </c>
      <c r="E391" s="139" t="s">
        <v>309</v>
      </c>
      <c r="F391" s="175">
        <v>50</v>
      </c>
      <c r="G391" s="175" t="s">
        <v>73</v>
      </c>
      <c r="H391" s="175">
        <f>ROUND((($F$390)*((F391)/((($F$398)*(($F$399)/($F$399+$F$400)))+
(($F$398)*(($F$400)/($F$399+$F$400)))+
$F$391+$F$392+$F$393+$F$394+$F$395+$F$396+$F$397))),2)</f>
        <v>1.78</v>
      </c>
      <c r="I391" s="175" t="s">
        <v>73</v>
      </c>
      <c r="J391" s="175"/>
      <c r="K391" s="175">
        <f t="shared" si="48"/>
        <v>0</v>
      </c>
    </row>
    <row r="392" spans="4:11" x14ac:dyDescent="0.35">
      <c r="D392" s="180" t="s">
        <v>42</v>
      </c>
      <c r="E392" s="139" t="s">
        <v>330</v>
      </c>
      <c r="F392" s="175">
        <v>8</v>
      </c>
      <c r="G392" s="175" t="s">
        <v>73</v>
      </c>
      <c r="H392" s="175">
        <f t="shared" ref="H392:H397" si="49">ROUND((($F$390)*((F392)/((($F$398)*(($F$399)/($F$399+$F$400)))+
(($F$398)*(($F$400)/($F$399+$F$400)))+
$F$391+$F$392+$F$393+$F$394+$F$395+$F$396+$F$397))),2)</f>
        <v>0.28000000000000003</v>
      </c>
      <c r="I392" s="175" t="s">
        <v>73</v>
      </c>
      <c r="J392" s="175"/>
      <c r="K392" s="175">
        <f t="shared" si="48"/>
        <v>0</v>
      </c>
    </row>
    <row r="393" spans="4:11" x14ac:dyDescent="0.35">
      <c r="D393" s="180" t="s">
        <v>333</v>
      </c>
      <c r="E393" s="139" t="s">
        <v>334</v>
      </c>
      <c r="F393" s="175">
        <v>25</v>
      </c>
      <c r="G393" s="175" t="s">
        <v>73</v>
      </c>
      <c r="H393" s="175">
        <f t="shared" si="49"/>
        <v>0.89</v>
      </c>
      <c r="I393" s="175" t="s">
        <v>73</v>
      </c>
      <c r="J393" s="175"/>
      <c r="K393" s="175">
        <f t="shared" si="48"/>
        <v>0</v>
      </c>
    </row>
    <row r="394" spans="4:11" x14ac:dyDescent="0.35">
      <c r="D394" s="180" t="s">
        <v>50</v>
      </c>
      <c r="E394" s="139" t="s">
        <v>1215</v>
      </c>
      <c r="F394" s="175">
        <v>50</v>
      </c>
      <c r="G394" s="175" t="s">
        <v>73</v>
      </c>
      <c r="H394" s="175">
        <f t="shared" si="49"/>
        <v>1.78</v>
      </c>
      <c r="I394" s="175" t="s">
        <v>73</v>
      </c>
      <c r="J394" s="175"/>
      <c r="K394" s="175">
        <f t="shared" si="48"/>
        <v>0</v>
      </c>
    </row>
    <row r="395" spans="4:11" x14ac:dyDescent="0.35">
      <c r="D395" s="180" t="s">
        <v>47</v>
      </c>
      <c r="E395" s="139" t="s">
        <v>569</v>
      </c>
      <c r="F395" s="175">
        <v>30</v>
      </c>
      <c r="G395" s="175" t="s">
        <v>73</v>
      </c>
      <c r="H395" s="175">
        <f t="shared" si="49"/>
        <v>1.07</v>
      </c>
      <c r="I395" s="175" t="s">
        <v>73</v>
      </c>
      <c r="J395" s="175"/>
      <c r="K395" s="175">
        <f t="shared" si="48"/>
        <v>0</v>
      </c>
    </row>
    <row r="396" spans="4:11" x14ac:dyDescent="0.35">
      <c r="D396" s="180" t="s">
        <v>41</v>
      </c>
      <c r="E396" s="139" t="s">
        <v>320</v>
      </c>
      <c r="F396" s="175">
        <v>30</v>
      </c>
      <c r="G396" s="175" t="s">
        <v>73</v>
      </c>
      <c r="H396" s="175">
        <f t="shared" si="49"/>
        <v>1.07</v>
      </c>
      <c r="I396" s="175" t="s">
        <v>73</v>
      </c>
      <c r="J396" s="175"/>
      <c r="K396" s="175">
        <f t="shared" si="48"/>
        <v>0</v>
      </c>
    </row>
    <row r="397" spans="4:11" x14ac:dyDescent="0.35">
      <c r="D397" s="180" t="s">
        <v>479</v>
      </c>
      <c r="E397" s="139" t="s">
        <v>480</v>
      </c>
      <c r="F397" s="175">
        <v>500</v>
      </c>
      <c r="G397" s="175" t="s">
        <v>73</v>
      </c>
      <c r="H397" s="175">
        <f t="shared" si="49"/>
        <v>17.78</v>
      </c>
      <c r="I397" s="175" t="s">
        <v>73</v>
      </c>
      <c r="J397" s="175"/>
      <c r="K397" s="175">
        <f t="shared" si="48"/>
        <v>0</v>
      </c>
    </row>
    <row r="398" spans="4:11" x14ac:dyDescent="0.35">
      <c r="D398" s="319"/>
      <c r="E398" s="143" t="s">
        <v>1184</v>
      </c>
      <c r="F398" s="104">
        <v>10</v>
      </c>
      <c r="G398" s="104" t="s">
        <v>73</v>
      </c>
      <c r="H398" s="104"/>
      <c r="I398" s="104"/>
      <c r="J398" s="104"/>
      <c r="K398" s="104"/>
    </row>
    <row r="399" spans="4:11" x14ac:dyDescent="0.35">
      <c r="D399" s="518"/>
      <c r="E399" s="191" t="s">
        <v>950</v>
      </c>
      <c r="F399" s="181">
        <v>300</v>
      </c>
      <c r="G399" s="181" t="s">
        <v>73</v>
      </c>
      <c r="H399" s="181">
        <f>ROUND((($F$390)*((($F$398)*(($F$399)/($F$399+$F$400)))
/((($F$398)*(($F$399)/($F$399+$F$400)))+
(($F$398)*(($F$400)/($F$399+$F$400)))+
$F$391+$F$392+$F$393+$F$394+$F$395+$F$396+$F$397))),2)</f>
        <v>0.27</v>
      </c>
      <c r="I399" s="181" t="s">
        <v>73</v>
      </c>
      <c r="J399" s="181"/>
      <c r="K399" s="181">
        <f t="shared" si="48"/>
        <v>0</v>
      </c>
    </row>
    <row r="400" spans="4:11" x14ac:dyDescent="0.35">
      <c r="D400" s="180" t="s">
        <v>638</v>
      </c>
      <c r="E400" s="140" t="s">
        <v>1165</v>
      </c>
      <c r="F400" s="175">
        <v>100</v>
      </c>
      <c r="G400" s="175" t="s">
        <v>73</v>
      </c>
      <c r="H400" s="175">
        <f>ROUND((($F$390)*((($F$398)*(($F$400)/($F$399+$F$400)))
/((($F$398)*(($F$399)/($F$399+$F$400)))+
(($F$398)*(($F$400)/($F$399+$F$400)))+
$F$391+$F$392+$F$393+$F$394+$F$395+$F$396+$F$397))),2)</f>
        <v>0.09</v>
      </c>
      <c r="I400" s="175" t="s">
        <v>73</v>
      </c>
      <c r="J400" s="175"/>
      <c r="K400" s="175">
        <f t="shared" si="48"/>
        <v>0</v>
      </c>
    </row>
    <row r="401" spans="4:11" x14ac:dyDescent="0.35">
      <c r="D401" s="319" t="s">
        <v>1177</v>
      </c>
      <c r="E401" s="117" t="s">
        <v>1178</v>
      </c>
      <c r="F401" s="104"/>
      <c r="G401" s="104"/>
      <c r="H401" s="104"/>
      <c r="I401" s="104"/>
      <c r="J401" s="104"/>
      <c r="K401" s="104"/>
    </row>
    <row r="402" spans="4:11" x14ac:dyDescent="0.35">
      <c r="D402" s="180" t="s">
        <v>296</v>
      </c>
      <c r="E402" s="139" t="s">
        <v>297</v>
      </c>
      <c r="F402" s="175">
        <v>2</v>
      </c>
      <c r="G402" s="175" t="s">
        <v>1072</v>
      </c>
      <c r="H402" s="175">
        <v>2</v>
      </c>
      <c r="I402" s="175" t="s">
        <v>1072</v>
      </c>
      <c r="J402" s="175"/>
      <c r="K402" s="175">
        <f t="shared" si="48"/>
        <v>0</v>
      </c>
    </row>
    <row r="403" spans="4:11" x14ac:dyDescent="0.35">
      <c r="D403" s="319" t="s">
        <v>1180</v>
      </c>
      <c r="E403" s="143" t="s">
        <v>1179</v>
      </c>
      <c r="F403" s="104">
        <v>30</v>
      </c>
      <c r="G403" s="104" t="s">
        <v>73</v>
      </c>
      <c r="H403" s="104"/>
      <c r="I403" s="104"/>
      <c r="J403" s="104"/>
      <c r="K403" s="104"/>
    </row>
    <row r="404" spans="4:11" x14ac:dyDescent="0.35">
      <c r="D404" s="180" t="s">
        <v>51</v>
      </c>
      <c r="E404" s="141" t="s">
        <v>404</v>
      </c>
      <c r="F404" s="175">
        <v>12</v>
      </c>
      <c r="G404" s="175" t="s">
        <v>73</v>
      </c>
      <c r="H404" s="175">
        <f>ROUND((($F$403)*((F404)/($F$404+$F$405+$F$406+$F$407+$F$408+$F$409+$F$410+$F$411))),2)</f>
        <v>0.26</v>
      </c>
      <c r="I404" s="175" t="s">
        <v>73</v>
      </c>
      <c r="J404" s="175"/>
      <c r="K404" s="175">
        <f t="shared" si="48"/>
        <v>0</v>
      </c>
    </row>
    <row r="405" spans="4:11" x14ac:dyDescent="0.35">
      <c r="D405" s="180" t="s">
        <v>369</v>
      </c>
      <c r="E405" s="141" t="s">
        <v>370</v>
      </c>
      <c r="F405" s="175">
        <v>390</v>
      </c>
      <c r="G405" s="175" t="s">
        <v>73</v>
      </c>
      <c r="H405" s="175">
        <f t="shared" ref="H405:H411" si="50">ROUND((($F$403)*((F405)/($F$404+$F$405+$F$406+$F$407+$F$408+$F$409+$F$410+$F$411))),2)</f>
        <v>8.44</v>
      </c>
      <c r="I405" s="175" t="s">
        <v>73</v>
      </c>
      <c r="J405" s="175"/>
      <c r="K405" s="175">
        <f t="shared" si="48"/>
        <v>0</v>
      </c>
    </row>
    <row r="406" spans="4:11" x14ac:dyDescent="0.35">
      <c r="D406" s="180" t="s">
        <v>513</v>
      </c>
      <c r="E406" s="141" t="s">
        <v>514</v>
      </c>
      <c r="F406" s="175">
        <v>35</v>
      </c>
      <c r="G406" s="175" t="s">
        <v>73</v>
      </c>
      <c r="H406" s="175">
        <f t="shared" si="50"/>
        <v>0.76</v>
      </c>
      <c r="I406" s="175" t="s">
        <v>73</v>
      </c>
      <c r="J406" s="175"/>
      <c r="K406" s="175">
        <f t="shared" si="48"/>
        <v>0</v>
      </c>
    </row>
    <row r="407" spans="4:11" x14ac:dyDescent="0.35">
      <c r="D407" s="180" t="s">
        <v>179</v>
      </c>
      <c r="E407" s="141" t="s">
        <v>1181</v>
      </c>
      <c r="F407" s="175">
        <v>500</v>
      </c>
      <c r="G407" s="175" t="s">
        <v>73</v>
      </c>
      <c r="H407" s="175">
        <f t="shared" si="50"/>
        <v>10.82</v>
      </c>
      <c r="I407" s="175" t="s">
        <v>73</v>
      </c>
      <c r="J407" s="175"/>
      <c r="K407" s="175">
        <f t="shared" si="48"/>
        <v>0</v>
      </c>
    </row>
    <row r="408" spans="4:11" x14ac:dyDescent="0.35">
      <c r="D408" s="180" t="s">
        <v>379</v>
      </c>
      <c r="E408" s="141" t="s">
        <v>380</v>
      </c>
      <c r="F408" s="175">
        <v>46</v>
      </c>
      <c r="G408" s="175" t="s">
        <v>73</v>
      </c>
      <c r="H408" s="175">
        <f t="shared" si="50"/>
        <v>1</v>
      </c>
      <c r="I408" s="175" t="s">
        <v>73</v>
      </c>
      <c r="J408" s="175"/>
      <c r="K408" s="175">
        <f t="shared" si="48"/>
        <v>0</v>
      </c>
    </row>
    <row r="409" spans="4:11" x14ac:dyDescent="0.35">
      <c r="D409" s="180" t="s">
        <v>549</v>
      </c>
      <c r="E409" s="141" t="s">
        <v>1245</v>
      </c>
      <c r="F409" s="175">
        <v>150</v>
      </c>
      <c r="G409" s="175" t="s">
        <v>73</v>
      </c>
      <c r="H409" s="175">
        <f t="shared" si="50"/>
        <v>3.25</v>
      </c>
      <c r="I409" s="175" t="s">
        <v>73</v>
      </c>
      <c r="J409" s="175"/>
      <c r="K409" s="175">
        <f t="shared" si="48"/>
        <v>0</v>
      </c>
    </row>
    <row r="410" spans="4:11" x14ac:dyDescent="0.35">
      <c r="D410" s="180" t="s">
        <v>50</v>
      </c>
      <c r="E410" s="141" t="s">
        <v>1215</v>
      </c>
      <c r="F410" s="175">
        <v>230</v>
      </c>
      <c r="G410" s="175" t="s">
        <v>73</v>
      </c>
      <c r="H410" s="175">
        <f t="shared" si="50"/>
        <v>4.9800000000000004</v>
      </c>
      <c r="I410" s="175" t="s">
        <v>73</v>
      </c>
      <c r="J410" s="175"/>
      <c r="K410" s="175">
        <f t="shared" si="48"/>
        <v>0</v>
      </c>
    </row>
    <row r="411" spans="4:11" x14ac:dyDescent="0.35">
      <c r="D411" s="180" t="s">
        <v>49</v>
      </c>
      <c r="E411" s="141" t="s">
        <v>1176</v>
      </c>
      <c r="F411" s="175">
        <v>23</v>
      </c>
      <c r="G411" s="175" t="s">
        <v>73</v>
      </c>
      <c r="H411" s="175">
        <f t="shared" si="50"/>
        <v>0.5</v>
      </c>
      <c r="I411" s="175" t="s">
        <v>73</v>
      </c>
      <c r="J411" s="175"/>
      <c r="K411" s="175">
        <f t="shared" si="48"/>
        <v>0</v>
      </c>
    </row>
    <row r="412" spans="4:11" x14ac:dyDescent="0.35">
      <c r="D412" s="319" t="s">
        <v>1175</v>
      </c>
      <c r="E412" s="117" t="s">
        <v>1125</v>
      </c>
      <c r="F412" s="104">
        <v>10</v>
      </c>
      <c r="G412" s="104" t="s">
        <v>73</v>
      </c>
      <c r="H412" s="104"/>
      <c r="I412" s="104"/>
      <c r="J412" s="104"/>
      <c r="K412" s="104"/>
    </row>
    <row r="413" spans="4:11" x14ac:dyDescent="0.35">
      <c r="D413" s="180" t="s">
        <v>47</v>
      </c>
      <c r="E413" s="139" t="s">
        <v>569</v>
      </c>
      <c r="F413" s="175">
        <v>600</v>
      </c>
      <c r="G413" s="175" t="s">
        <v>73</v>
      </c>
      <c r="H413" s="175">
        <f>ROUND((($F$412)*((F413)/($F$413+$F$414+$F$415+$F$416+$F$417))),2)</f>
        <v>6.67</v>
      </c>
      <c r="I413" s="175" t="s">
        <v>73</v>
      </c>
      <c r="J413" s="175"/>
      <c r="K413" s="175">
        <f t="shared" si="48"/>
        <v>0</v>
      </c>
    </row>
    <row r="414" spans="4:11" x14ac:dyDescent="0.35">
      <c r="D414" s="180" t="s">
        <v>48</v>
      </c>
      <c r="E414" s="139" t="s">
        <v>391</v>
      </c>
      <c r="F414" s="175">
        <v>100</v>
      </c>
      <c r="G414" s="175" t="s">
        <v>73</v>
      </c>
      <c r="H414" s="175">
        <f t="shared" ref="H414:H417" si="51">ROUND((($F$412)*((F414)/($F$413+$F$414+$F$415+$F$416+$F$417))),2)</f>
        <v>1.1100000000000001</v>
      </c>
      <c r="I414" s="175" t="s">
        <v>73</v>
      </c>
      <c r="J414" s="175"/>
      <c r="K414" s="175">
        <f t="shared" si="48"/>
        <v>0</v>
      </c>
    </row>
    <row r="415" spans="4:11" x14ac:dyDescent="0.35">
      <c r="D415" s="180" t="s">
        <v>49</v>
      </c>
      <c r="E415" s="139" t="s">
        <v>1176</v>
      </c>
      <c r="F415" s="175">
        <v>50</v>
      </c>
      <c r="G415" s="175" t="s">
        <v>73</v>
      </c>
      <c r="H415" s="175">
        <f t="shared" si="51"/>
        <v>0.56000000000000005</v>
      </c>
      <c r="I415" s="175" t="s">
        <v>73</v>
      </c>
      <c r="J415" s="175"/>
      <c r="K415" s="175">
        <f t="shared" si="48"/>
        <v>0</v>
      </c>
    </row>
    <row r="416" spans="4:11" x14ac:dyDescent="0.35">
      <c r="D416" s="180" t="s">
        <v>50</v>
      </c>
      <c r="E416" s="139" t="s">
        <v>394</v>
      </c>
      <c r="F416" s="175">
        <v>100</v>
      </c>
      <c r="G416" s="175" t="s">
        <v>73</v>
      </c>
      <c r="H416" s="175">
        <f t="shared" si="51"/>
        <v>1.1100000000000001</v>
      </c>
      <c r="I416" s="175" t="s">
        <v>73</v>
      </c>
      <c r="J416" s="175"/>
      <c r="K416" s="175">
        <f t="shared" si="48"/>
        <v>0</v>
      </c>
    </row>
    <row r="417" spans="1:11" x14ac:dyDescent="0.35">
      <c r="D417" s="180" t="s">
        <v>51</v>
      </c>
      <c r="E417" s="139" t="s">
        <v>404</v>
      </c>
      <c r="F417" s="175">
        <v>50</v>
      </c>
      <c r="G417" s="175" t="s">
        <v>73</v>
      </c>
      <c r="H417" s="175">
        <f t="shared" si="51"/>
        <v>0.56000000000000005</v>
      </c>
      <c r="I417" s="175" t="s">
        <v>73</v>
      </c>
      <c r="J417" s="175"/>
      <c r="K417" s="175">
        <f t="shared" si="48"/>
        <v>0</v>
      </c>
    </row>
    <row r="418" spans="1:11" x14ac:dyDescent="0.35">
      <c r="D418" s="319" t="s">
        <v>1174</v>
      </c>
      <c r="E418" s="117" t="s">
        <v>1133</v>
      </c>
      <c r="F418" s="104">
        <v>150</v>
      </c>
      <c r="G418" s="104" t="s">
        <v>73</v>
      </c>
      <c r="H418" s="104"/>
      <c r="I418" s="104"/>
      <c r="J418" s="104"/>
      <c r="K418" s="104"/>
    </row>
    <row r="419" spans="1:11" x14ac:dyDescent="0.35">
      <c r="D419" s="180" t="s">
        <v>1250</v>
      </c>
      <c r="E419" s="139" t="s">
        <v>1236</v>
      </c>
      <c r="F419" s="175">
        <v>3</v>
      </c>
      <c r="G419" s="175" t="s">
        <v>73</v>
      </c>
      <c r="H419" s="175">
        <f>ROUND((($F$418)*((F419)/($F$419+$F$420+$F$421+$F$422+$F$423+$F$424+$F$425+$F$426))),2)</f>
        <v>0.04</v>
      </c>
      <c r="I419" s="175" t="s">
        <v>73</v>
      </c>
      <c r="J419" s="175"/>
      <c r="K419" s="175">
        <f t="shared" si="48"/>
        <v>0</v>
      </c>
    </row>
    <row r="420" spans="1:11" x14ac:dyDescent="0.35">
      <c r="D420" s="180" t="s">
        <v>626</v>
      </c>
      <c r="E420" s="139" t="s">
        <v>627</v>
      </c>
      <c r="F420" s="175">
        <v>160</v>
      </c>
      <c r="G420" s="175" t="s">
        <v>73</v>
      </c>
      <c r="H420" s="175">
        <f t="shared" ref="H420:H426" si="52">ROUND((($F$418)*((F420)/($F$419+$F$420+$F$421+$F$422+$F$423+$F$424+$F$425+$F$426))),2)</f>
        <v>2.08</v>
      </c>
      <c r="I420" s="175" t="s">
        <v>73</v>
      </c>
      <c r="J420" s="175"/>
      <c r="K420" s="175">
        <f t="shared" si="48"/>
        <v>0</v>
      </c>
    </row>
    <row r="421" spans="1:11" x14ac:dyDescent="0.35">
      <c r="D421" s="180" t="s">
        <v>45</v>
      </c>
      <c r="E421" s="139" t="s">
        <v>321</v>
      </c>
      <c r="F421" s="175">
        <v>70</v>
      </c>
      <c r="G421" s="175" t="s">
        <v>73</v>
      </c>
      <c r="H421" s="175">
        <f t="shared" si="52"/>
        <v>0.91</v>
      </c>
      <c r="I421" s="175" t="s">
        <v>73</v>
      </c>
      <c r="J421" s="175"/>
      <c r="K421" s="175">
        <f t="shared" si="48"/>
        <v>0</v>
      </c>
    </row>
    <row r="422" spans="1:11" x14ac:dyDescent="0.35">
      <c r="D422" s="180" t="s">
        <v>42</v>
      </c>
      <c r="E422" s="139" t="s">
        <v>330</v>
      </c>
      <c r="F422" s="175">
        <v>120</v>
      </c>
      <c r="G422" s="175" t="s">
        <v>73</v>
      </c>
      <c r="H422" s="175">
        <f t="shared" si="52"/>
        <v>1.56</v>
      </c>
      <c r="I422" s="175" t="s">
        <v>73</v>
      </c>
      <c r="J422" s="175"/>
      <c r="K422" s="175">
        <f t="shared" si="48"/>
        <v>0</v>
      </c>
    </row>
    <row r="423" spans="1:11" x14ac:dyDescent="0.35">
      <c r="D423" s="180" t="s">
        <v>43</v>
      </c>
      <c r="E423" s="139" t="s">
        <v>817</v>
      </c>
      <c r="F423" s="175">
        <v>110</v>
      </c>
      <c r="G423" s="175" t="s">
        <v>73</v>
      </c>
      <c r="H423" s="175">
        <f t="shared" si="52"/>
        <v>1.43</v>
      </c>
      <c r="I423" s="175" t="s">
        <v>73</v>
      </c>
      <c r="J423" s="175"/>
      <c r="K423" s="175">
        <f t="shared" si="48"/>
        <v>0</v>
      </c>
    </row>
    <row r="424" spans="1:11" x14ac:dyDescent="0.35">
      <c r="D424" s="180" t="s">
        <v>333</v>
      </c>
      <c r="E424" s="139" t="s">
        <v>334</v>
      </c>
      <c r="F424" s="175">
        <v>50</v>
      </c>
      <c r="G424" s="175" t="s">
        <v>73</v>
      </c>
      <c r="H424" s="175">
        <f t="shared" si="52"/>
        <v>0.65</v>
      </c>
      <c r="I424" s="175" t="s">
        <v>73</v>
      </c>
      <c r="J424" s="175"/>
      <c r="K424" s="175">
        <f t="shared" si="48"/>
        <v>0</v>
      </c>
    </row>
    <row r="425" spans="1:11" x14ac:dyDescent="0.35">
      <c r="D425" s="180" t="s">
        <v>646</v>
      </c>
      <c r="E425" s="139" t="s">
        <v>647</v>
      </c>
      <c r="F425" s="175">
        <v>50</v>
      </c>
      <c r="G425" s="175" t="s">
        <v>73</v>
      </c>
      <c r="H425" s="175">
        <f t="shared" si="52"/>
        <v>0.65</v>
      </c>
      <c r="I425" s="175" t="s">
        <v>73</v>
      </c>
      <c r="J425" s="175"/>
      <c r="K425" s="175">
        <f t="shared" si="48"/>
        <v>0</v>
      </c>
    </row>
    <row r="426" spans="1:11" x14ac:dyDescent="0.35">
      <c r="D426" s="518"/>
      <c r="E426" s="190" t="s">
        <v>950</v>
      </c>
      <c r="F426" s="181">
        <v>11000</v>
      </c>
      <c r="G426" s="181" t="s">
        <v>73</v>
      </c>
      <c r="H426" s="181">
        <f t="shared" si="52"/>
        <v>142.69999999999999</v>
      </c>
      <c r="I426" s="181"/>
      <c r="J426" s="181"/>
      <c r="K426" s="181"/>
    </row>
    <row r="427" spans="1:11" x14ac:dyDescent="0.35">
      <c r="A427" s="120"/>
      <c r="B427" s="120"/>
      <c r="C427" s="120"/>
      <c r="D427" s="519"/>
      <c r="E427" s="120"/>
      <c r="F427" s="182"/>
      <c r="G427" s="182"/>
      <c r="H427" s="182"/>
      <c r="I427" s="182"/>
      <c r="J427" s="182"/>
      <c r="K427" s="182"/>
    </row>
    <row r="428" spans="1:11" ht="15.5" x14ac:dyDescent="0.35">
      <c r="A428" s="3">
        <f>IFERROR(INDEX($N$8:$N$50,MATCH(B428,$O$8:$O$50, 0)), "")</f>
        <v>0</v>
      </c>
      <c r="B428" s="193" t="s">
        <v>1221</v>
      </c>
      <c r="C428" s="3" t="s">
        <v>1222</v>
      </c>
      <c r="D428" s="180" t="s">
        <v>48</v>
      </c>
      <c r="E428" s="3" t="s">
        <v>1218</v>
      </c>
      <c r="F428" s="175">
        <v>2</v>
      </c>
      <c r="G428" s="175" t="s">
        <v>73</v>
      </c>
      <c r="H428" s="175">
        <v>2</v>
      </c>
      <c r="I428" s="175" t="s">
        <v>73</v>
      </c>
      <c r="J428" s="175"/>
      <c r="K428" s="175">
        <f>$A$428*H428</f>
        <v>0</v>
      </c>
    </row>
    <row r="429" spans="1:11" x14ac:dyDescent="0.35">
      <c r="D429" s="180" t="s">
        <v>41</v>
      </c>
      <c r="E429" s="3" t="s">
        <v>320</v>
      </c>
      <c r="F429" s="175">
        <v>1</v>
      </c>
      <c r="G429" s="175" t="s">
        <v>73</v>
      </c>
      <c r="H429" s="175">
        <v>1</v>
      </c>
      <c r="I429" s="175" t="s">
        <v>73</v>
      </c>
      <c r="J429" s="175"/>
      <c r="K429" s="175">
        <f t="shared" ref="K429:K470" si="53">$A$428*H429</f>
        <v>0</v>
      </c>
    </row>
    <row r="430" spans="1:11" x14ac:dyDescent="0.35">
      <c r="D430" s="180" t="s">
        <v>1248</v>
      </c>
      <c r="E430" s="3" t="s">
        <v>1219</v>
      </c>
      <c r="F430" s="175">
        <v>20</v>
      </c>
      <c r="G430" s="175" t="s">
        <v>73</v>
      </c>
      <c r="H430" s="175">
        <v>20</v>
      </c>
      <c r="I430" s="175" t="s">
        <v>73</v>
      </c>
      <c r="J430" s="175"/>
      <c r="K430" s="175">
        <f t="shared" si="53"/>
        <v>0</v>
      </c>
    </row>
    <row r="431" spans="1:11" x14ac:dyDescent="0.35">
      <c r="D431" s="180" t="s">
        <v>298</v>
      </c>
      <c r="E431" s="3" t="s">
        <v>299</v>
      </c>
      <c r="F431" s="175">
        <v>100</v>
      </c>
      <c r="G431" s="175" t="s">
        <v>73</v>
      </c>
      <c r="H431" s="175">
        <v>100</v>
      </c>
      <c r="I431" s="175" t="s">
        <v>73</v>
      </c>
      <c r="J431" s="175"/>
      <c r="K431" s="175">
        <f t="shared" si="53"/>
        <v>0</v>
      </c>
    </row>
    <row r="432" spans="1:11" x14ac:dyDescent="0.35">
      <c r="D432" s="180" t="s">
        <v>505</v>
      </c>
      <c r="E432" s="3" t="s">
        <v>1169</v>
      </c>
      <c r="F432" s="175">
        <v>0.2</v>
      </c>
      <c r="G432" s="175" t="s">
        <v>73</v>
      </c>
      <c r="H432" s="175">
        <v>0.2</v>
      </c>
      <c r="I432" s="175" t="s">
        <v>73</v>
      </c>
      <c r="J432" s="175"/>
      <c r="K432" s="175">
        <f t="shared" si="53"/>
        <v>0</v>
      </c>
    </row>
    <row r="433" spans="4:11" x14ac:dyDescent="0.35">
      <c r="D433" s="180" t="s">
        <v>392</v>
      </c>
      <c r="E433" s="3" t="s">
        <v>1210</v>
      </c>
      <c r="F433" s="175">
        <v>5</v>
      </c>
      <c r="G433" s="175" t="s">
        <v>73</v>
      </c>
      <c r="H433" s="175">
        <v>5</v>
      </c>
      <c r="I433" s="175" t="s">
        <v>73</v>
      </c>
      <c r="J433" s="175"/>
      <c r="K433" s="175">
        <f t="shared" si="53"/>
        <v>0</v>
      </c>
    </row>
    <row r="434" spans="4:11" x14ac:dyDescent="0.35">
      <c r="D434" s="180" t="s">
        <v>570</v>
      </c>
      <c r="E434" s="3" t="s">
        <v>571</v>
      </c>
      <c r="F434" s="175">
        <v>2</v>
      </c>
      <c r="G434" s="175" t="s">
        <v>73</v>
      </c>
      <c r="H434" s="175">
        <v>2</v>
      </c>
      <c r="I434" s="175" t="s">
        <v>73</v>
      </c>
      <c r="J434" s="175"/>
      <c r="K434" s="175">
        <f t="shared" si="53"/>
        <v>0</v>
      </c>
    </row>
    <row r="435" spans="4:11" x14ac:dyDescent="0.35">
      <c r="D435" s="319" t="s">
        <v>1182</v>
      </c>
      <c r="E435" s="117" t="s">
        <v>1183</v>
      </c>
      <c r="F435" s="104">
        <v>25</v>
      </c>
      <c r="G435" s="104" t="s">
        <v>73</v>
      </c>
      <c r="H435" s="104"/>
      <c r="I435" s="104"/>
      <c r="J435" s="104"/>
      <c r="K435" s="104"/>
    </row>
    <row r="436" spans="4:11" x14ac:dyDescent="0.35">
      <c r="D436" s="180" t="s">
        <v>46</v>
      </c>
      <c r="E436" s="139" t="s">
        <v>309</v>
      </c>
      <c r="F436" s="175">
        <v>50</v>
      </c>
      <c r="G436" s="175" t="s">
        <v>73</v>
      </c>
      <c r="H436" s="175">
        <f>ROUND(($F$435)*((F436)/((($F$443)*(($F$444)/($F$444+$F$445)))+
(($F$443)*(($F$445)/($F$444+$F$445)))+
$F$436+$F$437+$F$438+$F$439+$F$440+$F$441+$F$442)),2)</f>
        <v>1.78</v>
      </c>
      <c r="I436" s="175" t="s">
        <v>73</v>
      </c>
      <c r="J436" s="175"/>
      <c r="K436" s="175">
        <f t="shared" si="53"/>
        <v>0</v>
      </c>
    </row>
    <row r="437" spans="4:11" x14ac:dyDescent="0.35">
      <c r="D437" s="180" t="s">
        <v>42</v>
      </c>
      <c r="E437" s="139" t="s">
        <v>330</v>
      </c>
      <c r="F437" s="175">
        <v>8</v>
      </c>
      <c r="G437" s="175" t="s">
        <v>73</v>
      </c>
      <c r="H437" s="175">
        <f t="shared" ref="H437:H442" si="54">ROUND(($F$435)*((F437)/((($F$443)*(($F$444)/($F$444+$F$445)))+
(($F$443)*(($F$445)/($F$444+$F$445)))+
$F$436+$F$437+$F$438+$F$439+$F$440+$F$441+$F$442)),2)</f>
        <v>0.28000000000000003</v>
      </c>
      <c r="I437" s="175" t="s">
        <v>73</v>
      </c>
      <c r="J437" s="175"/>
      <c r="K437" s="175">
        <f t="shared" si="53"/>
        <v>0</v>
      </c>
    </row>
    <row r="438" spans="4:11" x14ac:dyDescent="0.35">
      <c r="D438" s="180" t="s">
        <v>333</v>
      </c>
      <c r="E438" s="139" t="s">
        <v>334</v>
      </c>
      <c r="F438" s="175">
        <v>25</v>
      </c>
      <c r="G438" s="175" t="s">
        <v>73</v>
      </c>
      <c r="H438" s="175">
        <f t="shared" si="54"/>
        <v>0.89</v>
      </c>
      <c r="I438" s="175" t="s">
        <v>73</v>
      </c>
      <c r="J438" s="175"/>
      <c r="K438" s="175">
        <f t="shared" si="53"/>
        <v>0</v>
      </c>
    </row>
    <row r="439" spans="4:11" x14ac:dyDescent="0.35">
      <c r="D439" s="180" t="s">
        <v>50</v>
      </c>
      <c r="E439" s="139" t="s">
        <v>1215</v>
      </c>
      <c r="F439" s="175">
        <v>50</v>
      </c>
      <c r="G439" s="175" t="s">
        <v>73</v>
      </c>
      <c r="H439" s="175">
        <f t="shared" si="54"/>
        <v>1.78</v>
      </c>
      <c r="I439" s="175" t="s">
        <v>73</v>
      </c>
      <c r="J439" s="175"/>
      <c r="K439" s="175">
        <f t="shared" si="53"/>
        <v>0</v>
      </c>
    </row>
    <row r="440" spans="4:11" x14ac:dyDescent="0.35">
      <c r="D440" s="180" t="s">
        <v>47</v>
      </c>
      <c r="E440" s="139" t="s">
        <v>569</v>
      </c>
      <c r="F440" s="175">
        <v>30</v>
      </c>
      <c r="G440" s="175" t="s">
        <v>73</v>
      </c>
      <c r="H440" s="175">
        <f t="shared" si="54"/>
        <v>1.07</v>
      </c>
      <c r="I440" s="175" t="s">
        <v>73</v>
      </c>
      <c r="J440" s="175"/>
      <c r="K440" s="175">
        <f t="shared" si="53"/>
        <v>0</v>
      </c>
    </row>
    <row r="441" spans="4:11" x14ac:dyDescent="0.35">
      <c r="D441" s="180" t="s">
        <v>41</v>
      </c>
      <c r="E441" s="139" t="s">
        <v>320</v>
      </c>
      <c r="F441" s="175">
        <v>30</v>
      </c>
      <c r="G441" s="175" t="s">
        <v>73</v>
      </c>
      <c r="H441" s="175">
        <f t="shared" si="54"/>
        <v>1.07</v>
      </c>
      <c r="I441" s="175" t="s">
        <v>73</v>
      </c>
      <c r="J441" s="175"/>
      <c r="K441" s="175">
        <f t="shared" si="53"/>
        <v>0</v>
      </c>
    </row>
    <row r="442" spans="4:11" x14ac:dyDescent="0.35">
      <c r="D442" s="180" t="s">
        <v>479</v>
      </c>
      <c r="E442" s="139" t="s">
        <v>480</v>
      </c>
      <c r="F442" s="175">
        <v>500</v>
      </c>
      <c r="G442" s="175" t="s">
        <v>73</v>
      </c>
      <c r="H442" s="175">
        <f t="shared" si="54"/>
        <v>17.78</v>
      </c>
      <c r="I442" s="175" t="s">
        <v>73</v>
      </c>
      <c r="J442" s="175"/>
      <c r="K442" s="175">
        <f t="shared" si="53"/>
        <v>0</v>
      </c>
    </row>
    <row r="443" spans="4:11" x14ac:dyDescent="0.35">
      <c r="D443" s="319"/>
      <c r="E443" s="143" t="s">
        <v>1184</v>
      </c>
      <c r="F443" s="104">
        <v>10</v>
      </c>
      <c r="G443" s="104" t="s">
        <v>73</v>
      </c>
      <c r="H443" s="104"/>
      <c r="I443" s="104"/>
      <c r="J443" s="104"/>
      <c r="K443" s="104"/>
    </row>
    <row r="444" spans="4:11" x14ac:dyDescent="0.35">
      <c r="D444" s="518"/>
      <c r="E444" s="191" t="s">
        <v>950</v>
      </c>
      <c r="F444" s="181">
        <v>300</v>
      </c>
      <c r="G444" s="181" t="s">
        <v>73</v>
      </c>
      <c r="H444" s="181">
        <f>ROUND((($F$435)*((($F$443)*(($F$444)/($F$444+$F$445)))/((($F$443)*(($F$444)/($F$444+$F$445)))+
(($F$443)*(($F$445)/($F$444+$F$445)))+
$F$436+$F$437+$F$438+$F$439+$F$440+$F$441+$F$442))),2)</f>
        <v>0.27</v>
      </c>
      <c r="I444" s="181"/>
      <c r="J444" s="181"/>
      <c r="K444" s="181"/>
    </row>
    <row r="445" spans="4:11" x14ac:dyDescent="0.35">
      <c r="D445" s="180" t="s">
        <v>638</v>
      </c>
      <c r="E445" s="140" t="s">
        <v>1165</v>
      </c>
      <c r="F445" s="175">
        <v>100</v>
      </c>
      <c r="G445" s="175" t="s">
        <v>73</v>
      </c>
      <c r="H445" s="175">
        <f>ROUND((($F$435)*((($F$443)*(($F$445)/($F$444+$F$445)))/((($F$443)*(($F$444)/($F$444+$F$445)))+
(($F$443)*(($F$445)/($F$444+$F$445)))+
$F$436+$F$437+$F$438+$F$439+$F$440+$F$441+$F$442))),2)</f>
        <v>0.09</v>
      </c>
      <c r="I445" s="175" t="s">
        <v>73</v>
      </c>
      <c r="J445" s="175"/>
      <c r="K445" s="175">
        <f t="shared" si="53"/>
        <v>0</v>
      </c>
    </row>
    <row r="446" spans="4:11" x14ac:dyDescent="0.35">
      <c r="D446" s="319" t="s">
        <v>1177</v>
      </c>
      <c r="E446" s="117" t="s">
        <v>1178</v>
      </c>
      <c r="F446" s="104">
        <v>2</v>
      </c>
      <c r="G446" s="104" t="s">
        <v>73</v>
      </c>
      <c r="H446" s="104">
        <v>2</v>
      </c>
      <c r="I446" s="104"/>
      <c r="J446" s="104"/>
      <c r="K446" s="104"/>
    </row>
    <row r="447" spans="4:11" x14ac:dyDescent="0.35">
      <c r="D447" s="180" t="s">
        <v>296</v>
      </c>
      <c r="E447" s="139" t="s">
        <v>297</v>
      </c>
      <c r="F447" s="175">
        <v>2</v>
      </c>
      <c r="G447" s="175" t="s">
        <v>1072</v>
      </c>
      <c r="H447" s="175">
        <v>2</v>
      </c>
      <c r="I447" s="175" t="s">
        <v>1072</v>
      </c>
      <c r="J447" s="175"/>
      <c r="K447" s="175">
        <f t="shared" si="53"/>
        <v>0</v>
      </c>
    </row>
    <row r="448" spans="4:11" x14ac:dyDescent="0.35">
      <c r="D448" s="319" t="s">
        <v>1180</v>
      </c>
      <c r="E448" s="143" t="s">
        <v>1179</v>
      </c>
      <c r="F448" s="104">
        <v>30</v>
      </c>
      <c r="G448" s="104" t="s">
        <v>73</v>
      </c>
      <c r="H448" s="104"/>
      <c r="I448" s="104"/>
      <c r="J448" s="104"/>
      <c r="K448" s="104"/>
    </row>
    <row r="449" spans="4:11" x14ac:dyDescent="0.35">
      <c r="D449" s="180" t="s">
        <v>51</v>
      </c>
      <c r="E449" s="141" t="s">
        <v>404</v>
      </c>
      <c r="F449" s="175">
        <v>12</v>
      </c>
      <c r="G449" s="175" t="s">
        <v>73</v>
      </c>
      <c r="H449" s="175">
        <f>ROUND((($F$448)*((F449)/($F$449+$F$450+$F$451+$F$452+$F$453+$F$454+$F$455+$F$456))),2)</f>
        <v>0.26</v>
      </c>
      <c r="I449" s="175" t="s">
        <v>73</v>
      </c>
      <c r="J449" s="175"/>
      <c r="K449" s="175">
        <f t="shared" si="53"/>
        <v>0</v>
      </c>
    </row>
    <row r="450" spans="4:11" x14ac:dyDescent="0.35">
      <c r="D450" s="180" t="s">
        <v>369</v>
      </c>
      <c r="E450" s="141" t="s">
        <v>370</v>
      </c>
      <c r="F450" s="175">
        <v>390</v>
      </c>
      <c r="G450" s="175" t="s">
        <v>73</v>
      </c>
      <c r="H450" s="175">
        <f t="shared" ref="H450:H456" si="55">ROUND((($F$448)*((F450)/($F$449+$F$450+$F$451+$F$452+$F$453+$F$454+$F$455+$F$456))),2)</f>
        <v>8.44</v>
      </c>
      <c r="I450" s="175" t="s">
        <v>73</v>
      </c>
      <c r="J450" s="175"/>
      <c r="K450" s="175">
        <f t="shared" si="53"/>
        <v>0</v>
      </c>
    </row>
    <row r="451" spans="4:11" x14ac:dyDescent="0.35">
      <c r="D451" s="180" t="s">
        <v>513</v>
      </c>
      <c r="E451" s="141" t="s">
        <v>514</v>
      </c>
      <c r="F451" s="175">
        <v>35</v>
      </c>
      <c r="G451" s="175" t="s">
        <v>73</v>
      </c>
      <c r="H451" s="175">
        <f t="shared" si="55"/>
        <v>0.76</v>
      </c>
      <c r="I451" s="175" t="s">
        <v>73</v>
      </c>
      <c r="J451" s="175"/>
      <c r="K451" s="175">
        <f t="shared" si="53"/>
        <v>0</v>
      </c>
    </row>
    <row r="452" spans="4:11" x14ac:dyDescent="0.35">
      <c r="D452" s="180" t="s">
        <v>179</v>
      </c>
      <c r="E452" s="141" t="s">
        <v>1181</v>
      </c>
      <c r="F452" s="175">
        <v>500</v>
      </c>
      <c r="G452" s="175" t="s">
        <v>73</v>
      </c>
      <c r="H452" s="175">
        <f t="shared" si="55"/>
        <v>10.82</v>
      </c>
      <c r="I452" s="175" t="s">
        <v>73</v>
      </c>
      <c r="J452" s="175"/>
      <c r="K452" s="175">
        <f t="shared" si="53"/>
        <v>0</v>
      </c>
    </row>
    <row r="453" spans="4:11" x14ac:dyDescent="0.35">
      <c r="D453" s="180" t="s">
        <v>379</v>
      </c>
      <c r="E453" s="141" t="s">
        <v>380</v>
      </c>
      <c r="F453" s="175">
        <v>46</v>
      </c>
      <c r="G453" s="175" t="s">
        <v>73</v>
      </c>
      <c r="H453" s="175">
        <f t="shared" si="55"/>
        <v>1</v>
      </c>
      <c r="I453" s="175" t="s">
        <v>73</v>
      </c>
      <c r="J453" s="175"/>
      <c r="K453" s="175">
        <f t="shared" si="53"/>
        <v>0</v>
      </c>
    </row>
    <row r="454" spans="4:11" x14ac:dyDescent="0.35">
      <c r="D454" s="180" t="s">
        <v>549</v>
      </c>
      <c r="E454" s="141" t="s">
        <v>1245</v>
      </c>
      <c r="F454" s="175">
        <v>150</v>
      </c>
      <c r="G454" s="175" t="s">
        <v>73</v>
      </c>
      <c r="H454" s="175">
        <f t="shared" si="55"/>
        <v>3.25</v>
      </c>
      <c r="I454" s="175" t="s">
        <v>73</v>
      </c>
      <c r="J454" s="175"/>
      <c r="K454" s="175">
        <f t="shared" si="53"/>
        <v>0</v>
      </c>
    </row>
    <row r="455" spans="4:11" x14ac:dyDescent="0.35">
      <c r="D455" s="180" t="s">
        <v>50</v>
      </c>
      <c r="E455" s="141" t="s">
        <v>1215</v>
      </c>
      <c r="F455" s="175">
        <v>230</v>
      </c>
      <c r="G455" s="175" t="s">
        <v>73</v>
      </c>
      <c r="H455" s="175">
        <f t="shared" si="55"/>
        <v>4.9800000000000004</v>
      </c>
      <c r="I455" s="175" t="s">
        <v>73</v>
      </c>
      <c r="J455" s="175"/>
      <c r="K455" s="175">
        <f t="shared" si="53"/>
        <v>0</v>
      </c>
    </row>
    <row r="456" spans="4:11" x14ac:dyDescent="0.35">
      <c r="D456" s="180" t="s">
        <v>49</v>
      </c>
      <c r="E456" s="141" t="s">
        <v>1176</v>
      </c>
      <c r="F456" s="175">
        <v>23</v>
      </c>
      <c r="G456" s="175" t="s">
        <v>73</v>
      </c>
      <c r="H456" s="175">
        <f t="shared" si="55"/>
        <v>0.5</v>
      </c>
      <c r="I456" s="175" t="s">
        <v>73</v>
      </c>
      <c r="J456" s="175"/>
      <c r="K456" s="175">
        <f t="shared" si="53"/>
        <v>0</v>
      </c>
    </row>
    <row r="457" spans="4:11" x14ac:dyDescent="0.35">
      <c r="D457" s="319" t="s">
        <v>1175</v>
      </c>
      <c r="E457" s="117" t="s">
        <v>1125</v>
      </c>
      <c r="F457" s="104">
        <v>10</v>
      </c>
      <c r="G457" s="104" t="s">
        <v>73</v>
      </c>
      <c r="H457" s="104"/>
      <c r="I457" s="104"/>
      <c r="J457" s="104"/>
      <c r="K457" s="104"/>
    </row>
    <row r="458" spans="4:11" x14ac:dyDescent="0.35">
      <c r="D458" s="180" t="s">
        <v>47</v>
      </c>
      <c r="E458" s="139" t="s">
        <v>569</v>
      </c>
      <c r="F458" s="175">
        <v>600</v>
      </c>
      <c r="G458" s="175" t="s">
        <v>73</v>
      </c>
      <c r="H458" s="175">
        <f>ROUND((($F$457)*((F458)/($F$458+$F$459+$F$460+$F$461+$F$462))),2)</f>
        <v>6.67</v>
      </c>
      <c r="I458" s="175" t="s">
        <v>73</v>
      </c>
      <c r="J458" s="175"/>
      <c r="K458" s="175">
        <f t="shared" si="53"/>
        <v>0</v>
      </c>
    </row>
    <row r="459" spans="4:11" x14ac:dyDescent="0.35">
      <c r="D459" s="180" t="s">
        <v>48</v>
      </c>
      <c r="E459" s="139" t="s">
        <v>391</v>
      </c>
      <c r="F459" s="175">
        <v>100</v>
      </c>
      <c r="G459" s="175" t="s">
        <v>73</v>
      </c>
      <c r="H459" s="175">
        <f t="shared" ref="H459:H462" si="56">ROUND((($F$457)*((F459)/($F$458+$F$459+$F$460+$F$461+$F$462))),2)</f>
        <v>1.1100000000000001</v>
      </c>
      <c r="I459" s="175" t="s">
        <v>73</v>
      </c>
      <c r="J459" s="175"/>
      <c r="K459" s="175">
        <f t="shared" si="53"/>
        <v>0</v>
      </c>
    </row>
    <row r="460" spans="4:11" x14ac:dyDescent="0.35">
      <c r="D460" s="180" t="s">
        <v>49</v>
      </c>
      <c r="E460" s="139" t="s">
        <v>1176</v>
      </c>
      <c r="F460" s="175">
        <v>50</v>
      </c>
      <c r="G460" s="175" t="s">
        <v>73</v>
      </c>
      <c r="H460" s="175">
        <f t="shared" si="56"/>
        <v>0.56000000000000005</v>
      </c>
      <c r="I460" s="175" t="s">
        <v>73</v>
      </c>
      <c r="J460" s="175"/>
      <c r="K460" s="175">
        <f t="shared" si="53"/>
        <v>0</v>
      </c>
    </row>
    <row r="461" spans="4:11" x14ac:dyDescent="0.35">
      <c r="D461" s="180" t="s">
        <v>50</v>
      </c>
      <c r="E461" s="139" t="s">
        <v>394</v>
      </c>
      <c r="F461" s="175">
        <v>100</v>
      </c>
      <c r="G461" s="175" t="s">
        <v>73</v>
      </c>
      <c r="H461" s="175">
        <f t="shared" si="56"/>
        <v>1.1100000000000001</v>
      </c>
      <c r="I461" s="175" t="s">
        <v>73</v>
      </c>
      <c r="J461" s="175"/>
      <c r="K461" s="175">
        <f t="shared" si="53"/>
        <v>0</v>
      </c>
    </row>
    <row r="462" spans="4:11" x14ac:dyDescent="0.35">
      <c r="D462" s="180" t="s">
        <v>51</v>
      </c>
      <c r="E462" s="139" t="s">
        <v>404</v>
      </c>
      <c r="F462" s="175">
        <v>50</v>
      </c>
      <c r="G462" s="175" t="s">
        <v>73</v>
      </c>
      <c r="H462" s="175">
        <f t="shared" si="56"/>
        <v>0.56000000000000005</v>
      </c>
      <c r="I462" s="175" t="s">
        <v>73</v>
      </c>
      <c r="J462" s="175"/>
      <c r="K462" s="175">
        <f t="shared" si="53"/>
        <v>0</v>
      </c>
    </row>
    <row r="463" spans="4:11" x14ac:dyDescent="0.35">
      <c r="D463" s="319" t="s">
        <v>1174</v>
      </c>
      <c r="E463" s="117" t="s">
        <v>1133</v>
      </c>
      <c r="F463" s="104">
        <v>150</v>
      </c>
      <c r="G463" s="104" t="s">
        <v>73</v>
      </c>
      <c r="H463" s="104"/>
      <c r="I463" s="104" t="s">
        <v>73</v>
      </c>
      <c r="J463" s="104"/>
      <c r="K463" s="104">
        <f t="shared" si="53"/>
        <v>0</v>
      </c>
    </row>
    <row r="464" spans="4:11" x14ac:dyDescent="0.35">
      <c r="D464" s="180" t="s">
        <v>1250</v>
      </c>
      <c r="E464" s="139" t="s">
        <v>1236</v>
      </c>
      <c r="F464" s="175">
        <v>3</v>
      </c>
      <c r="G464" s="175" t="s">
        <v>73</v>
      </c>
      <c r="H464" s="175">
        <f>ROUND((($F$463)*((F464)/($F$464+$F$465+$F$466+$F$467+$F$468+$F$469+$F$470+$F$471))),2)</f>
        <v>0.04</v>
      </c>
      <c r="I464" s="175" t="s">
        <v>73</v>
      </c>
      <c r="J464" s="175"/>
      <c r="K464" s="175">
        <f t="shared" si="53"/>
        <v>0</v>
      </c>
    </row>
    <row r="465" spans="1:11" x14ac:dyDescent="0.35">
      <c r="D465" s="180" t="s">
        <v>626</v>
      </c>
      <c r="E465" s="139" t="s">
        <v>627</v>
      </c>
      <c r="F465" s="175">
        <v>160</v>
      </c>
      <c r="G465" s="175" t="s">
        <v>73</v>
      </c>
      <c r="H465" s="175">
        <f t="shared" ref="H465:H471" si="57">ROUND((($F$463)*((F465)/($F$464+$F$465+$F$466+$F$467+$F$468+$F$469+$F$470+$F$471))),2)</f>
        <v>2.08</v>
      </c>
      <c r="I465" s="175" t="s">
        <v>73</v>
      </c>
      <c r="K465" s="175">
        <f t="shared" si="53"/>
        <v>0</v>
      </c>
    </row>
    <row r="466" spans="1:11" x14ac:dyDescent="0.35">
      <c r="D466" s="180" t="s">
        <v>45</v>
      </c>
      <c r="E466" s="139" t="s">
        <v>321</v>
      </c>
      <c r="F466" s="175">
        <v>70</v>
      </c>
      <c r="G466" s="175" t="s">
        <v>73</v>
      </c>
      <c r="H466" s="175">
        <f t="shared" si="57"/>
        <v>0.91</v>
      </c>
      <c r="I466" s="175" t="s">
        <v>73</v>
      </c>
      <c r="K466" s="175">
        <f t="shared" si="53"/>
        <v>0</v>
      </c>
    </row>
    <row r="467" spans="1:11" x14ac:dyDescent="0.35">
      <c r="D467" s="180" t="s">
        <v>42</v>
      </c>
      <c r="E467" s="139" t="s">
        <v>330</v>
      </c>
      <c r="F467" s="175">
        <v>120</v>
      </c>
      <c r="G467" s="175" t="s">
        <v>73</v>
      </c>
      <c r="H467" s="175">
        <f t="shared" si="57"/>
        <v>1.56</v>
      </c>
      <c r="I467" s="175" t="s">
        <v>73</v>
      </c>
      <c r="K467" s="175">
        <f t="shared" si="53"/>
        <v>0</v>
      </c>
    </row>
    <row r="468" spans="1:11" x14ac:dyDescent="0.35">
      <c r="D468" s="180" t="s">
        <v>43</v>
      </c>
      <c r="E468" s="139" t="s">
        <v>817</v>
      </c>
      <c r="F468" s="175">
        <v>110</v>
      </c>
      <c r="G468" s="175" t="s">
        <v>73</v>
      </c>
      <c r="H468" s="175">
        <f t="shared" si="57"/>
        <v>1.43</v>
      </c>
      <c r="I468" s="175" t="s">
        <v>73</v>
      </c>
      <c r="K468" s="175">
        <f t="shared" si="53"/>
        <v>0</v>
      </c>
    </row>
    <row r="469" spans="1:11" x14ac:dyDescent="0.35">
      <c r="D469" s="180" t="s">
        <v>333</v>
      </c>
      <c r="E469" s="139" t="s">
        <v>334</v>
      </c>
      <c r="F469" s="175">
        <v>50</v>
      </c>
      <c r="G469" s="175" t="s">
        <v>73</v>
      </c>
      <c r="H469" s="175">
        <f t="shared" si="57"/>
        <v>0.65</v>
      </c>
      <c r="I469" s="175" t="s">
        <v>73</v>
      </c>
      <c r="K469" s="175">
        <f t="shared" si="53"/>
        <v>0</v>
      </c>
    </row>
    <row r="470" spans="1:11" x14ac:dyDescent="0.35">
      <c r="D470" s="180" t="s">
        <v>646</v>
      </c>
      <c r="E470" s="139" t="s">
        <v>647</v>
      </c>
      <c r="F470" s="175">
        <v>50</v>
      </c>
      <c r="G470" s="175" t="s">
        <v>73</v>
      </c>
      <c r="H470" s="175">
        <f t="shared" si="57"/>
        <v>0.65</v>
      </c>
      <c r="I470" s="175" t="s">
        <v>73</v>
      </c>
      <c r="K470" s="175">
        <f t="shared" si="53"/>
        <v>0</v>
      </c>
    </row>
    <row r="471" spans="1:11" x14ac:dyDescent="0.35">
      <c r="D471" s="518"/>
      <c r="E471" s="190" t="s">
        <v>950</v>
      </c>
      <c r="F471" s="181">
        <v>11000</v>
      </c>
      <c r="G471" s="181" t="s">
        <v>73</v>
      </c>
      <c r="H471" s="181">
        <f t="shared" si="57"/>
        <v>142.69999999999999</v>
      </c>
      <c r="I471" s="181"/>
      <c r="J471" s="126"/>
      <c r="K471" s="181"/>
    </row>
    <row r="472" spans="1:11" x14ac:dyDescent="0.35">
      <c r="A472" s="120"/>
      <c r="B472" s="120"/>
      <c r="C472" s="120"/>
      <c r="D472" s="519"/>
      <c r="E472" s="120"/>
      <c r="F472" s="182"/>
      <c r="G472" s="182"/>
      <c r="H472" s="182"/>
      <c r="I472" s="182"/>
      <c r="J472" s="120"/>
      <c r="K472" s="120"/>
    </row>
    <row r="473" spans="1:11" ht="15.5" x14ac:dyDescent="0.35">
      <c r="A473" s="3">
        <f>IFERROR(INDEX($N$8:$N$50,MATCH(B473,$O$8:$O$50, 0)), "")</f>
        <v>153</v>
      </c>
      <c r="B473" s="192" t="s">
        <v>1223</v>
      </c>
      <c r="C473" s="3" t="s">
        <v>1224</v>
      </c>
      <c r="D473" s="319" t="s">
        <v>1177</v>
      </c>
      <c r="E473" s="117" t="s">
        <v>1178</v>
      </c>
      <c r="F473" s="104">
        <v>2</v>
      </c>
      <c r="G473" s="104" t="s">
        <v>73</v>
      </c>
      <c r="H473" s="104"/>
      <c r="I473" s="104"/>
      <c r="J473" s="117"/>
      <c r="K473" s="187"/>
    </row>
    <row r="474" spans="1:11" x14ac:dyDescent="0.35">
      <c r="D474" s="180" t="s">
        <v>296</v>
      </c>
      <c r="E474" s="139" t="s">
        <v>297</v>
      </c>
      <c r="F474" s="175" t="s">
        <v>1220</v>
      </c>
      <c r="G474" s="175" t="s">
        <v>73</v>
      </c>
      <c r="H474" s="175">
        <v>2</v>
      </c>
      <c r="I474" s="175" t="s">
        <v>73</v>
      </c>
      <c r="K474" s="108">
        <f t="shared" ref="K474:K487" si="58">$A$473*H474</f>
        <v>306</v>
      </c>
    </row>
    <row r="475" spans="1:11" x14ac:dyDescent="0.35">
      <c r="D475" s="319" t="s">
        <v>1180</v>
      </c>
      <c r="E475" s="143" t="s">
        <v>1179</v>
      </c>
      <c r="F475" s="104">
        <v>30</v>
      </c>
      <c r="G475" s="104" t="s">
        <v>73</v>
      </c>
      <c r="H475" s="104"/>
      <c r="I475" s="104"/>
      <c r="J475" s="117"/>
      <c r="K475" s="187"/>
    </row>
    <row r="476" spans="1:11" x14ac:dyDescent="0.35">
      <c r="D476" s="180" t="s">
        <v>51</v>
      </c>
      <c r="E476" s="141" t="s">
        <v>404</v>
      </c>
      <c r="F476" s="175">
        <v>12</v>
      </c>
      <c r="G476" s="175" t="s">
        <v>73</v>
      </c>
      <c r="H476" s="175">
        <f>ROUND((($F$475)*((F476)/($F$476+$F$477+$F$478+$F$479+$F$480+$F$481+$F$482+$F$483))),2)</f>
        <v>0.26</v>
      </c>
      <c r="I476" s="175" t="s">
        <v>73</v>
      </c>
      <c r="K476" s="108">
        <f t="shared" si="58"/>
        <v>39.78</v>
      </c>
    </row>
    <row r="477" spans="1:11" x14ac:dyDescent="0.35">
      <c r="D477" s="180" t="s">
        <v>369</v>
      </c>
      <c r="E477" s="141" t="s">
        <v>370</v>
      </c>
      <c r="F477" s="175">
        <v>390</v>
      </c>
      <c r="G477" s="175" t="s">
        <v>73</v>
      </c>
      <c r="H477" s="175">
        <f t="shared" ref="H477:H483" si="59">ROUND((($F$475)*((F477)/($F$476+$F$477+$F$478+$F$479+$F$480+$F$481+$F$482+$F$483))),2)</f>
        <v>8.44</v>
      </c>
      <c r="I477" s="175" t="s">
        <v>73</v>
      </c>
      <c r="K477" s="108">
        <f t="shared" si="58"/>
        <v>1291.32</v>
      </c>
    </row>
    <row r="478" spans="1:11" x14ac:dyDescent="0.35">
      <c r="D478" s="180" t="s">
        <v>513</v>
      </c>
      <c r="E478" s="141" t="s">
        <v>514</v>
      </c>
      <c r="F478" s="175">
        <v>35</v>
      </c>
      <c r="G478" s="175" t="s">
        <v>73</v>
      </c>
      <c r="H478" s="175">
        <f t="shared" si="59"/>
        <v>0.76</v>
      </c>
      <c r="I478" s="175" t="s">
        <v>73</v>
      </c>
      <c r="K478" s="108">
        <f t="shared" si="58"/>
        <v>116.28</v>
      </c>
    </row>
    <row r="479" spans="1:11" x14ac:dyDescent="0.35">
      <c r="D479" s="180" t="s">
        <v>179</v>
      </c>
      <c r="E479" s="141" t="s">
        <v>1181</v>
      </c>
      <c r="F479" s="175">
        <v>500</v>
      </c>
      <c r="G479" s="175" t="s">
        <v>73</v>
      </c>
      <c r="H479" s="175">
        <f t="shared" si="59"/>
        <v>10.82</v>
      </c>
      <c r="I479" s="175" t="s">
        <v>73</v>
      </c>
      <c r="K479" s="108">
        <f t="shared" si="58"/>
        <v>1655.46</v>
      </c>
    </row>
    <row r="480" spans="1:11" x14ac:dyDescent="0.35">
      <c r="D480" s="180" t="s">
        <v>379</v>
      </c>
      <c r="E480" s="141" t="s">
        <v>380</v>
      </c>
      <c r="F480" s="175">
        <v>46</v>
      </c>
      <c r="G480" s="175" t="s">
        <v>73</v>
      </c>
      <c r="H480" s="175">
        <f t="shared" si="59"/>
        <v>1</v>
      </c>
      <c r="I480" s="175" t="s">
        <v>73</v>
      </c>
      <c r="K480" s="108">
        <f t="shared" si="58"/>
        <v>153</v>
      </c>
    </row>
    <row r="481" spans="1:11" x14ac:dyDescent="0.35">
      <c r="D481" s="180" t="s">
        <v>549</v>
      </c>
      <c r="E481" s="141" t="s">
        <v>1245</v>
      </c>
      <c r="F481" s="175">
        <v>150</v>
      </c>
      <c r="G481" s="175" t="s">
        <v>73</v>
      </c>
      <c r="H481" s="175">
        <f t="shared" si="59"/>
        <v>3.25</v>
      </c>
      <c r="I481" s="175" t="s">
        <v>73</v>
      </c>
      <c r="K481" s="108">
        <f t="shared" si="58"/>
        <v>497.25</v>
      </c>
    </row>
    <row r="482" spans="1:11" x14ac:dyDescent="0.35">
      <c r="D482" s="180" t="s">
        <v>50</v>
      </c>
      <c r="E482" s="141" t="s">
        <v>1215</v>
      </c>
      <c r="F482" s="175">
        <v>230</v>
      </c>
      <c r="G482" s="175" t="s">
        <v>73</v>
      </c>
      <c r="H482" s="175">
        <f t="shared" si="59"/>
        <v>4.9800000000000004</v>
      </c>
      <c r="I482" s="175" t="s">
        <v>73</v>
      </c>
      <c r="K482" s="108">
        <f t="shared" si="58"/>
        <v>761.94</v>
      </c>
    </row>
    <row r="483" spans="1:11" x14ac:dyDescent="0.35">
      <c r="D483" s="180" t="s">
        <v>49</v>
      </c>
      <c r="E483" s="141" t="s">
        <v>1176</v>
      </c>
      <c r="F483" s="175">
        <v>23</v>
      </c>
      <c r="G483" s="175" t="s">
        <v>73</v>
      </c>
      <c r="H483" s="175">
        <f t="shared" si="59"/>
        <v>0.5</v>
      </c>
      <c r="I483" s="175" t="s">
        <v>73</v>
      </c>
      <c r="K483" s="108">
        <f t="shared" si="58"/>
        <v>76.5</v>
      </c>
    </row>
    <row r="484" spans="1:11" x14ac:dyDescent="0.35">
      <c r="D484" s="319"/>
      <c r="E484" s="188" t="s">
        <v>1225</v>
      </c>
      <c r="F484" s="117"/>
      <c r="G484" s="104" t="s">
        <v>73</v>
      </c>
      <c r="H484" s="117"/>
      <c r="I484" s="104"/>
      <c r="J484" s="117"/>
      <c r="K484" s="187"/>
    </row>
    <row r="485" spans="1:11" x14ac:dyDescent="0.35">
      <c r="D485" s="180" t="s">
        <v>147</v>
      </c>
      <c r="E485" s="139" t="s">
        <v>148</v>
      </c>
      <c r="F485" s="108">
        <v>18.5</v>
      </c>
      <c r="G485" s="175" t="s">
        <v>73</v>
      </c>
      <c r="H485" s="108">
        <v>18.5</v>
      </c>
      <c r="I485" s="175" t="s">
        <v>73</v>
      </c>
      <c r="K485" s="108">
        <f t="shared" si="58"/>
        <v>2830.5</v>
      </c>
    </row>
    <row r="486" spans="1:11" x14ac:dyDescent="0.35">
      <c r="D486" s="180" t="s">
        <v>392</v>
      </c>
      <c r="E486" s="139" t="s">
        <v>1210</v>
      </c>
      <c r="F486" s="108">
        <v>1</v>
      </c>
      <c r="G486" s="175" t="s">
        <v>73</v>
      </c>
      <c r="H486" s="108">
        <v>1</v>
      </c>
      <c r="I486" s="175" t="s">
        <v>73</v>
      </c>
      <c r="K486" s="108">
        <f t="shared" si="58"/>
        <v>153</v>
      </c>
    </row>
    <row r="487" spans="1:11" x14ac:dyDescent="0.35">
      <c r="D487" s="180" t="s">
        <v>385</v>
      </c>
      <c r="E487" s="139" t="s">
        <v>1226</v>
      </c>
      <c r="F487" s="108">
        <v>0.5</v>
      </c>
      <c r="G487" s="175" t="s">
        <v>73</v>
      </c>
      <c r="H487" s="108">
        <v>0.5</v>
      </c>
      <c r="I487" s="175" t="s">
        <v>73</v>
      </c>
      <c r="K487" s="108">
        <f t="shared" si="58"/>
        <v>76.5</v>
      </c>
    </row>
    <row r="488" spans="1:11" x14ac:dyDescent="0.35">
      <c r="A488" s="120"/>
      <c r="B488" s="120"/>
      <c r="C488" s="120"/>
      <c r="D488" s="519"/>
      <c r="E488" s="120"/>
      <c r="F488" s="120"/>
      <c r="G488" s="182"/>
      <c r="H488" s="120"/>
      <c r="I488" s="182"/>
      <c r="J488" s="120"/>
      <c r="K488" s="120"/>
    </row>
    <row r="489" spans="1:11" x14ac:dyDescent="0.35">
      <c r="A489" s="3">
        <f>IFERROR(INDEX($N$8:$N$50,MATCH(B489,$O$8:$O$50, 0)), "")</f>
        <v>483</v>
      </c>
      <c r="B489" s="189" t="s">
        <v>1227</v>
      </c>
      <c r="C489" s="3" t="s">
        <v>1228</v>
      </c>
      <c r="D489" s="319"/>
      <c r="E489" s="117" t="s">
        <v>1178</v>
      </c>
      <c r="F489" s="104">
        <v>6</v>
      </c>
      <c r="G489" s="104" t="s">
        <v>73</v>
      </c>
      <c r="H489" s="104"/>
      <c r="I489" s="104"/>
      <c r="J489" s="117"/>
      <c r="K489" s="187"/>
    </row>
    <row r="490" spans="1:11" x14ac:dyDescent="0.35">
      <c r="D490" s="180" t="s">
        <v>296</v>
      </c>
      <c r="E490" s="139" t="s">
        <v>297</v>
      </c>
      <c r="F490" s="175" t="s">
        <v>1220</v>
      </c>
      <c r="G490" s="175" t="s">
        <v>74</v>
      </c>
      <c r="H490" s="175">
        <v>6</v>
      </c>
      <c r="I490" s="175" t="s">
        <v>74</v>
      </c>
      <c r="K490" s="108">
        <f t="shared" ref="K490:K503" si="60">$A$489*H490</f>
        <v>2898</v>
      </c>
    </row>
    <row r="491" spans="1:11" x14ac:dyDescent="0.35">
      <c r="D491" s="319"/>
      <c r="E491" s="143" t="s">
        <v>1179</v>
      </c>
      <c r="F491" s="104">
        <v>90</v>
      </c>
      <c r="G491" s="104" t="s">
        <v>73</v>
      </c>
      <c r="H491" s="104"/>
      <c r="I491" s="104"/>
      <c r="J491" s="117"/>
      <c r="K491" s="187"/>
    </row>
    <row r="492" spans="1:11" x14ac:dyDescent="0.35">
      <c r="D492" s="180" t="s">
        <v>51</v>
      </c>
      <c r="E492" s="141" t="s">
        <v>404</v>
      </c>
      <c r="F492" s="175">
        <v>12</v>
      </c>
      <c r="G492" s="175" t="s">
        <v>73</v>
      </c>
      <c r="H492" s="175">
        <f>ROUND(($F$491)*((F492)/($F$492+$F$493+$F$494+$F$495+$F$496+$F$497+$F$498+$F$499)),2)</f>
        <v>0.78</v>
      </c>
      <c r="I492" s="175" t="s">
        <v>73</v>
      </c>
      <c r="K492" s="108">
        <f t="shared" si="60"/>
        <v>376.74</v>
      </c>
    </row>
    <row r="493" spans="1:11" x14ac:dyDescent="0.35">
      <c r="D493" s="180" t="s">
        <v>369</v>
      </c>
      <c r="E493" s="141" t="s">
        <v>370</v>
      </c>
      <c r="F493" s="175">
        <v>390</v>
      </c>
      <c r="G493" s="175" t="s">
        <v>73</v>
      </c>
      <c r="H493" s="175">
        <f t="shared" ref="H493:H499" si="61">ROUND(($F$491)*((F493)/($F$492+$F$493+$F$494+$F$495+$F$496+$F$497+$F$498+$F$499)),2)</f>
        <v>25.32</v>
      </c>
      <c r="I493" s="175" t="s">
        <v>73</v>
      </c>
      <c r="K493" s="108">
        <f t="shared" si="60"/>
        <v>12229.56</v>
      </c>
    </row>
    <row r="494" spans="1:11" x14ac:dyDescent="0.35">
      <c r="D494" s="180" t="s">
        <v>513</v>
      </c>
      <c r="E494" s="141" t="s">
        <v>514</v>
      </c>
      <c r="F494" s="175">
        <v>35</v>
      </c>
      <c r="G494" s="175" t="s">
        <v>73</v>
      </c>
      <c r="H494" s="175">
        <f t="shared" si="61"/>
        <v>2.27</v>
      </c>
      <c r="I494" s="175" t="s">
        <v>73</v>
      </c>
      <c r="K494" s="108">
        <f t="shared" si="60"/>
        <v>1096.4100000000001</v>
      </c>
    </row>
    <row r="495" spans="1:11" x14ac:dyDescent="0.35">
      <c r="D495" s="180" t="s">
        <v>179</v>
      </c>
      <c r="E495" s="141" t="s">
        <v>1181</v>
      </c>
      <c r="F495" s="175">
        <v>500</v>
      </c>
      <c r="G495" s="175" t="s">
        <v>73</v>
      </c>
      <c r="H495" s="175">
        <f t="shared" si="61"/>
        <v>32.47</v>
      </c>
      <c r="I495" s="175" t="s">
        <v>73</v>
      </c>
      <c r="K495" s="108">
        <f t="shared" si="60"/>
        <v>15683.01</v>
      </c>
    </row>
    <row r="496" spans="1:11" x14ac:dyDescent="0.35">
      <c r="D496" s="180" t="s">
        <v>379</v>
      </c>
      <c r="E496" s="141" t="s">
        <v>380</v>
      </c>
      <c r="F496" s="175">
        <v>46</v>
      </c>
      <c r="G496" s="175" t="s">
        <v>73</v>
      </c>
      <c r="H496" s="175">
        <f t="shared" si="61"/>
        <v>2.99</v>
      </c>
      <c r="I496" s="175" t="s">
        <v>73</v>
      </c>
      <c r="K496" s="108">
        <f t="shared" si="60"/>
        <v>1444.17</v>
      </c>
    </row>
    <row r="497" spans="1:11" x14ac:dyDescent="0.35">
      <c r="D497" s="180" t="s">
        <v>549</v>
      </c>
      <c r="E497" s="141" t="s">
        <v>1245</v>
      </c>
      <c r="F497" s="175">
        <v>150</v>
      </c>
      <c r="G497" s="175" t="s">
        <v>73</v>
      </c>
      <c r="H497" s="175">
        <f t="shared" si="61"/>
        <v>9.74</v>
      </c>
      <c r="I497" s="175" t="s">
        <v>73</v>
      </c>
      <c r="K497" s="108">
        <f t="shared" si="60"/>
        <v>4704.42</v>
      </c>
    </row>
    <row r="498" spans="1:11" x14ac:dyDescent="0.35">
      <c r="D498" s="180" t="s">
        <v>50</v>
      </c>
      <c r="E498" s="141" t="s">
        <v>1215</v>
      </c>
      <c r="F498" s="175">
        <v>230</v>
      </c>
      <c r="G498" s="175" t="s">
        <v>73</v>
      </c>
      <c r="H498" s="175">
        <f t="shared" si="61"/>
        <v>14.94</v>
      </c>
      <c r="I498" s="175" t="s">
        <v>73</v>
      </c>
      <c r="K498" s="108">
        <f t="shared" si="60"/>
        <v>7216.0199999999995</v>
      </c>
    </row>
    <row r="499" spans="1:11" x14ac:dyDescent="0.35">
      <c r="D499" s="180" t="s">
        <v>49</v>
      </c>
      <c r="E499" s="141" t="s">
        <v>1176</v>
      </c>
      <c r="F499" s="175">
        <v>23</v>
      </c>
      <c r="G499" s="175" t="s">
        <v>73</v>
      </c>
      <c r="H499" s="175">
        <f t="shared" si="61"/>
        <v>1.49</v>
      </c>
      <c r="I499" s="175" t="s">
        <v>73</v>
      </c>
      <c r="K499" s="108">
        <f t="shared" si="60"/>
        <v>719.67</v>
      </c>
    </row>
    <row r="500" spans="1:11" x14ac:dyDescent="0.35">
      <c r="D500" s="319"/>
      <c r="E500" s="188" t="s">
        <v>1225</v>
      </c>
      <c r="F500" s="117"/>
      <c r="G500" s="104" t="s">
        <v>73</v>
      </c>
      <c r="H500" s="117"/>
      <c r="I500" s="104"/>
      <c r="J500" s="117"/>
      <c r="K500" s="187"/>
    </row>
    <row r="501" spans="1:11" x14ac:dyDescent="0.35">
      <c r="D501" s="180" t="s">
        <v>147</v>
      </c>
      <c r="E501" s="139" t="s">
        <v>148</v>
      </c>
      <c r="F501" s="108">
        <v>18.5</v>
      </c>
      <c r="G501" s="175" t="s">
        <v>73</v>
      </c>
      <c r="H501" s="108">
        <v>18.5</v>
      </c>
      <c r="I501" s="175" t="s">
        <v>73</v>
      </c>
      <c r="K501" s="108">
        <f t="shared" si="60"/>
        <v>8935.5</v>
      </c>
    </row>
    <row r="502" spans="1:11" x14ac:dyDescent="0.35">
      <c r="D502" s="180" t="s">
        <v>392</v>
      </c>
      <c r="E502" s="139" t="s">
        <v>1210</v>
      </c>
      <c r="F502" s="108">
        <v>1</v>
      </c>
      <c r="G502" s="175" t="s">
        <v>73</v>
      </c>
      <c r="H502" s="108">
        <v>1</v>
      </c>
      <c r="I502" s="175" t="s">
        <v>73</v>
      </c>
      <c r="K502" s="108">
        <f t="shared" si="60"/>
        <v>483</v>
      </c>
    </row>
    <row r="503" spans="1:11" x14ac:dyDescent="0.35">
      <c r="D503" s="180" t="s">
        <v>385</v>
      </c>
      <c r="E503" s="139" t="s">
        <v>1226</v>
      </c>
      <c r="F503" s="108">
        <v>0.5</v>
      </c>
      <c r="G503" s="175" t="s">
        <v>73</v>
      </c>
      <c r="H503" s="108">
        <v>0.5</v>
      </c>
      <c r="I503" s="175" t="s">
        <v>73</v>
      </c>
      <c r="K503" s="108">
        <f t="shared" si="60"/>
        <v>241.5</v>
      </c>
    </row>
    <row r="504" spans="1:11" x14ac:dyDescent="0.35">
      <c r="A504" s="120"/>
      <c r="B504" s="120"/>
      <c r="C504" s="120"/>
      <c r="D504" s="519"/>
      <c r="E504" s="120"/>
      <c r="F504" s="120"/>
      <c r="G504" s="182"/>
      <c r="H504" s="120"/>
      <c r="I504" s="182"/>
      <c r="J504" s="120"/>
      <c r="K504" s="120"/>
    </row>
    <row r="505" spans="1:11" x14ac:dyDescent="0.35">
      <c r="A505" s="3">
        <f>IFERROR(INDEX($N$8:$N$50,MATCH(B505,$O$8:$O$50, 0)), "")</f>
        <v>191</v>
      </c>
      <c r="B505" s="196" t="s">
        <v>1229</v>
      </c>
      <c r="C505" s="122" t="s">
        <v>1230</v>
      </c>
      <c r="D505" s="180" t="s">
        <v>454</v>
      </c>
      <c r="E505" s="3" t="s">
        <v>455</v>
      </c>
      <c r="F505" s="108">
        <v>5</v>
      </c>
      <c r="G505" s="175" t="s">
        <v>73</v>
      </c>
      <c r="H505" s="108">
        <v>5</v>
      </c>
      <c r="I505" s="175" t="s">
        <v>73</v>
      </c>
      <c r="K505" s="108">
        <f>$A$505*H505</f>
        <v>955</v>
      </c>
    </row>
    <row r="506" spans="1:11" x14ac:dyDescent="0.35">
      <c r="D506" s="180" t="s">
        <v>47</v>
      </c>
      <c r="E506" s="3" t="s">
        <v>1231</v>
      </c>
      <c r="F506" s="108">
        <v>30</v>
      </c>
      <c r="G506" s="175" t="s">
        <v>73</v>
      </c>
      <c r="H506" s="108">
        <v>30</v>
      </c>
      <c r="I506" s="175" t="s">
        <v>73</v>
      </c>
      <c r="K506" s="108">
        <f t="shared" ref="K506:K545" si="62">$A$505*H506</f>
        <v>5730</v>
      </c>
    </row>
    <row r="507" spans="1:11" x14ac:dyDescent="0.35">
      <c r="D507" s="180" t="s">
        <v>392</v>
      </c>
      <c r="E507" s="3" t="s">
        <v>1246</v>
      </c>
      <c r="F507" s="108">
        <v>0.3</v>
      </c>
      <c r="G507" s="175" t="s">
        <v>73</v>
      </c>
      <c r="H507" s="108">
        <v>0.3</v>
      </c>
      <c r="I507" s="175" t="s">
        <v>73</v>
      </c>
      <c r="K507" s="108">
        <f t="shared" si="62"/>
        <v>57.3</v>
      </c>
    </row>
    <row r="508" spans="1:11" x14ac:dyDescent="0.35">
      <c r="D508" s="180" t="s">
        <v>175</v>
      </c>
      <c r="E508" s="3" t="s">
        <v>176</v>
      </c>
      <c r="F508" s="108">
        <v>100</v>
      </c>
      <c r="G508" s="175" t="s">
        <v>73</v>
      </c>
      <c r="H508" s="108">
        <v>100</v>
      </c>
      <c r="I508" s="175" t="s">
        <v>73</v>
      </c>
      <c r="K508" s="108">
        <f t="shared" si="62"/>
        <v>19100</v>
      </c>
    </row>
    <row r="509" spans="1:11" x14ac:dyDescent="0.35">
      <c r="D509" s="180" t="s">
        <v>505</v>
      </c>
      <c r="E509" s="3" t="s">
        <v>1169</v>
      </c>
      <c r="F509" s="108">
        <v>0.2</v>
      </c>
      <c r="G509" s="175" t="s">
        <v>73</v>
      </c>
      <c r="H509" s="108">
        <v>0.2</v>
      </c>
      <c r="I509" s="175" t="s">
        <v>73</v>
      </c>
      <c r="K509" s="108">
        <f t="shared" si="62"/>
        <v>38.200000000000003</v>
      </c>
    </row>
    <row r="510" spans="1:11" x14ac:dyDescent="0.35">
      <c r="D510" s="180" t="s">
        <v>50</v>
      </c>
      <c r="E510" s="3" t="s">
        <v>1215</v>
      </c>
      <c r="F510" s="108">
        <v>60</v>
      </c>
      <c r="G510" s="175" t="s">
        <v>73</v>
      </c>
      <c r="H510" s="108">
        <v>60</v>
      </c>
      <c r="I510" s="175" t="s">
        <v>73</v>
      </c>
      <c r="K510" s="108">
        <f t="shared" si="62"/>
        <v>11460</v>
      </c>
    </row>
    <row r="511" spans="1:11" x14ac:dyDescent="0.35">
      <c r="D511" s="180" t="s">
        <v>292</v>
      </c>
      <c r="E511" s="3" t="s">
        <v>1239</v>
      </c>
      <c r="F511" s="108">
        <v>5</v>
      </c>
      <c r="G511" s="175" t="s">
        <v>73</v>
      </c>
      <c r="H511" s="108">
        <v>5</v>
      </c>
      <c r="I511" s="175" t="s">
        <v>73</v>
      </c>
      <c r="K511" s="108">
        <f t="shared" si="62"/>
        <v>955</v>
      </c>
    </row>
    <row r="512" spans="1:11" x14ac:dyDescent="0.35">
      <c r="D512" s="180" t="s">
        <v>49</v>
      </c>
      <c r="E512" s="3" t="s">
        <v>1232</v>
      </c>
      <c r="F512" s="108">
        <v>5</v>
      </c>
      <c r="G512" s="175" t="s">
        <v>73</v>
      </c>
      <c r="H512" s="108">
        <v>5</v>
      </c>
      <c r="I512" s="175" t="s">
        <v>73</v>
      </c>
      <c r="K512" s="108">
        <f t="shared" si="62"/>
        <v>955</v>
      </c>
    </row>
    <row r="513" spans="4:11" x14ac:dyDescent="0.35">
      <c r="D513" s="319"/>
      <c r="E513" s="117" t="s">
        <v>1125</v>
      </c>
      <c r="F513" s="104">
        <v>10</v>
      </c>
      <c r="G513" s="104" t="s">
        <v>73</v>
      </c>
      <c r="H513" s="117"/>
      <c r="I513" s="104"/>
      <c r="J513" s="117"/>
      <c r="K513" s="187"/>
    </row>
    <row r="514" spans="4:11" x14ac:dyDescent="0.35">
      <c r="D514" s="180" t="s">
        <v>47</v>
      </c>
      <c r="E514" s="139" t="s">
        <v>569</v>
      </c>
      <c r="F514" s="175">
        <v>600</v>
      </c>
      <c r="G514" s="175" t="s">
        <v>73</v>
      </c>
      <c r="H514" s="108">
        <f>ROUND(($F$513)*((F514)/($F$514+$F$515+$F$516+$F$517+$F$518)),2)</f>
        <v>6.67</v>
      </c>
      <c r="I514" s="175" t="s">
        <v>73</v>
      </c>
      <c r="K514" s="108">
        <f t="shared" si="62"/>
        <v>1273.97</v>
      </c>
    </row>
    <row r="515" spans="4:11" x14ac:dyDescent="0.35">
      <c r="D515" s="180" t="s">
        <v>48</v>
      </c>
      <c r="E515" s="139" t="s">
        <v>391</v>
      </c>
      <c r="F515" s="175">
        <v>100</v>
      </c>
      <c r="G515" s="175" t="s">
        <v>73</v>
      </c>
      <c r="H515" s="108">
        <f t="shared" ref="H515:H518" si="63">ROUND(($F$513)*((F515)/($F$514+$F$515+$F$516+$F$517+$F$518)),2)</f>
        <v>1.1100000000000001</v>
      </c>
      <c r="I515" s="175" t="s">
        <v>73</v>
      </c>
      <c r="K515" s="108">
        <f t="shared" si="62"/>
        <v>212.01000000000002</v>
      </c>
    </row>
    <row r="516" spans="4:11" x14ac:dyDescent="0.35">
      <c r="D516" s="180" t="s">
        <v>49</v>
      </c>
      <c r="E516" s="139" t="s">
        <v>1176</v>
      </c>
      <c r="F516" s="175">
        <v>50</v>
      </c>
      <c r="G516" s="175" t="s">
        <v>73</v>
      </c>
      <c r="H516" s="108">
        <f t="shared" si="63"/>
        <v>0.56000000000000005</v>
      </c>
      <c r="I516" s="175" t="s">
        <v>73</v>
      </c>
      <c r="K516" s="108">
        <f t="shared" si="62"/>
        <v>106.96000000000001</v>
      </c>
    </row>
    <row r="517" spans="4:11" x14ac:dyDescent="0.35">
      <c r="D517" s="180" t="s">
        <v>50</v>
      </c>
      <c r="E517" s="139" t="s">
        <v>394</v>
      </c>
      <c r="F517" s="175">
        <v>100</v>
      </c>
      <c r="G517" s="175" t="s">
        <v>73</v>
      </c>
      <c r="H517" s="108">
        <f t="shared" si="63"/>
        <v>1.1100000000000001</v>
      </c>
      <c r="I517" s="175" t="s">
        <v>73</v>
      </c>
      <c r="K517" s="108">
        <f t="shared" si="62"/>
        <v>212.01000000000002</v>
      </c>
    </row>
    <row r="518" spans="4:11" ht="15" thickBot="1" x14ac:dyDescent="0.4">
      <c r="D518" s="180" t="s">
        <v>51</v>
      </c>
      <c r="E518" s="139" t="s">
        <v>404</v>
      </c>
      <c r="F518" s="175">
        <v>50</v>
      </c>
      <c r="G518" s="175" t="s">
        <v>73</v>
      </c>
      <c r="H518" s="108">
        <f t="shared" si="63"/>
        <v>0.56000000000000005</v>
      </c>
      <c r="I518" s="175" t="s">
        <v>73</v>
      </c>
      <c r="K518" s="108">
        <f t="shared" si="62"/>
        <v>106.96000000000001</v>
      </c>
    </row>
    <row r="519" spans="4:11" ht="15" thickTop="1" x14ac:dyDescent="0.35">
      <c r="D519" s="179"/>
      <c r="E519" s="12" t="s">
        <v>1233</v>
      </c>
      <c r="F519" s="27"/>
      <c r="G519" s="104"/>
      <c r="H519" s="117"/>
      <c r="I519" s="104"/>
      <c r="J519" s="117"/>
      <c r="K519" s="187"/>
    </row>
    <row r="520" spans="4:11" x14ac:dyDescent="0.35">
      <c r="D520" s="177" t="s">
        <v>473</v>
      </c>
      <c r="E520" s="92" t="s">
        <v>827</v>
      </c>
      <c r="F520" s="85">
        <v>70</v>
      </c>
      <c r="G520" s="175" t="s">
        <v>73</v>
      </c>
      <c r="H520" s="85">
        <v>70</v>
      </c>
      <c r="I520" s="175" t="s">
        <v>73</v>
      </c>
      <c r="K520" s="108">
        <f t="shared" si="62"/>
        <v>13370</v>
      </c>
    </row>
    <row r="521" spans="4:11" x14ac:dyDescent="0.35">
      <c r="D521" s="177" t="s">
        <v>511</v>
      </c>
      <c r="E521" s="93" t="s">
        <v>512</v>
      </c>
      <c r="F521" s="84">
        <v>15</v>
      </c>
      <c r="G521" s="175" t="s">
        <v>73</v>
      </c>
      <c r="H521" s="84">
        <v>15</v>
      </c>
      <c r="I521" s="175" t="s">
        <v>73</v>
      </c>
      <c r="K521" s="108">
        <f t="shared" si="62"/>
        <v>2865</v>
      </c>
    </row>
    <row r="522" spans="4:11" x14ac:dyDescent="0.35">
      <c r="D522" s="177" t="s">
        <v>640</v>
      </c>
      <c r="E522" s="92" t="s">
        <v>641</v>
      </c>
      <c r="F522" s="85">
        <v>45</v>
      </c>
      <c r="G522" s="175" t="s">
        <v>73</v>
      </c>
      <c r="H522" s="85">
        <v>45</v>
      </c>
      <c r="I522" s="175" t="s">
        <v>73</v>
      </c>
      <c r="K522" s="108">
        <f t="shared" si="62"/>
        <v>8595</v>
      </c>
    </row>
    <row r="523" spans="4:11" x14ac:dyDescent="0.35">
      <c r="D523" s="177"/>
      <c r="E523" s="94" t="s">
        <v>725</v>
      </c>
      <c r="F523" s="27"/>
      <c r="G523" s="104"/>
      <c r="H523" s="187"/>
      <c r="I523" s="104"/>
      <c r="J523" s="117"/>
      <c r="K523" s="187"/>
    </row>
    <row r="524" spans="4:11" x14ac:dyDescent="0.35">
      <c r="D524" s="177" t="s">
        <v>521</v>
      </c>
      <c r="E524" s="169" t="s">
        <v>831</v>
      </c>
      <c r="F524" s="85">
        <v>20</v>
      </c>
      <c r="G524" s="175" t="s">
        <v>73</v>
      </c>
      <c r="H524" s="108">
        <v>20</v>
      </c>
      <c r="I524" s="175" t="s">
        <v>73</v>
      </c>
      <c r="K524" s="108">
        <f t="shared" si="62"/>
        <v>3820</v>
      </c>
    </row>
    <row r="525" spans="4:11" x14ac:dyDescent="0.35">
      <c r="D525" s="177"/>
      <c r="E525" s="94" t="s">
        <v>10</v>
      </c>
      <c r="F525" s="27">
        <v>1.5</v>
      </c>
      <c r="G525" s="104" t="s">
        <v>73</v>
      </c>
      <c r="H525" s="187"/>
      <c r="I525" s="104"/>
      <c r="J525" s="117"/>
      <c r="K525" s="187"/>
    </row>
    <row r="526" spans="4:11" x14ac:dyDescent="0.35">
      <c r="D526" s="177" t="s">
        <v>43</v>
      </c>
      <c r="E526" s="169" t="s">
        <v>105</v>
      </c>
      <c r="F526" s="85">
        <v>15</v>
      </c>
      <c r="G526" s="175" t="s">
        <v>73</v>
      </c>
      <c r="H526" s="108">
        <f>ROUND(($F$525)*((F526)/($F$526+$F$527)),2)</f>
        <v>0.23</v>
      </c>
      <c r="I526" s="175" t="s">
        <v>73</v>
      </c>
      <c r="K526" s="108">
        <f t="shared" si="62"/>
        <v>43.93</v>
      </c>
    </row>
    <row r="527" spans="4:11" ht="15" thickBot="1" x14ac:dyDescent="0.4">
      <c r="D527" s="178" t="s">
        <v>42</v>
      </c>
      <c r="E527" s="168" t="s">
        <v>95</v>
      </c>
      <c r="F527" s="84">
        <v>85</v>
      </c>
      <c r="G527" s="175" t="s">
        <v>73</v>
      </c>
      <c r="H527" s="108">
        <f>ROUND(($F$525)*((F527)/($F$526+$F$527)),2)</f>
        <v>1.28</v>
      </c>
      <c r="I527" s="175" t="s">
        <v>73</v>
      </c>
      <c r="K527" s="108">
        <f t="shared" si="62"/>
        <v>244.48000000000002</v>
      </c>
    </row>
    <row r="528" spans="4:11" ht="15" thickTop="1" x14ac:dyDescent="0.35">
      <c r="D528" s="319"/>
      <c r="E528" s="117" t="s">
        <v>1234</v>
      </c>
      <c r="F528" s="187">
        <v>228</v>
      </c>
      <c r="G528" s="104" t="s">
        <v>73</v>
      </c>
      <c r="H528" s="117"/>
      <c r="I528" s="104"/>
      <c r="J528" s="117"/>
      <c r="K528" s="187"/>
    </row>
    <row r="529" spans="4:11" x14ac:dyDescent="0.35">
      <c r="D529" s="180" t="s">
        <v>52</v>
      </c>
      <c r="E529" s="139" t="s">
        <v>245</v>
      </c>
      <c r="F529" s="108">
        <v>10</v>
      </c>
      <c r="G529" s="175" t="s">
        <v>73</v>
      </c>
      <c r="H529" s="108">
        <f>ROUND(($F$528)*((F529)/((($F$543)*(($F$544)/($F$544+$F$545)))+
(($F$543)*(($F$545)/($F$544+$F$545)))+
$F$529+$F$530+$F$531+$F$532+$F$533+$F$534+$F$535+$F$536+$F$537+$F$538+$F$539+$F$540+$F$541+$F$542)),2)</f>
        <v>0.81</v>
      </c>
      <c r="I529" s="175" t="s">
        <v>73</v>
      </c>
      <c r="K529" s="108">
        <f t="shared" si="62"/>
        <v>154.71</v>
      </c>
    </row>
    <row r="530" spans="4:11" x14ac:dyDescent="0.35">
      <c r="D530" s="180" t="s">
        <v>676</v>
      </c>
      <c r="E530" s="139" t="s">
        <v>677</v>
      </c>
      <c r="F530" s="108">
        <v>100</v>
      </c>
      <c r="G530" s="175" t="s">
        <v>73</v>
      </c>
      <c r="H530" s="108">
        <f t="shared" ref="H530:H541" si="64">ROUND(($F$528)*((F530)/((($F$543)*(($F$544)/($F$544+$F$545)))+
(($F$543)*(($F$545)/($F$544+$F$545)))+
$F$529+$F$530+$F$531+$F$532+$F$533+$F$534+$F$535+$F$536+$F$537+$F$538+$F$539+$F$540+$F$541+$F$542)),2)</f>
        <v>8.11</v>
      </c>
      <c r="I530" s="175" t="s">
        <v>73</v>
      </c>
      <c r="K530" s="108">
        <f t="shared" si="62"/>
        <v>1549.01</v>
      </c>
    </row>
    <row r="531" spans="4:11" x14ac:dyDescent="0.35">
      <c r="D531" s="180" t="s">
        <v>509</v>
      </c>
      <c r="E531" s="139" t="s">
        <v>510</v>
      </c>
      <c r="F531" s="108">
        <v>20</v>
      </c>
      <c r="G531" s="175" t="s">
        <v>73</v>
      </c>
      <c r="H531" s="108">
        <f t="shared" si="64"/>
        <v>1.62</v>
      </c>
      <c r="I531" s="175" t="s">
        <v>73</v>
      </c>
      <c r="K531" s="108">
        <f t="shared" si="62"/>
        <v>309.42</v>
      </c>
    </row>
    <row r="532" spans="4:11" x14ac:dyDescent="0.35">
      <c r="D532" s="180" t="s">
        <v>252</v>
      </c>
      <c r="E532" s="139" t="s">
        <v>253</v>
      </c>
      <c r="F532" s="108">
        <v>10</v>
      </c>
      <c r="G532" s="175" t="s">
        <v>73</v>
      </c>
      <c r="H532" s="108">
        <f t="shared" si="64"/>
        <v>0.81</v>
      </c>
      <c r="I532" s="175" t="s">
        <v>73</v>
      </c>
      <c r="K532" s="108">
        <f t="shared" si="62"/>
        <v>154.71</v>
      </c>
    </row>
    <row r="533" spans="4:11" x14ac:dyDescent="0.35">
      <c r="D533" s="180" t="s">
        <v>495</v>
      </c>
      <c r="E533" s="139" t="s">
        <v>496</v>
      </c>
      <c r="F533" s="108">
        <v>1000</v>
      </c>
      <c r="G533" s="175" t="s">
        <v>73</v>
      </c>
      <c r="H533" s="108">
        <f t="shared" si="64"/>
        <v>81.11</v>
      </c>
      <c r="I533" s="175" t="s">
        <v>73</v>
      </c>
      <c r="K533" s="108">
        <f t="shared" si="62"/>
        <v>15492.01</v>
      </c>
    </row>
    <row r="534" spans="4:11" x14ac:dyDescent="0.35">
      <c r="D534" s="180" t="s">
        <v>493</v>
      </c>
      <c r="E534" s="139" t="s">
        <v>494</v>
      </c>
      <c r="F534" s="108">
        <v>250</v>
      </c>
      <c r="G534" s="175" t="s">
        <v>73</v>
      </c>
      <c r="H534" s="108">
        <f t="shared" si="64"/>
        <v>20.28</v>
      </c>
      <c r="I534" s="175" t="s">
        <v>73</v>
      </c>
      <c r="K534" s="108">
        <f t="shared" si="62"/>
        <v>3873.48</v>
      </c>
    </row>
    <row r="535" spans="4:11" x14ac:dyDescent="0.35">
      <c r="D535" s="180" t="s">
        <v>305</v>
      </c>
      <c r="E535" s="139" t="s">
        <v>306</v>
      </c>
      <c r="F535" s="108">
        <v>30</v>
      </c>
      <c r="G535" s="175" t="s">
        <v>73</v>
      </c>
      <c r="H535" s="108">
        <f t="shared" si="64"/>
        <v>2.4300000000000002</v>
      </c>
      <c r="I535" s="175" t="s">
        <v>73</v>
      </c>
      <c r="K535" s="108">
        <f t="shared" si="62"/>
        <v>464.13000000000005</v>
      </c>
    </row>
    <row r="536" spans="4:11" x14ac:dyDescent="0.35">
      <c r="D536" s="180" t="s">
        <v>45</v>
      </c>
      <c r="E536" s="139" t="s">
        <v>321</v>
      </c>
      <c r="F536" s="108">
        <v>25</v>
      </c>
      <c r="G536" s="175" t="s">
        <v>73</v>
      </c>
      <c r="H536" s="108">
        <f t="shared" si="64"/>
        <v>2.0299999999999998</v>
      </c>
      <c r="I536" s="175" t="s">
        <v>73</v>
      </c>
      <c r="K536" s="108">
        <f t="shared" si="62"/>
        <v>387.72999999999996</v>
      </c>
    </row>
    <row r="537" spans="4:11" x14ac:dyDescent="0.35">
      <c r="D537" s="180" t="s">
        <v>125</v>
      </c>
      <c r="E537" s="139" t="s">
        <v>126</v>
      </c>
      <c r="F537" s="108">
        <v>250</v>
      </c>
      <c r="G537" s="175" t="s">
        <v>73</v>
      </c>
      <c r="H537" s="108">
        <f t="shared" si="64"/>
        <v>20.28</v>
      </c>
      <c r="I537" s="175" t="s">
        <v>73</v>
      </c>
      <c r="K537" s="108">
        <f t="shared" si="62"/>
        <v>3873.48</v>
      </c>
    </row>
    <row r="538" spans="4:11" x14ac:dyDescent="0.35">
      <c r="D538" s="180" t="s">
        <v>333</v>
      </c>
      <c r="E538" s="139" t="s">
        <v>334</v>
      </c>
      <c r="F538" s="108">
        <v>30</v>
      </c>
      <c r="G538" s="175" t="s">
        <v>73</v>
      </c>
      <c r="H538" s="108">
        <f t="shared" si="64"/>
        <v>2.4300000000000002</v>
      </c>
      <c r="I538" s="175" t="s">
        <v>73</v>
      </c>
      <c r="K538" s="108">
        <f t="shared" si="62"/>
        <v>464.13000000000005</v>
      </c>
    </row>
    <row r="539" spans="4:11" x14ac:dyDescent="0.35">
      <c r="D539" s="180" t="s">
        <v>1250</v>
      </c>
      <c r="E539" s="139" t="s">
        <v>1236</v>
      </c>
      <c r="F539" s="108">
        <v>1</v>
      </c>
      <c r="G539" s="175" t="s">
        <v>73</v>
      </c>
      <c r="H539" s="108">
        <f t="shared" si="64"/>
        <v>0.08</v>
      </c>
      <c r="I539" s="175" t="s">
        <v>73</v>
      </c>
      <c r="K539" s="108">
        <f t="shared" si="62"/>
        <v>15.280000000000001</v>
      </c>
    </row>
    <row r="540" spans="4:11" x14ac:dyDescent="0.35">
      <c r="D540" s="177" t="s">
        <v>43</v>
      </c>
      <c r="E540" s="139" t="s">
        <v>817</v>
      </c>
      <c r="F540" s="108">
        <v>15</v>
      </c>
      <c r="G540" s="175" t="s">
        <v>73</v>
      </c>
      <c r="H540" s="108">
        <f t="shared" si="64"/>
        <v>1.22</v>
      </c>
      <c r="I540" s="175" t="s">
        <v>73</v>
      </c>
      <c r="K540" s="108">
        <f t="shared" si="62"/>
        <v>233.01999999999998</v>
      </c>
    </row>
    <row r="541" spans="4:11" x14ac:dyDescent="0.35">
      <c r="D541" s="180" t="s">
        <v>42</v>
      </c>
      <c r="E541" s="139" t="s">
        <v>330</v>
      </c>
      <c r="F541" s="108">
        <v>30</v>
      </c>
      <c r="G541" s="175" t="s">
        <v>73</v>
      </c>
      <c r="H541" s="108">
        <f t="shared" si="64"/>
        <v>2.4300000000000002</v>
      </c>
      <c r="I541" s="175" t="s">
        <v>73</v>
      </c>
      <c r="K541" s="108">
        <f t="shared" si="62"/>
        <v>464.13000000000005</v>
      </c>
    </row>
    <row r="542" spans="4:11" x14ac:dyDescent="0.35">
      <c r="D542" s="180"/>
      <c r="E542" s="190" t="s">
        <v>950</v>
      </c>
      <c r="F542" s="195">
        <v>1000</v>
      </c>
      <c r="G542" s="181" t="s">
        <v>73</v>
      </c>
      <c r="H542" s="195">
        <f>ROUND(($F$528)*((F542)/((($F$543)*(($F$544)/($F$544+$F$545)))+
(($F$543)*(($F$545)/($F$544+$F$545)))+
$F$529+$F$530+$F$531+$F$532+$F$533+$F$534+$F$535+$F$536+$F$537+$F$538+$F$539+$F$540+$F$541+$F$542)),2)</f>
        <v>81.11</v>
      </c>
      <c r="I542" s="181"/>
      <c r="J542" s="126"/>
      <c r="K542" s="195"/>
    </row>
    <row r="543" spans="4:11" x14ac:dyDescent="0.35">
      <c r="D543" s="319"/>
      <c r="E543" s="143" t="s">
        <v>1235</v>
      </c>
      <c r="F543" s="187">
        <v>40</v>
      </c>
      <c r="G543" s="104" t="s">
        <v>73</v>
      </c>
      <c r="H543" s="117"/>
      <c r="I543" s="104"/>
      <c r="J543" s="117"/>
      <c r="K543" s="187"/>
    </row>
    <row r="544" spans="4:11" x14ac:dyDescent="0.35">
      <c r="D544" s="180" t="s">
        <v>47</v>
      </c>
      <c r="E544" s="140" t="s">
        <v>569</v>
      </c>
      <c r="F544" s="108">
        <v>250</v>
      </c>
      <c r="G544" s="175" t="s">
        <v>73</v>
      </c>
      <c r="H544" s="108">
        <f>ROUND(($F$528)*(($F$543)*(($F$544)/($F$544+$F$545))/((($F$543)*(($F$544)/($F$544+$F$545)))+
(($F$543)*(($F$545)/($F$544+$F$545)))+
$F$529+$F$530+$F$531+$F$532+$F$533+$F$534+$F$535+$F$536+$F$537+$F$538+$F$539+$F$540+$F$541+$F$542)),2)</f>
        <v>2.7</v>
      </c>
      <c r="I544" s="175" t="s">
        <v>73</v>
      </c>
      <c r="K544" s="108">
        <f t="shared" si="62"/>
        <v>515.70000000000005</v>
      </c>
    </row>
    <row r="545" spans="1:11" x14ac:dyDescent="0.35">
      <c r="D545" s="180" t="s">
        <v>305</v>
      </c>
      <c r="E545" s="140" t="s">
        <v>306</v>
      </c>
      <c r="F545" s="108">
        <v>50</v>
      </c>
      <c r="G545" s="175" t="s">
        <v>73</v>
      </c>
      <c r="H545" s="108">
        <f>ROUND(($F$528)*(($F$543)*(($F$545)/($F$544+$F$545))
/((($F$543)*(($F$544)/($F$544+$F$545)))+
(($F$543)*(($F$545)/($F$544+$F$545)))+
$F$529+$F$530+$F$531+$F$532+$F$533+$F$534+$F$535+$F$536+$F$537+$F$538+$F$539+$F$540+$F$541+$F$542)),2)</f>
        <v>0.54</v>
      </c>
      <c r="I545" s="175" t="s">
        <v>73</v>
      </c>
      <c r="K545" s="108">
        <f t="shared" si="62"/>
        <v>103.14</v>
      </c>
    </row>
    <row r="546" spans="1:11" x14ac:dyDescent="0.35">
      <c r="A546" s="120"/>
      <c r="B546" s="120"/>
      <c r="C546" s="120"/>
      <c r="D546" s="519"/>
      <c r="E546" s="120"/>
      <c r="F546" s="194"/>
      <c r="G546" s="182"/>
      <c r="H546" s="120"/>
      <c r="I546" s="182"/>
      <c r="J546" s="120"/>
      <c r="K546" s="120"/>
    </row>
    <row r="547" spans="1:11" x14ac:dyDescent="0.35">
      <c r="A547" s="3">
        <f>IFERROR(INDEX($N$8:$N$50,MATCH(B547,$O$8:$O$50, 0)), "")</f>
        <v>87</v>
      </c>
      <c r="B547" s="123" t="s">
        <v>1240</v>
      </c>
      <c r="C547" s="122" t="s">
        <v>1241</v>
      </c>
      <c r="D547" s="180" t="s">
        <v>454</v>
      </c>
      <c r="E547" s="3" t="s">
        <v>455</v>
      </c>
      <c r="F547" s="108">
        <v>5</v>
      </c>
      <c r="G547" s="175" t="s">
        <v>73</v>
      </c>
      <c r="H547" s="108">
        <v>5</v>
      </c>
      <c r="I547" s="175" t="s">
        <v>73</v>
      </c>
      <c r="K547" s="108">
        <f>$A$547*H547</f>
        <v>435</v>
      </c>
    </row>
    <row r="548" spans="1:11" x14ac:dyDescent="0.35">
      <c r="D548" s="180" t="s">
        <v>47</v>
      </c>
      <c r="E548" s="3" t="s">
        <v>1231</v>
      </c>
      <c r="F548" s="108">
        <v>30</v>
      </c>
      <c r="G548" s="175" t="s">
        <v>73</v>
      </c>
      <c r="H548" s="108">
        <v>30</v>
      </c>
      <c r="I548" s="175" t="s">
        <v>73</v>
      </c>
      <c r="K548" s="108">
        <f t="shared" ref="K548:K588" si="65">$A$547*H548</f>
        <v>2610</v>
      </c>
    </row>
    <row r="549" spans="1:11" x14ac:dyDescent="0.35">
      <c r="D549" s="180" t="s">
        <v>392</v>
      </c>
      <c r="E549" s="3" t="s">
        <v>1246</v>
      </c>
      <c r="F549" s="108">
        <v>0.3</v>
      </c>
      <c r="G549" s="175" t="s">
        <v>73</v>
      </c>
      <c r="H549" s="108">
        <v>0.3</v>
      </c>
      <c r="I549" s="175" t="s">
        <v>73</v>
      </c>
      <c r="K549" s="108">
        <f t="shared" si="65"/>
        <v>26.099999999999998</v>
      </c>
    </row>
    <row r="550" spans="1:11" x14ac:dyDescent="0.35">
      <c r="D550" s="180" t="s">
        <v>175</v>
      </c>
      <c r="E550" s="3" t="s">
        <v>176</v>
      </c>
      <c r="F550" s="108">
        <v>100</v>
      </c>
      <c r="G550" s="175" t="s">
        <v>73</v>
      </c>
      <c r="H550" s="108">
        <v>100</v>
      </c>
      <c r="I550" s="175" t="s">
        <v>73</v>
      </c>
      <c r="K550" s="108">
        <f t="shared" si="65"/>
        <v>8700</v>
      </c>
    </row>
    <row r="551" spans="1:11" x14ac:dyDescent="0.35">
      <c r="D551" s="180" t="s">
        <v>505</v>
      </c>
      <c r="E551" s="3" t="s">
        <v>1169</v>
      </c>
      <c r="F551" s="108">
        <v>0.2</v>
      </c>
      <c r="G551" s="175" t="s">
        <v>73</v>
      </c>
      <c r="H551" s="108">
        <v>0.2</v>
      </c>
      <c r="I551" s="175" t="s">
        <v>73</v>
      </c>
      <c r="K551" s="108">
        <f t="shared" si="65"/>
        <v>17.400000000000002</v>
      </c>
    </row>
    <row r="552" spans="1:11" x14ac:dyDescent="0.35">
      <c r="D552" s="180" t="s">
        <v>50</v>
      </c>
      <c r="E552" s="3" t="s">
        <v>1215</v>
      </c>
      <c r="F552" s="108">
        <v>60</v>
      </c>
      <c r="G552" s="175" t="s">
        <v>73</v>
      </c>
      <c r="H552" s="108">
        <v>60</v>
      </c>
      <c r="I552" s="175" t="s">
        <v>73</v>
      </c>
      <c r="K552" s="108">
        <f t="shared" si="65"/>
        <v>5220</v>
      </c>
    </row>
    <row r="553" spans="1:11" x14ac:dyDescent="0.35">
      <c r="D553" s="180" t="s">
        <v>292</v>
      </c>
      <c r="E553" s="3" t="s">
        <v>1239</v>
      </c>
      <c r="F553" s="108">
        <v>5</v>
      </c>
      <c r="G553" s="175" t="s">
        <v>73</v>
      </c>
      <c r="H553" s="108">
        <v>5</v>
      </c>
      <c r="I553" s="175" t="s">
        <v>73</v>
      </c>
      <c r="K553" s="108">
        <f t="shared" si="65"/>
        <v>435</v>
      </c>
    </row>
    <row r="554" spans="1:11" x14ac:dyDescent="0.35">
      <c r="D554" s="180" t="s">
        <v>618</v>
      </c>
      <c r="E554" s="3" t="s">
        <v>1242</v>
      </c>
      <c r="F554" s="108">
        <v>30</v>
      </c>
      <c r="G554" s="175" t="s">
        <v>73</v>
      </c>
      <c r="H554" s="108">
        <v>30</v>
      </c>
      <c r="I554" s="175" t="s">
        <v>73</v>
      </c>
      <c r="K554" s="108">
        <f t="shared" si="65"/>
        <v>2610</v>
      </c>
    </row>
    <row r="555" spans="1:11" x14ac:dyDescent="0.35">
      <c r="D555" s="180" t="s">
        <v>49</v>
      </c>
      <c r="E555" s="3" t="s">
        <v>1232</v>
      </c>
      <c r="F555" s="108">
        <v>5</v>
      </c>
      <c r="G555" s="175" t="s">
        <v>73</v>
      </c>
      <c r="H555" s="108">
        <v>5</v>
      </c>
      <c r="I555" s="175" t="s">
        <v>73</v>
      </c>
      <c r="K555" s="108">
        <f t="shared" si="65"/>
        <v>435</v>
      </c>
    </row>
    <row r="556" spans="1:11" x14ac:dyDescent="0.35">
      <c r="D556" s="319"/>
      <c r="E556" s="117" t="s">
        <v>1125</v>
      </c>
      <c r="F556" s="104">
        <v>10</v>
      </c>
      <c r="G556" s="104" t="s">
        <v>73</v>
      </c>
      <c r="H556" s="117"/>
      <c r="I556" s="104"/>
      <c r="J556" s="117"/>
      <c r="K556" s="187"/>
    </row>
    <row r="557" spans="1:11" x14ac:dyDescent="0.35">
      <c r="D557" s="180" t="s">
        <v>47</v>
      </c>
      <c r="E557" s="139" t="s">
        <v>569</v>
      </c>
      <c r="F557" s="175">
        <v>600</v>
      </c>
      <c r="G557" s="175" t="s">
        <v>73</v>
      </c>
      <c r="H557" s="108">
        <f>ROUND(($F$556)*((F557)/($F$557+$F$558+$F$559+$F$560+$F$561)),2)</f>
        <v>6.67</v>
      </c>
      <c r="I557" s="175" t="s">
        <v>73</v>
      </c>
      <c r="K557" s="108">
        <f t="shared" si="65"/>
        <v>580.29</v>
      </c>
    </row>
    <row r="558" spans="1:11" x14ac:dyDescent="0.35">
      <c r="D558" s="180" t="s">
        <v>48</v>
      </c>
      <c r="E558" s="139" t="s">
        <v>391</v>
      </c>
      <c r="F558" s="175">
        <v>100</v>
      </c>
      <c r="G558" s="175" t="s">
        <v>73</v>
      </c>
      <c r="H558" s="108">
        <f t="shared" ref="H558:H561" si="66">ROUND(($F$556)*((F558)/($F$557+$F$558+$F$559+$F$560+$F$561)),2)</f>
        <v>1.1100000000000001</v>
      </c>
      <c r="I558" s="175" t="s">
        <v>73</v>
      </c>
      <c r="K558" s="108">
        <f t="shared" si="65"/>
        <v>96.570000000000007</v>
      </c>
    </row>
    <row r="559" spans="1:11" x14ac:dyDescent="0.35">
      <c r="D559" s="180" t="s">
        <v>49</v>
      </c>
      <c r="E559" s="139" t="s">
        <v>1176</v>
      </c>
      <c r="F559" s="175">
        <v>50</v>
      </c>
      <c r="G559" s="175" t="s">
        <v>73</v>
      </c>
      <c r="H559" s="108">
        <f t="shared" si="66"/>
        <v>0.56000000000000005</v>
      </c>
      <c r="I559" s="175" t="s">
        <v>73</v>
      </c>
      <c r="K559" s="108">
        <f t="shared" si="65"/>
        <v>48.720000000000006</v>
      </c>
    </row>
    <row r="560" spans="1:11" x14ac:dyDescent="0.35">
      <c r="D560" s="180" t="s">
        <v>50</v>
      </c>
      <c r="E560" s="139" t="s">
        <v>394</v>
      </c>
      <c r="F560" s="175">
        <v>100</v>
      </c>
      <c r="G560" s="175" t="s">
        <v>73</v>
      </c>
      <c r="H560" s="108">
        <f t="shared" si="66"/>
        <v>1.1100000000000001</v>
      </c>
      <c r="I560" s="175" t="s">
        <v>73</v>
      </c>
      <c r="K560" s="108">
        <f t="shared" si="65"/>
        <v>96.570000000000007</v>
      </c>
    </row>
    <row r="561" spans="4:11" ht="15" thickBot="1" x14ac:dyDescent="0.4">
      <c r="D561" s="180" t="s">
        <v>51</v>
      </c>
      <c r="E561" s="139" t="s">
        <v>404</v>
      </c>
      <c r="F561" s="175">
        <v>50</v>
      </c>
      <c r="G561" s="175" t="s">
        <v>73</v>
      </c>
      <c r="H561" s="108">
        <f t="shared" si="66"/>
        <v>0.56000000000000005</v>
      </c>
      <c r="I561" s="175" t="s">
        <v>73</v>
      </c>
      <c r="K561" s="108">
        <f t="shared" si="65"/>
        <v>48.720000000000006</v>
      </c>
    </row>
    <row r="562" spans="4:11" ht="15" thickTop="1" x14ac:dyDescent="0.35">
      <c r="D562" s="521"/>
      <c r="E562" s="12" t="s">
        <v>1233</v>
      </c>
      <c r="F562" s="27"/>
      <c r="G562" s="104" t="s">
        <v>73</v>
      </c>
      <c r="H562" s="117"/>
      <c r="I562" s="104"/>
      <c r="J562" s="117"/>
      <c r="K562" s="187"/>
    </row>
    <row r="563" spans="4:11" x14ac:dyDescent="0.35">
      <c r="D563" s="177" t="s">
        <v>473</v>
      </c>
      <c r="E563" s="24" t="s">
        <v>827</v>
      </c>
      <c r="F563" s="85">
        <v>70</v>
      </c>
      <c r="G563" s="175" t="s">
        <v>73</v>
      </c>
      <c r="H563" s="85">
        <v>70</v>
      </c>
      <c r="I563" s="175" t="s">
        <v>73</v>
      </c>
      <c r="K563" s="108">
        <f t="shared" si="65"/>
        <v>6090</v>
      </c>
    </row>
    <row r="564" spans="4:11" x14ac:dyDescent="0.35">
      <c r="D564" s="177" t="s">
        <v>511</v>
      </c>
      <c r="E564" s="8" t="s">
        <v>512</v>
      </c>
      <c r="F564" s="84">
        <v>15</v>
      </c>
      <c r="G564" s="175" t="s">
        <v>73</v>
      </c>
      <c r="H564" s="84">
        <v>15</v>
      </c>
      <c r="I564" s="175" t="s">
        <v>73</v>
      </c>
      <c r="K564" s="108">
        <f t="shared" si="65"/>
        <v>1305</v>
      </c>
    </row>
    <row r="565" spans="4:11" x14ac:dyDescent="0.35">
      <c r="D565" s="177" t="s">
        <v>640</v>
      </c>
      <c r="E565" s="10" t="s">
        <v>641</v>
      </c>
      <c r="F565" s="85">
        <v>45</v>
      </c>
      <c r="G565" s="175" t="s">
        <v>73</v>
      </c>
      <c r="H565" s="85">
        <v>45</v>
      </c>
      <c r="I565" s="175" t="s">
        <v>73</v>
      </c>
      <c r="K565" s="108">
        <f t="shared" si="65"/>
        <v>3915</v>
      </c>
    </row>
    <row r="566" spans="4:11" x14ac:dyDescent="0.35">
      <c r="D566" s="176"/>
      <c r="E566" s="12" t="s">
        <v>725</v>
      </c>
      <c r="F566" s="27"/>
      <c r="G566" s="104" t="s">
        <v>73</v>
      </c>
      <c r="H566" s="117"/>
      <c r="I566" s="104"/>
      <c r="J566" s="117"/>
      <c r="K566" s="187"/>
    </row>
    <row r="567" spans="4:11" x14ac:dyDescent="0.35">
      <c r="D567" s="177" t="s">
        <v>521</v>
      </c>
      <c r="E567" s="17" t="s">
        <v>831</v>
      </c>
      <c r="F567" s="85">
        <v>20</v>
      </c>
      <c r="G567" s="175" t="s">
        <v>73</v>
      </c>
      <c r="H567" s="108">
        <v>20</v>
      </c>
      <c r="I567" s="175" t="s">
        <v>73</v>
      </c>
      <c r="K567" s="108">
        <f t="shared" si="65"/>
        <v>1740</v>
      </c>
    </row>
    <row r="568" spans="4:11" x14ac:dyDescent="0.35">
      <c r="D568" s="176"/>
      <c r="E568" s="12" t="s">
        <v>10</v>
      </c>
      <c r="F568" s="27">
        <v>1.5</v>
      </c>
      <c r="G568" s="104" t="s">
        <v>73</v>
      </c>
      <c r="H568" s="117"/>
      <c r="I568" s="104"/>
      <c r="J568" s="117"/>
      <c r="K568" s="187"/>
    </row>
    <row r="569" spans="4:11" x14ac:dyDescent="0.35">
      <c r="D569" s="177" t="s">
        <v>43</v>
      </c>
      <c r="E569" s="17" t="s">
        <v>105</v>
      </c>
      <c r="F569" s="85">
        <v>15</v>
      </c>
      <c r="G569" s="175" t="s">
        <v>73</v>
      </c>
      <c r="H569" s="108">
        <f>ROUND(($F$568)*((F569)/($F$569+$F$570)),2)</f>
        <v>0.23</v>
      </c>
      <c r="I569" s="175" t="s">
        <v>73</v>
      </c>
      <c r="K569" s="108">
        <f t="shared" si="65"/>
        <v>20.010000000000002</v>
      </c>
    </row>
    <row r="570" spans="4:11" ht="15" thickBot="1" x14ac:dyDescent="0.4">
      <c r="D570" s="178" t="s">
        <v>42</v>
      </c>
      <c r="E570" s="31" t="s">
        <v>95</v>
      </c>
      <c r="F570" s="84">
        <v>85</v>
      </c>
      <c r="G570" s="175" t="s">
        <v>73</v>
      </c>
      <c r="H570" s="108">
        <f>ROUND(($F$568)*((F570)/($F$569+$F$570)),2)</f>
        <v>1.28</v>
      </c>
      <c r="I570" s="175" t="s">
        <v>73</v>
      </c>
      <c r="K570" s="108">
        <f t="shared" si="65"/>
        <v>111.36</v>
      </c>
    </row>
    <row r="571" spans="4:11" ht="15" thickTop="1" x14ac:dyDescent="0.35">
      <c r="D571" s="319"/>
      <c r="E571" s="117" t="s">
        <v>1234</v>
      </c>
      <c r="F571" s="187">
        <v>228</v>
      </c>
      <c r="G571" s="104" t="s">
        <v>73</v>
      </c>
      <c r="H571" s="117"/>
      <c r="I571" s="104"/>
      <c r="J571" s="117"/>
      <c r="K571" s="187"/>
    </row>
    <row r="572" spans="4:11" x14ac:dyDescent="0.35">
      <c r="D572" s="180" t="s">
        <v>52</v>
      </c>
      <c r="E572" s="139" t="s">
        <v>245</v>
      </c>
      <c r="F572" s="108">
        <v>10</v>
      </c>
      <c r="G572" s="175" t="s">
        <v>73</v>
      </c>
      <c r="H572" s="108">
        <f t="shared" ref="H572:H585" si="67">ROUND(($F$571)*((F572)/((($F$586)*(($F$587)/($F$587+$F$588)))+
(($F$586)*(($F$588)/($F$587+$F$588)))+
$F$572+$F$573+$F$574+$F$575+$F$576+$F$577+$F$578+$F$579+$F$580+$F$581+$F$582+$F$583+$F$584+$F$585)),2)</f>
        <v>0.81</v>
      </c>
      <c r="I572" s="175" t="s">
        <v>73</v>
      </c>
      <c r="K572" s="108">
        <f t="shared" si="65"/>
        <v>70.47</v>
      </c>
    </row>
    <row r="573" spans="4:11" x14ac:dyDescent="0.35">
      <c r="D573" s="180" t="s">
        <v>676</v>
      </c>
      <c r="E573" s="139" t="s">
        <v>677</v>
      </c>
      <c r="F573" s="108">
        <v>100</v>
      </c>
      <c r="G573" s="175" t="s">
        <v>73</v>
      </c>
      <c r="H573" s="108">
        <f t="shared" si="67"/>
        <v>8.11</v>
      </c>
      <c r="I573" s="175" t="s">
        <v>73</v>
      </c>
      <c r="K573" s="108">
        <f t="shared" si="65"/>
        <v>705.56999999999994</v>
      </c>
    </row>
    <row r="574" spans="4:11" x14ac:dyDescent="0.35">
      <c r="D574" s="180" t="s">
        <v>509</v>
      </c>
      <c r="E574" s="139" t="s">
        <v>510</v>
      </c>
      <c r="F574" s="108">
        <v>20</v>
      </c>
      <c r="G574" s="175" t="s">
        <v>73</v>
      </c>
      <c r="H574" s="108">
        <f t="shared" si="67"/>
        <v>1.62</v>
      </c>
      <c r="I574" s="175" t="s">
        <v>73</v>
      </c>
      <c r="K574" s="108">
        <f t="shared" si="65"/>
        <v>140.94</v>
      </c>
    </row>
    <row r="575" spans="4:11" x14ac:dyDescent="0.35">
      <c r="D575" s="180" t="s">
        <v>252</v>
      </c>
      <c r="E575" s="139" t="s">
        <v>253</v>
      </c>
      <c r="F575" s="108">
        <v>10</v>
      </c>
      <c r="G575" s="175" t="s">
        <v>73</v>
      </c>
      <c r="H575" s="108">
        <f t="shared" si="67"/>
        <v>0.81</v>
      </c>
      <c r="I575" s="175" t="s">
        <v>73</v>
      </c>
      <c r="K575" s="108">
        <f t="shared" si="65"/>
        <v>70.47</v>
      </c>
    </row>
    <row r="576" spans="4:11" x14ac:dyDescent="0.35">
      <c r="D576" s="180" t="s">
        <v>495</v>
      </c>
      <c r="E576" s="139" t="s">
        <v>496</v>
      </c>
      <c r="F576" s="108">
        <v>1000</v>
      </c>
      <c r="G576" s="175" t="s">
        <v>73</v>
      </c>
      <c r="H576" s="108">
        <f t="shared" si="67"/>
        <v>81.11</v>
      </c>
      <c r="I576" s="175" t="s">
        <v>73</v>
      </c>
      <c r="K576" s="108">
        <f t="shared" si="65"/>
        <v>7056.57</v>
      </c>
    </row>
    <row r="577" spans="1:11" x14ac:dyDescent="0.35">
      <c r="D577" s="180" t="s">
        <v>493</v>
      </c>
      <c r="E577" s="139" t="s">
        <v>494</v>
      </c>
      <c r="F577" s="108">
        <v>250</v>
      </c>
      <c r="G577" s="175" t="s">
        <v>73</v>
      </c>
      <c r="H577" s="108">
        <f t="shared" si="67"/>
        <v>20.28</v>
      </c>
      <c r="I577" s="175" t="s">
        <v>73</v>
      </c>
      <c r="K577" s="108">
        <f t="shared" si="65"/>
        <v>1764.3600000000001</v>
      </c>
    </row>
    <row r="578" spans="1:11" x14ac:dyDescent="0.35">
      <c r="D578" s="180" t="s">
        <v>305</v>
      </c>
      <c r="E578" s="139" t="s">
        <v>306</v>
      </c>
      <c r="F578" s="108">
        <v>30</v>
      </c>
      <c r="G578" s="175" t="s">
        <v>73</v>
      </c>
      <c r="H578" s="108">
        <f t="shared" si="67"/>
        <v>2.4300000000000002</v>
      </c>
      <c r="I578" s="175" t="s">
        <v>73</v>
      </c>
      <c r="K578" s="108">
        <f t="shared" si="65"/>
        <v>211.41000000000003</v>
      </c>
    </row>
    <row r="579" spans="1:11" x14ac:dyDescent="0.35">
      <c r="D579" s="180" t="s">
        <v>45</v>
      </c>
      <c r="E579" s="139" t="s">
        <v>321</v>
      </c>
      <c r="F579" s="108">
        <v>25</v>
      </c>
      <c r="G579" s="175" t="s">
        <v>73</v>
      </c>
      <c r="H579" s="108">
        <f t="shared" si="67"/>
        <v>2.0299999999999998</v>
      </c>
      <c r="I579" s="175" t="s">
        <v>73</v>
      </c>
      <c r="K579" s="108">
        <f t="shared" si="65"/>
        <v>176.60999999999999</v>
      </c>
    </row>
    <row r="580" spans="1:11" x14ac:dyDescent="0.35">
      <c r="D580" s="180" t="s">
        <v>125</v>
      </c>
      <c r="E580" s="139" t="s">
        <v>126</v>
      </c>
      <c r="F580" s="108">
        <v>250</v>
      </c>
      <c r="G580" s="175" t="s">
        <v>73</v>
      </c>
      <c r="H580" s="108">
        <f t="shared" si="67"/>
        <v>20.28</v>
      </c>
      <c r="I580" s="175" t="s">
        <v>73</v>
      </c>
      <c r="K580" s="108">
        <f t="shared" si="65"/>
        <v>1764.3600000000001</v>
      </c>
    </row>
    <row r="581" spans="1:11" x14ac:dyDescent="0.35">
      <c r="D581" s="180" t="s">
        <v>333</v>
      </c>
      <c r="E581" s="139" t="s">
        <v>334</v>
      </c>
      <c r="F581" s="108">
        <v>30</v>
      </c>
      <c r="G581" s="175" t="s">
        <v>73</v>
      </c>
      <c r="H581" s="108">
        <f t="shared" si="67"/>
        <v>2.4300000000000002</v>
      </c>
      <c r="I581" s="175" t="s">
        <v>73</v>
      </c>
      <c r="K581" s="108">
        <f t="shared" si="65"/>
        <v>211.41000000000003</v>
      </c>
    </row>
    <row r="582" spans="1:11" x14ac:dyDescent="0.35">
      <c r="D582" s="180" t="s">
        <v>1250</v>
      </c>
      <c r="E582" s="139" t="s">
        <v>1236</v>
      </c>
      <c r="F582" s="108">
        <v>1</v>
      </c>
      <c r="G582" s="175" t="s">
        <v>73</v>
      </c>
      <c r="H582" s="108">
        <f t="shared" si="67"/>
        <v>0.08</v>
      </c>
      <c r="I582" s="175" t="s">
        <v>73</v>
      </c>
      <c r="K582" s="108">
        <f t="shared" si="65"/>
        <v>6.96</v>
      </c>
    </row>
    <row r="583" spans="1:11" x14ac:dyDescent="0.35">
      <c r="D583" s="177" t="s">
        <v>43</v>
      </c>
      <c r="E583" s="139" t="s">
        <v>817</v>
      </c>
      <c r="F583" s="108">
        <v>15</v>
      </c>
      <c r="G583" s="175" t="s">
        <v>73</v>
      </c>
      <c r="H583" s="108">
        <f t="shared" si="67"/>
        <v>1.22</v>
      </c>
      <c r="I583" s="175" t="s">
        <v>73</v>
      </c>
      <c r="K583" s="108">
        <f t="shared" si="65"/>
        <v>106.14</v>
      </c>
    </row>
    <row r="584" spans="1:11" x14ac:dyDescent="0.35">
      <c r="D584" s="180" t="s">
        <v>42</v>
      </c>
      <c r="E584" s="139" t="s">
        <v>330</v>
      </c>
      <c r="F584" s="108">
        <v>30</v>
      </c>
      <c r="G584" s="175" t="s">
        <v>73</v>
      </c>
      <c r="H584" s="108">
        <f t="shared" si="67"/>
        <v>2.4300000000000002</v>
      </c>
      <c r="I584" s="175" t="s">
        <v>73</v>
      </c>
      <c r="K584" s="108">
        <f t="shared" si="65"/>
        <v>211.41000000000003</v>
      </c>
    </row>
    <row r="585" spans="1:11" x14ac:dyDescent="0.35">
      <c r="D585" s="518"/>
      <c r="E585" s="190" t="s">
        <v>950</v>
      </c>
      <c r="F585" s="195">
        <v>1000</v>
      </c>
      <c r="G585" s="181" t="s">
        <v>73</v>
      </c>
      <c r="H585" s="195">
        <f t="shared" si="67"/>
        <v>81.11</v>
      </c>
      <c r="I585" s="181" t="s">
        <v>73</v>
      </c>
      <c r="J585" s="126"/>
      <c r="K585" s="195">
        <f t="shared" si="65"/>
        <v>7056.57</v>
      </c>
    </row>
    <row r="586" spans="1:11" x14ac:dyDescent="0.35">
      <c r="D586" s="319"/>
      <c r="E586" s="143" t="s">
        <v>1235</v>
      </c>
      <c r="F586" s="187">
        <v>40</v>
      </c>
      <c r="G586" s="104" t="s">
        <v>73</v>
      </c>
      <c r="H586" s="187"/>
      <c r="I586" s="104"/>
      <c r="J586" s="117"/>
      <c r="K586" s="187"/>
    </row>
    <row r="587" spans="1:11" x14ac:dyDescent="0.35">
      <c r="D587" s="180" t="s">
        <v>47</v>
      </c>
      <c r="E587" s="140" t="s">
        <v>569</v>
      </c>
      <c r="F587" s="108">
        <v>250</v>
      </c>
      <c r="G587" s="175" t="s">
        <v>73</v>
      </c>
      <c r="H587" s="108">
        <f>ROUND(($F$571)*((($F$586)*(($F$587)/($F$587+$F$588)))
/((($F$586)*(($F$587)/($F$587+$F$588)))+
(($F$586)*(($F$588)/($F$587+$F$588)))+
$F$572+$F$573+$F$574+$F$575+$F$576+$F$577+$F$578+$F$579+$F$580+$F$581+$F$582+$F$583+$F$584+$F$585)),2)</f>
        <v>2.7</v>
      </c>
      <c r="I587" s="175" t="s">
        <v>73</v>
      </c>
      <c r="K587" s="108">
        <f t="shared" si="65"/>
        <v>234.9</v>
      </c>
    </row>
    <row r="588" spans="1:11" x14ac:dyDescent="0.35">
      <c r="D588" s="180" t="s">
        <v>305</v>
      </c>
      <c r="E588" s="140" t="s">
        <v>306</v>
      </c>
      <c r="F588" s="108">
        <v>50</v>
      </c>
      <c r="G588" s="175" t="s">
        <v>73</v>
      </c>
      <c r="H588" s="108">
        <f>ROUND(($F$571)*((($F$586)*(($F$588)/($F$587+$F$588)))
/((($F$586)*(($F$587)/($F$587+$F$588)))+
(($F$586)*(($F$588)/($F$587+$F$588)))+
$F$572+$F$573+$F$574+$F$575+$F$576+$F$577+$F$578+$F$579+$F$580+$F$581+$F$582+$F$583+$F$584+$F$585)),2)</f>
        <v>0.54</v>
      </c>
      <c r="I588" s="175" t="s">
        <v>73</v>
      </c>
      <c r="K588" s="108">
        <f t="shared" si="65"/>
        <v>46.980000000000004</v>
      </c>
    </row>
    <row r="589" spans="1:11" ht="15" thickBot="1" x14ac:dyDescent="0.4">
      <c r="A589" s="120"/>
      <c r="B589" s="120"/>
      <c r="C589" s="120"/>
      <c r="D589" s="519"/>
      <c r="E589" s="120"/>
      <c r="F589" s="194"/>
      <c r="G589" s="120"/>
      <c r="H589" s="120"/>
      <c r="I589" s="120"/>
      <c r="J589" s="120"/>
      <c r="K589" s="120"/>
    </row>
    <row r="590" spans="1:11" ht="15" thickTop="1" x14ac:dyDescent="0.35">
      <c r="A590" s="122">
        <f>IFERROR(INDEX($N$8:$N$50,MATCH(B590,$O$8:$O$50, 0)), "")</f>
        <v>0</v>
      </c>
      <c r="B590" s="123" t="s">
        <v>1251</v>
      </c>
      <c r="C590" s="198" t="s">
        <v>910</v>
      </c>
      <c r="D590" s="179" t="s">
        <v>47</v>
      </c>
      <c r="E590" s="10" t="s">
        <v>740</v>
      </c>
      <c r="F590" s="11">
        <v>3</v>
      </c>
      <c r="G590" s="11" t="s">
        <v>73</v>
      </c>
      <c r="H590" s="11">
        <v>3</v>
      </c>
      <c r="I590" s="11" t="s">
        <v>73</v>
      </c>
      <c r="K590" s="108">
        <f>$A$590*H590</f>
        <v>0</v>
      </c>
    </row>
    <row r="591" spans="1:11" x14ac:dyDescent="0.35">
      <c r="C591" s="8"/>
      <c r="D591" s="177" t="s">
        <v>49</v>
      </c>
      <c r="E591" s="8" t="s">
        <v>916</v>
      </c>
      <c r="F591" s="9">
        <v>8</v>
      </c>
      <c r="G591" s="9" t="s">
        <v>73</v>
      </c>
      <c r="H591" s="9">
        <v>8</v>
      </c>
      <c r="I591" s="9" t="s">
        <v>73</v>
      </c>
      <c r="K591" s="108">
        <f t="shared" ref="K591:K608" si="68">$A$590*H591</f>
        <v>0</v>
      </c>
    </row>
    <row r="592" spans="1:11" x14ac:dyDescent="0.35">
      <c r="C592" s="10"/>
      <c r="D592" s="177" t="s">
        <v>50</v>
      </c>
      <c r="E592" s="10" t="s">
        <v>917</v>
      </c>
      <c r="F592" s="11">
        <v>40</v>
      </c>
      <c r="G592" s="11" t="s">
        <v>73</v>
      </c>
      <c r="H592" s="11">
        <v>40</v>
      </c>
      <c r="I592" s="11" t="s">
        <v>73</v>
      </c>
      <c r="K592" s="108">
        <f t="shared" si="68"/>
        <v>0</v>
      </c>
    </row>
    <row r="593" spans="3:11" x14ac:dyDescent="0.35">
      <c r="C593" s="8"/>
      <c r="D593" s="177" t="s">
        <v>371</v>
      </c>
      <c r="E593" s="8" t="s">
        <v>918</v>
      </c>
      <c r="F593" s="9">
        <v>20</v>
      </c>
      <c r="G593" s="9" t="s">
        <v>73</v>
      </c>
      <c r="H593" s="9">
        <v>20</v>
      </c>
      <c r="I593" s="9" t="s">
        <v>73</v>
      </c>
      <c r="K593" s="108">
        <f t="shared" si="68"/>
        <v>0</v>
      </c>
    </row>
    <row r="594" spans="3:11" x14ac:dyDescent="0.35">
      <c r="C594" s="10"/>
      <c r="D594" s="177" t="s">
        <v>379</v>
      </c>
      <c r="E594" s="10" t="s">
        <v>919</v>
      </c>
      <c r="F594" s="11">
        <v>10</v>
      </c>
      <c r="G594" s="11" t="s">
        <v>73</v>
      </c>
      <c r="H594" s="11">
        <v>10</v>
      </c>
      <c r="I594" s="11" t="s">
        <v>73</v>
      </c>
      <c r="K594" s="108">
        <f t="shared" si="68"/>
        <v>0</v>
      </c>
    </row>
    <row r="595" spans="3:11" x14ac:dyDescent="0.35">
      <c r="C595" s="8"/>
      <c r="D595" s="177" t="s">
        <v>505</v>
      </c>
      <c r="E595" s="8" t="s">
        <v>722</v>
      </c>
      <c r="F595" s="9">
        <v>0.5</v>
      </c>
      <c r="G595" s="9" t="s">
        <v>73</v>
      </c>
      <c r="H595" s="9">
        <v>0.5</v>
      </c>
      <c r="I595" s="9" t="s">
        <v>73</v>
      </c>
      <c r="K595" s="108">
        <f t="shared" si="68"/>
        <v>0</v>
      </c>
    </row>
    <row r="596" spans="3:11" x14ac:dyDescent="0.35">
      <c r="C596" s="10"/>
      <c r="D596" s="177" t="s">
        <v>41</v>
      </c>
      <c r="E596" s="10" t="s">
        <v>911</v>
      </c>
      <c r="F596" s="11">
        <v>2</v>
      </c>
      <c r="G596" s="11" t="s">
        <v>73</v>
      </c>
      <c r="H596" s="11">
        <v>2</v>
      </c>
      <c r="I596" s="11" t="s">
        <v>73</v>
      </c>
      <c r="K596" s="108">
        <f t="shared" si="68"/>
        <v>0</v>
      </c>
    </row>
    <row r="597" spans="3:11" x14ac:dyDescent="0.35">
      <c r="C597" s="8"/>
      <c r="D597" s="177" t="s">
        <v>127</v>
      </c>
      <c r="E597" s="8" t="s">
        <v>912</v>
      </c>
      <c r="F597" s="9">
        <v>28</v>
      </c>
      <c r="G597" s="9" t="s">
        <v>73</v>
      </c>
      <c r="H597" s="9">
        <v>28</v>
      </c>
      <c r="I597" s="9" t="s">
        <v>73</v>
      </c>
      <c r="K597" s="108">
        <f t="shared" si="68"/>
        <v>0</v>
      </c>
    </row>
    <row r="598" spans="3:11" x14ac:dyDescent="0.35">
      <c r="C598" s="10"/>
      <c r="D598" s="177" t="s">
        <v>549</v>
      </c>
      <c r="E598" s="10" t="s">
        <v>915</v>
      </c>
      <c r="F598" s="11">
        <v>165</v>
      </c>
      <c r="G598" s="11" t="s">
        <v>73</v>
      </c>
      <c r="H598" s="11">
        <v>165</v>
      </c>
      <c r="I598" s="11" t="s">
        <v>73</v>
      </c>
      <c r="K598" s="108">
        <f t="shared" si="68"/>
        <v>0</v>
      </c>
    </row>
    <row r="599" spans="3:11" x14ac:dyDescent="0.35">
      <c r="C599" s="8"/>
      <c r="D599" s="176"/>
      <c r="E599" s="12" t="s">
        <v>913</v>
      </c>
      <c r="F599" s="13">
        <v>70</v>
      </c>
      <c r="G599" s="13" t="s">
        <v>73</v>
      </c>
      <c r="H599" s="27"/>
      <c r="I599" s="13"/>
      <c r="J599" s="117"/>
      <c r="K599" s="187">
        <f t="shared" si="68"/>
        <v>0</v>
      </c>
    </row>
    <row r="600" spans="3:11" x14ac:dyDescent="0.35">
      <c r="C600" s="10"/>
      <c r="D600" s="177" t="s">
        <v>473</v>
      </c>
      <c r="E600" s="17" t="s">
        <v>914</v>
      </c>
      <c r="F600" s="11">
        <v>500</v>
      </c>
      <c r="G600" s="11" t="s">
        <v>73</v>
      </c>
      <c r="H600" s="85"/>
      <c r="I600" s="11" t="s">
        <v>73</v>
      </c>
      <c r="K600" s="108">
        <f t="shared" si="68"/>
        <v>0</v>
      </c>
    </row>
    <row r="601" spans="3:11" x14ac:dyDescent="0.35">
      <c r="C601" s="8"/>
      <c r="D601" s="176"/>
      <c r="E601" s="26" t="s">
        <v>10</v>
      </c>
      <c r="F601" s="13">
        <v>2</v>
      </c>
      <c r="G601" s="13" t="s">
        <v>73</v>
      </c>
      <c r="H601" s="27"/>
      <c r="I601" s="13"/>
      <c r="J601" s="117"/>
      <c r="K601" s="187">
        <f t="shared" si="68"/>
        <v>0</v>
      </c>
    </row>
    <row r="602" spans="3:11" x14ac:dyDescent="0.35">
      <c r="C602" s="10"/>
      <c r="D602" s="177" t="s">
        <v>43</v>
      </c>
      <c r="E602" s="162" t="s">
        <v>105</v>
      </c>
      <c r="F602" s="11">
        <v>85</v>
      </c>
      <c r="G602" s="11" t="s">
        <v>73</v>
      </c>
      <c r="H602" s="85"/>
      <c r="I602" s="11" t="s">
        <v>73</v>
      </c>
      <c r="K602" s="108">
        <f t="shared" si="68"/>
        <v>0</v>
      </c>
    </row>
    <row r="603" spans="3:11" x14ac:dyDescent="0.35">
      <c r="C603" s="8"/>
      <c r="D603" s="177" t="s">
        <v>42</v>
      </c>
      <c r="E603" s="161" t="s">
        <v>95</v>
      </c>
      <c r="F603" s="9">
        <v>15</v>
      </c>
      <c r="G603" s="9" t="s">
        <v>73</v>
      </c>
      <c r="H603" s="84"/>
      <c r="I603" s="9" t="s">
        <v>73</v>
      </c>
      <c r="K603" s="108">
        <f t="shared" si="68"/>
        <v>0</v>
      </c>
    </row>
    <row r="604" spans="3:11" x14ac:dyDescent="0.35">
      <c r="C604" s="10"/>
      <c r="D604" s="176"/>
      <c r="E604" s="25" t="s">
        <v>769</v>
      </c>
      <c r="F604" s="13">
        <v>15</v>
      </c>
      <c r="G604" s="13" t="s">
        <v>73</v>
      </c>
      <c r="H604" s="12"/>
      <c r="I604" s="13"/>
      <c r="K604" s="187">
        <f t="shared" si="68"/>
        <v>0</v>
      </c>
    </row>
    <row r="605" spans="3:11" x14ac:dyDescent="0.35">
      <c r="C605" s="8"/>
      <c r="D605" s="177" t="s">
        <v>521</v>
      </c>
      <c r="E605" s="31" t="s">
        <v>906</v>
      </c>
      <c r="F605" s="9">
        <v>200</v>
      </c>
      <c r="G605" s="9" t="s">
        <v>73</v>
      </c>
      <c r="H605" s="84"/>
      <c r="I605" s="9" t="s">
        <v>73</v>
      </c>
      <c r="K605" s="108">
        <f t="shared" si="68"/>
        <v>0</v>
      </c>
    </row>
    <row r="606" spans="3:11" x14ac:dyDescent="0.35">
      <c r="C606" s="10"/>
      <c r="D606" s="176"/>
      <c r="E606" s="26" t="s">
        <v>770</v>
      </c>
      <c r="F606" s="13">
        <v>30</v>
      </c>
      <c r="G606" s="13" t="s">
        <v>73</v>
      </c>
      <c r="H606" s="27"/>
      <c r="I606" s="13"/>
      <c r="J606" s="117"/>
      <c r="K606" s="187">
        <f t="shared" si="68"/>
        <v>0</v>
      </c>
    </row>
    <row r="607" spans="3:11" x14ac:dyDescent="0.35">
      <c r="C607" s="8"/>
      <c r="D607" s="177" t="s">
        <v>537</v>
      </c>
      <c r="E607" s="30" t="s">
        <v>771</v>
      </c>
      <c r="F607" s="9">
        <v>1</v>
      </c>
      <c r="G607" s="9" t="s">
        <v>73</v>
      </c>
      <c r="H607" s="84"/>
      <c r="I607" s="9" t="s">
        <v>73</v>
      </c>
      <c r="K607" s="108">
        <f t="shared" si="68"/>
        <v>0</v>
      </c>
    </row>
    <row r="608" spans="3:11" ht="15" thickBot="1" x14ac:dyDescent="0.4">
      <c r="C608" s="10"/>
      <c r="D608" s="522"/>
      <c r="E608" s="115" t="s">
        <v>81</v>
      </c>
      <c r="F608" s="98">
        <v>100</v>
      </c>
      <c r="G608" s="98" t="s">
        <v>73</v>
      </c>
      <c r="H608" s="116"/>
      <c r="I608" s="98"/>
      <c r="K608" s="195">
        <f t="shared" si="68"/>
        <v>0</v>
      </c>
    </row>
    <row r="609" spans="1:11" ht="15.5" thickTop="1" thickBot="1" x14ac:dyDescent="0.4">
      <c r="A609" s="120"/>
      <c r="B609" s="120"/>
      <c r="C609" s="200"/>
      <c r="D609" s="523"/>
      <c r="E609" s="199"/>
      <c r="F609" s="199"/>
      <c r="G609" s="199"/>
      <c r="H609" s="199"/>
      <c r="I609" s="200"/>
      <c r="J609" s="120"/>
      <c r="K609" s="194"/>
    </row>
    <row r="610" spans="1:11" ht="15" thickTop="1" x14ac:dyDescent="0.35">
      <c r="A610" s="122">
        <f>IFERROR(INDEX($N$8:$N$50,MATCH(B610,$O$8:$O$50, 0)), "")</f>
        <v>0</v>
      </c>
      <c r="B610" s="123" t="s">
        <v>1252</v>
      </c>
      <c r="C610" s="198" t="s">
        <v>920</v>
      </c>
      <c r="D610" s="179" t="s">
        <v>47</v>
      </c>
      <c r="E610" s="10" t="s">
        <v>740</v>
      </c>
      <c r="F610" s="11">
        <v>3</v>
      </c>
      <c r="G610" s="11" t="s">
        <v>73</v>
      </c>
      <c r="H610" s="11">
        <v>3</v>
      </c>
      <c r="I610" s="11" t="s">
        <v>73</v>
      </c>
      <c r="K610" s="108">
        <f>$A$610*H610</f>
        <v>0</v>
      </c>
    </row>
    <row r="611" spans="1:11" x14ac:dyDescent="0.35">
      <c r="C611" s="8"/>
      <c r="D611" s="177" t="s">
        <v>49</v>
      </c>
      <c r="E611" s="8" t="s">
        <v>916</v>
      </c>
      <c r="F611" s="9">
        <v>8</v>
      </c>
      <c r="G611" s="9" t="s">
        <v>73</v>
      </c>
      <c r="H611" s="9">
        <v>8</v>
      </c>
      <c r="I611" s="9" t="s">
        <v>73</v>
      </c>
      <c r="K611" s="108">
        <f t="shared" ref="K611:K624" si="69">$A$610*H611</f>
        <v>0</v>
      </c>
    </row>
    <row r="612" spans="1:11" x14ac:dyDescent="0.35">
      <c r="C612" s="10"/>
      <c r="D612" s="177" t="s">
        <v>50</v>
      </c>
      <c r="E612" s="10" t="s">
        <v>917</v>
      </c>
      <c r="F612" s="11">
        <v>40</v>
      </c>
      <c r="G612" s="11" t="s">
        <v>73</v>
      </c>
      <c r="H612" s="11">
        <v>40</v>
      </c>
      <c r="I612" s="11" t="s">
        <v>73</v>
      </c>
      <c r="K612" s="108">
        <f t="shared" si="69"/>
        <v>0</v>
      </c>
    </row>
    <row r="613" spans="1:11" x14ac:dyDescent="0.35">
      <c r="C613" s="8"/>
      <c r="D613" s="177" t="s">
        <v>371</v>
      </c>
      <c r="E613" s="8" t="s">
        <v>918</v>
      </c>
      <c r="F613" s="9">
        <v>20</v>
      </c>
      <c r="G613" s="9" t="s">
        <v>73</v>
      </c>
      <c r="H613" s="9">
        <v>20</v>
      </c>
      <c r="I613" s="9" t="s">
        <v>73</v>
      </c>
      <c r="K613" s="108">
        <f t="shared" si="69"/>
        <v>0</v>
      </c>
    </row>
    <row r="614" spans="1:11" x14ac:dyDescent="0.35">
      <c r="C614" s="10"/>
      <c r="D614" s="177" t="s">
        <v>379</v>
      </c>
      <c r="E614" s="10" t="s">
        <v>919</v>
      </c>
      <c r="F614" s="11">
        <v>10</v>
      </c>
      <c r="G614" s="11" t="s">
        <v>73</v>
      </c>
      <c r="H614" s="11">
        <v>10</v>
      </c>
      <c r="I614" s="11" t="s">
        <v>73</v>
      </c>
      <c r="K614" s="108">
        <f t="shared" si="69"/>
        <v>0</v>
      </c>
    </row>
    <row r="615" spans="1:11" x14ac:dyDescent="0.35">
      <c r="C615" s="8"/>
      <c r="D615" s="177" t="s">
        <v>505</v>
      </c>
      <c r="E615" s="8" t="s">
        <v>722</v>
      </c>
      <c r="F615" s="9">
        <v>0.5</v>
      </c>
      <c r="G615" s="9" t="s">
        <v>73</v>
      </c>
      <c r="H615" s="9">
        <v>0.5</v>
      </c>
      <c r="I615" s="9" t="s">
        <v>73</v>
      </c>
      <c r="K615" s="108">
        <f t="shared" si="69"/>
        <v>0</v>
      </c>
    </row>
    <row r="616" spans="1:11" x14ac:dyDescent="0.35">
      <c r="C616" s="10"/>
      <c r="D616" s="177" t="s">
        <v>41</v>
      </c>
      <c r="E616" s="10" t="s">
        <v>911</v>
      </c>
      <c r="F616" s="11">
        <v>2</v>
      </c>
      <c r="G616" s="11" t="s">
        <v>73</v>
      </c>
      <c r="H616" s="11">
        <v>2</v>
      </c>
      <c r="I616" s="11" t="s">
        <v>73</v>
      </c>
      <c r="K616" s="108">
        <f t="shared" si="69"/>
        <v>0</v>
      </c>
    </row>
    <row r="617" spans="1:11" x14ac:dyDescent="0.35">
      <c r="C617" s="8"/>
      <c r="D617" s="177" t="s">
        <v>127</v>
      </c>
      <c r="E617" s="8" t="s">
        <v>912</v>
      </c>
      <c r="F617" s="9">
        <v>28</v>
      </c>
      <c r="G617" s="9" t="s">
        <v>73</v>
      </c>
      <c r="H617" s="9">
        <v>28</v>
      </c>
      <c r="I617" s="9" t="s">
        <v>73</v>
      </c>
      <c r="K617" s="108">
        <f t="shared" si="69"/>
        <v>0</v>
      </c>
    </row>
    <row r="618" spans="1:11" x14ac:dyDescent="0.35">
      <c r="C618" s="10"/>
      <c r="D618" s="177" t="s">
        <v>549</v>
      </c>
      <c r="E618" s="10" t="s">
        <v>915</v>
      </c>
      <c r="F618" s="11">
        <v>165</v>
      </c>
      <c r="G618" s="11" t="s">
        <v>73</v>
      </c>
      <c r="H618" s="11">
        <v>165</v>
      </c>
      <c r="I618" s="11" t="s">
        <v>73</v>
      </c>
      <c r="K618" s="108">
        <f t="shared" si="69"/>
        <v>0</v>
      </c>
    </row>
    <row r="619" spans="1:11" x14ac:dyDescent="0.35">
      <c r="C619" s="8"/>
      <c r="D619" s="177" t="s">
        <v>63</v>
      </c>
      <c r="E619" s="8" t="s">
        <v>921</v>
      </c>
      <c r="F619" s="9">
        <v>70</v>
      </c>
      <c r="G619" s="9" t="s">
        <v>73</v>
      </c>
      <c r="H619" s="9">
        <v>70</v>
      </c>
      <c r="I619" s="9" t="s">
        <v>73</v>
      </c>
      <c r="K619" s="108">
        <f t="shared" si="69"/>
        <v>0</v>
      </c>
    </row>
    <row r="620" spans="1:11" x14ac:dyDescent="0.35">
      <c r="C620" s="10"/>
      <c r="D620" s="176"/>
      <c r="E620" s="25" t="s">
        <v>769</v>
      </c>
      <c r="F620" s="13">
        <v>15</v>
      </c>
      <c r="G620" s="13" t="s">
        <v>73</v>
      </c>
      <c r="H620" s="27"/>
      <c r="I620" s="13"/>
      <c r="J620" s="117"/>
      <c r="K620" s="187"/>
    </row>
    <row r="621" spans="1:11" x14ac:dyDescent="0.35">
      <c r="C621" s="8"/>
      <c r="D621" s="177" t="s">
        <v>521</v>
      </c>
      <c r="E621" s="31" t="s">
        <v>906</v>
      </c>
      <c r="F621" s="9">
        <v>200</v>
      </c>
      <c r="G621" s="9" t="s">
        <v>73</v>
      </c>
      <c r="H621" s="84"/>
      <c r="I621" s="9" t="s">
        <v>73</v>
      </c>
      <c r="K621" s="108">
        <f t="shared" si="69"/>
        <v>0</v>
      </c>
    </row>
    <row r="622" spans="1:11" x14ac:dyDescent="0.35">
      <c r="C622" s="10"/>
      <c r="D622" s="176"/>
      <c r="E622" s="26" t="s">
        <v>770</v>
      </c>
      <c r="F622" s="13">
        <v>30</v>
      </c>
      <c r="G622" s="13" t="s">
        <v>73</v>
      </c>
      <c r="H622" s="27"/>
      <c r="I622" s="13"/>
      <c r="J622" s="117"/>
      <c r="K622" s="187"/>
    </row>
    <row r="623" spans="1:11" x14ac:dyDescent="0.35">
      <c r="C623" s="8"/>
      <c r="D623" s="177" t="s">
        <v>537</v>
      </c>
      <c r="E623" s="30" t="s">
        <v>771</v>
      </c>
      <c r="F623" s="9">
        <v>1</v>
      </c>
      <c r="G623" s="9" t="s">
        <v>73</v>
      </c>
      <c r="H623" s="84"/>
      <c r="I623" s="9" t="s">
        <v>73</v>
      </c>
      <c r="K623" s="108">
        <f t="shared" si="69"/>
        <v>0</v>
      </c>
    </row>
    <row r="624" spans="1:11" ht="15" thickBot="1" x14ac:dyDescent="0.4">
      <c r="C624" s="10"/>
      <c r="D624" s="522"/>
      <c r="E624" s="115" t="s">
        <v>81</v>
      </c>
      <c r="F624" s="98">
        <v>100</v>
      </c>
      <c r="G624" s="98" t="s">
        <v>73</v>
      </c>
      <c r="H624" s="116"/>
      <c r="I624" s="98"/>
      <c r="K624" s="195">
        <f t="shared" si="69"/>
        <v>0</v>
      </c>
    </row>
    <row r="625" spans="1:11" ht="15.5" thickTop="1" thickBot="1" x14ac:dyDescent="0.4">
      <c r="A625" s="120"/>
      <c r="B625" s="120"/>
      <c r="C625" s="120"/>
      <c r="D625" s="519"/>
      <c r="E625" s="120"/>
      <c r="F625" s="194"/>
      <c r="G625" s="120"/>
      <c r="H625" s="120"/>
      <c r="I625" s="120"/>
      <c r="J625" s="120"/>
      <c r="K625" s="120"/>
    </row>
    <row r="626" spans="1:11" ht="15" thickTop="1" x14ac:dyDescent="0.35">
      <c r="A626" s="122">
        <f>IFERROR(INDEX($N$8:$N$50,MATCH(B626,$O$8:$O$50, 0)), "")</f>
        <v>0</v>
      </c>
      <c r="B626" s="123" t="s">
        <v>1253</v>
      </c>
      <c r="C626" s="198" t="s">
        <v>825</v>
      </c>
      <c r="D626" s="521"/>
      <c r="E626" s="12" t="s">
        <v>826</v>
      </c>
      <c r="F626" s="27"/>
      <c r="G626" s="27"/>
      <c r="H626" s="12"/>
      <c r="I626" s="12"/>
      <c r="J626" s="117"/>
      <c r="K626" s="117"/>
    </row>
    <row r="627" spans="1:11" x14ac:dyDescent="0.35">
      <c r="C627" s="8"/>
      <c r="D627" s="177" t="s">
        <v>473</v>
      </c>
      <c r="E627" s="23" t="s">
        <v>827</v>
      </c>
      <c r="F627" s="84">
        <v>70</v>
      </c>
      <c r="G627" s="84" t="s">
        <v>73</v>
      </c>
      <c r="H627" s="84">
        <v>70</v>
      </c>
      <c r="I627" s="84" t="s">
        <v>73</v>
      </c>
      <c r="K627" s="108">
        <f>$A$626*H627</f>
        <v>0</v>
      </c>
    </row>
    <row r="628" spans="1:11" x14ac:dyDescent="0.35">
      <c r="C628" s="10"/>
      <c r="D628" s="177" t="s">
        <v>511</v>
      </c>
      <c r="E628" s="10" t="s">
        <v>512</v>
      </c>
      <c r="F628" s="85">
        <v>15</v>
      </c>
      <c r="G628" s="85" t="s">
        <v>73</v>
      </c>
      <c r="H628" s="85">
        <v>15</v>
      </c>
      <c r="I628" s="85" t="s">
        <v>73</v>
      </c>
      <c r="K628" s="108">
        <f t="shared" ref="K628:K656" si="70">$A$626*H628</f>
        <v>0</v>
      </c>
    </row>
    <row r="629" spans="1:11" x14ac:dyDescent="0.35">
      <c r="C629" s="8"/>
      <c r="D629" s="177" t="s">
        <v>640</v>
      </c>
      <c r="E629" s="8" t="s">
        <v>641</v>
      </c>
      <c r="F629" s="84">
        <v>45</v>
      </c>
      <c r="G629" s="84" t="s">
        <v>73</v>
      </c>
      <c r="H629" s="84">
        <v>45</v>
      </c>
      <c r="I629" s="84" t="s">
        <v>73</v>
      </c>
      <c r="K629" s="108">
        <f t="shared" si="70"/>
        <v>0</v>
      </c>
    </row>
    <row r="630" spans="1:11" x14ac:dyDescent="0.35">
      <c r="C630" s="10"/>
      <c r="D630" s="176"/>
      <c r="E630" s="12" t="s">
        <v>725</v>
      </c>
      <c r="F630" s="27"/>
      <c r="G630" s="27" t="s">
        <v>73</v>
      </c>
      <c r="H630" s="12"/>
      <c r="I630" s="27"/>
      <c r="J630" s="117"/>
      <c r="K630" s="187">
        <f t="shared" si="70"/>
        <v>0</v>
      </c>
    </row>
    <row r="631" spans="1:11" x14ac:dyDescent="0.35">
      <c r="C631" s="8"/>
      <c r="D631" s="177" t="s">
        <v>521</v>
      </c>
      <c r="E631" s="31" t="s">
        <v>831</v>
      </c>
      <c r="F631" s="84">
        <v>20</v>
      </c>
      <c r="G631" s="84" t="s">
        <v>73</v>
      </c>
      <c r="H631" s="84">
        <v>20</v>
      </c>
      <c r="I631" s="84" t="s">
        <v>73</v>
      </c>
      <c r="K631" s="108">
        <f t="shared" si="70"/>
        <v>0</v>
      </c>
    </row>
    <row r="632" spans="1:11" x14ac:dyDescent="0.35">
      <c r="C632" s="10"/>
      <c r="D632" s="176"/>
      <c r="E632" s="12" t="s">
        <v>10</v>
      </c>
      <c r="F632" s="27">
        <v>1.5</v>
      </c>
      <c r="G632" s="27" t="s">
        <v>73</v>
      </c>
      <c r="H632" s="12"/>
      <c r="I632" s="27"/>
      <c r="K632" s="108">
        <f t="shared" si="70"/>
        <v>0</v>
      </c>
    </row>
    <row r="633" spans="1:11" x14ac:dyDescent="0.35">
      <c r="C633" s="8"/>
      <c r="D633" s="177" t="s">
        <v>43</v>
      </c>
      <c r="E633" s="31" t="s">
        <v>105</v>
      </c>
      <c r="F633" s="84">
        <v>15</v>
      </c>
      <c r="G633" s="84" t="s">
        <v>73</v>
      </c>
      <c r="H633" s="84"/>
      <c r="I633" s="84" t="s">
        <v>73</v>
      </c>
      <c r="K633" s="108">
        <f t="shared" si="70"/>
        <v>0</v>
      </c>
    </row>
    <row r="634" spans="1:11" ht="15" thickBot="1" x14ac:dyDescent="0.4">
      <c r="C634" s="10"/>
      <c r="D634" s="178" t="s">
        <v>42</v>
      </c>
      <c r="E634" s="17" t="s">
        <v>95</v>
      </c>
      <c r="F634" s="85">
        <v>85</v>
      </c>
      <c r="G634" s="85" t="s">
        <v>73</v>
      </c>
      <c r="H634" s="85"/>
      <c r="I634" s="85" t="s">
        <v>73</v>
      </c>
      <c r="K634" s="108">
        <f t="shared" si="70"/>
        <v>0</v>
      </c>
    </row>
    <row r="635" spans="1:11" ht="15.5" thickTop="1" thickBot="1" x14ac:dyDescent="0.4">
      <c r="A635" s="120"/>
      <c r="B635" s="120"/>
      <c r="C635" s="200"/>
      <c r="D635" s="523"/>
      <c r="E635" s="199"/>
      <c r="F635" s="201"/>
      <c r="G635" s="199"/>
      <c r="H635" s="199"/>
      <c r="I635" s="199"/>
      <c r="K635" s="108">
        <f t="shared" si="70"/>
        <v>0</v>
      </c>
    </row>
    <row r="636" spans="1:11" ht="15" thickTop="1" x14ac:dyDescent="0.35">
      <c r="A636" s="122">
        <f>IFERROR(INDEX($N$8:$N$50,MATCH(B636,$O$8:$O$50, 0)), "")</f>
        <v>0</v>
      </c>
      <c r="B636" s="123" t="s">
        <v>1254</v>
      </c>
      <c r="C636" s="198" t="s">
        <v>829</v>
      </c>
      <c r="D636" s="179" t="s">
        <v>203</v>
      </c>
      <c r="E636" s="10" t="s">
        <v>204</v>
      </c>
      <c r="F636" s="85">
        <v>11</v>
      </c>
      <c r="G636" s="85" t="s">
        <v>73</v>
      </c>
      <c r="H636" s="85">
        <v>11</v>
      </c>
      <c r="I636" s="85" t="s">
        <v>73</v>
      </c>
      <c r="K636" s="108">
        <f t="shared" si="70"/>
        <v>0</v>
      </c>
    </row>
    <row r="637" spans="1:11" x14ac:dyDescent="0.35">
      <c r="C637" s="8"/>
      <c r="D637" s="176"/>
      <c r="E637" s="12" t="s">
        <v>826</v>
      </c>
      <c r="F637" s="27"/>
      <c r="G637" s="27" t="s">
        <v>73</v>
      </c>
      <c r="H637" s="27"/>
      <c r="I637" s="27"/>
      <c r="K637" s="108">
        <f t="shared" si="70"/>
        <v>0</v>
      </c>
    </row>
    <row r="638" spans="1:11" x14ac:dyDescent="0.35">
      <c r="C638" s="10"/>
      <c r="D638" s="177" t="s">
        <v>473</v>
      </c>
      <c r="E638" s="17" t="s">
        <v>827</v>
      </c>
      <c r="F638" s="85">
        <v>70</v>
      </c>
      <c r="G638" s="85" t="s">
        <v>73</v>
      </c>
      <c r="H638" s="85">
        <v>70</v>
      </c>
      <c r="I638" s="85" t="s">
        <v>73</v>
      </c>
      <c r="K638" s="108">
        <f t="shared" si="70"/>
        <v>0</v>
      </c>
    </row>
    <row r="639" spans="1:11" x14ac:dyDescent="0.35">
      <c r="C639" s="8"/>
      <c r="D639" s="177" t="s">
        <v>511</v>
      </c>
      <c r="E639" s="8" t="s">
        <v>512</v>
      </c>
      <c r="F639" s="84">
        <v>15</v>
      </c>
      <c r="G639" s="84" t="s">
        <v>73</v>
      </c>
      <c r="H639" s="84">
        <v>15</v>
      </c>
      <c r="I639" s="84" t="s">
        <v>73</v>
      </c>
      <c r="K639" s="108">
        <f t="shared" si="70"/>
        <v>0</v>
      </c>
    </row>
    <row r="640" spans="1:11" x14ac:dyDescent="0.35">
      <c r="C640" s="10"/>
      <c r="D640" s="177" t="s">
        <v>640</v>
      </c>
      <c r="E640" s="10" t="s">
        <v>641</v>
      </c>
      <c r="F640" s="85">
        <v>45</v>
      </c>
      <c r="G640" s="85" t="s">
        <v>73</v>
      </c>
      <c r="H640" s="85">
        <v>45</v>
      </c>
      <c r="I640" s="85" t="s">
        <v>73</v>
      </c>
      <c r="K640" s="108">
        <f t="shared" si="70"/>
        <v>0</v>
      </c>
    </row>
    <row r="641" spans="1:11" x14ac:dyDescent="0.35">
      <c r="C641" s="8"/>
      <c r="D641" s="176"/>
      <c r="E641" s="12" t="s">
        <v>725</v>
      </c>
      <c r="F641" s="27"/>
      <c r="G641" s="27"/>
      <c r="H641" s="27"/>
      <c r="I641" s="27"/>
      <c r="K641" s="108">
        <f t="shared" si="70"/>
        <v>0</v>
      </c>
    </row>
    <row r="642" spans="1:11" x14ac:dyDescent="0.35">
      <c r="C642" s="10"/>
      <c r="D642" s="177" t="s">
        <v>521</v>
      </c>
      <c r="E642" s="17" t="s">
        <v>831</v>
      </c>
      <c r="F642" s="85">
        <v>20</v>
      </c>
      <c r="G642" s="85" t="s">
        <v>73</v>
      </c>
      <c r="H642" s="85">
        <v>20</v>
      </c>
      <c r="I642" s="85" t="s">
        <v>73</v>
      </c>
      <c r="K642" s="108">
        <f t="shared" si="70"/>
        <v>0</v>
      </c>
    </row>
    <row r="643" spans="1:11" x14ac:dyDescent="0.35">
      <c r="C643" s="8"/>
      <c r="D643" s="176"/>
      <c r="E643" s="12" t="s">
        <v>10</v>
      </c>
      <c r="F643" s="27">
        <v>1.5</v>
      </c>
      <c r="G643" s="27" t="s">
        <v>73</v>
      </c>
      <c r="H643" s="27"/>
      <c r="I643" s="27"/>
      <c r="K643" s="108">
        <f t="shared" si="70"/>
        <v>0</v>
      </c>
    </row>
    <row r="644" spans="1:11" x14ac:dyDescent="0.35">
      <c r="C644" s="10"/>
      <c r="D644" s="177" t="s">
        <v>43</v>
      </c>
      <c r="E644" s="17" t="s">
        <v>105</v>
      </c>
      <c r="F644" s="85">
        <v>15</v>
      </c>
      <c r="G644" s="85" t="s">
        <v>73</v>
      </c>
      <c r="H644" s="85"/>
      <c r="I644" s="85" t="s">
        <v>73</v>
      </c>
      <c r="K644" s="108">
        <f t="shared" si="70"/>
        <v>0</v>
      </c>
    </row>
    <row r="645" spans="1:11" ht="15" thickBot="1" x14ac:dyDescent="0.4">
      <c r="C645" s="8"/>
      <c r="D645" s="178" t="s">
        <v>42</v>
      </c>
      <c r="E645" s="31" t="s">
        <v>95</v>
      </c>
      <c r="F645" s="84">
        <v>85</v>
      </c>
      <c r="G645" s="84" t="s">
        <v>73</v>
      </c>
      <c r="H645" s="84"/>
      <c r="I645" s="84" t="s">
        <v>73</v>
      </c>
      <c r="K645" s="108">
        <f t="shared" si="70"/>
        <v>0</v>
      </c>
    </row>
    <row r="646" spans="1:11" ht="15.5" thickTop="1" thickBot="1" x14ac:dyDescent="0.4">
      <c r="A646" s="120"/>
      <c r="B646" s="120"/>
      <c r="C646" s="200"/>
      <c r="D646" s="523"/>
      <c r="E646" s="199"/>
      <c r="F646" s="201"/>
      <c r="G646" s="199"/>
      <c r="H646" s="199"/>
      <c r="I646" s="199"/>
      <c r="K646" s="108">
        <f t="shared" si="70"/>
        <v>0</v>
      </c>
    </row>
    <row r="647" spans="1:11" ht="15" thickTop="1" x14ac:dyDescent="0.35">
      <c r="A647" s="122">
        <f>IFERROR(INDEX($N$8:$N$50,MATCH(B647,$O$8:$O$50, 0)), "")</f>
        <v>0</v>
      </c>
      <c r="B647" s="123" t="s">
        <v>1255</v>
      </c>
      <c r="C647" s="198" t="s">
        <v>830</v>
      </c>
      <c r="D647" s="179" t="s">
        <v>207</v>
      </c>
      <c r="E647" s="8" t="s">
        <v>208</v>
      </c>
      <c r="F647" s="84">
        <v>11</v>
      </c>
      <c r="G647" s="84" t="s">
        <v>73</v>
      </c>
      <c r="H647" s="84">
        <v>11</v>
      </c>
      <c r="I647" s="84" t="s">
        <v>73</v>
      </c>
      <c r="K647" s="108">
        <f t="shared" si="70"/>
        <v>0</v>
      </c>
    </row>
    <row r="648" spans="1:11" x14ac:dyDescent="0.35">
      <c r="C648" s="10"/>
      <c r="D648" s="176"/>
      <c r="E648" s="12" t="s">
        <v>826</v>
      </c>
      <c r="F648" s="27"/>
      <c r="G648" s="27"/>
      <c r="H648" s="27"/>
      <c r="I648" s="27"/>
      <c r="K648" s="108">
        <f t="shared" si="70"/>
        <v>0</v>
      </c>
    </row>
    <row r="649" spans="1:11" x14ac:dyDescent="0.35">
      <c r="C649" s="8"/>
      <c r="D649" s="177" t="s">
        <v>473</v>
      </c>
      <c r="E649" s="31" t="s">
        <v>827</v>
      </c>
      <c r="F649" s="84">
        <v>70</v>
      </c>
      <c r="G649" s="84" t="s">
        <v>73</v>
      </c>
      <c r="H649" s="84">
        <v>70</v>
      </c>
      <c r="I649" s="84" t="s">
        <v>73</v>
      </c>
      <c r="K649" s="108">
        <f t="shared" si="70"/>
        <v>0</v>
      </c>
    </row>
    <row r="650" spans="1:11" x14ac:dyDescent="0.35">
      <c r="C650" s="10"/>
      <c r="D650" s="177" t="s">
        <v>511</v>
      </c>
      <c r="E650" s="10" t="s">
        <v>512</v>
      </c>
      <c r="F650" s="85">
        <v>15</v>
      </c>
      <c r="G650" s="85" t="s">
        <v>73</v>
      </c>
      <c r="H650" s="85">
        <v>15</v>
      </c>
      <c r="I650" s="85" t="s">
        <v>73</v>
      </c>
      <c r="K650" s="108">
        <f t="shared" si="70"/>
        <v>0</v>
      </c>
    </row>
    <row r="651" spans="1:11" x14ac:dyDescent="0.35">
      <c r="C651" s="8"/>
      <c r="D651" s="177" t="s">
        <v>640</v>
      </c>
      <c r="E651" s="8" t="s">
        <v>641</v>
      </c>
      <c r="F651" s="84">
        <v>45</v>
      </c>
      <c r="G651" s="84" t="s">
        <v>73</v>
      </c>
      <c r="H651" s="84">
        <v>45</v>
      </c>
      <c r="I651" s="84" t="s">
        <v>73</v>
      </c>
      <c r="K651" s="108">
        <f t="shared" si="70"/>
        <v>0</v>
      </c>
    </row>
    <row r="652" spans="1:11" x14ac:dyDescent="0.35">
      <c r="C652" s="10"/>
      <c r="D652" s="176"/>
      <c r="E652" s="12" t="s">
        <v>725</v>
      </c>
      <c r="F652" s="27"/>
      <c r="G652" s="27"/>
      <c r="H652" s="27"/>
      <c r="I652" s="27"/>
      <c r="K652" s="108">
        <f t="shared" si="70"/>
        <v>0</v>
      </c>
    </row>
    <row r="653" spans="1:11" x14ac:dyDescent="0.35">
      <c r="C653" s="8"/>
      <c r="D653" s="177" t="s">
        <v>521</v>
      </c>
      <c r="E653" s="31" t="s">
        <v>831</v>
      </c>
      <c r="F653" s="84">
        <v>20</v>
      </c>
      <c r="G653" s="84" t="s">
        <v>73</v>
      </c>
      <c r="H653" s="84">
        <v>20</v>
      </c>
      <c r="I653" s="84" t="s">
        <v>73</v>
      </c>
      <c r="K653" s="108">
        <f t="shared" si="70"/>
        <v>0</v>
      </c>
    </row>
    <row r="654" spans="1:11" x14ac:dyDescent="0.35">
      <c r="C654" s="10"/>
      <c r="D654" s="176"/>
      <c r="E654" s="12" t="s">
        <v>10</v>
      </c>
      <c r="F654" s="27">
        <v>1.5</v>
      </c>
      <c r="G654" s="27" t="s">
        <v>73</v>
      </c>
      <c r="H654" s="27"/>
      <c r="I654" s="27"/>
      <c r="K654" s="108">
        <f t="shared" si="70"/>
        <v>0</v>
      </c>
    </row>
    <row r="655" spans="1:11" x14ac:dyDescent="0.35">
      <c r="C655" s="8"/>
      <c r="D655" s="177" t="s">
        <v>43</v>
      </c>
      <c r="E655" s="31" t="s">
        <v>105</v>
      </c>
      <c r="F655" s="84">
        <v>15</v>
      </c>
      <c r="G655" s="84" t="s">
        <v>73</v>
      </c>
      <c r="H655" s="84"/>
      <c r="I655" s="84" t="s">
        <v>73</v>
      </c>
      <c r="K655" s="108">
        <f t="shared" si="70"/>
        <v>0</v>
      </c>
    </row>
    <row r="656" spans="1:11" ht="15" thickBot="1" x14ac:dyDescent="0.4">
      <c r="C656" s="10"/>
      <c r="D656" s="178" t="s">
        <v>42</v>
      </c>
      <c r="E656" s="17" t="s">
        <v>95</v>
      </c>
      <c r="F656" s="85">
        <v>85</v>
      </c>
      <c r="G656" s="85" t="s">
        <v>73</v>
      </c>
      <c r="H656" s="85"/>
      <c r="I656" s="85" t="s">
        <v>73</v>
      </c>
      <c r="K656" s="108">
        <f t="shared" si="70"/>
        <v>0</v>
      </c>
    </row>
    <row r="657" spans="1:11" ht="15" thickTop="1" x14ac:dyDescent="0.35">
      <c r="A657" s="120"/>
      <c r="B657" s="120"/>
      <c r="C657" s="120"/>
      <c r="D657" s="519"/>
      <c r="E657" s="120"/>
      <c r="F657" s="194"/>
      <c r="G657" s="120"/>
      <c r="H657" s="120"/>
      <c r="I657" s="120"/>
      <c r="J657" s="120"/>
      <c r="K657" s="120"/>
    </row>
    <row r="658" spans="1:11" x14ac:dyDescent="0.35">
      <c r="D658" s="180"/>
      <c r="F658" s="108"/>
    </row>
    <row r="659" spans="1:11" x14ac:dyDescent="0.35">
      <c r="D659" s="180"/>
      <c r="F659" s="108"/>
    </row>
    <row r="660" spans="1:11" x14ac:dyDescent="0.35">
      <c r="D660" s="180"/>
      <c r="F660" s="108"/>
    </row>
    <row r="661" spans="1:11" x14ac:dyDescent="0.35">
      <c r="D661" s="180"/>
      <c r="F661" s="108"/>
    </row>
    <row r="662" spans="1:11" x14ac:dyDescent="0.35">
      <c r="D662" s="180"/>
      <c r="F662" s="108"/>
    </row>
    <row r="663" spans="1:11" x14ac:dyDescent="0.35">
      <c r="D663" s="180"/>
      <c r="F663" s="108"/>
    </row>
    <row r="664" spans="1:11" x14ac:dyDescent="0.35">
      <c r="D664" s="180"/>
      <c r="F664" s="108"/>
    </row>
    <row r="665" spans="1:11" x14ac:dyDescent="0.35">
      <c r="D665" s="180"/>
      <c r="F665" s="108"/>
    </row>
    <row r="666" spans="1:11" x14ac:dyDescent="0.35">
      <c r="D666" s="180"/>
      <c r="F666" s="108"/>
    </row>
    <row r="667" spans="1:11" x14ac:dyDescent="0.35">
      <c r="D667" s="180"/>
      <c r="F667" s="108"/>
    </row>
    <row r="668" spans="1:11" x14ac:dyDescent="0.35">
      <c r="D668" s="180"/>
      <c r="F668" s="108"/>
    </row>
    <row r="669" spans="1:11" x14ac:dyDescent="0.35">
      <c r="D669" s="180"/>
      <c r="F669" s="108"/>
    </row>
    <row r="670" spans="1:11" x14ac:dyDescent="0.35">
      <c r="D670" s="180"/>
      <c r="F670" s="108"/>
    </row>
    <row r="671" spans="1:11" x14ac:dyDescent="0.35">
      <c r="D671" s="180"/>
      <c r="F671" s="108"/>
    </row>
    <row r="672" spans="1:11" x14ac:dyDescent="0.35">
      <c r="D672" s="180"/>
      <c r="F672" s="108"/>
    </row>
    <row r="673" spans="4:6" x14ac:dyDescent="0.35">
      <c r="D673" s="180"/>
      <c r="F673" s="108"/>
    </row>
    <row r="674" spans="4:6" x14ac:dyDescent="0.35">
      <c r="D674" s="180"/>
      <c r="F674" s="108"/>
    </row>
    <row r="675" spans="4:6" x14ac:dyDescent="0.35">
      <c r="D675" s="180"/>
      <c r="F675" s="108"/>
    </row>
    <row r="676" spans="4:6" x14ac:dyDescent="0.35">
      <c r="D676" s="180"/>
      <c r="F676" s="108"/>
    </row>
    <row r="677" spans="4:6" x14ac:dyDescent="0.35">
      <c r="D677" s="180"/>
      <c r="F677" s="108"/>
    </row>
    <row r="678" spans="4:6" x14ac:dyDescent="0.35">
      <c r="D678" s="180"/>
      <c r="F678" s="108"/>
    </row>
    <row r="679" spans="4:6" x14ac:dyDescent="0.35">
      <c r="D679" s="180"/>
      <c r="F679" s="108"/>
    </row>
    <row r="680" spans="4:6" x14ac:dyDescent="0.35">
      <c r="D680" s="180"/>
      <c r="F680" s="108"/>
    </row>
    <row r="681" spans="4:6" x14ac:dyDescent="0.35">
      <c r="D681" s="180"/>
      <c r="F681" s="108"/>
    </row>
    <row r="682" spans="4:6" x14ac:dyDescent="0.35">
      <c r="D682" s="180"/>
      <c r="F682" s="108"/>
    </row>
    <row r="683" spans="4:6" x14ac:dyDescent="0.35">
      <c r="D683" s="180"/>
      <c r="F683" s="108"/>
    </row>
    <row r="684" spans="4:6" x14ac:dyDescent="0.35">
      <c r="D684" s="180"/>
      <c r="F684" s="108"/>
    </row>
    <row r="685" spans="4:6" x14ac:dyDescent="0.35">
      <c r="D685" s="180"/>
      <c r="F685" s="108"/>
    </row>
    <row r="686" spans="4:6" x14ac:dyDescent="0.35">
      <c r="D686" s="180"/>
      <c r="F686" s="108"/>
    </row>
    <row r="687" spans="4:6" x14ac:dyDescent="0.35">
      <c r="D687" s="180"/>
      <c r="F687" s="108"/>
    </row>
    <row r="688" spans="4:6" x14ac:dyDescent="0.35">
      <c r="D688" s="180"/>
      <c r="F688" s="108"/>
    </row>
    <row r="689" spans="4:6" x14ac:dyDescent="0.35">
      <c r="D689" s="180"/>
      <c r="F689" s="108"/>
    </row>
    <row r="690" spans="4:6" x14ac:dyDescent="0.35">
      <c r="D690" s="180"/>
      <c r="F690" s="108"/>
    </row>
    <row r="691" spans="4:6" x14ac:dyDescent="0.35">
      <c r="D691" s="180"/>
      <c r="F691" s="108"/>
    </row>
    <row r="692" spans="4:6" x14ac:dyDescent="0.35">
      <c r="D692" s="180"/>
      <c r="F692" s="108"/>
    </row>
    <row r="693" spans="4:6" x14ac:dyDescent="0.35">
      <c r="D693" s="180"/>
      <c r="F693" s="108"/>
    </row>
    <row r="694" spans="4:6" x14ac:dyDescent="0.35">
      <c r="D694" s="180"/>
      <c r="F694" s="108"/>
    </row>
    <row r="695" spans="4:6" x14ac:dyDescent="0.35">
      <c r="D695" s="180"/>
      <c r="F695" s="108"/>
    </row>
    <row r="696" spans="4:6" x14ac:dyDescent="0.35">
      <c r="D696" s="180"/>
      <c r="F696" s="108"/>
    </row>
    <row r="697" spans="4:6" x14ac:dyDescent="0.35">
      <c r="D697" s="180"/>
      <c r="F697" s="108"/>
    </row>
    <row r="698" spans="4:6" x14ac:dyDescent="0.35">
      <c r="D698" s="180"/>
      <c r="F698" s="108"/>
    </row>
    <row r="699" spans="4:6" x14ac:dyDescent="0.35">
      <c r="D699" s="180"/>
      <c r="F699" s="108"/>
    </row>
    <row r="700" spans="4:6" x14ac:dyDescent="0.35">
      <c r="D700" s="180"/>
      <c r="F700" s="108"/>
    </row>
    <row r="701" spans="4:6" x14ac:dyDescent="0.35">
      <c r="D701" s="180"/>
      <c r="F701" s="108"/>
    </row>
    <row r="702" spans="4:6" x14ac:dyDescent="0.35">
      <c r="D702" s="180"/>
      <c r="F702" s="108"/>
    </row>
    <row r="703" spans="4:6" x14ac:dyDescent="0.35">
      <c r="D703" s="180"/>
      <c r="F703" s="108"/>
    </row>
    <row r="704" spans="4:6" x14ac:dyDescent="0.35">
      <c r="D704" s="180"/>
      <c r="F704" s="108"/>
    </row>
    <row r="705" spans="4:6" x14ac:dyDescent="0.35">
      <c r="D705" s="180"/>
      <c r="F705" s="108"/>
    </row>
    <row r="706" spans="4:6" x14ac:dyDescent="0.35">
      <c r="D706" s="180"/>
      <c r="F706" s="108"/>
    </row>
    <row r="707" spans="4:6" x14ac:dyDescent="0.35">
      <c r="D707" s="180"/>
      <c r="F707" s="108"/>
    </row>
    <row r="708" spans="4:6" x14ac:dyDescent="0.35">
      <c r="D708" s="180"/>
      <c r="F708" s="108"/>
    </row>
    <row r="709" spans="4:6" x14ac:dyDescent="0.35">
      <c r="D709" s="180"/>
      <c r="F709" s="108"/>
    </row>
    <row r="710" spans="4:6" x14ac:dyDescent="0.35">
      <c r="D710" s="180"/>
      <c r="F710" s="108"/>
    </row>
    <row r="711" spans="4:6" x14ac:dyDescent="0.35">
      <c r="D711" s="180"/>
      <c r="F711" s="108"/>
    </row>
    <row r="712" spans="4:6" x14ac:dyDescent="0.35">
      <c r="D712" s="180"/>
      <c r="F712" s="108"/>
    </row>
    <row r="713" spans="4:6" x14ac:dyDescent="0.35">
      <c r="D713" s="180"/>
      <c r="F713" s="108"/>
    </row>
    <row r="714" spans="4:6" x14ac:dyDescent="0.35">
      <c r="D714" s="180"/>
      <c r="F714" s="108"/>
    </row>
    <row r="715" spans="4:6" x14ac:dyDescent="0.35">
      <c r="D715" s="180"/>
      <c r="F715" s="108"/>
    </row>
    <row r="716" spans="4:6" x14ac:dyDescent="0.35">
      <c r="D716" s="180"/>
      <c r="F716" s="108"/>
    </row>
    <row r="717" spans="4:6" x14ac:dyDescent="0.35">
      <c r="D717" s="180"/>
      <c r="F717" s="108"/>
    </row>
    <row r="718" spans="4:6" x14ac:dyDescent="0.35">
      <c r="D718" s="180"/>
      <c r="F718" s="108"/>
    </row>
    <row r="719" spans="4:6" x14ac:dyDescent="0.35">
      <c r="D719" s="180"/>
      <c r="F719" s="108"/>
    </row>
    <row r="720" spans="4:6" x14ac:dyDescent="0.35">
      <c r="D720" s="180"/>
      <c r="F720" s="108"/>
    </row>
    <row r="721" spans="4:6" x14ac:dyDescent="0.35">
      <c r="D721" s="180"/>
      <c r="F721" s="108"/>
    </row>
    <row r="722" spans="4:6" x14ac:dyDescent="0.35">
      <c r="D722" s="180"/>
      <c r="F722" s="108"/>
    </row>
    <row r="723" spans="4:6" x14ac:dyDescent="0.35">
      <c r="D723" s="180"/>
      <c r="F723" s="108"/>
    </row>
    <row r="724" spans="4:6" x14ac:dyDescent="0.35">
      <c r="D724" s="180"/>
      <c r="F724" s="108"/>
    </row>
    <row r="725" spans="4:6" x14ac:dyDescent="0.35">
      <c r="D725" s="180"/>
      <c r="F725" s="108"/>
    </row>
    <row r="726" spans="4:6" x14ac:dyDescent="0.35">
      <c r="D726" s="180"/>
      <c r="F726" s="108"/>
    </row>
    <row r="727" spans="4:6" x14ac:dyDescent="0.35">
      <c r="D727" s="180"/>
      <c r="F727" s="108"/>
    </row>
    <row r="728" spans="4:6" x14ac:dyDescent="0.35">
      <c r="D728" s="180"/>
      <c r="F728" s="108"/>
    </row>
    <row r="729" spans="4:6" x14ac:dyDescent="0.35">
      <c r="D729" s="180"/>
      <c r="F729" s="108"/>
    </row>
    <row r="730" spans="4:6" x14ac:dyDescent="0.35">
      <c r="D730" s="180"/>
      <c r="F730" s="108"/>
    </row>
    <row r="731" spans="4:6" x14ac:dyDescent="0.35">
      <c r="D731" s="180"/>
      <c r="F731" s="108"/>
    </row>
    <row r="732" spans="4:6" x14ac:dyDescent="0.35">
      <c r="D732" s="180"/>
      <c r="F732" s="108"/>
    </row>
    <row r="733" spans="4:6" x14ac:dyDescent="0.35">
      <c r="D733" s="180"/>
      <c r="F733" s="108"/>
    </row>
    <row r="734" spans="4:6" x14ac:dyDescent="0.35">
      <c r="D734" s="180"/>
      <c r="F734" s="108"/>
    </row>
    <row r="735" spans="4:6" x14ac:dyDescent="0.35">
      <c r="D735" s="180"/>
      <c r="F735" s="108"/>
    </row>
    <row r="736" spans="4:6" x14ac:dyDescent="0.35">
      <c r="D736" s="180"/>
      <c r="F736" s="108"/>
    </row>
    <row r="737" spans="4:6" x14ac:dyDescent="0.35">
      <c r="D737" s="180"/>
      <c r="F737" s="108"/>
    </row>
    <row r="738" spans="4:6" x14ac:dyDescent="0.35">
      <c r="D738" s="180"/>
      <c r="F738" s="108"/>
    </row>
    <row r="739" spans="4:6" x14ac:dyDescent="0.35">
      <c r="D739" s="180"/>
      <c r="F739" s="108"/>
    </row>
    <row r="740" spans="4:6" x14ac:dyDescent="0.35">
      <c r="D740" s="180"/>
      <c r="F740" s="108"/>
    </row>
    <row r="741" spans="4:6" x14ac:dyDescent="0.35">
      <c r="D741" s="180"/>
      <c r="F741" s="108"/>
    </row>
    <row r="742" spans="4:6" x14ac:dyDescent="0.35">
      <c r="D742" s="180"/>
      <c r="F742" s="108"/>
    </row>
    <row r="743" spans="4:6" x14ac:dyDescent="0.35">
      <c r="D743" s="180"/>
      <c r="F743" s="108"/>
    </row>
    <row r="744" spans="4:6" x14ac:dyDescent="0.35">
      <c r="D744" s="180"/>
      <c r="F744" s="108"/>
    </row>
    <row r="745" spans="4:6" x14ac:dyDescent="0.35">
      <c r="D745" s="180"/>
      <c r="F745" s="108"/>
    </row>
    <row r="746" spans="4:6" x14ac:dyDescent="0.35">
      <c r="D746" s="180"/>
      <c r="F746" s="108"/>
    </row>
    <row r="747" spans="4:6" x14ac:dyDescent="0.35">
      <c r="D747" s="180"/>
      <c r="F747" s="108"/>
    </row>
    <row r="748" spans="4:6" x14ac:dyDescent="0.35">
      <c r="D748" s="180"/>
      <c r="F748" s="108"/>
    </row>
    <row r="749" spans="4:6" x14ac:dyDescent="0.35">
      <c r="D749" s="180"/>
      <c r="F749" s="108"/>
    </row>
    <row r="750" spans="4:6" x14ac:dyDescent="0.35">
      <c r="D750" s="180"/>
      <c r="F750" s="108"/>
    </row>
    <row r="751" spans="4:6" x14ac:dyDescent="0.35">
      <c r="D751" s="180"/>
      <c r="F751" s="108"/>
    </row>
    <row r="752" spans="4:6" x14ac:dyDescent="0.35">
      <c r="D752" s="180"/>
      <c r="F752" s="108"/>
    </row>
    <row r="753" spans="4:6" x14ac:dyDescent="0.35">
      <c r="D753" s="180"/>
      <c r="F753" s="108"/>
    </row>
    <row r="754" spans="4:6" x14ac:dyDescent="0.35">
      <c r="D754" s="180"/>
      <c r="F754" s="108"/>
    </row>
    <row r="755" spans="4:6" x14ac:dyDescent="0.35">
      <c r="D755" s="180"/>
      <c r="F755" s="108"/>
    </row>
    <row r="756" spans="4:6" x14ac:dyDescent="0.35">
      <c r="D756" s="180"/>
      <c r="F756" s="108"/>
    </row>
    <row r="757" spans="4:6" x14ac:dyDescent="0.35">
      <c r="D757" s="180"/>
      <c r="F757" s="108"/>
    </row>
    <row r="758" spans="4:6" x14ac:dyDescent="0.35">
      <c r="D758" s="180"/>
      <c r="F758" s="108"/>
    </row>
    <row r="759" spans="4:6" x14ac:dyDescent="0.35">
      <c r="D759" s="180"/>
      <c r="F759" s="108"/>
    </row>
    <row r="760" spans="4:6" x14ac:dyDescent="0.35">
      <c r="D760" s="180"/>
      <c r="F760" s="108"/>
    </row>
    <row r="761" spans="4:6" x14ac:dyDescent="0.35">
      <c r="D761" s="180"/>
      <c r="F761" s="108"/>
    </row>
    <row r="762" spans="4:6" x14ac:dyDescent="0.35">
      <c r="D762" s="180"/>
      <c r="F762" s="108"/>
    </row>
    <row r="763" spans="4:6" x14ac:dyDescent="0.35">
      <c r="D763" s="180"/>
      <c r="F763" s="108"/>
    </row>
    <row r="764" spans="4:6" x14ac:dyDescent="0.35">
      <c r="D764" s="180"/>
      <c r="F764" s="108"/>
    </row>
    <row r="765" spans="4:6" x14ac:dyDescent="0.35">
      <c r="D765" s="180"/>
      <c r="F765" s="108"/>
    </row>
    <row r="766" spans="4:6" x14ac:dyDescent="0.35">
      <c r="D766" s="180"/>
      <c r="F766" s="108"/>
    </row>
    <row r="767" spans="4:6" x14ac:dyDescent="0.35">
      <c r="D767" s="180"/>
      <c r="F767" s="108"/>
    </row>
    <row r="768" spans="4:6" x14ac:dyDescent="0.35">
      <c r="D768" s="180"/>
      <c r="F768" s="108"/>
    </row>
    <row r="769" spans="4:6" x14ac:dyDescent="0.35">
      <c r="D769" s="180"/>
      <c r="F769" s="108"/>
    </row>
    <row r="770" spans="4:6" x14ac:dyDescent="0.35">
      <c r="D770" s="180"/>
      <c r="F770" s="108"/>
    </row>
    <row r="771" spans="4:6" x14ac:dyDescent="0.35">
      <c r="D771" s="180"/>
      <c r="F771" s="108"/>
    </row>
    <row r="772" spans="4:6" x14ac:dyDescent="0.35">
      <c r="D772" s="180"/>
      <c r="F772" s="108"/>
    </row>
    <row r="773" spans="4:6" x14ac:dyDescent="0.35">
      <c r="D773" s="180"/>
      <c r="F773" s="108"/>
    </row>
    <row r="774" spans="4:6" x14ac:dyDescent="0.35">
      <c r="D774" s="180"/>
      <c r="F774" s="108"/>
    </row>
    <row r="775" spans="4:6" x14ac:dyDescent="0.35">
      <c r="D775" s="180"/>
      <c r="F775" s="108"/>
    </row>
    <row r="776" spans="4:6" x14ac:dyDescent="0.35">
      <c r="D776" s="180"/>
      <c r="F776" s="108"/>
    </row>
    <row r="777" spans="4:6" x14ac:dyDescent="0.35">
      <c r="D777" s="180"/>
      <c r="F777" s="108"/>
    </row>
    <row r="778" spans="4:6" x14ac:dyDescent="0.35">
      <c r="D778" s="180"/>
      <c r="F778" s="108"/>
    </row>
    <row r="779" spans="4:6" x14ac:dyDescent="0.35">
      <c r="D779" s="180"/>
      <c r="F779" s="108"/>
    </row>
    <row r="780" spans="4:6" x14ac:dyDescent="0.35">
      <c r="D780" s="180"/>
      <c r="F780" s="108"/>
    </row>
    <row r="781" spans="4:6" x14ac:dyDescent="0.35">
      <c r="D781" s="180"/>
      <c r="F781" s="108"/>
    </row>
    <row r="782" spans="4:6" x14ac:dyDescent="0.35">
      <c r="D782" s="180"/>
      <c r="F782" s="108"/>
    </row>
    <row r="783" spans="4:6" x14ac:dyDescent="0.35">
      <c r="D783" s="180"/>
      <c r="F783" s="108"/>
    </row>
    <row r="784" spans="4:6" x14ac:dyDescent="0.35">
      <c r="D784" s="180"/>
      <c r="F784" s="108"/>
    </row>
    <row r="785" spans="4:6" x14ac:dyDescent="0.35">
      <c r="D785" s="180"/>
      <c r="F785" s="108"/>
    </row>
    <row r="786" spans="4:6" x14ac:dyDescent="0.35">
      <c r="D786" s="180"/>
      <c r="F786" s="108"/>
    </row>
    <row r="787" spans="4:6" x14ac:dyDescent="0.35">
      <c r="D787" s="180"/>
      <c r="F787" s="108"/>
    </row>
    <row r="788" spans="4:6" x14ac:dyDescent="0.35">
      <c r="D788" s="180"/>
      <c r="F788" s="108"/>
    </row>
    <row r="789" spans="4:6" x14ac:dyDescent="0.35">
      <c r="D789" s="180"/>
      <c r="F789" s="108"/>
    </row>
    <row r="790" spans="4:6" x14ac:dyDescent="0.35">
      <c r="D790" s="180"/>
      <c r="F790" s="108"/>
    </row>
    <row r="791" spans="4:6" x14ac:dyDescent="0.35">
      <c r="D791" s="180"/>
      <c r="F791" s="108"/>
    </row>
    <row r="792" spans="4:6" x14ac:dyDescent="0.35">
      <c r="D792" s="180"/>
      <c r="F792" s="108"/>
    </row>
    <row r="793" spans="4:6" x14ac:dyDescent="0.35">
      <c r="D793" s="180"/>
      <c r="F793" s="108"/>
    </row>
    <row r="794" spans="4:6" x14ac:dyDescent="0.35">
      <c r="D794" s="180"/>
      <c r="F794" s="108"/>
    </row>
    <row r="795" spans="4:6" x14ac:dyDescent="0.35">
      <c r="D795" s="180"/>
      <c r="F795" s="108"/>
    </row>
    <row r="796" spans="4:6" x14ac:dyDescent="0.35">
      <c r="D796" s="180"/>
      <c r="F796" s="108"/>
    </row>
    <row r="797" spans="4:6" x14ac:dyDescent="0.35">
      <c r="D797" s="180"/>
      <c r="F797" s="108"/>
    </row>
    <row r="798" spans="4:6" x14ac:dyDescent="0.35">
      <c r="D798" s="180"/>
      <c r="F798" s="108"/>
    </row>
    <row r="799" spans="4:6" x14ac:dyDescent="0.35">
      <c r="D799" s="180"/>
      <c r="F799" s="108"/>
    </row>
    <row r="800" spans="4:6" x14ac:dyDescent="0.35">
      <c r="D800" s="180"/>
      <c r="F800" s="108"/>
    </row>
    <row r="801" spans="4:6" x14ac:dyDescent="0.35">
      <c r="D801" s="180"/>
      <c r="F801" s="108"/>
    </row>
    <row r="802" spans="4:6" x14ac:dyDescent="0.35">
      <c r="D802" s="180"/>
      <c r="F802" s="108"/>
    </row>
    <row r="803" spans="4:6" x14ac:dyDescent="0.35">
      <c r="D803" s="180"/>
      <c r="F803" s="108"/>
    </row>
    <row r="804" spans="4:6" x14ac:dyDescent="0.35">
      <c r="D804" s="180"/>
      <c r="F804" s="108"/>
    </row>
    <row r="805" spans="4:6" x14ac:dyDescent="0.35">
      <c r="D805" s="180"/>
      <c r="F805" s="108"/>
    </row>
    <row r="806" spans="4:6" x14ac:dyDescent="0.35">
      <c r="D806" s="180"/>
      <c r="F806" s="108"/>
    </row>
    <row r="807" spans="4:6" x14ac:dyDescent="0.35">
      <c r="D807" s="180"/>
      <c r="F807" s="108"/>
    </row>
    <row r="808" spans="4:6" x14ac:dyDescent="0.35">
      <c r="D808" s="180"/>
      <c r="F808" s="108"/>
    </row>
    <row r="809" spans="4:6" x14ac:dyDescent="0.35">
      <c r="D809" s="180"/>
      <c r="F809" s="108"/>
    </row>
    <row r="810" spans="4:6" x14ac:dyDescent="0.35">
      <c r="D810" s="180"/>
      <c r="F810" s="108"/>
    </row>
    <row r="811" spans="4:6" x14ac:dyDescent="0.35">
      <c r="D811" s="180"/>
      <c r="F811" s="108"/>
    </row>
    <row r="812" spans="4:6" x14ac:dyDescent="0.35">
      <c r="D812" s="180"/>
      <c r="F812" s="108"/>
    </row>
    <row r="813" spans="4:6" x14ac:dyDescent="0.35">
      <c r="D813" s="180"/>
      <c r="F813" s="108"/>
    </row>
    <row r="814" spans="4:6" x14ac:dyDescent="0.35">
      <c r="D814" s="180"/>
      <c r="F814" s="108"/>
    </row>
    <row r="815" spans="4:6" x14ac:dyDescent="0.35">
      <c r="D815" s="180"/>
      <c r="F815" s="108"/>
    </row>
    <row r="816" spans="4:6" x14ac:dyDescent="0.35">
      <c r="D816" s="180"/>
      <c r="F816" s="108"/>
    </row>
    <row r="817" spans="4:6" x14ac:dyDescent="0.35">
      <c r="D817" s="180"/>
      <c r="F817" s="108"/>
    </row>
    <row r="818" spans="4:6" x14ac:dyDescent="0.35">
      <c r="D818" s="180"/>
      <c r="F818" s="108"/>
    </row>
    <row r="819" spans="4:6" x14ac:dyDescent="0.35">
      <c r="D819" s="180"/>
      <c r="F819" s="108"/>
    </row>
    <row r="820" spans="4:6" x14ac:dyDescent="0.35">
      <c r="D820" s="180"/>
      <c r="F820" s="108"/>
    </row>
    <row r="821" spans="4:6" x14ac:dyDescent="0.35">
      <c r="D821" s="180"/>
      <c r="F821" s="108"/>
    </row>
    <row r="822" spans="4:6" x14ac:dyDescent="0.35">
      <c r="D822" s="180"/>
      <c r="F822" s="108"/>
    </row>
    <row r="823" spans="4:6" x14ac:dyDescent="0.35">
      <c r="D823" s="180"/>
      <c r="F823" s="108"/>
    </row>
    <row r="824" spans="4:6" x14ac:dyDescent="0.35">
      <c r="D824" s="180"/>
      <c r="F824" s="108"/>
    </row>
    <row r="825" spans="4:6" x14ac:dyDescent="0.35">
      <c r="D825" s="180"/>
      <c r="F825" s="108"/>
    </row>
    <row r="826" spans="4:6" x14ac:dyDescent="0.35">
      <c r="D826" s="180"/>
      <c r="F826" s="108"/>
    </row>
    <row r="827" spans="4:6" x14ac:dyDescent="0.35">
      <c r="D827" s="180"/>
      <c r="F827" s="108"/>
    </row>
    <row r="828" spans="4:6" x14ac:dyDescent="0.35">
      <c r="D828" s="180"/>
      <c r="F828" s="108"/>
    </row>
    <row r="829" spans="4:6" x14ac:dyDescent="0.35">
      <c r="D829" s="180"/>
      <c r="F829" s="108"/>
    </row>
    <row r="830" spans="4:6" x14ac:dyDescent="0.35">
      <c r="D830" s="180"/>
      <c r="F830" s="108"/>
    </row>
    <row r="831" spans="4:6" x14ac:dyDescent="0.35">
      <c r="D831" s="180"/>
      <c r="F831" s="108"/>
    </row>
    <row r="832" spans="4:6" x14ac:dyDescent="0.35">
      <c r="D832" s="180"/>
      <c r="F832" s="108"/>
    </row>
    <row r="833" spans="4:6" x14ac:dyDescent="0.35">
      <c r="D833" s="180"/>
      <c r="F833" s="108"/>
    </row>
    <row r="834" spans="4:6" x14ac:dyDescent="0.35">
      <c r="D834" s="180"/>
      <c r="F834" s="108"/>
    </row>
    <row r="835" spans="4:6" x14ac:dyDescent="0.35">
      <c r="D835" s="180"/>
      <c r="F835" s="108"/>
    </row>
    <row r="836" spans="4:6" x14ac:dyDescent="0.35">
      <c r="D836" s="180"/>
      <c r="F836" s="108"/>
    </row>
    <row r="837" spans="4:6" x14ac:dyDescent="0.35">
      <c r="D837" s="180"/>
      <c r="F837" s="108"/>
    </row>
    <row r="838" spans="4:6" x14ac:dyDescent="0.35">
      <c r="D838" s="180"/>
      <c r="F838" s="108"/>
    </row>
    <row r="839" spans="4:6" x14ac:dyDescent="0.35">
      <c r="D839" s="180"/>
      <c r="F839" s="108"/>
    </row>
    <row r="840" spans="4:6" x14ac:dyDescent="0.35">
      <c r="D840" s="180"/>
      <c r="F840" s="108"/>
    </row>
    <row r="841" spans="4:6" x14ac:dyDescent="0.35">
      <c r="D841" s="180"/>
      <c r="F841" s="108"/>
    </row>
    <row r="842" spans="4:6" x14ac:dyDescent="0.35">
      <c r="D842" s="180"/>
      <c r="F842" s="108"/>
    </row>
    <row r="843" spans="4:6" x14ac:dyDescent="0.35">
      <c r="D843" s="180"/>
      <c r="F843" s="108"/>
    </row>
    <row r="844" spans="4:6" x14ac:dyDescent="0.35">
      <c r="D844" s="180"/>
      <c r="F844" s="108"/>
    </row>
    <row r="845" spans="4:6" x14ac:dyDescent="0.35">
      <c r="D845" s="180"/>
      <c r="F845" s="108"/>
    </row>
    <row r="846" spans="4:6" x14ac:dyDescent="0.35">
      <c r="D846" s="180"/>
      <c r="F846" s="108"/>
    </row>
    <row r="847" spans="4:6" x14ac:dyDescent="0.35">
      <c r="D847" s="180"/>
      <c r="F847" s="108"/>
    </row>
    <row r="848" spans="4:6" x14ac:dyDescent="0.35">
      <c r="D848" s="180"/>
      <c r="F848" s="108"/>
    </row>
    <row r="849" spans="4:6" x14ac:dyDescent="0.35">
      <c r="D849" s="180"/>
      <c r="F849" s="108"/>
    </row>
    <row r="850" spans="4:6" x14ac:dyDescent="0.35">
      <c r="D850" s="180"/>
      <c r="F850" s="108"/>
    </row>
    <row r="851" spans="4:6" x14ac:dyDescent="0.35">
      <c r="D851" s="180"/>
      <c r="F851" s="108"/>
    </row>
    <row r="852" spans="4:6" x14ac:dyDescent="0.35">
      <c r="D852" s="180"/>
      <c r="F852" s="108"/>
    </row>
    <row r="853" spans="4:6" x14ac:dyDescent="0.35">
      <c r="D853" s="180"/>
      <c r="F853" s="108"/>
    </row>
    <row r="854" spans="4:6" x14ac:dyDescent="0.35">
      <c r="D854" s="180"/>
      <c r="F854" s="108"/>
    </row>
    <row r="855" spans="4:6" x14ac:dyDescent="0.35">
      <c r="D855" s="180"/>
      <c r="F855" s="108"/>
    </row>
    <row r="856" spans="4:6" x14ac:dyDescent="0.35">
      <c r="D856" s="180"/>
      <c r="F856" s="108"/>
    </row>
    <row r="857" spans="4:6" x14ac:dyDescent="0.35">
      <c r="D857" s="180"/>
      <c r="F857" s="108"/>
    </row>
    <row r="858" spans="4:6" x14ac:dyDescent="0.35">
      <c r="D858" s="180"/>
      <c r="F858" s="108"/>
    </row>
    <row r="859" spans="4:6" x14ac:dyDescent="0.35">
      <c r="D859" s="180"/>
      <c r="F859" s="108"/>
    </row>
    <row r="860" spans="4:6" x14ac:dyDescent="0.35">
      <c r="D860" s="180"/>
      <c r="F860" s="108"/>
    </row>
    <row r="861" spans="4:6" x14ac:dyDescent="0.35">
      <c r="D861" s="180"/>
      <c r="F861" s="108"/>
    </row>
    <row r="862" spans="4:6" x14ac:dyDescent="0.35">
      <c r="D862" s="180"/>
      <c r="F862" s="108"/>
    </row>
    <row r="863" spans="4:6" x14ac:dyDescent="0.35">
      <c r="D863" s="180"/>
      <c r="F863" s="108"/>
    </row>
    <row r="864" spans="4:6" x14ac:dyDescent="0.35">
      <c r="D864" s="180"/>
      <c r="F864" s="108"/>
    </row>
    <row r="865" spans="4:6" x14ac:dyDescent="0.35">
      <c r="D865" s="180"/>
      <c r="F865" s="108"/>
    </row>
    <row r="866" spans="4:6" x14ac:dyDescent="0.35">
      <c r="D866" s="180"/>
      <c r="F866" s="108"/>
    </row>
    <row r="867" spans="4:6" x14ac:dyDescent="0.35">
      <c r="D867" s="180"/>
      <c r="F867" s="108"/>
    </row>
    <row r="868" spans="4:6" x14ac:dyDescent="0.35">
      <c r="D868" s="180"/>
      <c r="F868" s="108"/>
    </row>
    <row r="869" spans="4:6" x14ac:dyDescent="0.35">
      <c r="D869" s="180"/>
      <c r="F869" s="108"/>
    </row>
    <row r="870" spans="4:6" x14ac:dyDescent="0.35">
      <c r="D870" s="180"/>
      <c r="F870" s="108"/>
    </row>
    <row r="871" spans="4:6" x14ac:dyDescent="0.35">
      <c r="D871" s="180"/>
      <c r="F871" s="108"/>
    </row>
    <row r="872" spans="4:6" x14ac:dyDescent="0.35">
      <c r="D872" s="180"/>
      <c r="F872" s="108"/>
    </row>
    <row r="873" spans="4:6" x14ac:dyDescent="0.35">
      <c r="D873" s="180"/>
      <c r="F873" s="108"/>
    </row>
    <row r="874" spans="4:6" x14ac:dyDescent="0.35">
      <c r="D874" s="180"/>
      <c r="F874" s="108"/>
    </row>
    <row r="875" spans="4:6" x14ac:dyDescent="0.35">
      <c r="D875" s="180"/>
      <c r="F875" s="108"/>
    </row>
    <row r="876" spans="4:6" x14ac:dyDescent="0.35">
      <c r="D876" s="180"/>
      <c r="F876" s="108"/>
    </row>
    <row r="877" spans="4:6" x14ac:dyDescent="0.35">
      <c r="D877" s="180"/>
      <c r="F877" s="108"/>
    </row>
    <row r="878" spans="4:6" x14ac:dyDescent="0.35">
      <c r="D878" s="180"/>
      <c r="F878" s="108"/>
    </row>
    <row r="879" spans="4:6" x14ac:dyDescent="0.35">
      <c r="D879" s="180"/>
      <c r="F879" s="108"/>
    </row>
    <row r="880" spans="4:6" x14ac:dyDescent="0.35">
      <c r="D880" s="180"/>
      <c r="F880" s="108"/>
    </row>
    <row r="881" spans="4:6" x14ac:dyDescent="0.35">
      <c r="D881" s="180"/>
      <c r="F881" s="108"/>
    </row>
    <row r="882" spans="4:6" x14ac:dyDescent="0.35">
      <c r="D882" s="180"/>
      <c r="F882" s="108"/>
    </row>
    <row r="883" spans="4:6" x14ac:dyDescent="0.35">
      <c r="D883" s="180"/>
    </row>
    <row r="884" spans="4:6" x14ac:dyDescent="0.35">
      <c r="D884" s="180"/>
    </row>
    <row r="885" spans="4:6" x14ac:dyDescent="0.35">
      <c r="D885" s="180"/>
    </row>
    <row r="886" spans="4:6" x14ac:dyDescent="0.35">
      <c r="D886" s="180"/>
    </row>
    <row r="887" spans="4:6" x14ac:dyDescent="0.35">
      <c r="D887" s="180"/>
    </row>
    <row r="888" spans="4:6" x14ac:dyDescent="0.35">
      <c r="D888" s="180"/>
    </row>
    <row r="889" spans="4:6" x14ac:dyDescent="0.35">
      <c r="D889" s="180"/>
    </row>
    <row r="890" spans="4:6" x14ac:dyDescent="0.35">
      <c r="D890" s="180"/>
    </row>
    <row r="891" spans="4:6" x14ac:dyDescent="0.35">
      <c r="D891" s="180"/>
    </row>
    <row r="892" spans="4:6" x14ac:dyDescent="0.35">
      <c r="D892" s="180"/>
    </row>
    <row r="893" spans="4:6" x14ac:dyDescent="0.35">
      <c r="D893" s="180"/>
    </row>
    <row r="894" spans="4:6" x14ac:dyDescent="0.35">
      <c r="D894" s="180"/>
    </row>
    <row r="895" spans="4:6" x14ac:dyDescent="0.35">
      <c r="D895" s="180"/>
    </row>
    <row r="896" spans="4:6" x14ac:dyDescent="0.35">
      <c r="D896" s="180"/>
    </row>
    <row r="897" spans="4:4" x14ac:dyDescent="0.35">
      <c r="D897" s="180"/>
    </row>
    <row r="898" spans="4:4" x14ac:dyDescent="0.35">
      <c r="D898" s="180"/>
    </row>
    <row r="899" spans="4:4" x14ac:dyDescent="0.35">
      <c r="D899" s="180"/>
    </row>
    <row r="900" spans="4:4" x14ac:dyDescent="0.35">
      <c r="D900" s="180"/>
    </row>
    <row r="901" spans="4:4" x14ac:dyDescent="0.35">
      <c r="D901" s="180"/>
    </row>
    <row r="902" spans="4:4" x14ac:dyDescent="0.35">
      <c r="D902" s="180"/>
    </row>
    <row r="903" spans="4:4" x14ac:dyDescent="0.35">
      <c r="D903" s="180"/>
    </row>
    <row r="904" spans="4:4" x14ac:dyDescent="0.35">
      <c r="D904" s="180"/>
    </row>
    <row r="905" spans="4:4" x14ac:dyDescent="0.35">
      <c r="D905" s="180"/>
    </row>
    <row r="906" spans="4:4" x14ac:dyDescent="0.35">
      <c r="D906" s="180"/>
    </row>
    <row r="907" spans="4:4" x14ac:dyDescent="0.35">
      <c r="D907" s="180"/>
    </row>
    <row r="908" spans="4:4" x14ac:dyDescent="0.35">
      <c r="D908" s="180"/>
    </row>
    <row r="909" spans="4:4" x14ac:dyDescent="0.35">
      <c r="D909" s="180"/>
    </row>
    <row r="910" spans="4:4" x14ac:dyDescent="0.35">
      <c r="D910" s="180"/>
    </row>
    <row r="911" spans="4:4" x14ac:dyDescent="0.35">
      <c r="D911" s="180"/>
    </row>
    <row r="912" spans="4:4" x14ac:dyDescent="0.35">
      <c r="D912" s="180"/>
    </row>
    <row r="913" spans="4:4" x14ac:dyDescent="0.35">
      <c r="D913" s="180"/>
    </row>
    <row r="914" spans="4:4" x14ac:dyDescent="0.35">
      <c r="D914" s="180"/>
    </row>
    <row r="915" spans="4:4" x14ac:dyDescent="0.35">
      <c r="D915" s="180"/>
    </row>
    <row r="916" spans="4:4" x14ac:dyDescent="0.35">
      <c r="D916" s="180"/>
    </row>
    <row r="917" spans="4:4" x14ac:dyDescent="0.35">
      <c r="D917" s="180"/>
    </row>
    <row r="918" spans="4:4" x14ac:dyDescent="0.35">
      <c r="D918" s="180"/>
    </row>
    <row r="919" spans="4:4" x14ac:dyDescent="0.35">
      <c r="D919" s="180"/>
    </row>
    <row r="920" spans="4:4" x14ac:dyDescent="0.35">
      <c r="D920" s="180"/>
    </row>
    <row r="921" spans="4:4" x14ac:dyDescent="0.35">
      <c r="D921" s="180"/>
    </row>
    <row r="922" spans="4:4" x14ac:dyDescent="0.35">
      <c r="D922" s="180"/>
    </row>
    <row r="923" spans="4:4" x14ac:dyDescent="0.35">
      <c r="D923" s="180"/>
    </row>
    <row r="924" spans="4:4" x14ac:dyDescent="0.35">
      <c r="D924" s="180"/>
    </row>
    <row r="925" spans="4:4" x14ac:dyDescent="0.35">
      <c r="D925" s="180"/>
    </row>
    <row r="926" spans="4:4" x14ac:dyDescent="0.35">
      <c r="D926" s="180"/>
    </row>
    <row r="927" spans="4:4" x14ac:dyDescent="0.35">
      <c r="D927" s="180"/>
    </row>
    <row r="928" spans="4:4" x14ac:dyDescent="0.35">
      <c r="D928" s="180"/>
    </row>
    <row r="929" spans="4:4" x14ac:dyDescent="0.35">
      <c r="D929" s="180"/>
    </row>
    <row r="930" spans="4:4" x14ac:dyDescent="0.35">
      <c r="D930" s="524"/>
    </row>
    <row r="931" spans="4:4" x14ac:dyDescent="0.35">
      <c r="D931" s="524"/>
    </row>
    <row r="932" spans="4:4" x14ac:dyDescent="0.35">
      <c r="D932" s="524"/>
    </row>
    <row r="933" spans="4:4" x14ac:dyDescent="0.35">
      <c r="D933" s="524"/>
    </row>
    <row r="934" spans="4:4" x14ac:dyDescent="0.35">
      <c r="D934" s="524"/>
    </row>
    <row r="935" spans="4:4" x14ac:dyDescent="0.35">
      <c r="D935" s="524"/>
    </row>
    <row r="936" spans="4:4" x14ac:dyDescent="0.35">
      <c r="D936" s="524"/>
    </row>
    <row r="937" spans="4:4" x14ac:dyDescent="0.35">
      <c r="D937" s="524"/>
    </row>
    <row r="938" spans="4:4" x14ac:dyDescent="0.35">
      <c r="D938" s="524"/>
    </row>
    <row r="939" spans="4:4" x14ac:dyDescent="0.35">
      <c r="D939" s="524"/>
    </row>
    <row r="940" spans="4:4" ht="15" thickBot="1" x14ac:dyDescent="0.4">
      <c r="D940" s="525"/>
    </row>
    <row r="941" spans="4:4" ht="15" thickTop="1" x14ac:dyDescent="0.35"/>
  </sheetData>
  <conditionalFormatting sqref="A383 A428:A440 A323:E330 A8:K8 G9:G588 I9:I588 J429:J440 K429:K471 J9:K428 H446:H472 H390:H427 A9:F322 H9:H382 C383:F383 A331:F379 B446:F448 B449:C450 E449:F450 B451:F472 A384:F404 A381:F382 A380:C380 E380:F380 A405:C405 E405:F405 A406:F427">
    <cfRule type="expression" dxfId="59" priority="59">
      <formula>CELL("row")=ROW()</formula>
    </cfRule>
  </conditionalFormatting>
  <conditionalFormatting sqref="C428 B429:F429 B443:C445 H435:H442 B435:F442 B432:C434 E428:F428 B431:F431 B430:C430 E430:F430 E432:F434">
    <cfRule type="expression" dxfId="58" priority="58">
      <formula>CELL("row")=ROW()</formula>
    </cfRule>
  </conditionalFormatting>
  <conditionalFormatting sqref="D473:F475 H473:H483 E483:F483 D480:F482 E476:F479">
    <cfRule type="expression" dxfId="57" priority="57">
      <formula>CELL("row")=ROW()</formula>
    </cfRule>
  </conditionalFormatting>
  <conditionalFormatting sqref="E486">
    <cfRule type="expression" dxfId="56" priority="56">
      <formula>CELL("row")=ROW()</formula>
    </cfRule>
  </conditionalFormatting>
  <conditionalFormatting sqref="D489:F491 H489:H499 E499:F499 D496:F498 E492:F495">
    <cfRule type="expression" dxfId="55" priority="55">
      <formula>CELL("row")=ROW()</formula>
    </cfRule>
  </conditionalFormatting>
  <conditionalFormatting sqref="E502">
    <cfRule type="expression" dxfId="54" priority="54">
      <formula>CELL("row")=ROW()</formula>
    </cfRule>
  </conditionalFormatting>
  <conditionalFormatting sqref="H383:H389">
    <cfRule type="expression" dxfId="53" priority="53">
      <formula>CELL("row")=ROW()</formula>
    </cfRule>
  </conditionalFormatting>
  <conditionalFormatting sqref="F323:F330">
    <cfRule type="expression" dxfId="52" priority="52">
      <formula>CELL("row")=ROW()</formula>
    </cfRule>
  </conditionalFormatting>
  <conditionalFormatting sqref="D443:F445 H443:H445 J443:J445">
    <cfRule type="expression" dxfId="51" priority="51">
      <formula>CELL("row")=ROW()</formula>
    </cfRule>
  </conditionalFormatting>
  <conditionalFormatting sqref="H428:H434">
    <cfRule type="expression" dxfId="50" priority="43">
      <formula>CELL("row")=ROW()</formula>
    </cfRule>
  </conditionalFormatting>
  <conditionalFormatting sqref="D513:F514 D517:F517 E518:F518 E515:F516">
    <cfRule type="expression" dxfId="49" priority="49">
      <formula>CELL("row")=ROW()</formula>
    </cfRule>
  </conditionalFormatting>
  <conditionalFormatting sqref="D519:F527">
    <cfRule type="expression" dxfId="48" priority="48">
      <formula>CELL("row")=ROW()</formula>
    </cfRule>
  </conditionalFormatting>
  <conditionalFormatting sqref="D556:F557 D560:F560 E561:F561 E558:F559">
    <cfRule type="expression" dxfId="47" priority="47">
      <formula>CELL("row")=ROW()</formula>
    </cfRule>
  </conditionalFormatting>
  <conditionalFormatting sqref="D562:F570">
    <cfRule type="expression" dxfId="46" priority="46">
      <formula>CELL("row")=ROW()</formula>
    </cfRule>
  </conditionalFormatting>
  <conditionalFormatting sqref="H520:H522">
    <cfRule type="expression" dxfId="45" priority="45">
      <formula>CELL("row")=ROW()</formula>
    </cfRule>
  </conditionalFormatting>
  <conditionalFormatting sqref="H563:H565">
    <cfRule type="expression" dxfId="44" priority="44">
      <formula>CELL("row")=ROW()</formula>
    </cfRule>
  </conditionalFormatting>
  <conditionalFormatting sqref="D432">
    <cfRule type="expression" dxfId="43" priority="42">
      <formula>CELL("row")=ROW()</formula>
    </cfRule>
  </conditionalFormatting>
  <conditionalFormatting sqref="D509">
    <cfRule type="expression" dxfId="42" priority="41">
      <formula>CELL("row")=ROW()</formula>
    </cfRule>
  </conditionalFormatting>
  <conditionalFormatting sqref="D551">
    <cfRule type="expression" dxfId="41" priority="40">
      <formula>CELL("row")=ROW()</formula>
    </cfRule>
  </conditionalFormatting>
  <conditionalFormatting sqref="D434">
    <cfRule type="expression" dxfId="40" priority="39">
      <formula>CELL("row")=ROW()</formula>
    </cfRule>
  </conditionalFormatting>
  <conditionalFormatting sqref="D428">
    <cfRule type="expression" dxfId="39" priority="38">
      <formula>CELL("row")=ROW()</formula>
    </cfRule>
  </conditionalFormatting>
  <conditionalFormatting sqref="D430">
    <cfRule type="expression" dxfId="38" priority="37">
      <formula>CELL("row")=ROW()</formula>
    </cfRule>
  </conditionalFormatting>
  <conditionalFormatting sqref="D433">
    <cfRule type="expression" dxfId="37" priority="36">
      <formula>CELL("row")=ROW()</formula>
    </cfRule>
  </conditionalFormatting>
  <conditionalFormatting sqref="D583">
    <cfRule type="expression" dxfId="36" priority="35">
      <formula>CELL("row")=ROW()</formula>
    </cfRule>
  </conditionalFormatting>
  <conditionalFormatting sqref="D540">
    <cfRule type="expression" dxfId="35" priority="34">
      <formula>CELL("row")=ROW()</formula>
    </cfRule>
  </conditionalFormatting>
  <conditionalFormatting sqref="D502">
    <cfRule type="expression" dxfId="34" priority="33">
      <formula>CELL("row")=ROW()</formula>
    </cfRule>
  </conditionalFormatting>
  <conditionalFormatting sqref="D507">
    <cfRule type="expression" dxfId="33" priority="32">
      <formula>CELL("row")=ROW()</formula>
    </cfRule>
  </conditionalFormatting>
  <conditionalFormatting sqref="D483">
    <cfRule type="expression" dxfId="32" priority="31">
      <formula>CELL("row")=ROW()</formula>
    </cfRule>
  </conditionalFormatting>
  <conditionalFormatting sqref="D499">
    <cfRule type="expression" dxfId="31" priority="30">
      <formula>CELL("row")=ROW()</formula>
    </cfRule>
  </conditionalFormatting>
  <conditionalFormatting sqref="D512">
    <cfRule type="expression" dxfId="30" priority="29">
      <formula>CELL("row")=ROW()</formula>
    </cfRule>
  </conditionalFormatting>
  <conditionalFormatting sqref="D516">
    <cfRule type="expression" dxfId="29" priority="28">
      <formula>CELL("row")=ROW()</formula>
    </cfRule>
  </conditionalFormatting>
  <conditionalFormatting sqref="D555">
    <cfRule type="expression" dxfId="28" priority="27">
      <formula>CELL("row")=ROW()</formula>
    </cfRule>
  </conditionalFormatting>
  <conditionalFormatting sqref="D559">
    <cfRule type="expression" dxfId="27" priority="26">
      <formula>CELL("row")=ROW()</formula>
    </cfRule>
  </conditionalFormatting>
  <conditionalFormatting sqref="D493">
    <cfRule type="expression" dxfId="26" priority="25">
      <formula>CELL("row")=ROW()</formula>
    </cfRule>
  </conditionalFormatting>
  <conditionalFormatting sqref="D479">
    <cfRule type="expression" dxfId="25" priority="24">
      <formula>CELL("row")=ROW()</formula>
    </cfRule>
  </conditionalFormatting>
  <conditionalFormatting sqref="D495">
    <cfRule type="expression" dxfId="24" priority="23">
      <formula>CELL("row")=ROW()</formula>
    </cfRule>
  </conditionalFormatting>
  <conditionalFormatting sqref="D492">
    <cfRule type="expression" dxfId="23" priority="21">
      <formula>CELL("row")=ROW()</formula>
    </cfRule>
  </conditionalFormatting>
  <conditionalFormatting sqref="D561">
    <cfRule type="expression" dxfId="22" priority="20">
      <formula>CELL("row")=ROW()</formula>
    </cfRule>
  </conditionalFormatting>
  <conditionalFormatting sqref="D549">
    <cfRule type="expression" dxfId="21" priority="19">
      <formula>CELL("row")=ROW()</formula>
    </cfRule>
  </conditionalFormatting>
  <conditionalFormatting sqref="D486">
    <cfRule type="expression" dxfId="20" priority="18">
      <formula>CELL("row")=ROW()</formula>
    </cfRule>
  </conditionalFormatting>
  <conditionalFormatting sqref="D518">
    <cfRule type="expression" dxfId="19" priority="17">
      <formula>CELL("row")=ROW()</formula>
    </cfRule>
  </conditionalFormatting>
  <conditionalFormatting sqref="D511">
    <cfRule type="expression" dxfId="18" priority="16">
      <formula>CELL("row")=ROW()</formula>
    </cfRule>
  </conditionalFormatting>
  <conditionalFormatting sqref="D553">
    <cfRule type="expression" dxfId="17" priority="15">
      <formula>CELL("row")=ROW()</formula>
    </cfRule>
  </conditionalFormatting>
  <conditionalFormatting sqref="D477">
    <cfRule type="expression" dxfId="16" priority="14">
      <formula>CELL("row")=ROW()</formula>
    </cfRule>
  </conditionalFormatting>
  <conditionalFormatting sqref="D476">
    <cfRule type="expression" dxfId="15" priority="13">
      <formula>CELL("row")=ROW()</formula>
    </cfRule>
  </conditionalFormatting>
  <conditionalFormatting sqref="D450">
    <cfRule type="expression" dxfId="14" priority="12">
      <formula>CELL("row")=ROW()</formula>
    </cfRule>
  </conditionalFormatting>
  <conditionalFormatting sqref="D449">
    <cfRule type="expression" dxfId="13" priority="11">
      <formula>CELL("row")=ROW()</formula>
    </cfRule>
  </conditionalFormatting>
  <conditionalFormatting sqref="D478">
    <cfRule type="expression" dxfId="12" priority="10">
      <formula>CELL("row")=ROW()</formula>
    </cfRule>
  </conditionalFormatting>
  <conditionalFormatting sqref="D494">
    <cfRule type="expression" dxfId="11" priority="9">
      <formula>CELL("row")=ROW()</formula>
    </cfRule>
  </conditionalFormatting>
  <conditionalFormatting sqref="D515">
    <cfRule type="expression" dxfId="10" priority="8">
      <formula>CELL("row")=ROW()</formula>
    </cfRule>
  </conditionalFormatting>
  <conditionalFormatting sqref="D558">
    <cfRule type="expression" dxfId="9" priority="7">
      <formula>CELL("row")=ROW()</formula>
    </cfRule>
  </conditionalFormatting>
  <conditionalFormatting sqref="D487">
    <cfRule type="expression" dxfId="8" priority="6">
      <formula>CELL("row")=ROW()</formula>
    </cfRule>
  </conditionalFormatting>
  <conditionalFormatting sqref="D380">
    <cfRule type="expression" dxfId="7" priority="5">
      <formula>CELL("row")=ROW()</formula>
    </cfRule>
  </conditionalFormatting>
  <conditionalFormatting sqref="D405">
    <cfRule type="expression" dxfId="6" priority="4">
      <formula>CELL("row")=ROW()</formula>
    </cfRule>
  </conditionalFormatting>
  <conditionalFormatting sqref="D503">
    <cfRule type="expression" dxfId="5" priority="3">
      <formula>CELL("row")=ROW()</formula>
    </cfRule>
  </conditionalFormatting>
  <conditionalFormatting sqref="C590:I624">
    <cfRule type="expression" dxfId="4" priority="2">
      <formula>CELL("row")=ROW()</formula>
    </cfRule>
  </conditionalFormatting>
  <conditionalFormatting sqref="C626:I656">
    <cfRule type="expression" dxfId="3" priority="1">
      <formula>CELL("row")=ROW()</formula>
    </cfRule>
  </conditionalFormatting>
  <dataValidations count="1">
    <dataValidation type="decimal" allowBlank="1" showInputMessage="1" showErrorMessage="1" errorTitle="Numbers Only" error="Numbers Only !! No Negatives !! No Text !!" sqref="F519:F527 F562:F570 H520:H522 H563:H565 F590:F624 F626:F656" xr:uid="{65462FB4-68E4-4961-8149-308B6B42E6E6}">
      <formula1>0.01</formula1>
      <formula2>1000000000000</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83408-F20C-48BC-A071-F543DC445FC9}">
  <sheetPr codeName="Sheet4">
    <tabColor rgb="FF0070C0"/>
  </sheetPr>
  <dimension ref="A1"/>
  <sheetViews>
    <sheetView zoomScale="60" zoomScaleNormal="60" workbookViewId="0">
      <selection activeCell="A5" sqref="A5:K5"/>
    </sheetView>
  </sheetViews>
  <sheetFormatPr defaultRowHeight="14.5" x14ac:dyDescent="0.35"/>
  <cols>
    <col min="1" max="1" width="19.6328125" customWidth="1"/>
    <col min="2" max="2" width="11" bestFit="1" customWidth="1"/>
    <col min="3" max="3" width="11.6328125" bestFit="1" customWidth="1"/>
    <col min="4" max="4" width="15.36328125" bestFit="1" customWidth="1"/>
    <col min="5" max="5" width="10.26953125" bestFit="1" customWidth="1"/>
    <col min="6" max="6" width="13.08984375" bestFit="1" customWidth="1"/>
    <col min="7" max="7" width="7.1796875" bestFit="1" customWidth="1"/>
    <col min="8" max="8" width="18.453125" bestFit="1" customWidth="1"/>
    <col min="9" max="9" width="7.1796875" bestFit="1" customWidth="1"/>
    <col min="10" max="10" width="10.54296875" bestFit="1" customWidth="1"/>
    <col min="11" max="11" width="8.1796875" bestFit="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27843-DC77-4776-B427-C13B72FD610E}">
  <sheetPr codeName="Sheet6">
    <tabColor theme="9"/>
  </sheetPr>
  <dimension ref="A2:G55"/>
  <sheetViews>
    <sheetView showGridLines="0" topLeftCell="A19" workbookViewId="0">
      <selection activeCell="L26" sqref="L26"/>
    </sheetView>
  </sheetViews>
  <sheetFormatPr defaultRowHeight="14.5" x14ac:dyDescent="0.35"/>
  <cols>
    <col min="1" max="1" width="21.08984375" bestFit="1" customWidth="1"/>
    <col min="2" max="2" width="20.26953125" bestFit="1" customWidth="1"/>
    <col min="3" max="3" width="18.90625" bestFit="1" customWidth="1"/>
  </cols>
  <sheetData>
    <row r="2" spans="1:5" x14ac:dyDescent="0.35">
      <c r="A2" s="122" t="s">
        <v>1015</v>
      </c>
      <c r="B2" s="150" t="s">
        <v>1073</v>
      </c>
      <c r="C2" s="150" t="s">
        <v>1074</v>
      </c>
      <c r="D2" s="150" t="s">
        <v>1075</v>
      </c>
      <c r="E2" s="150" t="s">
        <v>1076</v>
      </c>
    </row>
    <row r="3" spans="1:5" x14ac:dyDescent="0.35">
      <c r="A3" s="3" t="s">
        <v>1077</v>
      </c>
      <c r="B3" s="148">
        <v>81.8</v>
      </c>
      <c r="C3" s="148">
        <v>92.44</v>
      </c>
      <c r="D3" s="148">
        <v>70.83</v>
      </c>
      <c r="E3" s="148">
        <v>70.540000000000006</v>
      </c>
    </row>
    <row r="4" spans="1:5" x14ac:dyDescent="0.35">
      <c r="A4" s="3" t="s">
        <v>1115</v>
      </c>
      <c r="B4" s="148">
        <v>97</v>
      </c>
      <c r="C4" s="148"/>
      <c r="D4" s="148"/>
      <c r="E4" s="148"/>
    </row>
    <row r="5" spans="1:5" x14ac:dyDescent="0.35">
      <c r="A5" s="3" t="s">
        <v>1116</v>
      </c>
      <c r="B5" s="148">
        <v>90</v>
      </c>
      <c r="C5" s="148"/>
      <c r="D5" s="148"/>
      <c r="E5" s="148"/>
    </row>
    <row r="6" spans="1:5" x14ac:dyDescent="0.35">
      <c r="A6" s="3" t="s">
        <v>1078</v>
      </c>
      <c r="B6" s="148">
        <v>177.92</v>
      </c>
      <c r="C6" s="148">
        <v>184.18</v>
      </c>
      <c r="D6" s="148"/>
      <c r="E6" s="148"/>
    </row>
    <row r="7" spans="1:5" x14ac:dyDescent="0.35">
      <c r="A7" s="3" t="s">
        <v>1079</v>
      </c>
      <c r="B7" s="148">
        <v>87.94</v>
      </c>
      <c r="C7" s="148">
        <v>89.38</v>
      </c>
      <c r="D7" s="148">
        <v>84.88</v>
      </c>
      <c r="E7" s="148"/>
    </row>
    <row r="8" spans="1:5" x14ac:dyDescent="0.35">
      <c r="A8" s="3" t="s">
        <v>6</v>
      </c>
      <c r="B8" s="148">
        <v>83.79</v>
      </c>
      <c r="C8" s="148">
        <v>82.68</v>
      </c>
      <c r="D8" s="148"/>
      <c r="E8" s="148"/>
    </row>
    <row r="9" spans="1:5" x14ac:dyDescent="0.35">
      <c r="A9" s="3" t="s">
        <v>1080</v>
      </c>
      <c r="B9" s="148">
        <v>220.05</v>
      </c>
      <c r="C9" s="148">
        <v>211.25</v>
      </c>
      <c r="D9" s="148"/>
      <c r="E9" s="148"/>
    </row>
    <row r="10" spans="1:5" x14ac:dyDescent="0.35">
      <c r="A10" s="3" t="s">
        <v>1121</v>
      </c>
      <c r="B10" s="148">
        <v>76.75</v>
      </c>
      <c r="C10" s="148">
        <v>62.66</v>
      </c>
      <c r="D10" s="148"/>
      <c r="E10" s="148"/>
    </row>
    <row r="11" spans="1:5" x14ac:dyDescent="0.35">
      <c r="A11" s="3" t="s">
        <v>1081</v>
      </c>
      <c r="B11" s="148">
        <v>101</v>
      </c>
      <c r="C11" s="148"/>
      <c r="D11" s="148"/>
      <c r="E11" s="148"/>
    </row>
    <row r="12" spans="1:5" x14ac:dyDescent="0.35">
      <c r="A12" s="3" t="s">
        <v>1082</v>
      </c>
      <c r="B12" s="148">
        <v>67.040000000000006</v>
      </c>
      <c r="C12" s="148">
        <v>67.128</v>
      </c>
      <c r="D12" s="148">
        <v>53.58</v>
      </c>
      <c r="E12" s="148"/>
    </row>
    <row r="13" spans="1:5" x14ac:dyDescent="0.35">
      <c r="A13" s="3" t="s">
        <v>1083</v>
      </c>
      <c r="B13" s="148">
        <v>84.33</v>
      </c>
      <c r="C13" s="148">
        <v>89.87</v>
      </c>
      <c r="D13" s="148">
        <v>88.51</v>
      </c>
      <c r="E13" s="148"/>
    </row>
    <row r="14" spans="1:5" x14ac:dyDescent="0.35">
      <c r="A14" s="3" t="s">
        <v>15</v>
      </c>
      <c r="B14" s="148">
        <v>90.98</v>
      </c>
      <c r="C14" s="148">
        <v>89.33</v>
      </c>
      <c r="D14" s="148">
        <v>98.03</v>
      </c>
      <c r="E14" s="148">
        <v>94.03</v>
      </c>
    </row>
    <row r="15" spans="1:5" x14ac:dyDescent="0.35">
      <c r="A15" s="3" t="s">
        <v>1084</v>
      </c>
      <c r="B15" s="148">
        <v>81.56</v>
      </c>
      <c r="C15" s="148">
        <v>97.2</v>
      </c>
      <c r="D15" s="148"/>
      <c r="E15" s="148"/>
    </row>
    <row r="16" spans="1:5" x14ac:dyDescent="0.35">
      <c r="A16" s="3" t="s">
        <v>1085</v>
      </c>
      <c r="B16" s="148">
        <v>87.28</v>
      </c>
      <c r="C16" s="148">
        <v>98.27</v>
      </c>
      <c r="D16" s="148"/>
      <c r="E16" s="148"/>
    </row>
    <row r="17" spans="1:7" x14ac:dyDescent="0.35">
      <c r="A17" s="3" t="s">
        <v>1086</v>
      </c>
      <c r="B17" s="148">
        <v>84.11</v>
      </c>
      <c r="C17" s="148"/>
      <c r="D17" s="148"/>
      <c r="E17" s="148"/>
    </row>
    <row r="18" spans="1:7" x14ac:dyDescent="0.35">
      <c r="A18" s="3" t="s">
        <v>1087</v>
      </c>
      <c r="B18" s="148">
        <v>84.16</v>
      </c>
      <c r="C18" s="148">
        <v>92.91</v>
      </c>
      <c r="D18" s="148">
        <v>79.37</v>
      </c>
      <c r="E18" s="148">
        <v>85.62</v>
      </c>
    </row>
    <row r="19" spans="1:7" x14ac:dyDescent="0.35">
      <c r="A19" s="3" t="s">
        <v>20</v>
      </c>
      <c r="B19" s="148">
        <v>108.95</v>
      </c>
      <c r="C19" s="148">
        <v>105.71</v>
      </c>
      <c r="D19" s="148">
        <v>107.69</v>
      </c>
      <c r="E19" s="148"/>
    </row>
    <row r="20" spans="1:7" x14ac:dyDescent="0.35">
      <c r="A20" s="3" t="s">
        <v>1088</v>
      </c>
      <c r="B20" s="148">
        <v>82.99</v>
      </c>
      <c r="C20" s="148">
        <v>80</v>
      </c>
      <c r="D20" s="148">
        <v>89.49</v>
      </c>
      <c r="E20" s="148"/>
    </row>
    <row r="21" spans="1:7" x14ac:dyDescent="0.35">
      <c r="A21" s="3" t="s">
        <v>1089</v>
      </c>
      <c r="B21" s="148">
        <v>81.97</v>
      </c>
      <c r="C21" s="148">
        <v>44.24</v>
      </c>
      <c r="D21" s="148">
        <v>82.95</v>
      </c>
      <c r="E21" s="148"/>
    </row>
    <row r="22" spans="1:7" x14ac:dyDescent="0.35">
      <c r="A22" s="3" t="s">
        <v>64</v>
      </c>
      <c r="B22" s="148">
        <v>93.84</v>
      </c>
      <c r="C22" s="148">
        <v>87.71</v>
      </c>
      <c r="D22" s="148"/>
      <c r="E22" s="148"/>
    </row>
    <row r="23" spans="1:7" x14ac:dyDescent="0.35">
      <c r="A23" s="3" t="s">
        <v>1090</v>
      </c>
      <c r="B23" s="148">
        <v>88</v>
      </c>
      <c r="C23" s="148"/>
      <c r="D23" s="148"/>
      <c r="E23" s="148"/>
    </row>
    <row r="24" spans="1:7" x14ac:dyDescent="0.35">
      <c r="A24" s="3" t="s">
        <v>1091</v>
      </c>
      <c r="B24" s="148">
        <v>79.209999999999994</v>
      </c>
      <c r="C24" s="148">
        <v>88.89</v>
      </c>
      <c r="D24" s="148"/>
      <c r="E24" s="148"/>
    </row>
    <row r="25" spans="1:7" x14ac:dyDescent="0.35">
      <c r="A25" s="3" t="s">
        <v>1092</v>
      </c>
      <c r="B25" s="148">
        <v>98.8</v>
      </c>
      <c r="C25" s="148"/>
      <c r="D25" s="148"/>
      <c r="E25" s="148"/>
    </row>
    <row r="26" spans="1:7" x14ac:dyDescent="0.35">
      <c r="A26" s="3" t="s">
        <v>1093</v>
      </c>
      <c r="B26" s="148" t="s">
        <v>1094</v>
      </c>
      <c r="C26" s="148" t="s">
        <v>1095</v>
      </c>
      <c r="D26" s="148"/>
      <c r="E26" s="148"/>
    </row>
    <row r="27" spans="1:7" x14ac:dyDescent="0.35">
      <c r="A27" s="3"/>
      <c r="B27" s="148">
        <v>54</v>
      </c>
      <c r="C27" s="148">
        <v>48</v>
      </c>
      <c r="D27" s="148"/>
      <c r="E27" s="148"/>
    </row>
    <row r="28" spans="1:7" x14ac:dyDescent="0.35">
      <c r="A28" s="3"/>
      <c r="B28" s="148">
        <v>66</v>
      </c>
      <c r="C28" s="148">
        <v>57</v>
      </c>
      <c r="D28" s="148"/>
      <c r="E28" s="148"/>
      <c r="G28">
        <f>AVERAGE(B27:B30)</f>
        <v>59</v>
      </c>
    </row>
    <row r="29" spans="1:7" x14ac:dyDescent="0.35">
      <c r="A29" s="3"/>
      <c r="B29" s="148">
        <v>59</v>
      </c>
      <c r="C29" s="148">
        <v>49</v>
      </c>
      <c r="D29" s="148"/>
      <c r="E29" s="148"/>
    </row>
    <row r="30" spans="1:7" x14ac:dyDescent="0.35">
      <c r="A30" s="3"/>
      <c r="B30" s="148">
        <v>57</v>
      </c>
      <c r="C30" s="148">
        <v>49</v>
      </c>
      <c r="D30" s="148"/>
      <c r="E30" s="148"/>
    </row>
    <row r="31" spans="1:7" x14ac:dyDescent="0.35">
      <c r="A31" s="3" t="s">
        <v>1096</v>
      </c>
      <c r="B31" s="148">
        <v>99.262</v>
      </c>
      <c r="C31" s="148"/>
      <c r="D31" s="148"/>
      <c r="E31" s="148"/>
    </row>
    <row r="32" spans="1:7" x14ac:dyDescent="0.35">
      <c r="A32" s="3" t="s">
        <v>1097</v>
      </c>
      <c r="B32" s="148">
        <v>60.39</v>
      </c>
      <c r="C32" s="148">
        <v>56.43</v>
      </c>
      <c r="D32" s="148"/>
      <c r="E32" s="148"/>
    </row>
    <row r="33" spans="1:5" x14ac:dyDescent="0.35">
      <c r="A33" s="3" t="s">
        <v>1098</v>
      </c>
      <c r="B33" s="148">
        <v>97.48</v>
      </c>
      <c r="C33" s="148">
        <v>93.72</v>
      </c>
      <c r="D33" s="148">
        <v>95.6</v>
      </c>
      <c r="E33" s="148"/>
    </row>
    <row r="34" spans="1:5" x14ac:dyDescent="0.35">
      <c r="A34" s="3" t="s">
        <v>1099</v>
      </c>
      <c r="B34" s="148">
        <v>85.98</v>
      </c>
      <c r="C34" s="148">
        <v>86.77</v>
      </c>
      <c r="D34" s="148"/>
      <c r="E34" s="148"/>
    </row>
    <row r="35" spans="1:5" x14ac:dyDescent="0.35">
      <c r="A35" s="3" t="s">
        <v>1100</v>
      </c>
      <c r="B35" s="148">
        <v>74.59</v>
      </c>
      <c r="C35" s="148">
        <v>76.849999999999994</v>
      </c>
      <c r="D35" s="148"/>
      <c r="E35" s="148"/>
    </row>
    <row r="36" spans="1:5" x14ac:dyDescent="0.35">
      <c r="A36" s="3" t="s">
        <v>1101</v>
      </c>
      <c r="B36" s="148">
        <v>93.56</v>
      </c>
      <c r="C36" s="148"/>
      <c r="D36" s="148"/>
      <c r="E36" s="148"/>
    </row>
    <row r="37" spans="1:5" x14ac:dyDescent="0.35">
      <c r="A37" s="3" t="s">
        <v>1102</v>
      </c>
      <c r="B37" s="148">
        <v>72.91</v>
      </c>
      <c r="C37" s="148"/>
      <c r="D37" s="148"/>
      <c r="E37" s="148"/>
    </row>
    <row r="38" spans="1:5" x14ac:dyDescent="0.35">
      <c r="A38" s="3" t="s">
        <v>1108</v>
      </c>
      <c r="B38" s="148">
        <v>86.76</v>
      </c>
      <c r="C38" s="148"/>
      <c r="D38" s="148"/>
      <c r="E38" s="148"/>
    </row>
    <row r="39" spans="1:5" x14ac:dyDescent="0.35">
      <c r="A39" s="3" t="s">
        <v>1103</v>
      </c>
      <c r="B39" s="148"/>
      <c r="C39" s="148"/>
      <c r="D39" s="148"/>
      <c r="E39" s="148"/>
    </row>
    <row r="40" spans="1:5" x14ac:dyDescent="0.35">
      <c r="A40" s="3" t="s">
        <v>1104</v>
      </c>
      <c r="B40" s="148"/>
      <c r="C40" s="148"/>
      <c r="D40" s="148"/>
      <c r="E40" s="148"/>
    </row>
    <row r="41" spans="1:5" x14ac:dyDescent="0.35">
      <c r="A41" s="3" t="s">
        <v>1105</v>
      </c>
      <c r="B41" s="148"/>
      <c r="C41" s="148"/>
      <c r="D41" s="148"/>
      <c r="E41" s="148"/>
    </row>
    <row r="42" spans="1:5" x14ac:dyDescent="0.35">
      <c r="A42" s="3" t="s">
        <v>1106</v>
      </c>
      <c r="B42" s="148"/>
      <c r="C42" s="148"/>
      <c r="D42" s="148"/>
      <c r="E42" s="148"/>
    </row>
    <row r="43" spans="1:5" x14ac:dyDescent="0.35">
      <c r="A43" s="3" t="s">
        <v>22</v>
      </c>
      <c r="B43" s="148"/>
      <c r="C43" s="148"/>
      <c r="D43" s="148"/>
      <c r="E43" s="148"/>
    </row>
    <row r="44" spans="1:5" x14ac:dyDescent="0.35">
      <c r="A44" s="3" t="s">
        <v>1107</v>
      </c>
      <c r="B44" s="148">
        <v>100</v>
      </c>
      <c r="C44" s="148">
        <v>100</v>
      </c>
      <c r="D44" s="148">
        <v>100</v>
      </c>
      <c r="E44" s="148"/>
    </row>
    <row r="45" spans="1:5" x14ac:dyDescent="0.35">
      <c r="A45" s="3" t="s">
        <v>11</v>
      </c>
      <c r="B45" s="148">
        <v>100</v>
      </c>
      <c r="C45" s="148">
        <v>100</v>
      </c>
      <c r="D45" s="148">
        <v>100</v>
      </c>
      <c r="E45" s="148"/>
    </row>
    <row r="46" spans="1:5" x14ac:dyDescent="0.35">
      <c r="A46" s="3" t="s">
        <v>1109</v>
      </c>
      <c r="B46" s="148">
        <v>100</v>
      </c>
      <c r="C46" s="148">
        <v>100</v>
      </c>
      <c r="D46" s="148">
        <v>100</v>
      </c>
      <c r="E46" s="148">
        <v>100</v>
      </c>
    </row>
    <row r="47" spans="1:5" x14ac:dyDescent="0.35">
      <c r="A47" s="3" t="s">
        <v>1110</v>
      </c>
      <c r="B47" s="148">
        <v>100</v>
      </c>
      <c r="C47" s="148">
        <v>100</v>
      </c>
      <c r="D47" s="148">
        <v>100</v>
      </c>
      <c r="E47" s="148">
        <v>100</v>
      </c>
    </row>
    <row r="48" spans="1:5" x14ac:dyDescent="0.35">
      <c r="A48" s="3" t="s">
        <v>1111</v>
      </c>
      <c r="B48" s="148">
        <v>100</v>
      </c>
      <c r="C48" s="148">
        <v>100</v>
      </c>
      <c r="D48" s="148">
        <v>100</v>
      </c>
      <c r="E48" s="148">
        <v>100</v>
      </c>
    </row>
    <row r="49" spans="1:5" x14ac:dyDescent="0.35">
      <c r="A49" s="3" t="s">
        <v>1112</v>
      </c>
      <c r="B49" s="148">
        <v>100</v>
      </c>
      <c r="C49" s="148">
        <v>100</v>
      </c>
      <c r="D49" s="148">
        <v>100</v>
      </c>
      <c r="E49" s="148">
        <v>100</v>
      </c>
    </row>
    <row r="50" spans="1:5" x14ac:dyDescent="0.35">
      <c r="A50" s="3" t="s">
        <v>1113</v>
      </c>
      <c r="B50" s="148">
        <v>100</v>
      </c>
      <c r="C50" s="148">
        <v>100</v>
      </c>
      <c r="D50" s="148">
        <v>100</v>
      </c>
      <c r="E50" s="148">
        <v>100</v>
      </c>
    </row>
    <row r="51" spans="1:5" x14ac:dyDescent="0.35">
      <c r="A51" s="3" t="s">
        <v>1114</v>
      </c>
      <c r="B51" s="148">
        <v>100</v>
      </c>
      <c r="C51" s="148">
        <v>100</v>
      </c>
      <c r="D51" s="148">
        <v>100</v>
      </c>
      <c r="E51" s="148">
        <v>100</v>
      </c>
    </row>
    <row r="52" spans="1:5" x14ac:dyDescent="0.35">
      <c r="A52" s="3" t="s">
        <v>67</v>
      </c>
      <c r="B52" s="148">
        <v>100</v>
      </c>
      <c r="C52" s="148">
        <v>100</v>
      </c>
      <c r="D52" s="148">
        <v>100</v>
      </c>
      <c r="E52" s="148">
        <v>100</v>
      </c>
    </row>
    <row r="53" spans="1:5" x14ac:dyDescent="0.35">
      <c r="A53" s="3" t="s">
        <v>24</v>
      </c>
      <c r="B53" s="148">
        <v>100</v>
      </c>
      <c r="C53" s="148">
        <v>100</v>
      </c>
      <c r="D53" s="148">
        <v>100</v>
      </c>
      <c r="E53" s="148">
        <v>100</v>
      </c>
    </row>
    <row r="54" spans="1:5" x14ac:dyDescent="0.35">
      <c r="A54" s="3" t="s">
        <v>9</v>
      </c>
      <c r="B54" s="148">
        <v>100</v>
      </c>
      <c r="C54" s="148">
        <v>100</v>
      </c>
      <c r="D54" s="148">
        <v>100</v>
      </c>
      <c r="E54" s="148">
        <v>100</v>
      </c>
    </row>
    <row r="55" spans="1:5" x14ac:dyDescent="0.35">
      <c r="A55" s="3" t="s">
        <v>1160</v>
      </c>
      <c r="B55" s="149">
        <v>81.224999999999994</v>
      </c>
      <c r="C55" s="149">
        <v>76.37</v>
      </c>
      <c r="D55" s="149">
        <v>78.125</v>
      </c>
      <c r="E55" s="149">
        <v>77.75</v>
      </c>
    </row>
  </sheetData>
  <conditionalFormatting sqref="A3:E38">
    <cfRule type="expression" dxfId="2" priority="3">
      <formula>CELL("row")=ROW()</formula>
    </cfRule>
  </conditionalFormatting>
  <conditionalFormatting sqref="A39:D64">
    <cfRule type="expression" priority="2">
      <formula>CELL("row")=ROW()</formula>
    </cfRule>
  </conditionalFormatting>
  <conditionalFormatting sqref="A39:D74">
    <cfRule type="expression" dxfId="1"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66B81-1C75-4DC2-B013-1414E3D8A571}">
  <sheetPr codeName="Sheet5">
    <tabColor theme="6"/>
  </sheetPr>
  <dimension ref="A3:F339"/>
  <sheetViews>
    <sheetView showGridLines="0" workbookViewId="0">
      <selection activeCell="E45" sqref="E45"/>
    </sheetView>
  </sheetViews>
  <sheetFormatPr defaultRowHeight="14.5" x14ac:dyDescent="0.35"/>
  <cols>
    <col min="1" max="1" width="14" bestFit="1" customWidth="1"/>
    <col min="2" max="2" width="53.54296875" bestFit="1" customWidth="1"/>
    <col min="5" max="5" width="10" bestFit="1" customWidth="1"/>
    <col min="6" max="6" width="40.90625" bestFit="1" customWidth="1"/>
  </cols>
  <sheetData>
    <row r="3" spans="1:6" ht="15.5" x14ac:dyDescent="0.35">
      <c r="A3" s="1" t="s">
        <v>122</v>
      </c>
      <c r="B3" s="1" t="s">
        <v>123</v>
      </c>
      <c r="E3" s="4"/>
      <c r="F3" s="4"/>
    </row>
    <row r="4" spans="1:6" x14ac:dyDescent="0.35">
      <c r="A4" t="s">
        <v>59</v>
      </c>
      <c r="B4" t="s">
        <v>124</v>
      </c>
    </row>
    <row r="5" spans="1:6" x14ac:dyDescent="0.35">
      <c r="A5" t="s">
        <v>125</v>
      </c>
      <c r="B5" t="s">
        <v>126</v>
      </c>
    </row>
    <row r="6" spans="1:6" x14ac:dyDescent="0.35">
      <c r="A6" t="s">
        <v>127</v>
      </c>
      <c r="B6" t="s">
        <v>128</v>
      </c>
    </row>
    <row r="7" spans="1:6" x14ac:dyDescent="0.35">
      <c r="A7" t="s">
        <v>129</v>
      </c>
      <c r="B7" t="s">
        <v>130</v>
      </c>
    </row>
    <row r="8" spans="1:6" x14ac:dyDescent="0.35">
      <c r="A8" t="s">
        <v>131</v>
      </c>
      <c r="B8" t="s">
        <v>132</v>
      </c>
    </row>
    <row r="9" spans="1:6" x14ac:dyDescent="0.35">
      <c r="A9" t="s">
        <v>133</v>
      </c>
      <c r="B9" t="s">
        <v>134</v>
      </c>
    </row>
    <row r="10" spans="1:6" x14ac:dyDescent="0.35">
      <c r="A10" t="s">
        <v>135</v>
      </c>
      <c r="B10" t="s">
        <v>136</v>
      </c>
    </row>
    <row r="11" spans="1:6" x14ac:dyDescent="0.35">
      <c r="A11" t="s">
        <v>137</v>
      </c>
      <c r="B11" t="s">
        <v>138</v>
      </c>
    </row>
    <row r="12" spans="1:6" x14ac:dyDescent="0.35">
      <c r="A12" t="s">
        <v>139</v>
      </c>
      <c r="B12" t="s">
        <v>140</v>
      </c>
    </row>
    <row r="13" spans="1:6" x14ac:dyDescent="0.35">
      <c r="A13" t="s">
        <v>141</v>
      </c>
      <c r="B13" t="s">
        <v>142</v>
      </c>
    </row>
    <row r="14" spans="1:6" x14ac:dyDescent="0.35">
      <c r="A14" t="s">
        <v>143</v>
      </c>
      <c r="B14" t="s">
        <v>144</v>
      </c>
    </row>
    <row r="15" spans="1:6" x14ac:dyDescent="0.35">
      <c r="A15" t="s">
        <v>145</v>
      </c>
      <c r="B15" t="s">
        <v>146</v>
      </c>
    </row>
    <row r="16" spans="1:6" x14ac:dyDescent="0.35">
      <c r="A16" t="s">
        <v>147</v>
      </c>
      <c r="B16" t="s">
        <v>148</v>
      </c>
    </row>
    <row r="17" spans="1:2" x14ac:dyDescent="0.35">
      <c r="A17" t="s">
        <v>149</v>
      </c>
      <c r="B17" t="s">
        <v>150</v>
      </c>
    </row>
    <row r="18" spans="1:2" x14ac:dyDescent="0.35">
      <c r="A18" t="s">
        <v>151</v>
      </c>
      <c r="B18" t="s">
        <v>152</v>
      </c>
    </row>
    <row r="19" spans="1:2" x14ac:dyDescent="0.35">
      <c r="A19" t="s">
        <v>153</v>
      </c>
      <c r="B19" t="s">
        <v>154</v>
      </c>
    </row>
    <row r="20" spans="1:2" x14ac:dyDescent="0.35">
      <c r="A20" t="s">
        <v>155</v>
      </c>
      <c r="B20" t="s">
        <v>156</v>
      </c>
    </row>
    <row r="21" spans="1:2" x14ac:dyDescent="0.35">
      <c r="A21" t="s">
        <v>157</v>
      </c>
      <c r="B21" t="s">
        <v>158</v>
      </c>
    </row>
    <row r="22" spans="1:2" x14ac:dyDescent="0.35">
      <c r="A22" t="s">
        <v>159</v>
      </c>
      <c r="B22" t="s">
        <v>160</v>
      </c>
    </row>
    <row r="23" spans="1:2" x14ac:dyDescent="0.35">
      <c r="A23" t="s">
        <v>161</v>
      </c>
      <c r="B23" t="s">
        <v>162</v>
      </c>
    </row>
    <row r="24" spans="1:2" x14ac:dyDescent="0.35">
      <c r="A24" t="s">
        <v>163</v>
      </c>
      <c r="B24" t="s">
        <v>164</v>
      </c>
    </row>
    <row r="25" spans="1:2" x14ac:dyDescent="0.35">
      <c r="A25" t="s">
        <v>165</v>
      </c>
      <c r="B25" t="s">
        <v>166</v>
      </c>
    </row>
    <row r="26" spans="1:2" x14ac:dyDescent="0.35">
      <c r="A26" t="s">
        <v>167</v>
      </c>
      <c r="B26" t="s">
        <v>168</v>
      </c>
    </row>
    <row r="27" spans="1:2" x14ac:dyDescent="0.35">
      <c r="A27" t="s">
        <v>169</v>
      </c>
      <c r="B27" t="s">
        <v>170</v>
      </c>
    </row>
    <row r="28" spans="1:2" x14ac:dyDescent="0.35">
      <c r="A28" t="s">
        <v>171</v>
      </c>
      <c r="B28" t="s">
        <v>172</v>
      </c>
    </row>
    <row r="29" spans="1:2" x14ac:dyDescent="0.35">
      <c r="A29" t="s">
        <v>173</v>
      </c>
      <c r="B29" t="s">
        <v>174</v>
      </c>
    </row>
    <row r="30" spans="1:2" x14ac:dyDescent="0.35">
      <c r="A30" t="s">
        <v>175</v>
      </c>
      <c r="B30" t="s">
        <v>176</v>
      </c>
    </row>
    <row r="31" spans="1:2" x14ac:dyDescent="0.35">
      <c r="A31" t="s">
        <v>177</v>
      </c>
      <c r="B31" t="s">
        <v>178</v>
      </c>
    </row>
    <row r="32" spans="1:2" x14ac:dyDescent="0.35">
      <c r="A32" t="s">
        <v>179</v>
      </c>
      <c r="B32" t="s">
        <v>180</v>
      </c>
    </row>
    <row r="33" spans="1:2" x14ac:dyDescent="0.35">
      <c r="A33" t="s">
        <v>181</v>
      </c>
      <c r="B33" t="s">
        <v>182</v>
      </c>
    </row>
    <row r="34" spans="1:2" x14ac:dyDescent="0.35">
      <c r="A34" t="s">
        <v>183</v>
      </c>
      <c r="B34" t="s">
        <v>184</v>
      </c>
    </row>
    <row r="35" spans="1:2" x14ac:dyDescent="0.35">
      <c r="A35" t="s">
        <v>185</v>
      </c>
      <c r="B35" t="s">
        <v>186</v>
      </c>
    </row>
    <row r="36" spans="1:2" x14ac:dyDescent="0.35">
      <c r="A36" t="s">
        <v>187</v>
      </c>
      <c r="B36" t="s">
        <v>188</v>
      </c>
    </row>
    <row r="37" spans="1:2" ht="15.5" x14ac:dyDescent="0.35">
      <c r="A37" s="4" t="s">
        <v>189</v>
      </c>
      <c r="B37" s="4" t="s">
        <v>190</v>
      </c>
    </row>
    <row r="38" spans="1:2" ht="15.5" x14ac:dyDescent="0.35">
      <c r="A38" s="4" t="s">
        <v>191</v>
      </c>
      <c r="B38" s="4" t="s">
        <v>192</v>
      </c>
    </row>
    <row r="39" spans="1:2" ht="15.5" x14ac:dyDescent="0.35">
      <c r="A39" s="4" t="s">
        <v>193</v>
      </c>
      <c r="B39" s="4" t="s">
        <v>194</v>
      </c>
    </row>
    <row r="40" spans="1:2" ht="15.5" x14ac:dyDescent="0.35">
      <c r="A40" s="4" t="s">
        <v>195</v>
      </c>
      <c r="B40" s="4" t="s">
        <v>196</v>
      </c>
    </row>
    <row r="41" spans="1:2" ht="15.5" x14ac:dyDescent="0.35">
      <c r="A41" s="4" t="s">
        <v>197</v>
      </c>
      <c r="B41" s="4" t="s">
        <v>198</v>
      </c>
    </row>
    <row r="42" spans="1:2" ht="15.5" x14ac:dyDescent="0.35">
      <c r="A42" s="4" t="s">
        <v>199</v>
      </c>
      <c r="B42" s="4" t="s">
        <v>200</v>
      </c>
    </row>
    <row r="43" spans="1:2" ht="15.5" x14ac:dyDescent="0.35">
      <c r="A43" s="4" t="s">
        <v>201</v>
      </c>
      <c r="B43" s="4" t="s">
        <v>202</v>
      </c>
    </row>
    <row r="44" spans="1:2" ht="15.5" x14ac:dyDescent="0.35">
      <c r="A44" s="4" t="s">
        <v>203</v>
      </c>
      <c r="B44" s="4" t="s">
        <v>204</v>
      </c>
    </row>
    <row r="45" spans="1:2" ht="15.5" x14ac:dyDescent="0.35">
      <c r="A45" s="4" t="s">
        <v>205</v>
      </c>
      <c r="B45" s="4" t="s">
        <v>206</v>
      </c>
    </row>
    <row r="46" spans="1:2" ht="15.5" x14ac:dyDescent="0.35">
      <c r="A46" s="4" t="s">
        <v>207</v>
      </c>
      <c r="B46" s="4"/>
    </row>
    <row r="47" spans="1:2" ht="15.5" x14ac:dyDescent="0.35">
      <c r="A47" s="4" t="s">
        <v>59</v>
      </c>
      <c r="B47" s="4" t="s">
        <v>124</v>
      </c>
    </row>
    <row r="48" spans="1:2" ht="15.5" x14ac:dyDescent="0.35">
      <c r="A48" s="4" t="s">
        <v>125</v>
      </c>
      <c r="B48" s="4" t="s">
        <v>126</v>
      </c>
    </row>
    <row r="49" spans="1:2" ht="15.5" x14ac:dyDescent="0.35">
      <c r="A49" s="4" t="s">
        <v>127</v>
      </c>
      <c r="B49" s="4" t="s">
        <v>128</v>
      </c>
    </row>
    <row r="50" spans="1:2" ht="15.5" x14ac:dyDescent="0.35">
      <c r="A50" s="4" t="s">
        <v>129</v>
      </c>
      <c r="B50" s="4" t="s">
        <v>130</v>
      </c>
    </row>
    <row r="51" spans="1:2" ht="15.5" x14ac:dyDescent="0.35">
      <c r="A51" s="4" t="s">
        <v>131</v>
      </c>
      <c r="B51" s="4" t="s">
        <v>132</v>
      </c>
    </row>
    <row r="52" spans="1:2" ht="15.5" x14ac:dyDescent="0.35">
      <c r="A52" s="4" t="s">
        <v>133</v>
      </c>
      <c r="B52" s="4" t="s">
        <v>134</v>
      </c>
    </row>
    <row r="53" spans="1:2" ht="15.5" x14ac:dyDescent="0.35">
      <c r="A53" s="4" t="s">
        <v>135</v>
      </c>
      <c r="B53" s="4" t="s">
        <v>136</v>
      </c>
    </row>
    <row r="54" spans="1:2" ht="15.5" x14ac:dyDescent="0.35">
      <c r="A54" s="4" t="s">
        <v>137</v>
      </c>
      <c r="B54" s="4" t="s">
        <v>138</v>
      </c>
    </row>
    <row r="55" spans="1:2" ht="15.5" x14ac:dyDescent="0.35">
      <c r="A55" s="4" t="s">
        <v>139</v>
      </c>
      <c r="B55" s="4" t="s">
        <v>140</v>
      </c>
    </row>
    <row r="56" spans="1:2" ht="15.5" x14ac:dyDescent="0.35">
      <c r="A56" s="4" t="s">
        <v>141</v>
      </c>
      <c r="B56" s="4" t="s">
        <v>142</v>
      </c>
    </row>
    <row r="57" spans="1:2" ht="15.5" x14ac:dyDescent="0.35">
      <c r="A57" s="4" t="s">
        <v>143</v>
      </c>
      <c r="B57" s="4" t="s">
        <v>144</v>
      </c>
    </row>
    <row r="58" spans="1:2" ht="15.5" x14ac:dyDescent="0.35">
      <c r="A58" s="4" t="s">
        <v>145</v>
      </c>
      <c r="B58" s="4" t="s">
        <v>146</v>
      </c>
    </row>
    <row r="59" spans="1:2" ht="15.5" x14ac:dyDescent="0.35">
      <c r="A59" s="4" t="s">
        <v>147</v>
      </c>
      <c r="B59" s="4" t="s">
        <v>148</v>
      </c>
    </row>
    <row r="60" spans="1:2" ht="15.5" x14ac:dyDescent="0.35">
      <c r="A60" s="4" t="s">
        <v>149</v>
      </c>
      <c r="B60" s="4" t="s">
        <v>150</v>
      </c>
    </row>
    <row r="61" spans="1:2" ht="15.5" x14ac:dyDescent="0.35">
      <c r="A61" s="4" t="s">
        <v>151</v>
      </c>
      <c r="B61" s="4" t="s">
        <v>152</v>
      </c>
    </row>
    <row r="62" spans="1:2" ht="15.5" x14ac:dyDescent="0.35">
      <c r="A62" s="4" t="s">
        <v>153</v>
      </c>
      <c r="B62" s="4" t="s">
        <v>154</v>
      </c>
    </row>
    <row r="63" spans="1:2" ht="15.5" x14ac:dyDescent="0.35">
      <c r="A63" s="4" t="s">
        <v>155</v>
      </c>
      <c r="B63" s="4" t="s">
        <v>156</v>
      </c>
    </row>
    <row r="64" spans="1:2" ht="15.5" x14ac:dyDescent="0.35">
      <c r="A64" s="4" t="s">
        <v>157</v>
      </c>
      <c r="B64" s="4" t="s">
        <v>158</v>
      </c>
    </row>
    <row r="65" spans="1:2" ht="15.5" x14ac:dyDescent="0.35">
      <c r="A65" s="4" t="s">
        <v>159</v>
      </c>
      <c r="B65" s="4" t="s">
        <v>160</v>
      </c>
    </row>
    <row r="66" spans="1:2" ht="15.5" x14ac:dyDescent="0.35">
      <c r="A66" s="4" t="s">
        <v>161</v>
      </c>
      <c r="B66" s="4" t="s">
        <v>162</v>
      </c>
    </row>
    <row r="67" spans="1:2" ht="15.5" x14ac:dyDescent="0.35">
      <c r="A67" s="4" t="s">
        <v>163</v>
      </c>
      <c r="B67" s="4" t="s">
        <v>164</v>
      </c>
    </row>
    <row r="68" spans="1:2" ht="15.5" x14ac:dyDescent="0.35">
      <c r="A68" s="4" t="s">
        <v>165</v>
      </c>
      <c r="B68" s="4" t="s">
        <v>166</v>
      </c>
    </row>
    <row r="69" spans="1:2" ht="15.5" x14ac:dyDescent="0.35">
      <c r="A69" s="4" t="s">
        <v>167</v>
      </c>
      <c r="B69" s="4" t="s">
        <v>168</v>
      </c>
    </row>
    <row r="70" spans="1:2" ht="15.5" x14ac:dyDescent="0.35">
      <c r="A70" s="4" t="s">
        <v>169</v>
      </c>
      <c r="B70" s="4" t="s">
        <v>170</v>
      </c>
    </row>
    <row r="71" spans="1:2" ht="15.5" x14ac:dyDescent="0.35">
      <c r="A71" s="4" t="s">
        <v>171</v>
      </c>
      <c r="B71" s="4" t="s">
        <v>172</v>
      </c>
    </row>
    <row r="72" spans="1:2" ht="15.5" x14ac:dyDescent="0.35">
      <c r="A72" s="4" t="s">
        <v>173</v>
      </c>
      <c r="B72" s="4" t="s">
        <v>174</v>
      </c>
    </row>
    <row r="73" spans="1:2" ht="15.5" x14ac:dyDescent="0.35">
      <c r="A73" s="4" t="s">
        <v>175</v>
      </c>
      <c r="B73" s="4" t="s">
        <v>176</v>
      </c>
    </row>
    <row r="74" spans="1:2" ht="15.5" x14ac:dyDescent="0.35">
      <c r="A74" s="4" t="s">
        <v>177</v>
      </c>
      <c r="B74" s="4" t="s">
        <v>178</v>
      </c>
    </row>
    <row r="75" spans="1:2" ht="15.5" x14ac:dyDescent="0.35">
      <c r="A75" s="4" t="s">
        <v>179</v>
      </c>
      <c r="B75" s="4" t="s">
        <v>180</v>
      </c>
    </row>
    <row r="76" spans="1:2" ht="15.5" x14ac:dyDescent="0.35">
      <c r="A76" s="4" t="s">
        <v>181</v>
      </c>
      <c r="B76" s="4" t="s">
        <v>182</v>
      </c>
    </row>
    <row r="77" spans="1:2" ht="15.5" x14ac:dyDescent="0.35">
      <c r="A77" s="4" t="s">
        <v>183</v>
      </c>
      <c r="B77" s="4" t="s">
        <v>184</v>
      </c>
    </row>
    <row r="78" spans="1:2" ht="15.5" x14ac:dyDescent="0.35">
      <c r="A78" s="4" t="s">
        <v>185</v>
      </c>
      <c r="B78" s="4" t="s">
        <v>186</v>
      </c>
    </row>
    <row r="79" spans="1:2" ht="15.5" x14ac:dyDescent="0.35">
      <c r="A79" s="4" t="s">
        <v>187</v>
      </c>
      <c r="B79" s="4" t="s">
        <v>188</v>
      </c>
    </row>
    <row r="80" spans="1:2" ht="15.5" x14ac:dyDescent="0.35">
      <c r="A80" s="4" t="s">
        <v>209</v>
      </c>
      <c r="B80" s="4" t="s">
        <v>210</v>
      </c>
    </row>
    <row r="81" spans="1:2" ht="15.5" x14ac:dyDescent="0.35">
      <c r="A81" s="4" t="s">
        <v>211</v>
      </c>
      <c r="B81" s="4" t="s">
        <v>212</v>
      </c>
    </row>
    <row r="82" spans="1:2" ht="15.5" x14ac:dyDescent="0.35">
      <c r="A82" s="4" t="s">
        <v>213</v>
      </c>
      <c r="B82" s="4" t="s">
        <v>214</v>
      </c>
    </row>
    <row r="83" spans="1:2" ht="15.5" x14ac:dyDescent="0.35">
      <c r="A83" s="4" t="s">
        <v>215</v>
      </c>
      <c r="B83" s="4" t="s">
        <v>216</v>
      </c>
    </row>
    <row r="84" spans="1:2" ht="15.5" x14ac:dyDescent="0.35">
      <c r="A84" s="4" t="s">
        <v>217</v>
      </c>
      <c r="B84" s="4" t="s">
        <v>218</v>
      </c>
    </row>
    <row r="85" spans="1:2" ht="15.5" x14ac:dyDescent="0.35">
      <c r="A85" s="4" t="s">
        <v>219</v>
      </c>
      <c r="B85" s="4" t="s">
        <v>220</v>
      </c>
    </row>
    <row r="86" spans="1:2" ht="15.5" x14ac:dyDescent="0.35">
      <c r="A86" s="4" t="s">
        <v>221</v>
      </c>
      <c r="B86" s="4" t="s">
        <v>222</v>
      </c>
    </row>
    <row r="87" spans="1:2" ht="15.5" x14ac:dyDescent="0.35">
      <c r="A87" s="4" t="s">
        <v>223</v>
      </c>
      <c r="B87" s="4" t="s">
        <v>224</v>
      </c>
    </row>
    <row r="88" spans="1:2" ht="15.5" x14ac:dyDescent="0.35">
      <c r="A88" s="4" t="s">
        <v>225</v>
      </c>
      <c r="B88" s="4" t="s">
        <v>226</v>
      </c>
    </row>
    <row r="89" spans="1:2" ht="15.5" x14ac:dyDescent="0.35">
      <c r="A89" s="4" t="s">
        <v>227</v>
      </c>
      <c r="B89" s="4" t="s">
        <v>228</v>
      </c>
    </row>
    <row r="90" spans="1:2" ht="15.5" x14ac:dyDescent="0.35">
      <c r="A90" s="4" t="s">
        <v>229</v>
      </c>
      <c r="B90" s="4" t="s">
        <v>230</v>
      </c>
    </row>
    <row r="91" spans="1:2" ht="15.5" x14ac:dyDescent="0.35">
      <c r="A91" s="4" t="s">
        <v>231</v>
      </c>
      <c r="B91" s="4" t="s">
        <v>232</v>
      </c>
    </row>
    <row r="92" spans="1:2" ht="15.5" x14ac:dyDescent="0.35">
      <c r="A92" s="4" t="s">
        <v>233</v>
      </c>
      <c r="B92" s="4" t="s">
        <v>234</v>
      </c>
    </row>
    <row r="93" spans="1:2" ht="15.5" x14ac:dyDescent="0.35">
      <c r="A93" s="4" t="s">
        <v>235</v>
      </c>
      <c r="B93" s="4" t="s">
        <v>236</v>
      </c>
    </row>
    <row r="94" spans="1:2" ht="15.5" x14ac:dyDescent="0.35">
      <c r="A94" s="4" t="s">
        <v>237</v>
      </c>
      <c r="B94" s="4" t="s">
        <v>238</v>
      </c>
    </row>
    <row r="95" spans="1:2" ht="15.5" x14ac:dyDescent="0.35">
      <c r="A95" s="4" t="s">
        <v>239</v>
      </c>
      <c r="B95" s="4" t="s">
        <v>240</v>
      </c>
    </row>
    <row r="96" spans="1:2" x14ac:dyDescent="0.35">
      <c r="A96" t="s">
        <v>241</v>
      </c>
      <c r="B96" t="s">
        <v>242</v>
      </c>
    </row>
    <row r="97" spans="1:2" x14ac:dyDescent="0.35">
      <c r="A97" t="s">
        <v>243</v>
      </c>
      <c r="B97" t="s">
        <v>244</v>
      </c>
    </row>
    <row r="98" spans="1:2" x14ac:dyDescent="0.35">
      <c r="A98" t="s">
        <v>52</v>
      </c>
      <c r="B98" t="s">
        <v>245</v>
      </c>
    </row>
    <row r="99" spans="1:2" x14ac:dyDescent="0.35">
      <c r="A99" t="s">
        <v>246</v>
      </c>
      <c r="B99" t="s">
        <v>247</v>
      </c>
    </row>
    <row r="100" spans="1:2" x14ac:dyDescent="0.35">
      <c r="A100" t="s">
        <v>248</v>
      </c>
      <c r="B100" t="s">
        <v>249</v>
      </c>
    </row>
    <row r="101" spans="1:2" x14ac:dyDescent="0.35">
      <c r="A101" t="s">
        <v>250</v>
      </c>
      <c r="B101" t="s">
        <v>251</v>
      </c>
    </row>
    <row r="102" spans="1:2" x14ac:dyDescent="0.35">
      <c r="A102" t="s">
        <v>252</v>
      </c>
      <c r="B102" t="s">
        <v>253</v>
      </c>
    </row>
    <row r="103" spans="1:2" x14ac:dyDescent="0.35">
      <c r="A103" t="s">
        <v>254</v>
      </c>
      <c r="B103" t="s">
        <v>255</v>
      </c>
    </row>
    <row r="104" spans="1:2" x14ac:dyDescent="0.35">
      <c r="A104" t="s">
        <v>256</v>
      </c>
      <c r="B104" t="s">
        <v>257</v>
      </c>
    </row>
    <row r="105" spans="1:2" x14ac:dyDescent="0.35">
      <c r="A105" t="s">
        <v>258</v>
      </c>
      <c r="B105" t="s">
        <v>259</v>
      </c>
    </row>
    <row r="106" spans="1:2" x14ac:dyDescent="0.35">
      <c r="A106" t="s">
        <v>260</v>
      </c>
      <c r="B106" t="s">
        <v>261</v>
      </c>
    </row>
    <row r="107" spans="1:2" x14ac:dyDescent="0.35">
      <c r="A107" t="s">
        <v>262</v>
      </c>
      <c r="B107" t="s">
        <v>263</v>
      </c>
    </row>
    <row r="108" spans="1:2" x14ac:dyDescent="0.35">
      <c r="A108" t="s">
        <v>264</v>
      </c>
      <c r="B108" t="s">
        <v>265</v>
      </c>
    </row>
    <row r="109" spans="1:2" x14ac:dyDescent="0.35">
      <c r="A109" t="s">
        <v>266</v>
      </c>
      <c r="B109" t="s">
        <v>267</v>
      </c>
    </row>
    <row r="110" spans="1:2" x14ac:dyDescent="0.35">
      <c r="A110" t="s">
        <v>44</v>
      </c>
      <c r="B110" t="s">
        <v>268</v>
      </c>
    </row>
    <row r="111" spans="1:2" x14ac:dyDescent="0.35">
      <c r="A111" t="s">
        <v>269</v>
      </c>
      <c r="B111" t="s">
        <v>270</v>
      </c>
    </row>
    <row r="112" spans="1:2" x14ac:dyDescent="0.35">
      <c r="A112" t="s">
        <v>56</v>
      </c>
      <c r="B112" t="s">
        <v>271</v>
      </c>
    </row>
    <row r="113" spans="1:2" x14ac:dyDescent="0.35">
      <c r="A113" t="s">
        <v>272</v>
      </c>
      <c r="B113" t="s">
        <v>273</v>
      </c>
    </row>
    <row r="114" spans="1:2" x14ac:dyDescent="0.35">
      <c r="A114" t="s">
        <v>274</v>
      </c>
      <c r="B114" t="s">
        <v>275</v>
      </c>
    </row>
    <row r="115" spans="1:2" x14ac:dyDescent="0.35">
      <c r="A115" t="s">
        <v>276</v>
      </c>
      <c r="B115" t="s">
        <v>277</v>
      </c>
    </row>
    <row r="116" spans="1:2" x14ac:dyDescent="0.35">
      <c r="A116" t="s">
        <v>278</v>
      </c>
      <c r="B116" t="s">
        <v>279</v>
      </c>
    </row>
    <row r="117" spans="1:2" x14ac:dyDescent="0.35">
      <c r="A117" t="s">
        <v>280</v>
      </c>
      <c r="B117" t="s">
        <v>281</v>
      </c>
    </row>
    <row r="118" spans="1:2" x14ac:dyDescent="0.35">
      <c r="A118" t="s">
        <v>282</v>
      </c>
      <c r="B118" t="s">
        <v>283</v>
      </c>
    </row>
    <row r="119" spans="1:2" x14ac:dyDescent="0.35">
      <c r="A119" t="s">
        <v>284</v>
      </c>
      <c r="B119" t="s">
        <v>285</v>
      </c>
    </row>
    <row r="120" spans="1:2" x14ac:dyDescent="0.35">
      <c r="A120" t="s">
        <v>286</v>
      </c>
      <c r="B120" t="s">
        <v>287</v>
      </c>
    </row>
    <row r="121" spans="1:2" x14ac:dyDescent="0.35">
      <c r="A121" t="s">
        <v>288</v>
      </c>
      <c r="B121" t="s">
        <v>289</v>
      </c>
    </row>
    <row r="122" spans="1:2" x14ac:dyDescent="0.35">
      <c r="A122" t="s">
        <v>290</v>
      </c>
      <c r="B122" t="s">
        <v>291</v>
      </c>
    </row>
    <row r="123" spans="1:2" x14ac:dyDescent="0.35">
      <c r="A123" t="s">
        <v>292</v>
      </c>
      <c r="B123" t="s">
        <v>293</v>
      </c>
    </row>
    <row r="124" spans="1:2" x14ac:dyDescent="0.35">
      <c r="A124" t="s">
        <v>294</v>
      </c>
      <c r="B124" t="s">
        <v>295</v>
      </c>
    </row>
    <row r="125" spans="1:2" x14ac:dyDescent="0.35">
      <c r="A125" t="s">
        <v>296</v>
      </c>
      <c r="B125" t="s">
        <v>297</v>
      </c>
    </row>
    <row r="126" spans="1:2" x14ac:dyDescent="0.35">
      <c r="A126" t="s">
        <v>298</v>
      </c>
      <c r="B126" t="s">
        <v>299</v>
      </c>
    </row>
    <row r="127" spans="1:2" x14ac:dyDescent="0.35">
      <c r="A127" t="s">
        <v>300</v>
      </c>
      <c r="B127" t="s">
        <v>301</v>
      </c>
    </row>
    <row r="128" spans="1:2" x14ac:dyDescent="0.35">
      <c r="A128" t="s">
        <v>302</v>
      </c>
      <c r="B128" t="s">
        <v>303</v>
      </c>
    </row>
    <row r="129" spans="1:2" x14ac:dyDescent="0.35">
      <c r="A129" t="s">
        <v>40</v>
      </c>
      <c r="B129" t="s">
        <v>304</v>
      </c>
    </row>
    <row r="130" spans="1:2" x14ac:dyDescent="0.35">
      <c r="A130" t="s">
        <v>305</v>
      </c>
      <c r="B130" t="s">
        <v>306</v>
      </c>
    </row>
    <row r="131" spans="1:2" x14ac:dyDescent="0.35">
      <c r="A131" t="s">
        <v>307</v>
      </c>
      <c r="B131" t="s">
        <v>308</v>
      </c>
    </row>
    <row r="132" spans="1:2" x14ac:dyDescent="0.35">
      <c r="A132" t="s">
        <v>46</v>
      </c>
      <c r="B132" t="s">
        <v>309</v>
      </c>
    </row>
    <row r="133" spans="1:2" x14ac:dyDescent="0.35">
      <c r="A133" t="s">
        <v>310</v>
      </c>
      <c r="B133" t="s">
        <v>311</v>
      </c>
    </row>
    <row r="134" spans="1:2" x14ac:dyDescent="0.35">
      <c r="A134" t="s">
        <v>312</v>
      </c>
      <c r="B134" t="s">
        <v>313</v>
      </c>
    </row>
    <row r="135" spans="1:2" x14ac:dyDescent="0.35">
      <c r="A135" t="s">
        <v>314</v>
      </c>
      <c r="B135" t="s">
        <v>315</v>
      </c>
    </row>
    <row r="136" spans="1:2" x14ac:dyDescent="0.35">
      <c r="A136" t="s">
        <v>316</v>
      </c>
      <c r="B136" t="s">
        <v>317</v>
      </c>
    </row>
    <row r="137" spans="1:2" x14ac:dyDescent="0.35">
      <c r="A137" t="s">
        <v>318</v>
      </c>
      <c r="B137" t="s">
        <v>319</v>
      </c>
    </row>
    <row r="138" spans="1:2" x14ac:dyDescent="0.35">
      <c r="A138" t="s">
        <v>41</v>
      </c>
      <c r="B138" t="s">
        <v>320</v>
      </c>
    </row>
    <row r="139" spans="1:2" x14ac:dyDescent="0.35">
      <c r="A139" t="s">
        <v>45</v>
      </c>
      <c r="B139" t="s">
        <v>321</v>
      </c>
    </row>
    <row r="140" spans="1:2" x14ac:dyDescent="0.35">
      <c r="A140" t="s">
        <v>322</v>
      </c>
      <c r="B140" t="s">
        <v>323</v>
      </c>
    </row>
    <row r="141" spans="1:2" x14ac:dyDescent="0.35">
      <c r="A141" t="s">
        <v>55</v>
      </c>
      <c r="B141" t="s">
        <v>324</v>
      </c>
    </row>
    <row r="142" spans="1:2" x14ac:dyDescent="0.35">
      <c r="A142" t="s">
        <v>325</v>
      </c>
      <c r="B142" t="s">
        <v>326</v>
      </c>
    </row>
    <row r="143" spans="1:2" x14ac:dyDescent="0.35">
      <c r="A143" t="s">
        <v>327</v>
      </c>
      <c r="B143" t="s">
        <v>328</v>
      </c>
    </row>
    <row r="144" spans="1:2" x14ac:dyDescent="0.35">
      <c r="A144" t="s">
        <v>43</v>
      </c>
      <c r="B144" t="s">
        <v>329</v>
      </c>
    </row>
    <row r="145" spans="1:2" x14ac:dyDescent="0.35">
      <c r="A145" t="s">
        <v>42</v>
      </c>
      <c r="B145" t="s">
        <v>330</v>
      </c>
    </row>
    <row r="146" spans="1:2" x14ac:dyDescent="0.35">
      <c r="A146" t="s">
        <v>331</v>
      </c>
      <c r="B146" t="s">
        <v>332</v>
      </c>
    </row>
    <row r="147" spans="1:2" x14ac:dyDescent="0.35">
      <c r="A147" t="s">
        <v>333</v>
      </c>
      <c r="B147" t="s">
        <v>334</v>
      </c>
    </row>
    <row r="148" spans="1:2" x14ac:dyDescent="0.35">
      <c r="A148" t="s">
        <v>335</v>
      </c>
      <c r="B148" t="s">
        <v>336</v>
      </c>
    </row>
    <row r="149" spans="1:2" x14ac:dyDescent="0.35">
      <c r="A149" t="s">
        <v>337</v>
      </c>
      <c r="B149" t="s">
        <v>338</v>
      </c>
    </row>
    <row r="150" spans="1:2" x14ac:dyDescent="0.35">
      <c r="A150" t="s">
        <v>339</v>
      </c>
      <c r="B150" t="s">
        <v>340</v>
      </c>
    </row>
    <row r="151" spans="1:2" x14ac:dyDescent="0.35">
      <c r="A151" t="s">
        <v>341</v>
      </c>
      <c r="B151" t="s">
        <v>342</v>
      </c>
    </row>
    <row r="152" spans="1:2" x14ac:dyDescent="0.35">
      <c r="A152" t="s">
        <v>343</v>
      </c>
      <c r="B152" t="s">
        <v>344</v>
      </c>
    </row>
    <row r="153" spans="1:2" x14ac:dyDescent="0.35">
      <c r="A153" t="s">
        <v>345</v>
      </c>
      <c r="B153" t="s">
        <v>346</v>
      </c>
    </row>
    <row r="154" spans="1:2" x14ac:dyDescent="0.35">
      <c r="A154" t="s">
        <v>347</v>
      </c>
      <c r="B154" t="s">
        <v>348</v>
      </c>
    </row>
    <row r="155" spans="1:2" x14ac:dyDescent="0.35">
      <c r="A155" t="s">
        <v>349</v>
      </c>
      <c r="B155" t="s">
        <v>350</v>
      </c>
    </row>
    <row r="156" spans="1:2" x14ac:dyDescent="0.35">
      <c r="A156" t="s">
        <v>351</v>
      </c>
      <c r="B156" t="s">
        <v>352</v>
      </c>
    </row>
    <row r="157" spans="1:2" x14ac:dyDescent="0.35">
      <c r="A157" t="s">
        <v>353</v>
      </c>
      <c r="B157" t="s">
        <v>354</v>
      </c>
    </row>
    <row r="158" spans="1:2" x14ac:dyDescent="0.35">
      <c r="A158" t="s">
        <v>355</v>
      </c>
      <c r="B158" t="s">
        <v>356</v>
      </c>
    </row>
    <row r="159" spans="1:2" x14ac:dyDescent="0.35">
      <c r="A159" t="s">
        <v>357</v>
      </c>
      <c r="B159" t="s">
        <v>358</v>
      </c>
    </row>
    <row r="160" spans="1:2" x14ac:dyDescent="0.35">
      <c r="A160" t="s">
        <v>359</v>
      </c>
      <c r="B160" t="s">
        <v>336</v>
      </c>
    </row>
    <row r="161" spans="1:2" x14ac:dyDescent="0.35">
      <c r="A161" t="s">
        <v>360</v>
      </c>
      <c r="B161" t="s">
        <v>361</v>
      </c>
    </row>
    <row r="162" spans="1:2" x14ac:dyDescent="0.35">
      <c r="A162" t="s">
        <v>362</v>
      </c>
      <c r="B162" t="s">
        <v>363</v>
      </c>
    </row>
    <row r="163" spans="1:2" x14ac:dyDescent="0.35">
      <c r="A163" t="s">
        <v>53</v>
      </c>
      <c r="B163" t="s">
        <v>364</v>
      </c>
    </row>
    <row r="164" spans="1:2" x14ac:dyDescent="0.35">
      <c r="A164" t="s">
        <v>57</v>
      </c>
      <c r="B164" t="s">
        <v>365</v>
      </c>
    </row>
    <row r="165" spans="1:2" x14ac:dyDescent="0.35">
      <c r="A165" t="s">
        <v>54</v>
      </c>
      <c r="B165" t="s">
        <v>366</v>
      </c>
    </row>
    <row r="166" spans="1:2" x14ac:dyDescent="0.35">
      <c r="A166" t="s">
        <v>39</v>
      </c>
      <c r="B166" t="s">
        <v>367</v>
      </c>
    </row>
    <row r="167" spans="1:2" x14ac:dyDescent="0.35">
      <c r="A167" t="s">
        <v>60</v>
      </c>
      <c r="B167" t="s">
        <v>368</v>
      </c>
    </row>
    <row r="168" spans="1:2" x14ac:dyDescent="0.35">
      <c r="A168" t="s">
        <v>369</v>
      </c>
      <c r="B168" t="s">
        <v>370</v>
      </c>
    </row>
    <row r="169" spans="1:2" x14ac:dyDescent="0.35">
      <c r="A169" t="s">
        <v>371</v>
      </c>
      <c r="B169" t="s">
        <v>372</v>
      </c>
    </row>
    <row r="170" spans="1:2" x14ac:dyDescent="0.35">
      <c r="A170" t="s">
        <v>373</v>
      </c>
      <c r="B170" t="s">
        <v>374</v>
      </c>
    </row>
    <row r="171" spans="1:2" x14ac:dyDescent="0.35">
      <c r="A171" t="s">
        <v>375</v>
      </c>
      <c r="B171" t="s">
        <v>376</v>
      </c>
    </row>
    <row r="172" spans="1:2" x14ac:dyDescent="0.35">
      <c r="A172" t="s">
        <v>377</v>
      </c>
      <c r="B172" t="s">
        <v>378</v>
      </c>
    </row>
    <row r="173" spans="1:2" x14ac:dyDescent="0.35">
      <c r="A173" t="s">
        <v>379</v>
      </c>
      <c r="B173" t="s">
        <v>380</v>
      </c>
    </row>
    <row r="174" spans="1:2" x14ac:dyDescent="0.35">
      <c r="A174" t="s">
        <v>381</v>
      </c>
      <c r="B174" t="s">
        <v>382</v>
      </c>
    </row>
    <row r="175" spans="1:2" x14ac:dyDescent="0.35">
      <c r="A175" t="s">
        <v>383</v>
      </c>
      <c r="B175" t="s">
        <v>384</v>
      </c>
    </row>
    <row r="176" spans="1:2" x14ac:dyDescent="0.35">
      <c r="A176" t="s">
        <v>385</v>
      </c>
      <c r="B176" t="s">
        <v>386</v>
      </c>
    </row>
    <row r="177" spans="1:2" x14ac:dyDescent="0.35">
      <c r="A177" t="s">
        <v>387</v>
      </c>
      <c r="B177" t="s">
        <v>388</v>
      </c>
    </row>
    <row r="178" spans="1:2" x14ac:dyDescent="0.35">
      <c r="A178" t="s">
        <v>389</v>
      </c>
      <c r="B178" t="s">
        <v>390</v>
      </c>
    </row>
    <row r="179" spans="1:2" x14ac:dyDescent="0.35">
      <c r="A179" t="s">
        <v>48</v>
      </c>
      <c r="B179" t="s">
        <v>391</v>
      </c>
    </row>
    <row r="180" spans="1:2" x14ac:dyDescent="0.35">
      <c r="A180" t="s">
        <v>392</v>
      </c>
      <c r="B180" t="s">
        <v>393</v>
      </c>
    </row>
    <row r="181" spans="1:2" x14ac:dyDescent="0.35">
      <c r="A181" t="s">
        <v>50</v>
      </c>
      <c r="B181" t="s">
        <v>394</v>
      </c>
    </row>
    <row r="182" spans="1:2" x14ac:dyDescent="0.35">
      <c r="A182" t="s">
        <v>49</v>
      </c>
      <c r="B182" t="s">
        <v>395</v>
      </c>
    </row>
    <row r="183" spans="1:2" x14ac:dyDescent="0.35">
      <c r="A183" t="s">
        <v>396</v>
      </c>
      <c r="B183" t="s">
        <v>397</v>
      </c>
    </row>
    <row r="184" spans="1:2" x14ac:dyDescent="0.35">
      <c r="A184" t="s">
        <v>398</v>
      </c>
      <c r="B184" t="s">
        <v>399</v>
      </c>
    </row>
    <row r="185" spans="1:2" x14ac:dyDescent="0.35">
      <c r="A185" t="s">
        <v>400</v>
      </c>
      <c r="B185" t="s">
        <v>401</v>
      </c>
    </row>
    <row r="186" spans="1:2" x14ac:dyDescent="0.35">
      <c r="A186" t="s">
        <v>402</v>
      </c>
      <c r="B186" t="s">
        <v>403</v>
      </c>
    </row>
    <row r="187" spans="1:2" x14ac:dyDescent="0.35">
      <c r="A187" t="s">
        <v>51</v>
      </c>
      <c r="B187" t="s">
        <v>404</v>
      </c>
    </row>
    <row r="188" spans="1:2" x14ac:dyDescent="0.35">
      <c r="A188" t="s">
        <v>405</v>
      </c>
      <c r="B188" t="s">
        <v>406</v>
      </c>
    </row>
    <row r="189" spans="1:2" x14ac:dyDescent="0.35">
      <c r="A189" t="s">
        <v>407</v>
      </c>
      <c r="B189" t="s">
        <v>408</v>
      </c>
    </row>
    <row r="190" spans="1:2" x14ac:dyDescent="0.35">
      <c r="A190" t="s">
        <v>409</v>
      </c>
      <c r="B190" t="s">
        <v>410</v>
      </c>
    </row>
    <row r="191" spans="1:2" x14ac:dyDescent="0.35">
      <c r="A191" t="s">
        <v>411</v>
      </c>
      <c r="B191" t="s">
        <v>412</v>
      </c>
    </row>
    <row r="192" spans="1:2" x14ac:dyDescent="0.35">
      <c r="A192" t="s">
        <v>413</v>
      </c>
      <c r="B192" t="s">
        <v>414</v>
      </c>
    </row>
    <row r="193" spans="1:2" x14ac:dyDescent="0.35">
      <c r="A193" t="s">
        <v>415</v>
      </c>
      <c r="B193" t="s">
        <v>416</v>
      </c>
    </row>
    <row r="194" spans="1:2" x14ac:dyDescent="0.35">
      <c r="A194" t="s">
        <v>417</v>
      </c>
      <c r="B194" t="s">
        <v>418</v>
      </c>
    </row>
    <row r="195" spans="1:2" x14ac:dyDescent="0.35">
      <c r="A195" t="s">
        <v>419</v>
      </c>
      <c r="B195" t="s">
        <v>420</v>
      </c>
    </row>
    <row r="196" spans="1:2" x14ac:dyDescent="0.35">
      <c r="A196" t="s">
        <v>421</v>
      </c>
      <c r="B196" t="s">
        <v>422</v>
      </c>
    </row>
    <row r="197" spans="1:2" x14ac:dyDescent="0.35">
      <c r="A197" t="s">
        <v>423</v>
      </c>
      <c r="B197" t="s">
        <v>424</v>
      </c>
    </row>
    <row r="198" spans="1:2" x14ac:dyDescent="0.35">
      <c r="A198" t="s">
        <v>425</v>
      </c>
      <c r="B198" t="s">
        <v>426</v>
      </c>
    </row>
    <row r="199" spans="1:2" x14ac:dyDescent="0.35">
      <c r="A199" t="s">
        <v>427</v>
      </c>
      <c r="B199" t="s">
        <v>428</v>
      </c>
    </row>
    <row r="200" spans="1:2" x14ac:dyDescent="0.35">
      <c r="A200" t="s">
        <v>429</v>
      </c>
      <c r="B200" t="s">
        <v>430</v>
      </c>
    </row>
    <row r="201" spans="1:2" x14ac:dyDescent="0.35">
      <c r="A201" t="s">
        <v>431</v>
      </c>
      <c r="B201" t="s">
        <v>432</v>
      </c>
    </row>
    <row r="202" spans="1:2" x14ac:dyDescent="0.35">
      <c r="A202" t="s">
        <v>433</v>
      </c>
      <c r="B202" t="s">
        <v>434</v>
      </c>
    </row>
    <row r="203" spans="1:2" x14ac:dyDescent="0.35">
      <c r="A203" t="s">
        <v>435</v>
      </c>
      <c r="B203" t="s">
        <v>436</v>
      </c>
    </row>
    <row r="204" spans="1:2" x14ac:dyDescent="0.35">
      <c r="A204" t="s">
        <v>437</v>
      </c>
      <c r="B204" t="s">
        <v>438</v>
      </c>
    </row>
    <row r="205" spans="1:2" x14ac:dyDescent="0.35">
      <c r="A205" t="s">
        <v>439</v>
      </c>
      <c r="B205" t="s">
        <v>440</v>
      </c>
    </row>
    <row r="206" spans="1:2" x14ac:dyDescent="0.35">
      <c r="A206" t="s">
        <v>441</v>
      </c>
      <c r="B206" t="s">
        <v>442</v>
      </c>
    </row>
    <row r="207" spans="1:2" x14ac:dyDescent="0.35">
      <c r="A207" t="s">
        <v>443</v>
      </c>
      <c r="B207" t="s">
        <v>444</v>
      </c>
    </row>
    <row r="208" spans="1:2" x14ac:dyDescent="0.35">
      <c r="A208" t="s">
        <v>445</v>
      </c>
      <c r="B208" t="s">
        <v>446</v>
      </c>
    </row>
    <row r="209" spans="1:2" x14ac:dyDescent="0.35">
      <c r="A209" t="s">
        <v>447</v>
      </c>
      <c r="B209" t="s">
        <v>448</v>
      </c>
    </row>
    <row r="210" spans="1:2" x14ac:dyDescent="0.35">
      <c r="A210" t="s">
        <v>449</v>
      </c>
      <c r="B210" t="s">
        <v>450</v>
      </c>
    </row>
    <row r="211" spans="1:2" x14ac:dyDescent="0.35">
      <c r="A211" t="s">
        <v>451</v>
      </c>
      <c r="B211" t="s">
        <v>452</v>
      </c>
    </row>
    <row r="212" spans="1:2" x14ac:dyDescent="0.35">
      <c r="A212" t="s">
        <v>63</v>
      </c>
      <c r="B212" t="s">
        <v>453</v>
      </c>
    </row>
    <row r="213" spans="1:2" x14ac:dyDescent="0.35">
      <c r="A213" t="s">
        <v>454</v>
      </c>
      <c r="B213" t="s">
        <v>455</v>
      </c>
    </row>
    <row r="214" spans="1:2" x14ac:dyDescent="0.35">
      <c r="A214" t="s">
        <v>456</v>
      </c>
      <c r="B214" t="s">
        <v>457</v>
      </c>
    </row>
    <row r="215" spans="1:2" x14ac:dyDescent="0.35">
      <c r="A215" t="s">
        <v>458</v>
      </c>
      <c r="B215" t="s">
        <v>459</v>
      </c>
    </row>
    <row r="216" spans="1:2" x14ac:dyDescent="0.35">
      <c r="A216" t="s">
        <v>460</v>
      </c>
      <c r="B216" t="s">
        <v>461</v>
      </c>
    </row>
    <row r="217" spans="1:2" x14ac:dyDescent="0.35">
      <c r="A217" t="s">
        <v>61</v>
      </c>
      <c r="B217" t="s">
        <v>462</v>
      </c>
    </row>
    <row r="218" spans="1:2" x14ac:dyDescent="0.35">
      <c r="A218" t="s">
        <v>463</v>
      </c>
      <c r="B218" t="s">
        <v>464</v>
      </c>
    </row>
    <row r="219" spans="1:2" x14ac:dyDescent="0.35">
      <c r="A219" t="s">
        <v>465</v>
      </c>
      <c r="B219" t="s">
        <v>466</v>
      </c>
    </row>
    <row r="220" spans="1:2" x14ac:dyDescent="0.35">
      <c r="A220" t="s">
        <v>467</v>
      </c>
      <c r="B220" t="s">
        <v>468</v>
      </c>
    </row>
    <row r="221" spans="1:2" x14ac:dyDescent="0.35">
      <c r="A221" t="s">
        <v>469</v>
      </c>
      <c r="B221" t="s">
        <v>470</v>
      </c>
    </row>
    <row r="222" spans="1:2" x14ac:dyDescent="0.35">
      <c r="A222" t="s">
        <v>471</v>
      </c>
      <c r="B222" t="s">
        <v>472</v>
      </c>
    </row>
    <row r="223" spans="1:2" x14ac:dyDescent="0.35">
      <c r="A223" t="s">
        <v>473</v>
      </c>
      <c r="B223" t="s">
        <v>474</v>
      </c>
    </row>
    <row r="224" spans="1:2" x14ac:dyDescent="0.35">
      <c r="A224" t="s">
        <v>475</v>
      </c>
      <c r="B224" t="s">
        <v>476</v>
      </c>
    </row>
    <row r="225" spans="1:2" x14ac:dyDescent="0.35">
      <c r="A225" t="s">
        <v>477</v>
      </c>
      <c r="B225" t="s">
        <v>478</v>
      </c>
    </row>
    <row r="226" spans="1:2" x14ac:dyDescent="0.35">
      <c r="A226" t="s">
        <v>479</v>
      </c>
      <c r="B226" t="s">
        <v>480</v>
      </c>
    </row>
    <row r="227" spans="1:2" x14ac:dyDescent="0.35">
      <c r="A227" t="s">
        <v>481</v>
      </c>
      <c r="B227" t="s">
        <v>482</v>
      </c>
    </row>
    <row r="228" spans="1:2" x14ac:dyDescent="0.35">
      <c r="A228" t="s">
        <v>483</v>
      </c>
      <c r="B228" t="s">
        <v>484</v>
      </c>
    </row>
    <row r="229" spans="1:2" x14ac:dyDescent="0.35">
      <c r="A229" t="s">
        <v>485</v>
      </c>
      <c r="B229" t="s">
        <v>486</v>
      </c>
    </row>
    <row r="230" spans="1:2" x14ac:dyDescent="0.35">
      <c r="A230" t="s">
        <v>487</v>
      </c>
      <c r="B230" t="s">
        <v>488</v>
      </c>
    </row>
    <row r="231" spans="1:2" x14ac:dyDescent="0.35">
      <c r="A231" t="s">
        <v>489</v>
      </c>
      <c r="B231" t="s">
        <v>490</v>
      </c>
    </row>
    <row r="232" spans="1:2" x14ac:dyDescent="0.35">
      <c r="A232" t="s">
        <v>491</v>
      </c>
      <c r="B232" t="s">
        <v>492</v>
      </c>
    </row>
    <row r="233" spans="1:2" x14ac:dyDescent="0.35">
      <c r="A233" t="s">
        <v>493</v>
      </c>
      <c r="B233" t="s">
        <v>494</v>
      </c>
    </row>
    <row r="234" spans="1:2" x14ac:dyDescent="0.35">
      <c r="A234" t="s">
        <v>495</v>
      </c>
      <c r="B234" t="s">
        <v>496</v>
      </c>
    </row>
    <row r="235" spans="1:2" x14ac:dyDescent="0.35">
      <c r="A235" t="s">
        <v>497</v>
      </c>
      <c r="B235" t="s">
        <v>498</v>
      </c>
    </row>
    <row r="236" spans="1:2" x14ac:dyDescent="0.35">
      <c r="A236" t="s">
        <v>499</v>
      </c>
      <c r="B236" t="s">
        <v>500</v>
      </c>
    </row>
    <row r="237" spans="1:2" x14ac:dyDescent="0.35">
      <c r="A237" t="s">
        <v>501</v>
      </c>
      <c r="B237" t="s">
        <v>502</v>
      </c>
    </row>
    <row r="238" spans="1:2" x14ac:dyDescent="0.35">
      <c r="A238" t="s">
        <v>503</v>
      </c>
      <c r="B238" t="s">
        <v>504</v>
      </c>
    </row>
    <row r="239" spans="1:2" x14ac:dyDescent="0.35">
      <c r="A239" t="s">
        <v>505</v>
      </c>
      <c r="B239" t="s">
        <v>506</v>
      </c>
    </row>
    <row r="240" spans="1:2" x14ac:dyDescent="0.35">
      <c r="A240" t="s">
        <v>507</v>
      </c>
      <c r="B240" t="s">
        <v>508</v>
      </c>
    </row>
    <row r="241" spans="1:2" x14ac:dyDescent="0.35">
      <c r="A241" t="s">
        <v>509</v>
      </c>
      <c r="B241" t="s">
        <v>510</v>
      </c>
    </row>
    <row r="242" spans="1:2" x14ac:dyDescent="0.35">
      <c r="A242" t="s">
        <v>511</v>
      </c>
      <c r="B242" t="s">
        <v>512</v>
      </c>
    </row>
    <row r="243" spans="1:2" x14ac:dyDescent="0.35">
      <c r="A243" t="s">
        <v>513</v>
      </c>
      <c r="B243" t="s">
        <v>514</v>
      </c>
    </row>
    <row r="244" spans="1:2" x14ac:dyDescent="0.35">
      <c r="A244" t="s">
        <v>515</v>
      </c>
      <c r="B244" t="s">
        <v>516</v>
      </c>
    </row>
    <row r="245" spans="1:2" x14ac:dyDescent="0.35">
      <c r="A245" t="s">
        <v>517</v>
      </c>
      <c r="B245" t="s">
        <v>518</v>
      </c>
    </row>
    <row r="246" spans="1:2" x14ac:dyDescent="0.35">
      <c r="A246" t="s">
        <v>519</v>
      </c>
      <c r="B246" t="s">
        <v>520</v>
      </c>
    </row>
    <row r="247" spans="1:2" x14ac:dyDescent="0.35">
      <c r="A247" t="s">
        <v>521</v>
      </c>
      <c r="B247" t="s">
        <v>522</v>
      </c>
    </row>
    <row r="248" spans="1:2" x14ac:dyDescent="0.35">
      <c r="A248" t="s">
        <v>523</v>
      </c>
      <c r="B248" t="s">
        <v>524</v>
      </c>
    </row>
    <row r="249" spans="1:2" x14ac:dyDescent="0.35">
      <c r="A249" t="s">
        <v>525</v>
      </c>
      <c r="B249" t="s">
        <v>526</v>
      </c>
    </row>
    <row r="250" spans="1:2" x14ac:dyDescent="0.35">
      <c r="A250" t="s">
        <v>527</v>
      </c>
      <c r="B250" t="s">
        <v>528</v>
      </c>
    </row>
    <row r="251" spans="1:2" x14ac:dyDescent="0.35">
      <c r="A251" t="s">
        <v>529</v>
      </c>
      <c r="B251" t="s">
        <v>530</v>
      </c>
    </row>
    <row r="252" spans="1:2" x14ac:dyDescent="0.35">
      <c r="A252" t="s">
        <v>531</v>
      </c>
      <c r="B252" t="s">
        <v>532</v>
      </c>
    </row>
    <row r="253" spans="1:2" x14ac:dyDescent="0.35">
      <c r="A253" t="s">
        <v>533</v>
      </c>
      <c r="B253" t="s">
        <v>534</v>
      </c>
    </row>
    <row r="254" spans="1:2" x14ac:dyDescent="0.35">
      <c r="A254" t="s">
        <v>535</v>
      </c>
      <c r="B254" t="s">
        <v>536</v>
      </c>
    </row>
    <row r="255" spans="1:2" x14ac:dyDescent="0.35">
      <c r="A255" t="s">
        <v>537</v>
      </c>
      <c r="B255" t="s">
        <v>538</v>
      </c>
    </row>
    <row r="256" spans="1:2" x14ac:dyDescent="0.35">
      <c r="A256" t="s">
        <v>539</v>
      </c>
      <c r="B256" t="s">
        <v>540</v>
      </c>
    </row>
    <row r="257" spans="1:2" x14ac:dyDescent="0.35">
      <c r="A257" t="s">
        <v>541</v>
      </c>
      <c r="B257" t="s">
        <v>542</v>
      </c>
    </row>
    <row r="258" spans="1:2" x14ac:dyDescent="0.35">
      <c r="A258" t="s">
        <v>543</v>
      </c>
      <c r="B258" t="s">
        <v>544</v>
      </c>
    </row>
    <row r="259" spans="1:2" x14ac:dyDescent="0.35">
      <c r="A259" t="s">
        <v>545</v>
      </c>
      <c r="B259" t="s">
        <v>546</v>
      </c>
    </row>
    <row r="260" spans="1:2" x14ac:dyDescent="0.35">
      <c r="A260" t="s">
        <v>547</v>
      </c>
      <c r="B260" t="s">
        <v>548</v>
      </c>
    </row>
    <row r="261" spans="1:2" x14ac:dyDescent="0.35">
      <c r="A261" t="s">
        <v>549</v>
      </c>
      <c r="B261" t="s">
        <v>550</v>
      </c>
    </row>
    <row r="262" spans="1:2" x14ac:dyDescent="0.35">
      <c r="A262" t="s">
        <v>551</v>
      </c>
      <c r="B262" t="s">
        <v>552</v>
      </c>
    </row>
    <row r="263" spans="1:2" x14ac:dyDescent="0.35">
      <c r="A263" t="s">
        <v>553</v>
      </c>
      <c r="B263" t="s">
        <v>554</v>
      </c>
    </row>
    <row r="264" spans="1:2" x14ac:dyDescent="0.35">
      <c r="A264" t="s">
        <v>555</v>
      </c>
      <c r="B264" t="s">
        <v>556</v>
      </c>
    </row>
    <row r="265" spans="1:2" x14ac:dyDescent="0.35">
      <c r="A265" t="s">
        <v>557</v>
      </c>
      <c r="B265" t="s">
        <v>558</v>
      </c>
    </row>
    <row r="266" spans="1:2" x14ac:dyDescent="0.35">
      <c r="A266" t="s">
        <v>559</v>
      </c>
      <c r="B266" t="s">
        <v>560</v>
      </c>
    </row>
    <row r="267" spans="1:2" x14ac:dyDescent="0.35">
      <c r="A267" t="s">
        <v>561</v>
      </c>
      <c r="B267" t="s">
        <v>562</v>
      </c>
    </row>
    <row r="268" spans="1:2" x14ac:dyDescent="0.35">
      <c r="A268" t="s">
        <v>563</v>
      </c>
      <c r="B268" t="s">
        <v>564</v>
      </c>
    </row>
    <row r="269" spans="1:2" x14ac:dyDescent="0.35">
      <c r="A269" t="s">
        <v>565</v>
      </c>
      <c r="B269" t="s">
        <v>566</v>
      </c>
    </row>
    <row r="270" spans="1:2" x14ac:dyDescent="0.35">
      <c r="A270" t="s">
        <v>567</v>
      </c>
      <c r="B270" t="s">
        <v>568</v>
      </c>
    </row>
    <row r="271" spans="1:2" x14ac:dyDescent="0.35">
      <c r="A271" t="s">
        <v>47</v>
      </c>
      <c r="B271" t="s">
        <v>569</v>
      </c>
    </row>
    <row r="272" spans="1:2" x14ac:dyDescent="0.35">
      <c r="A272" t="s">
        <v>570</v>
      </c>
      <c r="B272" t="s">
        <v>571</v>
      </c>
    </row>
    <row r="273" spans="1:2" x14ac:dyDescent="0.35">
      <c r="A273" t="s">
        <v>572</v>
      </c>
      <c r="B273" t="s">
        <v>573</v>
      </c>
    </row>
    <row r="274" spans="1:2" x14ac:dyDescent="0.35">
      <c r="A274" t="s">
        <v>574</v>
      </c>
      <c r="B274" t="s">
        <v>575</v>
      </c>
    </row>
    <row r="275" spans="1:2" x14ac:dyDescent="0.35">
      <c r="A275" t="s">
        <v>576</v>
      </c>
      <c r="B275" t="s">
        <v>577</v>
      </c>
    </row>
    <row r="276" spans="1:2" x14ac:dyDescent="0.35">
      <c r="A276" t="s">
        <v>578</v>
      </c>
      <c r="B276" t="s">
        <v>579</v>
      </c>
    </row>
    <row r="277" spans="1:2" x14ac:dyDescent="0.35">
      <c r="A277" t="s">
        <v>580</v>
      </c>
      <c r="B277" t="s">
        <v>581</v>
      </c>
    </row>
    <row r="278" spans="1:2" x14ac:dyDescent="0.35">
      <c r="A278" t="s">
        <v>582</v>
      </c>
      <c r="B278" t="s">
        <v>583</v>
      </c>
    </row>
    <row r="279" spans="1:2" x14ac:dyDescent="0.35">
      <c r="A279" t="s">
        <v>584</v>
      </c>
      <c r="B279" t="s">
        <v>585</v>
      </c>
    </row>
    <row r="280" spans="1:2" x14ac:dyDescent="0.35">
      <c r="A280" t="s">
        <v>586</v>
      </c>
      <c r="B280" t="s">
        <v>587</v>
      </c>
    </row>
    <row r="281" spans="1:2" x14ac:dyDescent="0.35">
      <c r="A281" t="s">
        <v>588</v>
      </c>
      <c r="B281" t="s">
        <v>589</v>
      </c>
    </row>
    <row r="282" spans="1:2" x14ac:dyDescent="0.35">
      <c r="A282" t="s">
        <v>590</v>
      </c>
      <c r="B282" t="s">
        <v>591</v>
      </c>
    </row>
    <row r="283" spans="1:2" x14ac:dyDescent="0.35">
      <c r="A283" t="s">
        <v>592</v>
      </c>
      <c r="B283" t="s">
        <v>593</v>
      </c>
    </row>
    <row r="284" spans="1:2" x14ac:dyDescent="0.35">
      <c r="A284" t="s">
        <v>594</v>
      </c>
      <c r="B284" t="s">
        <v>595</v>
      </c>
    </row>
    <row r="285" spans="1:2" x14ac:dyDescent="0.35">
      <c r="A285" t="s">
        <v>596</v>
      </c>
      <c r="B285" t="s">
        <v>597</v>
      </c>
    </row>
    <row r="286" spans="1:2" x14ac:dyDescent="0.35">
      <c r="A286" t="s">
        <v>598</v>
      </c>
      <c r="B286" t="s">
        <v>599</v>
      </c>
    </row>
    <row r="287" spans="1:2" x14ac:dyDescent="0.35">
      <c r="A287" t="s">
        <v>600</v>
      </c>
      <c r="B287" t="s">
        <v>601</v>
      </c>
    </row>
    <row r="288" spans="1:2" x14ac:dyDescent="0.35">
      <c r="A288" t="s">
        <v>602</v>
      </c>
      <c r="B288" t="s">
        <v>603</v>
      </c>
    </row>
    <row r="289" spans="1:2" x14ac:dyDescent="0.35">
      <c r="A289" t="s">
        <v>604</v>
      </c>
      <c r="B289" t="s">
        <v>605</v>
      </c>
    </row>
    <row r="290" spans="1:2" x14ac:dyDescent="0.35">
      <c r="A290" t="s">
        <v>606</v>
      </c>
      <c r="B290" t="s">
        <v>607</v>
      </c>
    </row>
    <row r="291" spans="1:2" x14ac:dyDescent="0.35">
      <c r="A291" t="s">
        <v>608</v>
      </c>
      <c r="B291" t="s">
        <v>609</v>
      </c>
    </row>
    <row r="292" spans="1:2" x14ac:dyDescent="0.35">
      <c r="A292" t="s">
        <v>610</v>
      </c>
      <c r="B292" t="s">
        <v>611</v>
      </c>
    </row>
    <row r="293" spans="1:2" x14ac:dyDescent="0.35">
      <c r="A293" t="s">
        <v>612</v>
      </c>
      <c r="B293" t="s">
        <v>613</v>
      </c>
    </row>
    <row r="294" spans="1:2" x14ac:dyDescent="0.35">
      <c r="A294" t="s">
        <v>614</v>
      </c>
      <c r="B294" t="s">
        <v>615</v>
      </c>
    </row>
    <row r="295" spans="1:2" x14ac:dyDescent="0.35">
      <c r="A295" t="s">
        <v>616</v>
      </c>
      <c r="B295" t="s">
        <v>617</v>
      </c>
    </row>
    <row r="296" spans="1:2" x14ac:dyDescent="0.35">
      <c r="A296" t="s">
        <v>618</v>
      </c>
      <c r="B296" t="s">
        <v>619</v>
      </c>
    </row>
    <row r="297" spans="1:2" x14ac:dyDescent="0.35">
      <c r="A297" t="s">
        <v>620</v>
      </c>
      <c r="B297" t="s">
        <v>621</v>
      </c>
    </row>
    <row r="298" spans="1:2" x14ac:dyDescent="0.35">
      <c r="A298" t="s">
        <v>622</v>
      </c>
      <c r="B298" t="s">
        <v>623</v>
      </c>
    </row>
    <row r="299" spans="1:2" x14ac:dyDescent="0.35">
      <c r="A299" t="s">
        <v>624</v>
      </c>
      <c r="B299" t="s">
        <v>625</v>
      </c>
    </row>
    <row r="300" spans="1:2" x14ac:dyDescent="0.35">
      <c r="A300" t="s">
        <v>626</v>
      </c>
      <c r="B300" t="s">
        <v>627</v>
      </c>
    </row>
    <row r="301" spans="1:2" x14ac:dyDescent="0.35">
      <c r="A301" t="s">
        <v>628</v>
      </c>
      <c r="B301" t="s">
        <v>629</v>
      </c>
    </row>
    <row r="302" spans="1:2" x14ac:dyDescent="0.35">
      <c r="A302" t="s">
        <v>630</v>
      </c>
      <c r="B302" t="s">
        <v>631</v>
      </c>
    </row>
    <row r="303" spans="1:2" x14ac:dyDescent="0.35">
      <c r="A303" t="s">
        <v>632</v>
      </c>
      <c r="B303" t="s">
        <v>633</v>
      </c>
    </row>
    <row r="304" spans="1:2" x14ac:dyDescent="0.35">
      <c r="A304" t="s">
        <v>634</v>
      </c>
      <c r="B304" t="s">
        <v>635</v>
      </c>
    </row>
    <row r="305" spans="1:2" x14ac:dyDescent="0.35">
      <c r="A305" t="s">
        <v>636</v>
      </c>
      <c r="B305" t="s">
        <v>637</v>
      </c>
    </row>
    <row r="306" spans="1:2" x14ac:dyDescent="0.35">
      <c r="A306" t="s">
        <v>638</v>
      </c>
      <c r="B306" t="s">
        <v>639</v>
      </c>
    </row>
    <row r="307" spans="1:2" x14ac:dyDescent="0.35">
      <c r="A307" t="s">
        <v>640</v>
      </c>
      <c r="B307" t="s">
        <v>641</v>
      </c>
    </row>
    <row r="308" spans="1:2" x14ac:dyDescent="0.35">
      <c r="A308" t="s">
        <v>642</v>
      </c>
      <c r="B308" t="s">
        <v>643</v>
      </c>
    </row>
    <row r="309" spans="1:2" x14ac:dyDescent="0.35">
      <c r="A309" t="s">
        <v>644</v>
      </c>
      <c r="B309" t="s">
        <v>645</v>
      </c>
    </row>
    <row r="310" spans="1:2" x14ac:dyDescent="0.35">
      <c r="A310" t="s">
        <v>646</v>
      </c>
      <c r="B310" t="s">
        <v>647</v>
      </c>
    </row>
    <row r="311" spans="1:2" x14ac:dyDescent="0.35">
      <c r="A311" t="s">
        <v>648</v>
      </c>
      <c r="B311" t="s">
        <v>649</v>
      </c>
    </row>
    <row r="312" spans="1:2" x14ac:dyDescent="0.35">
      <c r="A312" t="s">
        <v>650</v>
      </c>
      <c r="B312" t="s">
        <v>651</v>
      </c>
    </row>
    <row r="313" spans="1:2" x14ac:dyDescent="0.35">
      <c r="A313" t="s">
        <v>652</v>
      </c>
      <c r="B313" t="s">
        <v>653</v>
      </c>
    </row>
    <row r="314" spans="1:2" x14ac:dyDescent="0.35">
      <c r="A314" t="s">
        <v>654</v>
      </c>
      <c r="B314" t="s">
        <v>655</v>
      </c>
    </row>
    <row r="315" spans="1:2" x14ac:dyDescent="0.35">
      <c r="A315" t="s">
        <v>656</v>
      </c>
      <c r="B315" t="s">
        <v>657</v>
      </c>
    </row>
    <row r="316" spans="1:2" x14ac:dyDescent="0.35">
      <c r="A316" t="s">
        <v>658</v>
      </c>
      <c r="B316" t="s">
        <v>659</v>
      </c>
    </row>
    <row r="317" spans="1:2" x14ac:dyDescent="0.35">
      <c r="A317" t="s">
        <v>660</v>
      </c>
      <c r="B317" t="s">
        <v>661</v>
      </c>
    </row>
    <row r="318" spans="1:2" x14ac:dyDescent="0.35">
      <c r="A318" t="s">
        <v>662</v>
      </c>
      <c r="B318" t="s">
        <v>663</v>
      </c>
    </row>
    <row r="319" spans="1:2" x14ac:dyDescent="0.35">
      <c r="A319" t="s">
        <v>664</v>
      </c>
      <c r="B319" t="s">
        <v>665</v>
      </c>
    </row>
    <row r="320" spans="1:2" x14ac:dyDescent="0.35">
      <c r="A320" t="s">
        <v>666</v>
      </c>
      <c r="B320" t="s">
        <v>667</v>
      </c>
    </row>
    <row r="321" spans="1:2" x14ac:dyDescent="0.35">
      <c r="A321" t="s">
        <v>668</v>
      </c>
      <c r="B321" t="s">
        <v>669</v>
      </c>
    </row>
    <row r="322" spans="1:2" x14ac:dyDescent="0.35">
      <c r="A322" t="s">
        <v>670</v>
      </c>
      <c r="B322" t="s">
        <v>671</v>
      </c>
    </row>
    <row r="323" spans="1:2" x14ac:dyDescent="0.35">
      <c r="A323" t="s">
        <v>672</v>
      </c>
      <c r="B323" t="s">
        <v>673</v>
      </c>
    </row>
    <row r="324" spans="1:2" x14ac:dyDescent="0.35">
      <c r="A324" t="s">
        <v>674</v>
      </c>
      <c r="B324" t="s">
        <v>675</v>
      </c>
    </row>
    <row r="325" spans="1:2" x14ac:dyDescent="0.35">
      <c r="A325" t="s">
        <v>676</v>
      </c>
      <c r="B325" t="s">
        <v>677</v>
      </c>
    </row>
    <row r="326" spans="1:2" x14ac:dyDescent="0.35">
      <c r="A326" t="s">
        <v>678</v>
      </c>
      <c r="B326" t="s">
        <v>679</v>
      </c>
    </row>
    <row r="327" spans="1:2" x14ac:dyDescent="0.35">
      <c r="A327" t="s">
        <v>680</v>
      </c>
      <c r="B327" t="s">
        <v>681</v>
      </c>
    </row>
    <row r="328" spans="1:2" x14ac:dyDescent="0.35">
      <c r="A328" t="s">
        <v>682</v>
      </c>
      <c r="B328" t="s">
        <v>683</v>
      </c>
    </row>
    <row r="329" spans="1:2" x14ac:dyDescent="0.35">
      <c r="A329" t="s">
        <v>684</v>
      </c>
      <c r="B329" t="s">
        <v>685</v>
      </c>
    </row>
    <row r="330" spans="1:2" x14ac:dyDescent="0.35">
      <c r="A330" t="s">
        <v>686</v>
      </c>
      <c r="B330" t="s">
        <v>687</v>
      </c>
    </row>
    <row r="331" spans="1:2" x14ac:dyDescent="0.35">
      <c r="A331" t="s">
        <v>688</v>
      </c>
      <c r="B331" t="s">
        <v>689</v>
      </c>
    </row>
    <row r="332" spans="1:2" x14ac:dyDescent="0.35">
      <c r="A332" t="s">
        <v>690</v>
      </c>
      <c r="B332" t="s">
        <v>691</v>
      </c>
    </row>
    <row r="333" spans="1:2" x14ac:dyDescent="0.35">
      <c r="A333" t="s">
        <v>692</v>
      </c>
      <c r="B333" t="s">
        <v>693</v>
      </c>
    </row>
    <row r="334" spans="1:2" x14ac:dyDescent="0.35">
      <c r="A334" t="s">
        <v>694</v>
      </c>
      <c r="B334" t="s">
        <v>695</v>
      </c>
    </row>
    <row r="335" spans="1:2" x14ac:dyDescent="0.35">
      <c r="A335" t="s">
        <v>696</v>
      </c>
      <c r="B335" t="s">
        <v>697</v>
      </c>
    </row>
    <row r="336" spans="1:2" x14ac:dyDescent="0.35">
      <c r="A336" t="s">
        <v>698</v>
      </c>
      <c r="B336" t="s">
        <v>699</v>
      </c>
    </row>
    <row r="337" spans="1:2" x14ac:dyDescent="0.35">
      <c r="A337" t="s">
        <v>700</v>
      </c>
      <c r="B337" t="s">
        <v>701</v>
      </c>
    </row>
    <row r="338" spans="1:2" x14ac:dyDescent="0.35">
      <c r="A338" t="s">
        <v>702</v>
      </c>
      <c r="B338" t="s">
        <v>703</v>
      </c>
    </row>
    <row r="339" spans="1:2" x14ac:dyDescent="0.35">
      <c r="A339" t="s">
        <v>704</v>
      </c>
      <c r="B339" t="s">
        <v>705</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8</vt:i4>
      </vt:variant>
      <vt:variant>
        <vt:lpstr>Charts</vt:lpstr>
      </vt:variant>
      <vt:variant>
        <vt:i4>1</vt:i4>
      </vt:variant>
      <vt:variant>
        <vt:lpstr>Named Ranges</vt:lpstr>
      </vt:variant>
      <vt:variant>
        <vt:i4>1</vt:i4>
      </vt:variant>
    </vt:vector>
  </HeadingPairs>
  <TitlesOfParts>
    <vt:vector size="10" baseType="lpstr">
      <vt:lpstr>CG - MAIN</vt:lpstr>
      <vt:lpstr>SALES</vt:lpstr>
      <vt:lpstr>FORM ORDER</vt:lpstr>
      <vt:lpstr>WIP - CG</vt:lpstr>
      <vt:lpstr>HG - Main</vt:lpstr>
      <vt:lpstr>WIP - HG</vt:lpstr>
      <vt:lpstr>YIELD-CG</vt:lpstr>
      <vt:lpstr>Items Consolidate</vt:lpstr>
      <vt:lpstr>Chart1</vt:lpstr>
      <vt:lpstr>'FORM ORDER'!Print_Area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PPIC-TARA</dc:creator>
  <cp:lastModifiedBy>document tara92</cp:lastModifiedBy>
  <cp:lastPrinted>2024-11-03T19:10:40Z</cp:lastPrinted>
  <dcterms:created xsi:type="dcterms:W3CDTF">2024-07-02T09:01:17Z</dcterms:created>
  <dcterms:modified xsi:type="dcterms:W3CDTF">2024-11-03T19:24:27Z</dcterms:modified>
</cp:coreProperties>
</file>